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questions" sheetId="1" r:id="rId4"/>
    <sheet state="visible" name="sheet_info" sheetId="2" r:id="rId5"/>
    <sheet state="visible" name="model_params" sheetId="3" r:id="rId6"/>
    <sheet state="visible" name="independent_params" sheetId="4" r:id="rId7"/>
    <sheet state="visible" name="dimensions" sheetId="5" r:id="rId8"/>
    <sheet state="visible" name="archetype_prototypes" sheetId="6" r:id="rId9"/>
    <sheet state="visible" name="prototype_helpers" sheetId="7" r:id="rId10"/>
    <sheet state="visible" name="archetype_calibration" sheetId="8" r:id="rId11"/>
    <sheet state="visible" name="archetype_bias" sheetId="9" r:id="rId12"/>
    <sheet state="visible" name="categorical_boost_rules" sheetId="10" r:id="rId13"/>
    <sheet state="visible" name="weight_modifiers" sheetId="11" r:id="rId14"/>
    <sheet state="visible" name="gates" sheetId="12" r:id="rId15"/>
    <sheet state="visible" name="overlays" sheetId="13" r:id="rId16"/>
    <sheet state="visible" name="categorical_map" sheetId="14" r:id="rId17"/>
    <sheet state="visible" name="enum_map" sheetId="15" r:id="rId18"/>
    <sheet state="visible" name="question_logic" sheetId="16" r:id="rId19"/>
  </sheets>
  <definedNames/>
  <calcPr/>
  <extLst>
    <ext uri="GoogleSheetsCustomDataVersion2">
      <go:sheetsCustomData xmlns:go="http://customooxmlschemas.google.com/" r:id="rId20" roundtripDataChecksum="OfyEfzviJE3zo609PC835Wk0HvWZHxx4Bk2WDc/OHp4="/>
    </ext>
  </extLst>
</workbook>
</file>

<file path=xl/sharedStrings.xml><?xml version="1.0" encoding="utf-8"?>
<sst xmlns="http://schemas.openxmlformats.org/spreadsheetml/2006/main" count="3953" uniqueCount="1059">
  <si>
    <t>Q_ID</t>
  </si>
  <si>
    <t>Survey question</t>
  </si>
  <si>
    <t>Response format</t>
  </si>
  <si>
    <t>Output feeding scoring</t>
  </si>
  <si>
    <t>Dimension ID</t>
  </si>
  <si>
    <t>00000</t>
  </si>
  <si>
    <t>What is your email?</t>
  </si>
  <si>
    <t>Open response</t>
  </si>
  <si>
    <t>Not used in scoring config</t>
  </si>
  <si>
    <t>00001</t>
  </si>
  <si>
    <t>What is your name?</t>
  </si>
  <si>
    <t>01002</t>
  </si>
  <si>
    <t>Right now, I feel satisfied with my sex life.</t>
  </si>
  <si>
    <t>1-7 scale</t>
  </si>
  <si>
    <t>Overlay only</t>
  </si>
  <si>
    <t>OVL_SATISFACTION</t>
  </si>
  <si>
    <t>01003</t>
  </si>
  <si>
    <t>Which statement best describes your relationship with sexuality right now?</t>
  </si>
  <si>
    <t>Single choice</t>
  </si>
  <si>
    <t>Cat. boosts (answer-specific)</t>
  </si>
  <si>
    <t>01005</t>
  </si>
  <si>
    <t>I often crave more novelty and variety in my sexual experiences.</t>
  </si>
  <si>
    <t>Typing dimension</t>
  </si>
  <si>
    <t>DIM_NOVELTY</t>
  </si>
  <si>
    <t>01006</t>
  </si>
  <si>
    <t>Sex is often uncomfortable or painful for me.</t>
  </si>
  <si>
    <t>OVL_PAIN</t>
  </si>
  <si>
    <t>02001</t>
  </si>
  <si>
    <t>How does desire most often begin for you?</t>
  </si>
  <si>
    <t>02002</t>
  </si>
  <si>
    <t>My sexual desire usually builds after affection, touch, or other erotic cues.</t>
  </si>
  <si>
    <t>DIM_RESPONSIVE</t>
  </si>
  <si>
    <t>02003</t>
  </si>
  <si>
    <t>I enjoy intimacy more when it’s planned rather than spontaneous.</t>
  </si>
  <si>
    <t>DIM_PLANNED</t>
  </si>
  <si>
    <t>02004</t>
  </si>
  <si>
    <t>What kind of initiation tends to work best for you?</t>
  </si>
  <si>
    <t>03003</t>
  </si>
  <si>
    <t>What kinds of erotic settings or atmosphere feel most alive or activating for you?</t>
  </si>
  <si>
    <t>Multiple choice</t>
  </si>
  <si>
    <t>Cat. boosts (max across selections)</t>
  </si>
  <si>
    <t>03004</t>
  </si>
  <si>
    <t>Emotional connection is important for me to feel sexual desire.</t>
  </si>
  <si>
    <t>DIM_EMO_CONNECTION</t>
  </si>
  <si>
    <t>03005</t>
  </si>
  <si>
    <t>Which description best fits what gets you from neutral to turned-on most often?</t>
  </si>
  <si>
    <t>03006</t>
  </si>
  <si>
    <t>When it comes to figuring out what works for you sexually, which approach fits you best?</t>
  </si>
  <si>
    <t>03008</t>
  </si>
  <si>
    <t>I usually prefer sex to feel intense, charged, or high-energy rather than soft, gentle, or low-pressure.</t>
  </si>
  <si>
    <t>DIM_INTENSITY</t>
  </si>
  <si>
    <t>03009</t>
  </si>
  <si>
    <t>Sexual tension, anticipation, or pursuit reliably turns me on.</t>
  </si>
  <si>
    <t>DIM_PURSUIT</t>
  </si>
  <si>
    <t>03010</t>
  </si>
  <si>
    <t>Which erotic atmosphere feels best for you most often?</t>
  </si>
  <si>
    <t>Typing dimension + Cat. boosts</t>
  </si>
  <si>
    <t>DIM_RISK_PREF</t>
  </si>
  <si>
    <t>03011</t>
  </si>
  <si>
    <t>Sex feels most fulfilling when it has a sacred, meaningful, or ritual quality (not just pleasure).</t>
  </si>
  <si>
    <t>DIM_SACRED</t>
  </si>
  <si>
    <t>03012</t>
  </si>
  <si>
    <t>Without some degree of edge, taboo, or intensity, sex can feel flat.</t>
  </si>
  <si>
    <t>DIM_EDGE_NEED</t>
  </si>
  <si>
    <t>03013</t>
  </si>
  <si>
    <t>Which erotic perspective most strongly turns you on?</t>
  </si>
  <si>
    <t>03014</t>
  </si>
  <si>
    <t>I can usually reach orgasm with a partner when I want to.</t>
  </si>
  <si>
    <t>OVL_ORGASM_EASE</t>
  </si>
  <si>
    <t>08002</t>
  </si>
  <si>
    <t>I generally feel secure in my close relationships.</t>
  </si>
  <si>
    <t>DIM_SECURE</t>
  </si>
  <si>
    <t>08003</t>
  </si>
  <si>
    <t>When my partner pulls away, I usually…</t>
  </si>
  <si>
    <t>08004</t>
  </si>
  <si>
    <t>In relationships, I usually want more closeness and togetherness than space and independence.</t>
  </si>
  <si>
    <t>DIM_CLOSENESS_ORIENTATION</t>
  </si>
  <si>
    <t>08005</t>
  </si>
  <si>
    <t>After emotional repair (a good vulnerable talk), I often feel more desire.</t>
  </si>
  <si>
    <t>DIM_REPAIR_EROTICISM</t>
  </si>
  <si>
    <t>08006</t>
  </si>
  <si>
    <t>When I feel pressure (to perform, talk, or escalate), I shut down or want to withdraw.</t>
  </si>
  <si>
    <t>DIM_PRESSURE_SHUTDOWN</t>
  </si>
  <si>
    <t>08012</t>
  </si>
  <si>
    <t>I tend to lose sexual interest when my partner becomes too emotionally dependent on me.</t>
  </si>
  <si>
    <t>DIM_AVOIDANT</t>
  </si>
  <si>
    <t>09013</t>
  </si>
  <si>
    <t>I sometimes use flirtation or sex to influence the relationship dynamic or get my needs met.</t>
  </si>
  <si>
    <t>DIM_STRATEGY</t>
  </si>
  <si>
    <t>10002</t>
  </si>
  <si>
    <t>During intimacy, how do you most naturally communicate what you want?</t>
  </si>
  <si>
    <t>10003</t>
  </si>
  <si>
    <t>I’m comfortable expressing what turns me on.</t>
  </si>
  <si>
    <t>DIM_TURNON_EXPRESS</t>
  </si>
  <si>
    <t>10004</t>
  </si>
  <si>
    <t>I’m comfortable expressing what I don’t want.</t>
  </si>
  <si>
    <t>DIM_BOUNDARY_EXPRESS</t>
  </si>
  <si>
    <t>10005</t>
  </si>
  <si>
    <t>If my partner is quiet or neutral during sex, my arousal drops.</t>
  </si>
  <si>
    <t>DIM_FEEDBACK_DEP</t>
  </si>
  <si>
    <t>11001</t>
  </si>
  <si>
    <t>Which power dynamic most naturally activates desire for you?</t>
  </si>
  <si>
    <t>11002</t>
  </si>
  <si>
    <t>I enjoy clear structure, protocol, or rules in sexual dynamics.</t>
  </si>
  <si>
    <t>DIM_PROTOCOL</t>
  </si>
  <si>
    <t>11003</t>
  </si>
  <si>
    <t>In sex, my attention naturally goes more toward my partner’s experience than toward my own.</t>
  </si>
  <si>
    <t>DIM_PARTNER_FOCUS</t>
  </si>
  <si>
    <t>11004</t>
  </si>
  <si>
    <t>I feel most connected sexually when I’m soothing or stabilizing my partner’s emotions.</t>
  </si>
  <si>
    <t>DIM_SOOTHING</t>
  </si>
  <si>
    <t>14020</t>
  </si>
  <si>
    <t>What most reliably motivates you to want sex?</t>
  </si>
  <si>
    <t>14021</t>
  </si>
  <si>
    <t>I seek intense sex to escape numbness, stress or to feel something.</t>
  </si>
  <si>
    <t>OVL_ESCAPE</t>
  </si>
  <si>
    <t>15001</t>
  </si>
  <si>
    <t>Which country do you live in?</t>
  </si>
  <si>
    <t>OVL_COUNTRY</t>
  </si>
  <si>
    <t>15002</t>
  </si>
  <si>
    <t>Which ZIP / postal code do you live in?</t>
  </si>
  <si>
    <t>OVL_POSTAL_CODE</t>
  </si>
  <si>
    <t>15003</t>
  </si>
  <si>
    <t>Which age range are you in?</t>
  </si>
  <si>
    <t>OVL_AGE_BAND</t>
  </si>
  <si>
    <t>15004</t>
  </si>
  <si>
    <t>What relationship structure are you currently in?</t>
  </si>
  <si>
    <t>OVL_REL_STRUCTURE</t>
  </si>
  <si>
    <t>15005</t>
  </si>
  <si>
    <t>Do you have children?</t>
  </si>
  <si>
    <t>OVL_PARENTING_LOAD</t>
  </si>
  <si>
    <t>15006</t>
  </si>
  <si>
    <t>How high is your overall stress level most of the time?</t>
  </si>
  <si>
    <t>OVL_STRESS</t>
  </si>
  <si>
    <t>15007</t>
  </si>
  <si>
    <t>How rested do you usually feel when you wake up?</t>
  </si>
  <si>
    <t>OVL_RESTEDNESS</t>
  </si>
  <si>
    <t>15008</t>
  </si>
  <si>
    <t>Do you live with any long-term physical or mental health conditions that affect your energy, mood or everyday functioning?</t>
  </si>
  <si>
    <t>OVL_HEALTH_LOAD</t>
  </si>
  <si>
    <t>15009</t>
  </si>
  <si>
    <t>Are you currently taking any medication or hormones that you feel might influence your energy, mood or sexual drive (for example antidepressants, hormonal contraception, testosterone, etc.)?</t>
  </si>
  <si>
    <t>OVL_MEDS_IMPACT</t>
  </si>
  <si>
    <t>15010</t>
  </si>
  <si>
    <t>What is your gender identity?</t>
  </si>
  <si>
    <t>OVL_GENDER_ID</t>
  </si>
  <si>
    <t>15011</t>
  </si>
  <si>
    <t>What is your sexual orientation?</t>
  </si>
  <si>
    <t>OVL_ORIENTATION</t>
  </si>
  <si>
    <t>16001</t>
  </si>
  <si>
    <t>Which changes would meaningfully improve your sex life over the next 3 months?</t>
  </si>
  <si>
    <t>OVL_FOCUS_PRIMARY</t>
  </si>
  <si>
    <t>16002</t>
  </si>
  <si>
    <t>Working on my sexuality is a priority for me right now.</t>
  </si>
  <si>
    <t>OVL_URGENCY</t>
  </si>
  <si>
    <t>16003</t>
  </si>
  <si>
    <t>Meaningful change in my sexuality feels possible for me in the next 3–6 months.</t>
  </si>
  <si>
    <t>OVL_CHANGE_EFFICACY</t>
  </si>
  <si>
    <t>16004</t>
  </si>
  <si>
    <t>If you had a clear plan that felt like a good fit, when would you realistically start?</t>
  </si>
  <si>
    <t>OVL_START_HORIZON</t>
  </si>
  <si>
    <t>16005</t>
  </si>
  <si>
    <t>When you reflect on your current sexuality and pleasure, which description feels most true for you?</t>
  </si>
  <si>
    <t>Overlay + Cat. boosts (light)</t>
  </si>
  <si>
    <t>OVL_PHASE_NOW</t>
  </si>
  <si>
    <t>16006</t>
  </si>
  <si>
    <t>Where would you like your sexuality to be in 3–6 months?</t>
  </si>
  <si>
    <t>OVL_PHASE_TARGET</t>
  </si>
  <si>
    <t>16007</t>
  </si>
  <si>
    <t>When you want to improve something important in your life (health, relationships, confidence), what do you usually do first?</t>
  </si>
  <si>
    <t>OVL_HELP_STYLE</t>
  </si>
  <si>
    <t>16008</t>
  </si>
  <si>
    <t>What kind of support would feel most helpful for your top focus?</t>
  </si>
  <si>
    <t>OVL_SUPPORT_PREFS</t>
  </si>
  <si>
    <t>16011</t>
  </si>
  <si>
    <t>Which support formats are already part of your life?</t>
  </si>
  <si>
    <t>Business-routing only</t>
  </si>
  <si>
    <t>16012</t>
  </si>
  <si>
    <t>About how much do you typically invest per year in personal growth (books, courses, therapy/coaching, apps)?</t>
  </si>
  <si>
    <t>16013</t>
  </si>
  <si>
    <t>Understanding my sexuality is important to me.</t>
  </si>
  <si>
    <t>OVL_TOPIC_IMPORTANCE</t>
  </si>
  <si>
    <t>16014</t>
  </si>
  <si>
    <t>What most gets in the way of improving your sexuality?</t>
  </si>
  <si>
    <t>OVL_BARRIER_TAGS</t>
  </si>
  <si>
    <t>Sheets:
1) model_params
 - temperature, V4 score recipe, and runtime feature flags
 - controls optional archetype intercepts ("middle-prototype bias" correction),
 categorical boost centering, overlay-driven weight modifiers, and the
 final V5 output contract including deterministic seeded spacing
2) dimensions
 - continuous typing dimensions (0..1) with default weights
 - DIM_* only (used for archetype scoring)
 - each dimension is sourced from a scalar question mapping or transform
3) overlays
 - contextual / state signals used for recommendation, pacing, and optional state-aware adjustments
 - OVL_* only
 - default_weight=0 (excluded from archetype typing unless explicitly used by runtime logic)
4) archetype_prototypes
 - long-form prototypes: archetype_name x dimension_id =&gt; prototype_value (0..1)
 - references DIM_* only
5) archetype_bias
 - optional per-archetype intercepts to reduce "middle-prototype bias"
 - columns: archetype_name, bias_add_to_raw_score
 - enabled via model_params.archetype_bias_enabled and model_params.archetype_bias_scale
6) categorical_boost_rules
 - sparse rules that adjust archetype raw score for specific categorical answers
 - answer_code is the stable cross-implementation key
 - boosts should be used for answer-specific archetype signals that are not clean scalar dimensions
 - if categorical_boost_centering_enabled is TRUE, boosts are centered per
 (question_id, answer_code) across all archetypes, with missing values treated as 0
7) weight_modifiers
 - optional overlay-driven multipliers applied to DIM_* weights
 - used to reduce trait over-inference from temporary state factors (for example stress, pain, fatigue)
 - enabled via model_params.weight_modifiers_enabled
 - columns: overlay_id, operator, threshold, dimension_id, multiplier
8) gates
 - archetype guardrails that apply a raw-score adjustment when required signature evidence is absent
 - typically used to prevent false positives on archetypes with strong defining dimensions
 - recommended columns: archetype_name, dimension_id, operator, value, score_adjustment_if_fail
 - current intended use: DIM_* thresholds such as dimension &gt;= value
9) categorical_map
 - numeric mapping for categorical / likert answers -&gt; scalar values (0..1)
 - used by categorical_to_numeric, likert5_to_0_1, and likert4_to_0_1 transforms
 - includes scalar overlays derived from categorical answers
 - should only contain mappings for truly scalar interpretations
 - categorical-only style questions should stay in categorical_boost_rules, not be forced into scalar dimensions
10) enum_map
 - canonical enums (answer_code + label) for categorical_to_onehot and validation
 - no numeric_value column (enums are labels / categories, not scalar scores)
11) independent_params
 - defines the final V5 scoring contract
 - V5 starts with a raw independent archetype match % based on baseline-calibrated
 min / mean / max anchors
 - then applies deterministic seeded rank spacing (3.0..4.0 gap band) so
 lower-ranked archetypes are visually cleaner without changing the top score
 - V5 keeps softmax off, archetype_bias off, and categorical boost centering off
12) prototype_helpers
 - formula-backed helper sheet derived from archetype_prototypes + dimensions
 - exposes min / mean / max similarity coefficients and default-weight reference components
 - engineering should reuse the same coefficients with runtime-adjusted weights
13) archetype_calibration
 - default-weight QA anchors for each archetype before the final spacing pass
 - reference only when no weight modifiers are active; otherwise recompute anchors at runtime
 - includes V4 bias reference so the separation between V4 and final V5 logic is explicit
14) question_logic
 - per-question migration rules for the V6 questionnaire
 - identifies which former single-select questions became multiselect and how to aggregate them
 - identifies which former categorical questions were scalarized into continuous dimensions
V6 migration summary:
 - Q03003, Q10002, and Q14020 are now multiselect scoring questions and should use per-question MAX across selected answer-code boosts.
 - Q08004 now feeds DIM_CLOSENESS_ORIENTATION instead of categorical boosts.
 - Q11003 now feeds DIM_PARTNER_FOCUS instead of categorical boosts.
 - Archetype ordering/naming remains aligned to Archetypes - Archetypes V2.csv.
 - Public-facing wording remains aligned to the V6 survey CSV and report template.</t>
  </si>
  <si>
    <t>key</t>
  </si>
  <si>
    <t>value</t>
  </si>
  <si>
    <t>notes</t>
  </si>
  <si>
    <t>model_name</t>
  </si>
  <si>
    <t>prototype_similarity_plus_categorical_boosts</t>
  </si>
  <si>
    <t>Compute continuous-dimension similarity to archetype prototypes, add categorical boosts, apply gates. V4 still softmaxes to %; V5 now returns a final spaced match score.</t>
  </si>
  <si>
    <t>score_function</t>
  </si>
  <si>
    <t>sum_d w_d*(1-abs(u_d-p_ad)) + sum_q(categorical_boost_q) + sum(score_adjustment_if_fail for failed gates)</t>
  </si>
  <si>
    <t>For single-select categorical questions, categorical_boost_q is the matched answer boost. For V6 multiselect scoring questions, categorical_boost_q is the per-archetype MAX across selected answer-code boosts for that question. This preserves the original single-question signal envelope while allowing multiple selections.</t>
  </si>
  <si>
    <t>softmax_temperature</t>
  </si>
  <si>
    <t>Higher = more blended; lower = peakier. Typical 1.3–1.7.</t>
  </si>
  <si>
    <t>softmax_floor</t>
  </si>
  <si>
    <t>Optional: add a floor probability before renormalizing (set 0.0 to disable).</t>
  </si>
  <si>
    <t>archetype_bias_enabled</t>
  </si>
  <si>
    <t>Add per-archetype intercept to reduce middle-prototype advantage on the V4 path only.</t>
  </si>
  <si>
    <t>archetype_bias_table</t>
  </si>
  <si>
    <t>archetype_bias.csv</t>
  </si>
  <si>
    <t>CSV with columns archetype_name, bias_add_to_raw_score</t>
  </si>
  <si>
    <t>archetype_bias_scale</t>
  </si>
  <si>
    <t>Multiplier applied to bias_add_to_raw_score (tune 0.0–1.2 typically).</t>
  </si>
  <si>
    <t>archetype_bias_apply_stage</t>
  </si>
  <si>
    <t>pre_softmax</t>
  </si>
  <si>
    <t>Add bias after similarity+boosts+gates before softmax.</t>
  </si>
  <si>
    <t>archetype_bias_reference</t>
  </si>
  <si>
    <t>uniform_u01</t>
  </si>
  <si>
    <t>Bias computed assuming dimension values ~ Uniform(0, 1).</t>
  </si>
  <si>
    <t>categorical_boost_centering_enabled</t>
  </si>
  <si>
    <t>V4 only: center categorical boosts per (question_id,answer_code) across archetypes; missing boosts treated as 0.</t>
  </si>
  <si>
    <t>categorical_boost_centering_missing_default</t>
  </si>
  <si>
    <t>V4 only: when an archetype has no explicit boost rule for an answer, treat it as 0 during centering.</t>
  </si>
  <si>
    <t>categorical_boost_centering_method</t>
  </si>
  <si>
    <t>mean_subtract</t>
  </si>
  <si>
    <t>V4 only: score_add := score_add - mean(score_add) within each (question_id,answer_code).</t>
  </si>
  <si>
    <t>categorical_boost_centering_apply_stage</t>
  </si>
  <si>
    <t>V4 only: apply centering to raw Score[a] before softmax.</t>
  </si>
  <si>
    <t>weight_modifiers_enabled</t>
  </si>
  <si>
    <t>Apply overlay-driven multipliers to DIM_* weights before scoring.</t>
  </si>
  <si>
    <t>weight_modifiers_table</t>
  </si>
  <si>
    <t>weight_modifiers.csv</t>
  </si>
  <si>
    <t>CSV filename containing overlay -&gt; dimension multipliers.</t>
  </si>
  <si>
    <t>weight_modifiers_apply_mode</t>
  </si>
  <si>
    <t>multiplicative</t>
  </si>
  <si>
    <t>w_d := w_d * multiplier for each matching rule.</t>
  </si>
  <si>
    <t>weight_modifiers_clamp_min</t>
  </si>
  <si>
    <t>Clamp final w_d to avoid collapsing a dimension.</t>
  </si>
  <si>
    <t>weight_modifiers_clamp_max</t>
  </si>
  <si>
    <t>Clamp final w_d to avoid runaway weights.</t>
  </si>
  <si>
    <t>runtime_output_modes_supported</t>
  </si>
  <si>
    <t>v4_probability_pct;v5_final_match_pct</t>
  </si>
  <si>
    <t>V4 distribution remains; V5 now returns a final spaced match score that does not sum to 100.</t>
  </si>
  <si>
    <t>v5_final_match_enabled</t>
  </si>
  <si>
    <t>Return final V5 archetype match scores; start from independent raw mapping and then apply deterministic seeded spacing.</t>
  </si>
  <si>
    <t>v5_final_output_name</t>
  </si>
  <si>
    <t>v5_final_match_pct</t>
  </si>
  <si>
    <t>Public response key for the final V5 output.</t>
  </si>
  <si>
    <t>v5_final_internal_raw_name</t>
  </si>
  <si>
    <t>v5_independent_match_pct_raw_optional</t>
  </si>
  <si>
    <t>Optional internal/debug key only; not required in product responses.</t>
  </si>
  <si>
    <t>v5_final_params_sheet</t>
  </si>
  <si>
    <t>independent_params</t>
  </si>
  <si>
    <t>See sheet for the exact V5 raw mapping and seeded spacing rules.</t>
  </si>
  <si>
    <t>v5_final_reference_sheet</t>
  </si>
  <si>
    <t>archetype_calibration</t>
  </si>
  <si>
    <t>Pre-spacing default-weight QA anchors; recompute anchors with adjusted weights at runtime if modifiers fire.</t>
  </si>
  <si>
    <t>v5_final_uses_softmax</t>
  </si>
  <si>
    <t>Softmax stays V4-only. V5 does not renormalize scores across archetypes.</t>
  </si>
  <si>
    <t>v5_final_uses_archetype_bias</t>
  </si>
  <si>
    <t>Archetype bias stays V4-only. V5 uses anchor calibration plus deterministic spacing instead.</t>
  </si>
  <si>
    <t>v5_final_uses_categorical_boost_centering</t>
  </si>
  <si>
    <t>V5 uses explicit authored boost values only; missing rules stay 0.</t>
  </si>
  <si>
    <t>v5_final_gate_apply_stage</t>
  </si>
  <si>
    <t>pre_mapping</t>
  </si>
  <si>
    <t>Add gate score adjustments to raw_total before mapping to the raw V5 percentage.</t>
  </si>
  <si>
    <t>v5_final_weight_basis</t>
  </si>
  <si>
    <t>runtime_adjusted_weights</t>
  </si>
  <si>
    <t>Use the same final adjusted weights as V4 after overlay-driven modifiers and clamps.</t>
  </si>
  <si>
    <t>v5_final_spacing_enabled</t>
  </si>
  <si>
    <t>Spacing is part of the canonical V5 final score, not a separate UI-only layer.</t>
  </si>
  <si>
    <t>v5_final_spacing_rank_order</t>
  </si>
  <si>
    <t>raw_pct_desc;raw_total_desc;archetype_id_asc</t>
  </si>
  <si>
    <t>Rank archetypes using raw V5 percentage desc, then raw_total desc, then archetype_id asc.</t>
  </si>
  <si>
    <t>v5_final_spacing_top_rule</t>
  </si>
  <si>
    <t>keep_rank1_raw_pct</t>
  </si>
  <si>
    <t>Do not adjust the top-ranked archetype.</t>
  </si>
  <si>
    <t>v5_final_spacing_gap_min</t>
  </si>
  <si>
    <t>Minimum deterministic gap below the previous final score.</t>
  </si>
  <si>
    <t>v5_final_spacing_gap_max</t>
  </si>
  <si>
    <t>Maximum deterministic gap below the previous final score.</t>
  </si>
  <si>
    <t>v5_final_spacing_hash</t>
  </si>
  <si>
    <t>sha256_hex_first12_to_unit_interval</t>
  </si>
  <si>
    <t>Convert the first 12 SHA-256 hex characters to a deterministic unit-interval number.</t>
  </si>
  <si>
    <t>v5_final_spacing_seed</t>
  </si>
  <si>
    <t>canonical_payload_fingerprint|prev_archetype_id|curr_archetype_id|v5_gap_v1</t>
  </si>
  <si>
    <t>Seed string used to derive the per-rank gap.</t>
  </si>
  <si>
    <t>v5_final_round_stage</t>
  </si>
  <si>
    <t>round_after_spacing_only</t>
  </si>
  <si>
    <t>Do not pre-round the raw V5 percentage; round only the final emitted score.</t>
  </si>
  <si>
    <t>v5_final_round_digits</t>
  </si>
  <si>
    <t>Recommended API/display rounding for final V5 percentages.</t>
  </si>
  <si>
    <t>config_version</t>
  </si>
  <si>
    <t>v6_questionnaire_on_v5_architecture</t>
  </si>
  <si>
    <t>V6 questionnaire text + answer-set migration applied on top of the existing V5 scoring architecture.</t>
  </si>
  <si>
    <t>questionnaire_version</t>
  </si>
  <si>
    <t>v6</t>
  </si>
  <si>
    <t>Questionnaire version represented by this workbook.</t>
  </si>
  <si>
    <t>questionnaire_source</t>
  </si>
  <si>
    <t>Survey (newest) - NEW_Identify_Your_Sexual_Archetype.csv</t>
  </si>
  <si>
    <t>Use the new survey CSV as source of truth for question wording, formats, and answer labels.</t>
  </si>
  <si>
    <t>archetype_source</t>
  </si>
  <si>
    <t>Archetypes - Archetypes V2.csv</t>
  </si>
  <si>
    <t>Use this CSV as source of truth for archetype IDs, names, order, and semantic alignment.</t>
  </si>
  <si>
    <t>report_template_source</t>
  </si>
  <si>
    <t>[WIP - MAIN] Report Template - General.docx</t>
  </si>
  <si>
    <t>Use the report template as source of truth for public-facing language and report sections.</t>
  </si>
  <si>
    <t>question_logic_sheet</t>
  </si>
  <si>
    <t>question_logic</t>
  </si>
  <si>
    <t>Per-question V6 migration rules including multiselect aggregation and scalarized replacements.</t>
  </si>
  <si>
    <t>categorical_multiselect_scoring</t>
  </si>
  <si>
    <t>per_question_max_selected_answer_boost</t>
  </si>
  <si>
    <t>Configured multiselect scoring questions should contribute the strongest selected categorical signal per archetype, not a sum across selections.</t>
  </si>
  <si>
    <t>v5_final_categorical_intercept_enabled</t>
  </si>
  <si>
    <t>Enables the V5 archetype-level categorical intercept correction. When TRUE, the scorer subtracts each archetype’s configured intercept from the V5 raw total to reduce built-in baseline lift from authored categorical boosts.</t>
  </si>
  <si>
    <t>v5_final_categorical_intercept_reference_sheet</t>
  </si>
  <si>
    <t>Specifies the sheet that stores the archetype-specific V5 categorical intercept inputs and derived subtraction values. The scorer should read intercept parameters from archetype_calibration by archetype.</t>
  </si>
  <si>
    <t>v5_final_categorical_intercept_apply_stage</t>
  </si>
  <si>
    <t>Specifies when the V5 categorical intercept is applied in the scoring flow. pre_mapping means the intercept is subtracted from the raw total before converting raw scores to the 0–100 pre-spacing fit scale.</t>
  </si>
  <si>
    <t>logic_name</t>
  </si>
  <si>
    <t>baseline_calibrated_independent_match_pct_then_seeded_rank_spacing_v6_questionnaire</t>
  </si>
  <si>
    <t>V5 computes an anchor-calibrated raw independent match % and then applies deterministic 3.0–4.0 rank spacing for the final score.</t>
  </si>
  <si>
    <t>output_name</t>
  </si>
  <si>
    <t>Public V5 score returned alongside the existing V4 probability percentage.</t>
  </si>
  <si>
    <t>raw_internal_name</t>
  </si>
  <si>
    <t>Optional debug/internal only: pre-spacing raw V5 percentage before the seeded rank-spacing pass.</t>
  </si>
  <si>
    <t>v4_coexistence</t>
  </si>
  <si>
    <t>keep_v4_distribution_output</t>
  </si>
  <si>
    <t>Do not remove or rewrite the V4 probability logic.</t>
  </si>
  <si>
    <t>continuous_similarity_formula</t>
  </si>
  <si>
    <t>sim_d = 1 - ABS(u_d - p_ad)</t>
  </si>
  <si>
    <t>Same trait-by-trait similarity primitive as V4.</t>
  </si>
  <si>
    <t>continuous_raw_formula</t>
  </si>
  <si>
    <t>raw_cont_a = SUM_d(adj_w_d * sim_d)</t>
  </si>
  <si>
    <t>Use the same adjusted weights that V4 uses after weight modifiers.</t>
  </si>
  <si>
    <t>categorical_boosts</t>
  </si>
  <si>
    <t>include_authored_rule_values_with_per_question_multiselect_max</t>
  </si>
  <si>
    <t>Include explicit authored rule values. For V6 multiselect scoring questions, aggregate by taking the per-archetype MAX across selected answer-code boosts within that question.</t>
  </si>
  <si>
    <t>categorical_boost_centering</t>
  </si>
  <si>
    <t>Important V5 change: do not mean-center boosts across archetypes.</t>
  </si>
  <si>
    <t>gates</t>
  </si>
  <si>
    <t>include_pre_mapping</t>
  </si>
  <si>
    <t>Apply gate score adjustments to raw_total before raw percent mapping.</t>
  </si>
  <si>
    <t>archetype_bias</t>
  </si>
  <si>
    <t>Important V5 change: do not apply archetype_bias on the V5 path.</t>
  </si>
  <si>
    <t>softmax</t>
  </si>
  <si>
    <t>Important V5 change: no softmax and no sum-to-100 normalization on the V5 path.</t>
  </si>
  <si>
    <t>anchor_recompute_rule</t>
  </si>
  <si>
    <t>use_runtime_adjusted_weights</t>
  </si>
  <si>
    <t>Compute min/mean/max anchors with the final adjusted weights for that respondent.</t>
  </si>
  <si>
    <t>lower_anchor_formula</t>
  </si>
  <si>
    <t>raw_min_a = SUM_d(adj_w_d * MIN(p_ad, 1 - p_ad))</t>
  </si>
  <si>
    <t>Worst-case continuous fit for that archetype, given the same active weights.</t>
  </si>
  <si>
    <t>baseline_anchor_formula</t>
  </si>
  <si>
    <t>raw_mean_a = SUM_d(adj_w_d * (0.5 + p_ad - p_ad^2))</t>
  </si>
  <si>
    <t>Expected continuous fit for a neutral-uniform user; removes middle-prototype advantage.</t>
  </si>
  <si>
    <t>upper_anchor_formula</t>
  </si>
  <si>
    <t>raw_max_a = SUM_d(adj_w_d * 1)</t>
  </si>
  <si>
    <t>Perfect continuous fit for that archetype, given the same active weights.</t>
  </si>
  <si>
    <t>raw_total_formula</t>
  </si>
  <si>
    <t>raw_total_adjusted_a = raw_cont_a + SUM(categorical_boosts_a) + SUM(failed_gate_adjustments_a) - v5_cat_intercept_a</t>
  </si>
  <si>
    <t>Computes the final pre-mapping V5 raw score for an archetype. Starts with continuous trait fit, adds all categorical boosts and any failed gate adjustments, then subtracts the archetype’s V5 categorical intercept so archetypes with structurally higher authored boost opportunity do not receive excess baseline lift before normalization.</t>
  </si>
  <si>
    <t>categorical_intercept_formula</t>
  </si>
  <si>
    <t>v5_cat_intercept_a = v5_categorical_intercept_scale_a * expected_categorical_lift_after_question_scaling_a</t>
  </si>
  <si>
    <t>Defines the V5 archetype-level categorical intercept used to partially correct built-in bias from authored categorical rules. The intercept equals the chosen correction scale multiplied by that archetype’s expected categorical lift after the current question-level score_add scaling. With a scale of 0.5, the model removes half of the archetype’s expected baseline categorical advantage while preserving meaningful differentiation from actual answers.</t>
  </si>
  <si>
    <t>pre_spacing_mapping_formula</t>
  </si>
  <si>
    <t>IF(raw_total_adjusted_a &lt;= raw_mean_a, 50 * (raw_total_adjusted_a - raw_min_a) / (raw_mean_a - raw_min_a), 50 + 50 * (raw_total_adjusted_a - raw_mean_a) / (raw_max_a - raw_mean_a))</t>
  </si>
  <si>
    <t>Maps the intercept-adjusted raw total onto a 0–100 archetype fit scale before rank spacing. Scores at the archetype’s calibrated mean map to 50; values below the mean are scaled between raw_min and raw_mean, and values above the mean are scaled between raw_mean and raw_max. Using raw_total_adjusted here ensures categorical bias correction is applied before normalization rather than after percentages are produced.</t>
  </si>
  <si>
    <t>pre_spacing_clamp</t>
  </si>
  <si>
    <t>CLAMP(raw_pct_a, 0, 100)</t>
  </si>
  <si>
    <t>Clamp the raw V5 percentage into 0..100 before rank spacing.</t>
  </si>
  <si>
    <t>rank_order</t>
  </si>
  <si>
    <t>Sort archetypes by raw V5 percentage desc, then raw_total desc, then archetype_id asc from the source-of-truth CSV.</t>
  </si>
  <si>
    <t>top_rank_rule</t>
  </si>
  <si>
    <t>The top-ranked archetype keeps its raw V5 percentage unchanged.</t>
  </si>
  <si>
    <t>gap_seed_canonicalization</t>
  </si>
  <si>
    <t>Build the seed exactly from these four parts, using pipe separators and the literal version tag v5_gap_v1.</t>
  </si>
  <si>
    <t>canonical_payload_fingerprint</t>
  </si>
  <si>
    <t>sort(question_id ASC) of QID=normalized_answer_repr joined with |</t>
  </si>
  <si>
    <t>Single-select categorical -&gt; answer_code; multi-select -&gt; sorted answer_codes joined with +; scalar 1..7 answers -&gt; integer string; missing answers omitted.</t>
  </si>
  <si>
    <t>gap_hash_algorithm</t>
  </si>
  <si>
    <t>hash01 = int(first12hex(SHA256(seed_i)),16) / (16^12 - 1)</t>
  </si>
  <si>
    <t>Deterministic pseudo-random unit interval used to make spacing look natural while remaining reproducible.</t>
  </si>
  <si>
    <t>gap_formula</t>
  </si>
  <si>
    <t>gap_i = 3.0 + hash01_i * 1.0</t>
  </si>
  <si>
    <t>Each lower rank must land 3.0 to 4.0 below the previous final score.</t>
  </si>
  <si>
    <t>spacing_formula</t>
  </si>
  <si>
    <t>final_pct_i = MAX(0, MIN(raw_pct_i, final_pct_{i-1} - gap_i)) for rank i &gt;= 2</t>
  </si>
  <si>
    <t>Never raise a score; only lower lower-ranked archetypes when needed to satisfy spacing.</t>
  </si>
  <si>
    <t>final_clamp</t>
  </si>
  <si>
    <t>CLAMP(final_pct_a, 0, 100)</t>
  </si>
  <si>
    <t>Lower-bound guard after spacing; upper bound is already enforced by raw_pct clamping and the top-rank rule.</t>
  </si>
  <si>
    <t>pre_spacing_rounding</t>
  </si>
  <si>
    <t>none</t>
  </si>
  <si>
    <t>Do not round raw_pct before spacing; use full precision through hashing and spacing.</t>
  </si>
  <si>
    <t>round_stage</t>
  </si>
  <si>
    <t>Round only the final emitted V5 score.</t>
  </si>
  <si>
    <t>round_digits</t>
  </si>
  <si>
    <t>missing_dimension_fallback</t>
  </si>
  <si>
    <t>neutral_0_5_if_missing</t>
  </si>
  <si>
    <t>Survey is mostly required, but if a scalar answer is missing use 0.5 as a neutral fallback.</t>
  </si>
  <si>
    <t>source_of_truth</t>
  </si>
  <si>
    <t>Archetype IDs, names, and ordering stay aligned with Archetypes - Archetypes V2.csv; question wording and formats stay aligned with the V6 survey CSV.</t>
  </si>
  <si>
    <t>Use this as source of truth for V6 wording, answer formats, and answer labels.</t>
  </si>
  <si>
    <t>multiselect_scoring_policy</t>
  </si>
  <si>
    <t>Applied to Q03003, Q10002, and Q14020.</t>
  </si>
  <si>
    <t>scalarized_question_08004</t>
  </si>
  <si>
    <t>Replaces the old categorical crave/balance/distance boost logic with a continuous dimension.</t>
  </si>
  <si>
    <t>scalarized_question_11003</t>
  </si>
  <si>
    <t>Replaces the old categorical partner/balanced/self/depends boost logic with a continuous dimension.</t>
  </si>
  <si>
    <t>dimension_id</t>
  </si>
  <si>
    <t>dimension_name</t>
  </si>
  <si>
    <t>source_question_id</t>
  </si>
  <si>
    <t>transform</t>
  </si>
  <si>
    <t>default_weight</t>
  </si>
  <si>
    <t>Crave novelty / variety</t>
  </si>
  <si>
    <t>scale_1_7_to_0_1</t>
  </si>
  <si>
    <t>1.4</t>
  </si>
  <si>
    <t>Responsive desire tendency</t>
  </si>
  <si>
    <t>1.6</t>
  </si>
  <si>
    <t>Planned time preference</t>
  </si>
  <si>
    <t>1.3</t>
  </si>
  <si>
    <t>Emotional connection essential</t>
  </si>
  <si>
    <t>Prefers intense vs calm</t>
  </si>
  <si>
    <t>Pursuit / hard-to-get turns me on</t>
  </si>
  <si>
    <t>Needs edge/taboo/intensity</t>
  </si>
  <si>
    <t>1.8</t>
  </si>
  <si>
    <t>Sex as sacred/meaningful/ritual</t>
  </si>
  <si>
    <t>2.0</t>
  </si>
  <si>
    <t>Risk orientation in erotic contexts</t>
  </si>
  <si>
    <t>categorical_to_numeric</t>
  </si>
  <si>
    <t>Arousal drops if partner is quiet/neutral</t>
  </si>
  <si>
    <t>Comfort expressing turn-ons</t>
  </si>
  <si>
    <t>Comfort expressing what I don't want</t>
  </si>
  <si>
    <t>Enjoy structure/protocol/rules</t>
  </si>
  <si>
    <t>Connected when soothing/stabilizing partner</t>
  </si>
  <si>
    <t>1.9</t>
  </si>
  <si>
    <t>Generally feel secure in relationships</t>
  </si>
  <si>
    <t>1</t>
  </si>
  <si>
    <t>After repair talk, feel more desire</t>
  </si>
  <si>
    <t>Pressure makes me shut down/withdraw</t>
  </si>
  <si>
    <t>Lose interest when partner emotionally dependent</t>
  </si>
  <si>
    <t>Use flirtation/sex to influence dynamic</t>
  </si>
  <si>
    <t>1.2</t>
  </si>
  <si>
    <t>Wants more closeness/togetherness than independence</t>
  </si>
  <si>
    <t>Attention goes more to partner's experience</t>
  </si>
  <si>
    <t>archetype_id</t>
  </si>
  <si>
    <t>archetype_name</t>
  </si>
  <si>
    <t>prototype_value</t>
  </si>
  <si>
    <t>Sensual Connector</t>
  </si>
  <si>
    <t>2</t>
  </si>
  <si>
    <t>Spark Seeker</t>
  </si>
  <si>
    <t>3</t>
  </si>
  <si>
    <t>Relational Nurturer</t>
  </si>
  <si>
    <t>4</t>
  </si>
  <si>
    <t>Exhibitionist Performer</t>
  </si>
  <si>
    <t>5</t>
  </si>
  <si>
    <t>Explorer of Edges</t>
  </si>
  <si>
    <t>6</t>
  </si>
  <si>
    <t>Curious Apprentice</t>
  </si>
  <si>
    <t>7</t>
  </si>
  <si>
    <t>Spiritual Lover</t>
  </si>
  <si>
    <t>8</t>
  </si>
  <si>
    <t>Minimalist Companion</t>
  </si>
  <si>
    <t>9</t>
  </si>
  <si>
    <t>Emotional Voyeur</t>
  </si>
  <si>
    <t>10</t>
  </si>
  <si>
    <t>Power Orchestrator</t>
  </si>
  <si>
    <t>11</t>
  </si>
  <si>
    <t>Loyal Ritualist</t>
  </si>
  <si>
    <t>12</t>
  </si>
  <si>
    <t>Approval Seeker</t>
  </si>
  <si>
    <t>13</t>
  </si>
  <si>
    <t>Analytical Sexualist</t>
  </si>
  <si>
    <t>14</t>
  </si>
  <si>
    <t>Quiet Withdrawer</t>
  </si>
  <si>
    <t>min_coeff</t>
  </si>
  <si>
    <t>mean_uniform_coeff</t>
  </si>
  <si>
    <t>max_coeff</t>
  </si>
  <si>
    <t>default_w</t>
  </si>
  <si>
    <t>ref_min_component</t>
  </si>
  <si>
    <t>ref_mean_component</t>
  </si>
  <si>
    <t>ref_max_component</t>
  </si>
  <si>
    <t>ref_raw_min_default_w</t>
  </si>
  <si>
    <t>ref_raw_mean_default_w</t>
  </si>
  <si>
    <t>ref_raw_max_default_w</t>
  </si>
  <si>
    <t>ref_span_min_to_mean</t>
  </si>
  <si>
    <t>ref_span_mean_to_max</t>
  </si>
  <si>
    <t>v4_bias_ref</t>
  </si>
  <si>
    <t>v5_uses_bias</t>
  </si>
  <si>
    <t>expected_categorical_lift_after_question_scaling</t>
  </si>
  <si>
    <t>v5_categorical_intercept_scale</t>
  </si>
  <si>
    <t>v5_categorical_intercept_subtract (J*K)</t>
  </si>
  <si>
    <t>bias_add_to_raw_score</t>
  </si>
  <si>
    <t>rule_id</t>
  </si>
  <si>
    <t>question_id</t>
  </si>
  <si>
    <t>answer_code</t>
  </si>
  <si>
    <t>answer_label</t>
  </si>
  <si>
    <t>score_add</t>
  </si>
  <si>
    <t>complicated</t>
  </si>
  <si>
    <t>Feels complicated or inconsistent</t>
  </si>
  <si>
    <t>deprioritized</t>
  </si>
  <si>
    <t>Present but often deprioritized</t>
  </si>
  <si>
    <t>engaged</t>
  </si>
  <si>
    <t>Satisfied &amp; actively engaged</t>
  </si>
  <si>
    <t>figuring_out</t>
  </si>
  <si>
    <t>Unsure / still figuring it out</t>
  </si>
  <si>
    <t>15</t>
  </si>
  <si>
    <t>16</t>
  </si>
  <si>
    <t>17</t>
  </si>
  <si>
    <t>frustrated</t>
  </si>
  <si>
    <t>Frustrated or unfulfilled</t>
  </si>
  <si>
    <t>18</t>
  </si>
  <si>
    <t>19</t>
  </si>
  <si>
    <t>20</t>
  </si>
  <si>
    <t>not_focus</t>
  </si>
  <si>
    <t>Currently not a focus for me</t>
  </si>
  <si>
    <t>21</t>
  </si>
  <si>
    <t>22</t>
  </si>
  <si>
    <t>wanting_more</t>
  </si>
  <si>
    <t>Want more than I currently have</t>
  </si>
  <si>
    <t>23</t>
  </si>
  <si>
    <t>24</t>
  </si>
  <si>
    <t>25</t>
  </si>
  <si>
    <t>low_lately</t>
  </si>
  <si>
    <t>Desire has been low lately</t>
  </si>
  <si>
    <t>26</t>
  </si>
  <si>
    <t>27</t>
  </si>
  <si>
    <t>28</t>
  </si>
  <si>
    <t>29</t>
  </si>
  <si>
    <t>planned</t>
  </si>
  <si>
    <t>I need a planned ‘window’ to get into it</t>
  </si>
  <si>
    <t>30</t>
  </si>
  <si>
    <t>31</t>
  </si>
  <si>
    <t>32</t>
  </si>
  <si>
    <t>33</t>
  </si>
  <si>
    <t>34</t>
  </si>
  <si>
    <t>responsive</t>
  </si>
  <si>
    <t>I usually warm up after affectionate/erotic cues (responsive)</t>
  </si>
  <si>
    <t>35</t>
  </si>
  <si>
    <t>36</t>
  </si>
  <si>
    <t>37</t>
  </si>
  <si>
    <t>38</t>
  </si>
  <si>
    <t>39</t>
  </si>
  <si>
    <t>spontaneous</t>
  </si>
  <si>
    <t>I often feel desire spontaneously (it starts inside me)</t>
  </si>
  <si>
    <t>40</t>
  </si>
  <si>
    <t>41</t>
  </si>
  <si>
    <t>42</t>
  </si>
  <si>
    <t>43</t>
  </si>
  <si>
    <t>varies</t>
  </si>
  <si>
    <t>It varies a lot by partner/context</t>
  </si>
  <si>
    <t>44</t>
  </si>
  <si>
    <t>45</t>
  </si>
  <si>
    <t>46</t>
  </si>
  <si>
    <t>i_start</t>
  </si>
  <si>
    <t>I initiate</t>
  </si>
  <si>
    <t>47</t>
  </si>
  <si>
    <t>48</t>
  </si>
  <si>
    <t>49</t>
  </si>
  <si>
    <t>50</t>
  </si>
  <si>
    <t>partner_starts</t>
  </si>
  <si>
    <t>My partner initiates</t>
  </si>
  <si>
    <t>51</t>
  </si>
  <si>
    <t>52</t>
  </si>
  <si>
    <t>53</t>
  </si>
  <si>
    <t>54</t>
  </si>
  <si>
    <t>55</t>
  </si>
  <si>
    <t>plan_window</t>
  </si>
  <si>
    <t>We make space for it intentionally</t>
  </si>
  <si>
    <t>56</t>
  </si>
  <si>
    <t>57</t>
  </si>
  <si>
    <t>58</t>
  </si>
  <si>
    <t>59</t>
  </si>
  <si>
    <t>playful</t>
  </si>
  <si>
    <t>It unfolds naturally and either of us may begin</t>
  </si>
  <si>
    <t>60</t>
  </si>
  <si>
    <t>61</t>
  </si>
  <si>
    <t>62</t>
  </si>
  <si>
    <t>adventurous</t>
  </si>
  <si>
    <t>Novel or adventurous</t>
  </si>
  <si>
    <t>63</t>
  </si>
  <si>
    <t>64</t>
  </si>
  <si>
    <t>65</t>
  </si>
  <si>
    <t>66</t>
  </si>
  <si>
    <t>edge_taboo</t>
  </si>
  <si>
    <t>Edge, taboo, or transgression</t>
  </si>
  <si>
    <t>67</t>
  </si>
  <si>
    <t>68</t>
  </si>
  <si>
    <t>69</t>
  </si>
  <si>
    <t>70</t>
  </si>
  <si>
    <t>71</t>
  </si>
  <si>
    <t>other</t>
  </si>
  <si>
    <t>Something else</t>
  </si>
  <si>
    <t>72</t>
  </si>
  <si>
    <t>private</t>
  </si>
  <si>
    <t>Private and protected</t>
  </si>
  <si>
    <t>73</t>
  </si>
  <si>
    <t>74</t>
  </si>
  <si>
    <t>75</t>
  </si>
  <si>
    <t>76</t>
  </si>
  <si>
    <t>77</t>
  </si>
  <si>
    <t>78</t>
  </si>
  <si>
    <t>79</t>
  </si>
  <si>
    <t>ritualized</t>
  </si>
  <si>
    <t>Deliberate or ritualized</t>
  </si>
  <si>
    <t>80</t>
  </si>
  <si>
    <t>81</t>
  </si>
  <si>
    <t>82</t>
  </si>
  <si>
    <t>83</t>
  </si>
  <si>
    <t>84</t>
  </si>
  <si>
    <t>85</t>
  </si>
  <si>
    <t>Spontaneous or unplanned</t>
  </si>
  <si>
    <t>86</t>
  </si>
  <si>
    <t>87</t>
  </si>
  <si>
    <t>88</t>
  </si>
  <si>
    <t>89</t>
  </si>
  <si>
    <t>90</t>
  </si>
  <si>
    <t>visible_semipublic</t>
  </si>
  <si>
    <t>Visible or semi-public</t>
  </si>
  <si>
    <t>91</t>
  </si>
  <si>
    <t>92</t>
  </si>
  <si>
    <t>93</t>
  </si>
  <si>
    <t>94</t>
  </si>
  <si>
    <t>95</t>
  </si>
  <si>
    <t>connection</t>
  </si>
  <si>
    <t>Connection-led (warmth, affection, closeness)</t>
  </si>
  <si>
    <t>96</t>
  </si>
  <si>
    <t>97</t>
  </si>
  <si>
    <t>98</t>
  </si>
  <si>
    <t>99</t>
  </si>
  <si>
    <t>fantasy</t>
  </si>
  <si>
    <t>Fantasy/imagination-led (role-play, mental imagery, erotica/audio/visual)</t>
  </si>
  <si>
    <t>100</t>
  </si>
  <si>
    <t>101</t>
  </si>
  <si>
    <t>102</t>
  </si>
  <si>
    <t>mastery</t>
  </si>
  <si>
    <t>Mastery/competence-led (technique, skill-building)</t>
  </si>
  <si>
    <t>103</t>
  </si>
  <si>
    <t>104</t>
  </si>
  <si>
    <t>105</t>
  </si>
  <si>
    <t>novelty</t>
  </si>
  <si>
    <t>Novelty/adventure-led (new ideas, toys, new settings)</t>
  </si>
  <si>
    <t>106</t>
  </si>
  <si>
    <t>107</t>
  </si>
  <si>
    <t>108</t>
  </si>
  <si>
    <t>109</t>
  </si>
  <si>
    <t>safety</t>
  </si>
  <si>
    <t>Safety/context-led (privacy, low stress, no interruptions)</t>
  </si>
  <si>
    <t>110</t>
  </si>
  <si>
    <t>111</t>
  </si>
  <si>
    <t>112</t>
  </si>
  <si>
    <t>113</t>
  </si>
  <si>
    <t>114</t>
  </si>
  <si>
    <t>sensation</t>
  </si>
  <si>
    <t>Sensation-led (touch/tempo/teasing)</t>
  </si>
  <si>
    <t>115</t>
  </si>
  <si>
    <t>116</t>
  </si>
  <si>
    <t>117</t>
  </si>
  <si>
    <t>Not sure / varies a lot</t>
  </si>
  <si>
    <t>118</t>
  </si>
  <si>
    <t>119</t>
  </si>
  <si>
    <t>guidance</t>
  </si>
  <si>
    <t>Structure and feedback</t>
  </si>
  <si>
    <t>120</t>
  </si>
  <si>
    <t>121</t>
  </si>
  <si>
    <t>122</t>
  </si>
  <si>
    <t>intuition</t>
  </si>
  <si>
    <t>Natural flow and spontaneity</t>
  </si>
  <si>
    <t>123</t>
  </si>
  <si>
    <t>124</t>
  </si>
  <si>
    <t>125</t>
  </si>
  <si>
    <t>126</t>
  </si>
  <si>
    <t>learning_by_doing</t>
  </si>
  <si>
    <t>Curiosity and experimentation</t>
  </si>
  <si>
    <t>127</t>
  </si>
  <si>
    <t>128</t>
  </si>
  <si>
    <t>129</t>
  </si>
  <si>
    <t>130</t>
  </si>
  <si>
    <t>131</t>
  </si>
  <si>
    <t>non_deliberate</t>
  </si>
  <si>
    <t>I prefer not to make it a deliberate process</t>
  </si>
  <si>
    <t>132</t>
  </si>
  <si>
    <t>133</t>
  </si>
  <si>
    <t>134</t>
  </si>
  <si>
    <t>135</t>
  </si>
  <si>
    <t>136</t>
  </si>
  <si>
    <t>adventurous_boundaries</t>
  </si>
  <si>
    <t>Adventurous, with clear boundaries</t>
  </si>
  <si>
    <t>137</t>
  </si>
  <si>
    <t>138</t>
  </si>
  <si>
    <t>139</t>
  </si>
  <si>
    <t>140</t>
  </si>
  <si>
    <t>141</t>
  </si>
  <si>
    <t>balanced</t>
  </si>
  <si>
    <t>Balanced</t>
  </si>
  <si>
    <t>142</t>
  </si>
  <si>
    <t>143</t>
  </si>
  <si>
    <t>144</t>
  </si>
  <si>
    <t>145</t>
  </si>
  <si>
    <t>Strong edge or taboo energy</t>
  </si>
  <si>
    <t>146</t>
  </si>
  <si>
    <t>147</t>
  </si>
  <si>
    <t>148</t>
  </si>
  <si>
    <t>149</t>
  </si>
  <si>
    <t>150</t>
  </si>
  <si>
    <t>safe_novelty</t>
  </si>
  <si>
    <t>Mostly safe, with a little novelty</t>
  </si>
  <si>
    <t>151</t>
  </si>
  <si>
    <t>152</t>
  </si>
  <si>
    <t>153</t>
  </si>
  <si>
    <t>154</t>
  </si>
  <si>
    <t>very_safe</t>
  </si>
  <si>
    <t>Very safe and predictable</t>
  </si>
  <si>
    <t>155</t>
  </si>
  <si>
    <t>156</t>
  </si>
  <si>
    <t>157</t>
  </si>
  <si>
    <t>158</t>
  </si>
  <si>
    <t>absorbed</t>
  </si>
  <si>
    <t>Neither—being absorbed in sensation/connection is hottest</t>
  </si>
  <si>
    <t>159</t>
  </si>
  <si>
    <t>160</t>
  </si>
  <si>
    <t>161</t>
  </si>
  <si>
    <t>162</t>
  </si>
  <si>
    <t>163</t>
  </si>
  <si>
    <t>164</t>
  </si>
  <si>
    <t>not_sure</t>
  </si>
  <si>
    <t>Not sure</t>
  </si>
  <si>
    <t>165</t>
  </si>
  <si>
    <t>166</t>
  </si>
  <si>
    <t>167</t>
  </si>
  <si>
    <t>watched</t>
  </si>
  <si>
    <t>Being watched/admired (mirror, performance vibe)</t>
  </si>
  <si>
    <t>168</t>
  </si>
  <si>
    <t>169</t>
  </si>
  <si>
    <t>170</t>
  </si>
  <si>
    <t>171</t>
  </si>
  <si>
    <t>watching</t>
  </si>
  <si>
    <t>Watching my partner / observing is hottest</t>
  </si>
  <si>
    <t>172</t>
  </si>
  <si>
    <t>173</t>
  </si>
  <si>
    <t>174</t>
  </si>
  <si>
    <t>angry</t>
  </si>
  <si>
    <t>Protest / get angry</t>
  </si>
  <si>
    <t>175</t>
  </si>
  <si>
    <t>176</t>
  </si>
  <si>
    <t>177</t>
  </si>
  <si>
    <t>calm</t>
  </si>
  <si>
    <t>Self-soothe and stay grounded</t>
  </si>
  <si>
    <t>178</t>
  </si>
  <si>
    <t>179</t>
  </si>
  <si>
    <t>180</t>
  </si>
  <si>
    <t>181</t>
  </si>
  <si>
    <t>182</t>
  </si>
  <si>
    <t>183</t>
  </si>
  <si>
    <t>184</t>
  </si>
  <si>
    <t>pursue</t>
  </si>
  <si>
    <t>Seek reassurance / pursue</t>
  </si>
  <si>
    <t>185</t>
  </si>
  <si>
    <t>186</t>
  </si>
  <si>
    <t>187</t>
  </si>
  <si>
    <t>Varies</t>
  </si>
  <si>
    <t>188</t>
  </si>
  <si>
    <t>withdraw</t>
  </si>
  <si>
    <t>Shut down / withdraw</t>
  </si>
  <si>
    <t>189</t>
  </si>
  <si>
    <t>190</t>
  </si>
  <si>
    <t>191</t>
  </si>
  <si>
    <t>192</t>
  </si>
  <si>
    <t>direct_phrases</t>
  </si>
  <si>
    <t>Brief direct words</t>
  </si>
  <si>
    <t>193</t>
  </si>
  <si>
    <t>194</t>
  </si>
  <si>
    <t>195</t>
  </si>
  <si>
    <t>expressive</t>
  </si>
  <si>
    <t>Ongoing verbal feedback</t>
  </si>
  <si>
    <t>196</t>
  </si>
  <si>
    <t>197</t>
  </si>
  <si>
    <t>198</t>
  </si>
  <si>
    <t>199</t>
  </si>
  <si>
    <t>nonverbal</t>
  </si>
  <si>
    <t>Mostly nonverbal cues</t>
  </si>
  <si>
    <t>200</t>
  </si>
  <si>
    <t>201</t>
  </si>
  <si>
    <t>202</t>
  </si>
  <si>
    <t>203</t>
  </si>
  <si>
    <t>reassurance</t>
  </si>
  <si>
    <t>Emotional check-ins</t>
  </si>
  <si>
    <t>204</t>
  </si>
  <si>
    <t>205</t>
  </si>
  <si>
    <t>206</t>
  </si>
  <si>
    <t>207</t>
  </si>
  <si>
    <t>touch_body</t>
  </si>
  <si>
    <t>Touch and body cues</t>
  </si>
  <si>
    <t>208</t>
  </si>
  <si>
    <t>209</t>
  </si>
  <si>
    <t>210</t>
  </si>
  <si>
    <t>211</t>
  </si>
  <si>
    <t>very_little</t>
  </si>
  <si>
    <t>I communicate very little</t>
  </si>
  <si>
    <t>212</t>
  </si>
  <si>
    <t>213</t>
  </si>
  <si>
    <t>214</t>
  </si>
  <si>
    <t>depends</t>
  </si>
  <si>
    <t>Not sure / depends a lot</t>
  </si>
  <si>
    <t>215</t>
  </si>
  <si>
    <t>egalitarian</t>
  </si>
  <si>
    <t>I prefer egalitarian/no roles</t>
  </si>
  <si>
    <t>216</t>
  </si>
  <si>
    <t>217</t>
  </si>
  <si>
    <t>218</t>
  </si>
  <si>
    <t>219</t>
  </si>
  <si>
    <t>lead</t>
  </si>
  <si>
    <t>I like to lead/direct</t>
  </si>
  <si>
    <t>220</t>
  </si>
  <si>
    <t>221</t>
  </si>
  <si>
    <t>222</t>
  </si>
  <si>
    <t>surrender</t>
  </si>
  <si>
    <t>I like to surrender/be led</t>
  </si>
  <si>
    <t>223</t>
  </si>
  <si>
    <t>224</t>
  </si>
  <si>
    <t>225</t>
  </si>
  <si>
    <t>226</t>
  </si>
  <si>
    <t>227</t>
  </si>
  <si>
    <t>switch</t>
  </si>
  <si>
    <t>I like switching depending on mood</t>
  </si>
  <si>
    <t>228</t>
  </si>
  <si>
    <t>229</t>
  </si>
  <si>
    <t>230</t>
  </si>
  <si>
    <t>231</t>
  </si>
  <si>
    <t>232</t>
  </si>
  <si>
    <t>bonding</t>
  </si>
  <si>
    <t>Bonding and closeness</t>
  </si>
  <si>
    <t>233</t>
  </si>
  <si>
    <t>234</t>
  </si>
  <si>
    <t>235</t>
  </si>
  <si>
    <t>236</t>
  </si>
  <si>
    <t>237</t>
  </si>
  <si>
    <t>comfort</t>
  </si>
  <si>
    <t>Comfort and familiarity</t>
  </si>
  <si>
    <t>238</t>
  </si>
  <si>
    <t>239</t>
  </si>
  <si>
    <t>240</t>
  </si>
  <si>
    <t>escape</t>
  </si>
  <si>
    <t>Escape and relief</t>
  </si>
  <si>
    <t>241</t>
  </si>
  <si>
    <t>242</t>
  </si>
  <si>
    <t>243</t>
  </si>
  <si>
    <t>244</t>
  </si>
  <si>
    <t>healing</t>
  </si>
  <si>
    <t>Healing and soothing</t>
  </si>
  <si>
    <t>245</t>
  </si>
  <si>
    <t>246</t>
  </si>
  <si>
    <t>247</t>
  </si>
  <si>
    <t>intensity</t>
  </si>
  <si>
    <t>Intensity and edge</t>
  </si>
  <si>
    <t>248</t>
  </si>
  <si>
    <t>249</t>
  </si>
  <si>
    <t>250</t>
  </si>
  <si>
    <t>251</t>
  </si>
  <si>
    <t>meaning</t>
  </si>
  <si>
    <t>Meaning and devotion</t>
  </si>
  <si>
    <t>252</t>
  </si>
  <si>
    <t>253</t>
  </si>
  <si>
    <t>254</t>
  </si>
  <si>
    <t>255</t>
  </si>
  <si>
    <t>256</t>
  </si>
  <si>
    <t>Novelty and discovery</t>
  </si>
  <si>
    <t>257</t>
  </si>
  <si>
    <t>258</t>
  </si>
  <si>
    <t>259</t>
  </si>
  <si>
    <t>260</t>
  </si>
  <si>
    <t>pleasure</t>
  </si>
  <si>
    <t>Pleasure and play</t>
  </si>
  <si>
    <t>261</t>
  </si>
  <si>
    <t>262</t>
  </si>
  <si>
    <t>263</t>
  </si>
  <si>
    <t>power</t>
  </si>
  <si>
    <t>Power and polarity</t>
  </si>
  <si>
    <t>264</t>
  </si>
  <si>
    <t>265</t>
  </si>
  <si>
    <t>266</t>
  </si>
  <si>
    <t>service</t>
  </si>
  <si>
    <t>Giving and service</t>
  </si>
  <si>
    <t>267</t>
  </si>
  <si>
    <t>268</t>
  </si>
  <si>
    <t>validation</t>
  </si>
  <si>
    <t>Feeling desired</t>
  </si>
  <si>
    <t>269</t>
  </si>
  <si>
    <t>270</t>
  </si>
  <si>
    <t>271</t>
  </si>
  <si>
    <t>272</t>
  </si>
  <si>
    <t>awakening</t>
  </si>
  <si>
    <t>Awakening / Exploring</t>
  </si>
  <si>
    <t>273</t>
  </si>
  <si>
    <t>274</t>
  </si>
  <si>
    <t>evolving</t>
  </si>
  <si>
    <t>Evolving / Transcending</t>
  </si>
  <si>
    <t>275</t>
  </si>
  <si>
    <t>276</t>
  </si>
  <si>
    <t>expanding</t>
  </si>
  <si>
    <t>Expanding / Experimenting</t>
  </si>
  <si>
    <t>277</t>
  </si>
  <si>
    <t>278</t>
  </si>
  <si>
    <t>279</t>
  </si>
  <si>
    <t>280</t>
  </si>
  <si>
    <t>grounded</t>
  </si>
  <si>
    <t>Grounded / Integrated</t>
  </si>
  <si>
    <t>281</t>
  </si>
  <si>
    <t>282</t>
  </si>
  <si>
    <t>recharging</t>
  </si>
  <si>
    <t>Recharging / Pausing</t>
  </si>
  <si>
    <t>283</t>
  </si>
  <si>
    <t>284</t>
  </si>
  <si>
    <t>285</t>
  </si>
  <si>
    <t>repairing</t>
  </si>
  <si>
    <t>Repairing / Reconnecting</t>
  </si>
  <si>
    <t>286</t>
  </si>
  <si>
    <t>287</t>
  </si>
  <si>
    <t>288</t>
  </si>
  <si>
    <t>289</t>
  </si>
  <si>
    <t>290</t>
  </si>
  <si>
    <t>291</t>
  </si>
  <si>
    <t>292</t>
  </si>
  <si>
    <t>293</t>
  </si>
  <si>
    <t>294</t>
  </si>
  <si>
    <t>295</t>
  </si>
  <si>
    <t>296</t>
  </si>
  <si>
    <t>297</t>
  </si>
  <si>
    <t>298</t>
  </si>
  <si>
    <t>299</t>
  </si>
  <si>
    <t>300</t>
  </si>
  <si>
    <t>301</t>
  </si>
  <si>
    <t>overlay_id</t>
  </si>
  <si>
    <t>operator</t>
  </si>
  <si>
    <t>threshold</t>
  </si>
  <si>
    <t>multiplier</t>
  </si>
  <si>
    <t>&gt;=</t>
  </si>
  <si>
    <t>&lt;=</t>
  </si>
  <si>
    <t>score_adjustment_if_fail</t>
  </si>
  <si>
    <t>overlay_name</t>
  </si>
  <si>
    <t>Escape / stress-regulation (overlay)</t>
  </si>
  <si>
    <t>Current sex-life satisfaction (overlay)</t>
  </si>
  <si>
    <t>Sex often uncomfortable or painful (overlay)</t>
  </si>
  <si>
    <t>Orgasms easy with a partner (overlay)</t>
  </si>
  <si>
    <t>Country (localization context)</t>
  </si>
  <si>
    <t>categorical_passthrough</t>
  </si>
  <si>
    <t>Postal code (localization granularity)</t>
  </si>
  <si>
    <t>string_passthrough</t>
  </si>
  <si>
    <t>Age band (life-stage context)</t>
  </si>
  <si>
    <t>Relationship structure context</t>
  </si>
  <si>
    <t>Parenting/caregiving load (time + fatigue context)</t>
  </si>
  <si>
    <t>Baseline stress load</t>
  </si>
  <si>
    <t>likert5_to_0_1</t>
  </si>
  <si>
    <t>Restedness on waking (bandwidth)</t>
  </si>
  <si>
    <t>Health load impacting energy/mood (functioning context)</t>
  </si>
  <si>
    <t>Medication/hormone impact on libido/energy (context)</t>
  </si>
  <si>
    <t>Gender identity (language + examples)</t>
  </si>
  <si>
    <t>Sexual orientation (language + examples)</t>
  </si>
  <si>
    <t>Primary focus</t>
  </si>
  <si>
    <t>Urgency</t>
  </si>
  <si>
    <t>Change efficacy</t>
  </si>
  <si>
    <t>Start horizon</t>
  </si>
  <si>
    <t>Current phase (stage)</t>
  </si>
  <si>
    <t>categorical_to_onehot</t>
  </si>
  <si>
    <t>Desired phase (3–6 months)</t>
  </si>
  <si>
    <t>Help style</t>
  </si>
  <si>
    <t>Support preferences</t>
  </si>
  <si>
    <t>multiselect_to_support_tags</t>
  </si>
  <si>
    <t>Topic importance</t>
  </si>
  <si>
    <t>Barrier tags</t>
  </si>
  <si>
    <t>multiselect_to_barrier_tags</t>
  </si>
  <si>
    <t>dim_ovl_id</t>
  </si>
  <si>
    <t>numeric_value</t>
  </si>
  <si>
    <t>very_tired</t>
  </si>
  <si>
    <t>Very tired</t>
  </si>
  <si>
    <t>rather_tired</t>
  </si>
  <si>
    <t>Rather tired</t>
  </si>
  <si>
    <t>in_between</t>
  </si>
  <si>
    <t>In between</t>
  </si>
  <si>
    <t>rather_rested</t>
  </si>
  <si>
    <t>Rather rested</t>
  </si>
  <si>
    <t>very_rested</t>
  </si>
  <si>
    <t>Very rested</t>
  </si>
  <si>
    <t>very_low</t>
  </si>
  <si>
    <t>Very low</t>
  </si>
  <si>
    <t>low</t>
  </si>
  <si>
    <t>Low</t>
  </si>
  <si>
    <t>medium</t>
  </si>
  <si>
    <t>Medium</t>
  </si>
  <si>
    <t>high</t>
  </si>
  <si>
    <t>High</t>
  </si>
  <si>
    <t>very_high</t>
  </si>
  <si>
    <t>Very high</t>
  </si>
  <si>
    <t>no_children</t>
  </si>
  <si>
    <t>No</t>
  </si>
  <si>
    <t>youngest_18plus_not_live</t>
  </si>
  <si>
    <t>Yes, children are 18+ and do not live with me</t>
  </si>
  <si>
    <t>youngest_18plus_live</t>
  </si>
  <si>
    <t>Yes, children are 18+ and live with me</t>
  </si>
  <si>
    <t>youngest_11_17</t>
  </si>
  <si>
    <t>Yes, youngest child is 11–17 years</t>
  </si>
  <si>
    <t>youngest_4_10</t>
  </si>
  <si>
    <t>Yes, youngest child is 4–10 years</t>
  </si>
  <si>
    <t>youngest_0_3</t>
  </si>
  <si>
    <t>Yes, youngest child is 0–3 years</t>
  </si>
  <si>
    <t>prefer_not_to_answer</t>
  </si>
  <si>
    <t>Prefer not to answer</t>
  </si>
  <si>
    <t>no</t>
  </si>
  <si>
    <t>mainly_physical</t>
  </si>
  <si>
    <t>Yes, mainly physical health</t>
  </si>
  <si>
    <t>mainly_mental</t>
  </si>
  <si>
    <t>Yes, mainly mental health</t>
  </si>
  <si>
    <t>both</t>
  </si>
  <si>
    <t>Yes, both physical and mental health</t>
  </si>
  <si>
    <t>I’m not sure</t>
  </si>
  <si>
    <t>prefer_not</t>
  </si>
  <si>
    <t>within_7_days</t>
  </si>
  <si>
    <t>Within 7 days</t>
  </si>
  <si>
    <t>within_30_days</t>
  </si>
  <si>
    <t>Within 30 days</t>
  </si>
  <si>
    <t>one_to_three_months</t>
  </si>
  <si>
    <t>1–3 months</t>
  </si>
  <si>
    <t>three_to_six_months</t>
  </si>
  <si>
    <t>3–6 months</t>
  </si>
  <si>
    <t>six_to_twelve_months</t>
  </si>
  <si>
    <t>6–12 months</t>
  </si>
  <si>
    <t>later_than_12_months</t>
  </si>
  <si>
    <t>Later than 12 months</t>
  </si>
  <si>
    <t>not_sure_yet</t>
  </si>
  <si>
    <t>Not sure yet</t>
  </si>
  <si>
    <t>lowers_drive</t>
  </si>
  <si>
    <t>Yes, lowers my drive</t>
  </si>
  <si>
    <t>increases_drive</t>
  </si>
  <si>
    <t>Yes, increases my drive</t>
  </si>
  <si>
    <t>not_sure_effect</t>
  </si>
  <si>
    <t>Yes, not sure how it affects me</t>
  </si>
  <si>
    <t>old_format</t>
  </si>
  <si>
    <t>new_format</t>
  </si>
  <si>
    <t>v6_scoring_role</t>
  </si>
  <si>
    <t>v6_dimension_id</t>
  </si>
  <si>
    <t>v6_categorical_aggregation</t>
  </si>
  <si>
    <t>change_summary</t>
  </si>
  <si>
    <t>engineering_note</t>
  </si>
  <si>
    <t>single_match</t>
  </si>
  <si>
    <t>Label refresh only</t>
  </si>
  <si>
    <t>Keep old answer codes; refresh labels to the new survey text.</t>
  </si>
  <si>
    <t>max_selected_answer_boost_per_archetype</t>
  </si>
  <si>
    <t>Environment question is now multiselect; old public-risk answer split into edge/taboo and visible/semi-public</t>
  </si>
  <si>
    <t>Do not sum boosts across selected environments. Take the strongest selected environment signal per archetype.</t>
  </si>
  <si>
    <t>Added non_deliberate answer code</t>
  </si>
  <si>
    <t>New option captures low-curiosity / non-project orientation.</t>
  </si>
  <si>
    <t>typing_dimension</t>
  </si>
  <si>
    <t>Scalarized old crave/balance/distance logic into a continuous closeness-vs-independence dimension</t>
  </si>
  <si>
    <t>Weight kept conservative because this overlaps existing secure/avoidant attachment dimensions.</t>
  </si>
  <si>
    <t>Communication-style question is now multiselect; old nonverbal bucket split into mostly nonverbal cues vs communicate very little</t>
  </si>
  <si>
    <t>Do not sum boosts across selected communication styles. Take the strongest selected style signal per archetype.</t>
  </si>
  <si>
    <t>Scalarized old partner/balanced/self/depends logic into a continuous partner-attention dimension</t>
  </si>
  <si>
    <t>Weight kept conservative because this overlaps existing soothing/caregiving signal.</t>
  </si>
  <si>
    <t>Motivation question is now multiselect with refreshed labels</t>
  </si>
  <si>
    <t>Preserve the old strongest-driver logic by using per-question MAX across selected motives.</t>
  </si>
  <si>
    <t>overlay_only</t>
  </si>
  <si>
    <t>Overlay answer set expanded</t>
  </si>
  <si>
    <t>No archetype-scoring change.</t>
  </si>
  <si>
    <t>business_routing_only</t>
  </si>
  <si>
    <t>Business-routing answer set refreshed</t>
  </si>
</sst>
</file>

<file path=xl/styles.xml><?xml version="1.0" encoding="utf-8"?>
<styleSheet xmlns="http://schemas.openxmlformats.org/spreadsheetml/2006/main" xmlns:x14ac="http://schemas.microsoft.com/office/spreadsheetml/2009/9/ac" xmlns:mc="http://schemas.openxmlformats.org/markup-compatibility/2006">
  <numFmts count="4">
    <numFmt numFmtId="164" formatCode="0.0"/>
    <numFmt numFmtId="165" formatCode="0.0000"/>
    <numFmt numFmtId="166" formatCode="0.000000"/>
    <numFmt numFmtId="167" formatCode="0.000000000000000"/>
  </numFmts>
  <fonts count="14">
    <font>
      <sz val="10.0"/>
      <color rgb="FF000000"/>
      <name val="Arial"/>
      <scheme val="minor"/>
    </font>
    <font>
      <b/>
      <color theme="1"/>
      <name val="Roboto"/>
    </font>
    <font>
      <color rgb="FFFFFFFF"/>
      <name val="Arial"/>
    </font>
    <font>
      <sz val="10.0"/>
      <color rgb="FF000000"/>
      <name val="Arial"/>
    </font>
    <font>
      <color rgb="FF434343"/>
      <name val="Roboto"/>
    </font>
    <font>
      <color theme="1"/>
      <name val="Arial"/>
    </font>
    <font>
      <color rgb="FF434343"/>
      <name val="Arial"/>
    </font>
    <font>
      <color theme="1"/>
      <name val="Arial"/>
      <scheme val="minor"/>
    </font>
    <font>
      <b/>
      <color rgb="FF000000"/>
      <name val="Arial"/>
      <scheme val="minor"/>
    </font>
    <font>
      <b/>
      <color theme="1"/>
      <name val="Arial"/>
    </font>
    <font>
      <color rgb="FF000000"/>
      <name val="Arial"/>
      <scheme val="minor"/>
    </font>
    <font>
      <b/>
      <sz val="10.0"/>
      <color rgb="FF000000"/>
      <name val="Arial"/>
    </font>
    <font>
      <b/>
      <color rgb="FF000000"/>
      <name val="Arial"/>
    </font>
    <font>
      <color rgb="FF000000"/>
      <name val="Arial"/>
    </font>
  </fonts>
  <fills count="5">
    <fill>
      <patternFill patternType="none"/>
    </fill>
    <fill>
      <patternFill patternType="lightGray"/>
    </fill>
    <fill>
      <patternFill patternType="solid">
        <fgColor rgb="FFEFEFEF"/>
        <bgColor rgb="FFEFEFEF"/>
      </patternFill>
    </fill>
    <fill>
      <patternFill patternType="solid">
        <fgColor rgb="FFFFFFFF"/>
        <bgColor rgb="FFFFFFFF"/>
      </patternFill>
    </fill>
    <fill>
      <patternFill patternType="solid">
        <fgColor rgb="FFFFF2CC"/>
        <bgColor rgb="FFFFF2CC"/>
      </patternFill>
    </fill>
  </fills>
  <borders count="7">
    <border/>
    <border>
      <left style="thin">
        <color rgb="FF284E3F"/>
      </left>
      <right style="thin">
        <color rgb="FFD9D9D9"/>
      </right>
      <top style="thin">
        <color rgb="FFD9D9D9"/>
      </top>
      <bottom style="thin">
        <color rgb="FFD9D9D9"/>
      </bottom>
    </border>
    <border>
      <left style="thin">
        <color rgb="FFD9D9D9"/>
      </left>
      <right style="thin">
        <color rgb="FFD9D9D9"/>
      </right>
      <top style="thin">
        <color rgb="FFD9D9D9"/>
      </top>
      <bottom style="thin">
        <color rgb="FFD9D9D9"/>
      </bottom>
    </border>
    <border>
      <left style="thin">
        <color rgb="FFD9D9D9"/>
      </left>
      <right style="thin">
        <color rgb="FF284E3F"/>
      </right>
      <top style="thin">
        <color rgb="FFD9D9D9"/>
      </top>
      <bottom style="thin">
        <color rgb="FFD9D9D9"/>
      </bottom>
    </border>
    <border>
      <left style="thin">
        <color rgb="FFCCCCCC"/>
      </left>
      <right style="thin">
        <color rgb="FFCCCCCC"/>
      </right>
      <top style="thin">
        <color rgb="FFCCCCCC"/>
      </top>
      <bottom style="thin">
        <color rgb="FFCCCCCC"/>
      </bottom>
    </border>
    <border>
      <left style="thin">
        <color rgb="FFD9D9D9"/>
      </left>
      <right style="thin">
        <color rgb="FFD9D9D9"/>
      </right>
      <top style="thin">
        <color rgb="FFD9D9D9"/>
      </top>
      <bottom style="thin">
        <color rgb="FF284E3F"/>
      </bottom>
    </border>
    <border>
      <left style="thin">
        <color rgb="FFD9D9D9"/>
      </left>
      <right style="thin">
        <color rgb="FF284E3F"/>
      </right>
      <top style="thin">
        <color rgb="FFD9D9D9"/>
      </top>
      <bottom style="thin">
        <color rgb="FF284E3F"/>
      </bottom>
    </border>
  </borders>
  <cellStyleXfs count="1">
    <xf borderId="0" fillId="0" fontId="0" numFmtId="0" applyAlignment="1" applyFont="1"/>
  </cellStyleXfs>
  <cellXfs count="94">
    <xf borderId="0" fillId="0" fontId="0" numFmtId="0" xfId="0" applyAlignment="1" applyFont="1">
      <alignment readingOrder="0" shrinkToFit="0" vertical="bottom" wrapText="0"/>
    </xf>
    <xf borderId="0" fillId="2" fontId="1" numFmtId="49" xfId="0" applyAlignment="1" applyFill="1" applyFont="1" applyNumberFormat="1">
      <alignment horizontal="left" shrinkToFit="0" vertical="center" wrapText="1"/>
    </xf>
    <xf borderId="0" fillId="0" fontId="2" numFmtId="0" xfId="0" applyAlignment="1" applyFont="1">
      <alignment horizontal="center" shrinkToFit="0" wrapText="1"/>
    </xf>
    <xf borderId="0" fillId="0" fontId="2" numFmtId="0" xfId="0" applyAlignment="1" applyFont="1">
      <alignment shrinkToFit="0" wrapText="1"/>
    </xf>
    <xf borderId="0" fillId="0" fontId="3" numFmtId="0" xfId="0" applyFont="1"/>
    <xf borderId="1" fillId="3" fontId="4" numFmtId="49" xfId="0" applyAlignment="1" applyBorder="1" applyFill="1" applyFont="1" applyNumberFormat="1">
      <alignment shrinkToFit="0" vertical="center" wrapText="1"/>
    </xf>
    <xf borderId="2" fillId="3" fontId="4" numFmtId="0" xfId="0" applyAlignment="1" applyBorder="1" applyFont="1">
      <alignment shrinkToFit="0" vertical="center" wrapText="1"/>
    </xf>
    <xf borderId="3" fillId="3" fontId="5" numFmtId="0" xfId="0" applyAlignment="1" applyBorder="1" applyFont="1">
      <alignment shrinkToFit="0" vertical="center" wrapText="1"/>
    </xf>
    <xf borderId="0" fillId="0" fontId="5" numFmtId="0" xfId="0" applyAlignment="1" applyFont="1">
      <alignment horizontal="center"/>
    </xf>
    <xf borderId="0" fillId="0" fontId="5" numFmtId="0" xfId="0" applyFont="1"/>
    <xf borderId="3" fillId="3" fontId="4" numFmtId="0" xfId="0" applyAlignment="1" applyBorder="1" applyFont="1">
      <alignment shrinkToFit="0" vertical="center" wrapText="1"/>
    </xf>
    <xf borderId="4" fillId="3" fontId="6" numFmtId="49" xfId="0" applyAlignment="1" applyBorder="1" applyFont="1" applyNumberFormat="1">
      <alignment shrinkToFit="0" vertical="top" wrapText="1"/>
    </xf>
    <xf borderId="4" fillId="3" fontId="4" numFmtId="0" xfId="0" applyAlignment="1" applyBorder="1" applyFont="1">
      <alignment shrinkToFit="0" vertical="top" wrapText="1"/>
    </xf>
    <xf borderId="4" fillId="3" fontId="6" numFmtId="0" xfId="0" applyAlignment="1" applyBorder="1" applyFont="1">
      <alignment shrinkToFit="0" vertical="top" wrapText="1"/>
    </xf>
    <xf borderId="2" fillId="3" fontId="6" numFmtId="0" xfId="0" applyAlignment="1" applyBorder="1" applyFont="1">
      <alignment shrinkToFit="0" vertical="top" wrapText="1"/>
    </xf>
    <xf borderId="5" fillId="3" fontId="4" numFmtId="0" xfId="0" applyAlignment="1" applyBorder="1" applyFont="1">
      <alignment shrinkToFit="0" vertical="center" wrapText="1"/>
    </xf>
    <xf borderId="6" fillId="3" fontId="4" numFmtId="0" xfId="0" applyAlignment="1" applyBorder="1" applyFont="1">
      <alignment shrinkToFit="0" vertical="center" wrapText="1"/>
    </xf>
    <xf borderId="0" fillId="0" fontId="7" numFmtId="0" xfId="0" applyAlignment="1" applyFont="1">
      <alignment horizontal="left" readingOrder="0" shrinkToFit="0" wrapText="1"/>
    </xf>
    <xf borderId="0" fillId="0" fontId="5" numFmtId="0" xfId="0" applyAlignment="1" applyFont="1">
      <alignment horizontal="left" vertical="top"/>
    </xf>
    <xf borderId="0" fillId="0" fontId="5" numFmtId="0" xfId="0" applyAlignment="1" applyFont="1">
      <alignment vertical="top"/>
    </xf>
    <xf borderId="0" fillId="0" fontId="8" numFmtId="0" xfId="0" applyAlignment="1" applyFont="1">
      <alignment horizontal="left" readingOrder="0" shrinkToFit="0" vertical="bottom" wrapText="1"/>
    </xf>
    <xf borderId="0" fillId="0" fontId="9" numFmtId="0" xfId="0" applyAlignment="1" applyFont="1">
      <alignment horizontal="left" shrinkToFit="0" wrapText="1"/>
    </xf>
    <xf borderId="0" fillId="0" fontId="3" numFmtId="0" xfId="0" applyAlignment="1" applyFont="1">
      <alignment horizontal="left" shrinkToFit="0" wrapText="1"/>
    </xf>
    <xf borderId="0" fillId="0" fontId="10" numFmtId="0" xfId="0" applyAlignment="1" applyFont="1">
      <alignment horizontal="left" readingOrder="0" shrinkToFit="0" vertical="bottom" wrapText="1"/>
    </xf>
    <xf borderId="0" fillId="0" fontId="5" numFmtId="0" xfId="0" applyAlignment="1" applyFont="1">
      <alignment horizontal="left" shrinkToFit="0" wrapText="1"/>
    </xf>
    <xf borderId="0" fillId="0" fontId="10" numFmtId="0" xfId="0" applyAlignment="1" applyFont="1">
      <alignment horizontal="left" readingOrder="0" shrinkToFit="0" vertical="top" wrapText="1"/>
    </xf>
    <xf borderId="0" fillId="0" fontId="9" numFmtId="0" xfId="0" applyAlignment="1" applyFont="1">
      <alignment horizontal="left"/>
    </xf>
    <xf borderId="0" fillId="0" fontId="9" numFmtId="49" xfId="0" applyAlignment="1" applyFont="1" applyNumberFormat="1">
      <alignment horizontal="left"/>
    </xf>
    <xf borderId="0" fillId="0" fontId="9" numFmtId="164" xfId="0" applyAlignment="1" applyFont="1" applyNumberFormat="1">
      <alignment horizontal="left"/>
    </xf>
    <xf borderId="0" fillId="0" fontId="9" numFmtId="0" xfId="0" applyFont="1"/>
    <xf borderId="0" fillId="0" fontId="5" numFmtId="0" xfId="0" applyAlignment="1" applyFont="1">
      <alignment horizontal="left"/>
    </xf>
    <xf borderId="0" fillId="0" fontId="5" numFmtId="49" xfId="0" applyAlignment="1" applyFont="1" applyNumberFormat="1">
      <alignment horizontal="left"/>
    </xf>
    <xf borderId="0" fillId="0" fontId="5" numFmtId="164" xfId="0" applyAlignment="1" applyFont="1" applyNumberFormat="1">
      <alignment horizontal="left"/>
    </xf>
    <xf borderId="0" fillId="0" fontId="9" numFmtId="2" xfId="0" applyAlignment="1" applyFont="1" applyNumberFormat="1">
      <alignment horizontal="left"/>
    </xf>
    <xf borderId="0" fillId="0" fontId="5" numFmtId="49" xfId="0" applyAlignment="1" applyFont="1" applyNumberFormat="1">
      <alignment horizontal="right"/>
    </xf>
    <xf borderId="0" fillId="0" fontId="5" numFmtId="2" xfId="0" applyAlignment="1" applyFont="1" applyNumberFormat="1">
      <alignment horizontal="right"/>
    </xf>
    <xf borderId="0" fillId="0" fontId="5" numFmtId="2" xfId="0" applyAlignment="1" applyFont="1" applyNumberFormat="1">
      <alignment horizontal="right" readingOrder="0"/>
    </xf>
    <xf borderId="0" fillId="0" fontId="11" numFmtId="49" xfId="0" applyAlignment="1" applyFont="1" applyNumberFormat="1">
      <alignment shrinkToFit="0" wrapText="1"/>
    </xf>
    <xf borderId="0" fillId="0" fontId="11" numFmtId="0" xfId="0" applyAlignment="1" applyFont="1">
      <alignment shrinkToFit="0" wrapText="1"/>
    </xf>
    <xf borderId="0" fillId="0" fontId="11" numFmtId="164" xfId="0" applyAlignment="1" applyFont="1" applyNumberFormat="1">
      <alignment horizontal="right" shrinkToFit="0" wrapText="1"/>
    </xf>
    <xf borderId="0" fillId="0" fontId="5" numFmtId="49" xfId="0" applyFont="1" applyNumberFormat="1"/>
    <xf borderId="0" fillId="0" fontId="3" numFmtId="165" xfId="0" applyFont="1" applyNumberFormat="1"/>
    <xf borderId="0" fillId="0" fontId="3" numFmtId="164" xfId="0" applyAlignment="1" applyFont="1" applyNumberFormat="1">
      <alignment horizontal="right"/>
    </xf>
    <xf borderId="0" fillId="0" fontId="11" numFmtId="49" xfId="0" applyAlignment="1" applyFont="1" applyNumberFormat="1">
      <alignment horizontal="right" shrinkToFit="0" wrapText="1"/>
    </xf>
    <xf borderId="0" fillId="0" fontId="11" numFmtId="166" xfId="0" applyAlignment="1" applyFont="1" applyNumberFormat="1">
      <alignment shrinkToFit="0" wrapText="1"/>
    </xf>
    <xf borderId="0" fillId="0" fontId="3" numFmtId="0" xfId="0" applyAlignment="1" applyFont="1">
      <alignment shrinkToFit="0" wrapText="1"/>
    </xf>
    <xf borderId="0" fillId="0" fontId="5" numFmtId="49" xfId="0" applyAlignment="1" applyFont="1" applyNumberFormat="1">
      <alignment horizontal="right" shrinkToFit="0" wrapText="1"/>
    </xf>
    <xf borderId="0" fillId="0" fontId="5" numFmtId="166" xfId="0" applyAlignment="1" applyFont="1" applyNumberFormat="1">
      <alignment shrinkToFit="0" wrapText="1"/>
    </xf>
    <xf borderId="0" fillId="0" fontId="3" numFmtId="166" xfId="0" applyAlignment="1" applyFont="1" applyNumberFormat="1">
      <alignment shrinkToFit="0" wrapText="1"/>
    </xf>
    <xf borderId="0" fillId="0" fontId="3" numFmtId="166" xfId="0" applyAlignment="1" applyFont="1" applyNumberFormat="1">
      <alignment readingOrder="0" shrinkToFit="0" wrapText="1"/>
    </xf>
    <xf borderId="0" fillId="0" fontId="12" numFmtId="0" xfId="0" applyAlignment="1" applyFont="1">
      <alignment horizontal="center" vertical="bottom"/>
    </xf>
    <xf borderId="0" fillId="0" fontId="12" numFmtId="167" xfId="0" applyAlignment="1" applyFont="1" applyNumberFormat="1">
      <alignment horizontal="center" vertical="bottom"/>
    </xf>
    <xf borderId="0" fillId="0" fontId="13" numFmtId="0" xfId="0" applyAlignment="1" applyFont="1">
      <alignment horizontal="center" vertical="bottom"/>
    </xf>
    <xf borderId="0" fillId="0" fontId="13" numFmtId="167" xfId="0" applyAlignment="1" applyFont="1" applyNumberFormat="1">
      <alignment horizontal="center" vertical="bottom"/>
    </xf>
    <xf borderId="0" fillId="2" fontId="9" numFmtId="49" xfId="0" applyAlignment="1" applyFont="1" applyNumberFormat="1">
      <alignment horizontal="left"/>
    </xf>
    <xf borderId="0" fillId="2" fontId="9" numFmtId="0" xfId="0" applyAlignment="1" applyFont="1">
      <alignment horizontal="left"/>
    </xf>
    <xf borderId="0" fillId="2" fontId="9" numFmtId="2" xfId="0" applyAlignment="1" applyFont="1" applyNumberFormat="1">
      <alignment horizontal="left"/>
    </xf>
    <xf borderId="0" fillId="3" fontId="9" numFmtId="0" xfId="0" applyAlignment="1" applyFont="1">
      <alignment horizontal="left"/>
    </xf>
    <xf borderId="0" fillId="0" fontId="5" numFmtId="49" xfId="0" applyAlignment="1" applyFont="1" applyNumberFormat="1">
      <alignment horizontal="left" vertical="bottom"/>
    </xf>
    <xf borderId="0" fillId="0" fontId="5" numFmtId="0" xfId="0" applyAlignment="1" applyFont="1">
      <alignment horizontal="left" vertical="bottom"/>
    </xf>
    <xf borderId="0" fillId="0" fontId="5" numFmtId="2" xfId="0" applyAlignment="1" applyFont="1" applyNumberFormat="1">
      <alignment horizontal="right" vertical="bottom"/>
    </xf>
    <xf borderId="0" fillId="3" fontId="5" numFmtId="0" xfId="0" applyAlignment="1" applyFont="1">
      <alignment horizontal="left"/>
    </xf>
    <xf borderId="0" fillId="0" fontId="5" numFmtId="0" xfId="0" applyAlignment="1" applyFont="1">
      <alignment horizontal="left" readingOrder="0" vertical="bottom"/>
    </xf>
    <xf borderId="0" fillId="0" fontId="5" numFmtId="2" xfId="0" applyAlignment="1" applyFont="1" applyNumberFormat="1">
      <alignment horizontal="right" readingOrder="0" vertical="bottom"/>
    </xf>
    <xf borderId="0" fillId="3" fontId="5" numFmtId="0" xfId="0" applyAlignment="1" applyFont="1">
      <alignment vertical="bottom"/>
    </xf>
    <xf borderId="0" fillId="0" fontId="5" numFmtId="49" xfId="0" applyAlignment="1" applyFont="1" applyNumberFormat="1">
      <alignment vertical="bottom"/>
    </xf>
    <xf borderId="0" fillId="0" fontId="5" numFmtId="0" xfId="0" applyAlignment="1" applyFont="1">
      <alignment vertical="bottom"/>
    </xf>
    <xf borderId="0" fillId="0" fontId="5" numFmtId="0" xfId="0" applyAlignment="1" applyFont="1">
      <alignment readingOrder="0" vertical="bottom"/>
    </xf>
    <xf borderId="0" fillId="3" fontId="5" numFmtId="0" xfId="0" applyFont="1"/>
    <xf borderId="0" fillId="0" fontId="9" numFmtId="0" xfId="0" applyAlignment="1" applyFont="1">
      <alignment shrinkToFit="0" wrapText="1"/>
    </xf>
    <xf borderId="0" fillId="0" fontId="9" numFmtId="2" xfId="0" applyAlignment="1" applyFont="1" applyNumberFormat="1">
      <alignment shrinkToFit="0" wrapText="1"/>
    </xf>
    <xf borderId="0" fillId="0" fontId="5" numFmtId="0" xfId="0" applyAlignment="1" applyFont="1">
      <alignment shrinkToFit="0" wrapText="1"/>
    </xf>
    <xf borderId="0" fillId="0" fontId="5" numFmtId="2" xfId="0" applyAlignment="1" applyFont="1" applyNumberFormat="1">
      <alignment shrinkToFit="0" wrapText="1"/>
    </xf>
    <xf borderId="0" fillId="0" fontId="3" numFmtId="2" xfId="0" applyFont="1" applyNumberFormat="1"/>
    <xf borderId="0" fillId="0" fontId="9" numFmtId="49" xfId="0" applyFont="1" applyNumberFormat="1"/>
    <xf borderId="0" fillId="0" fontId="9" numFmtId="2" xfId="0" applyFont="1" applyNumberFormat="1"/>
    <xf borderId="0" fillId="4" fontId="9" numFmtId="2" xfId="0" applyFill="1" applyFont="1" applyNumberFormat="1"/>
    <xf borderId="0" fillId="0" fontId="5" numFmtId="2" xfId="0" applyFont="1" applyNumberFormat="1"/>
    <xf borderId="0" fillId="4" fontId="5" numFmtId="2" xfId="0" applyAlignment="1" applyFont="1" applyNumberFormat="1">
      <alignment readingOrder="0"/>
    </xf>
    <xf borderId="0" fillId="0" fontId="5" numFmtId="2" xfId="0" applyAlignment="1" applyFont="1" applyNumberFormat="1">
      <alignment readingOrder="0"/>
    </xf>
    <xf borderId="0" fillId="0" fontId="5" numFmtId="49" xfId="0" applyAlignment="1" applyFont="1" applyNumberFormat="1">
      <alignment readingOrder="0"/>
    </xf>
    <xf borderId="0" fillId="0" fontId="5" numFmtId="0" xfId="0" applyAlignment="1" applyFont="1">
      <alignment readingOrder="0"/>
    </xf>
    <xf borderId="0" fillId="0" fontId="7" numFmtId="0" xfId="0" applyAlignment="1" applyFont="1">
      <alignment readingOrder="0"/>
    </xf>
    <xf borderId="0" fillId="4" fontId="5" numFmtId="2" xfId="0" applyFont="1" applyNumberFormat="1"/>
    <xf borderId="0" fillId="0" fontId="9" numFmtId="49" xfId="0" applyAlignment="1" applyFont="1" applyNumberFormat="1">
      <alignment horizontal="left" shrinkToFit="0" wrapText="1"/>
    </xf>
    <xf borderId="0" fillId="0" fontId="13" numFmtId="49" xfId="0" applyAlignment="1" applyFont="1" applyNumberFormat="1">
      <alignment horizontal="left"/>
    </xf>
    <xf borderId="0" fillId="0" fontId="5" numFmtId="2" xfId="0" applyAlignment="1" applyFont="1" applyNumberFormat="1">
      <alignment horizontal="left" vertical="bottom"/>
    </xf>
    <xf borderId="0" fillId="0" fontId="5" numFmtId="2" xfId="0" applyAlignment="1" applyFont="1" applyNumberFormat="1">
      <alignment horizontal="left"/>
    </xf>
    <xf borderId="0" fillId="0" fontId="3" numFmtId="49" xfId="0" applyAlignment="1" applyFont="1" applyNumberFormat="1">
      <alignment horizontal="left"/>
    </xf>
    <xf borderId="0" fillId="0" fontId="3" numFmtId="2" xfId="0" applyAlignment="1" applyFont="1" applyNumberFormat="1">
      <alignment horizontal="left"/>
    </xf>
    <xf borderId="0" fillId="0" fontId="9" numFmtId="49" xfId="0" applyAlignment="1" applyFont="1" applyNumberFormat="1">
      <alignment shrinkToFit="0" vertical="top" wrapText="1"/>
    </xf>
    <xf borderId="0" fillId="0" fontId="9" numFmtId="0" xfId="0" applyAlignment="1" applyFont="1">
      <alignment shrinkToFit="0" vertical="top" wrapText="1"/>
    </xf>
    <xf borderId="0" fillId="0" fontId="3" numFmtId="49" xfId="0" applyAlignment="1" applyFont="1" applyNumberFormat="1">
      <alignment shrinkToFit="0" vertical="top" wrapText="1"/>
    </xf>
    <xf borderId="0" fillId="0" fontId="3" numFmtId="0" xfId="0" applyAlignment="1" applyFont="1">
      <alignment shrinkToFit="0" vertical="top" wrapText="1"/>
    </xf>
  </cellXfs>
  <cellStyles count="1">
    <cellStyle xfId="0" name="Normal" builtinId="0"/>
  </cellStyles>
  <dxfs count="0"/>
</styleSheet>
</file>

<file path=xl/_rels/workbook.xml.rels><?xml version="1.0" encoding="UTF-8" standalone="yes"?><Relationships xmlns="http://schemas.openxmlformats.org/package/2006/relationships"><Relationship Id="rId20" Type="http://customschemas.google.com/relationships/workbookmetadata" Target="metadata"/><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5" Type="http://schemas.openxmlformats.org/officeDocument/2006/relationships/worksheet" Target="worksheets/sheet2.xml"/><Relationship Id="rId19" Type="http://schemas.openxmlformats.org/officeDocument/2006/relationships/worksheet" Target="worksheets/sheet16.xml"/><Relationship Id="rId6" Type="http://schemas.openxmlformats.org/officeDocument/2006/relationships/worksheet" Target="worksheets/sheet3.xml"/><Relationship Id="rId18" Type="http://schemas.openxmlformats.org/officeDocument/2006/relationships/worksheet" Target="worksheets/sheet15.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25"/>
    <col customWidth="1" min="2" max="2" width="51.63"/>
    <col customWidth="1" min="3" max="3" width="18.63"/>
    <col customWidth="1" min="4" max="4" width="25.63"/>
    <col customWidth="1" min="5" max="5" width="24.0"/>
  </cols>
  <sheetData>
    <row r="1" ht="22.5" customHeight="1">
      <c r="A1" s="1" t="s">
        <v>0</v>
      </c>
      <c r="B1" s="1" t="s">
        <v>1</v>
      </c>
      <c r="C1" s="1" t="s">
        <v>2</v>
      </c>
      <c r="D1" s="1" t="s">
        <v>3</v>
      </c>
      <c r="E1" s="1" t="s">
        <v>4</v>
      </c>
      <c r="F1" s="2"/>
      <c r="G1" s="2"/>
      <c r="H1" s="2"/>
      <c r="I1" s="2"/>
      <c r="J1" s="3"/>
      <c r="K1" s="4"/>
      <c r="L1" s="4"/>
      <c r="M1" s="4"/>
      <c r="N1" s="4"/>
      <c r="O1" s="4"/>
      <c r="P1" s="4"/>
      <c r="Q1" s="4"/>
      <c r="R1" s="4"/>
      <c r="S1" s="4"/>
      <c r="T1" s="4"/>
      <c r="U1" s="4"/>
      <c r="V1" s="4"/>
      <c r="W1" s="4"/>
      <c r="X1" s="4"/>
      <c r="Y1" s="4"/>
      <c r="Z1" s="4"/>
    </row>
    <row r="2" ht="22.5" customHeight="1">
      <c r="A2" s="5" t="s">
        <v>5</v>
      </c>
      <c r="B2" s="6" t="s">
        <v>6</v>
      </c>
      <c r="C2" s="6" t="s">
        <v>7</v>
      </c>
      <c r="D2" s="6" t="s">
        <v>8</v>
      </c>
      <c r="E2" s="7"/>
      <c r="F2" s="8"/>
      <c r="G2" s="8"/>
      <c r="H2" s="8"/>
      <c r="I2" s="8"/>
      <c r="J2" s="9"/>
      <c r="K2" s="4"/>
      <c r="L2" s="4"/>
      <c r="M2" s="4"/>
      <c r="N2" s="4"/>
      <c r="O2" s="4"/>
      <c r="P2" s="4"/>
      <c r="Q2" s="4"/>
      <c r="R2" s="4"/>
      <c r="S2" s="4"/>
      <c r="T2" s="4"/>
      <c r="U2" s="4"/>
      <c r="V2" s="4"/>
      <c r="W2" s="4"/>
      <c r="X2" s="4"/>
      <c r="Y2" s="4"/>
      <c r="Z2" s="4"/>
    </row>
    <row r="3" ht="22.5" customHeight="1">
      <c r="A3" s="5" t="s">
        <v>9</v>
      </c>
      <c r="B3" s="6" t="s">
        <v>10</v>
      </c>
      <c r="C3" s="6" t="s">
        <v>7</v>
      </c>
      <c r="D3" s="6" t="s">
        <v>8</v>
      </c>
      <c r="E3" s="7"/>
      <c r="F3" s="8"/>
      <c r="G3" s="8"/>
      <c r="H3" s="8"/>
      <c r="I3" s="8"/>
      <c r="J3" s="9"/>
      <c r="K3" s="4"/>
      <c r="L3" s="4"/>
      <c r="M3" s="4"/>
      <c r="N3" s="4"/>
      <c r="O3" s="4"/>
      <c r="P3" s="4"/>
      <c r="Q3" s="4"/>
      <c r="R3" s="4"/>
      <c r="S3" s="4"/>
      <c r="T3" s="4"/>
      <c r="U3" s="4"/>
      <c r="V3" s="4"/>
      <c r="W3" s="4"/>
      <c r="X3" s="4"/>
      <c r="Y3" s="4"/>
      <c r="Z3" s="4"/>
    </row>
    <row r="4" ht="22.5" customHeight="1">
      <c r="A4" s="5" t="s">
        <v>11</v>
      </c>
      <c r="B4" s="6" t="s">
        <v>12</v>
      </c>
      <c r="C4" s="6" t="s">
        <v>13</v>
      </c>
      <c r="D4" s="6" t="s">
        <v>14</v>
      </c>
      <c r="E4" s="10" t="s">
        <v>15</v>
      </c>
      <c r="F4" s="8"/>
      <c r="G4" s="8"/>
      <c r="H4" s="8"/>
      <c r="I4" s="8"/>
      <c r="J4" s="9"/>
      <c r="K4" s="4"/>
      <c r="L4" s="4"/>
      <c r="M4" s="4"/>
      <c r="N4" s="4"/>
      <c r="O4" s="4"/>
      <c r="P4" s="4"/>
      <c r="Q4" s="4"/>
      <c r="R4" s="4"/>
      <c r="S4" s="4"/>
      <c r="T4" s="4"/>
      <c r="U4" s="4"/>
      <c r="V4" s="4"/>
      <c r="W4" s="4"/>
      <c r="X4" s="4"/>
      <c r="Y4" s="4"/>
      <c r="Z4" s="4"/>
    </row>
    <row r="5" ht="22.5" customHeight="1">
      <c r="A5" s="5" t="s">
        <v>16</v>
      </c>
      <c r="B5" s="11" t="s">
        <v>17</v>
      </c>
      <c r="C5" s="6" t="s">
        <v>18</v>
      </c>
      <c r="D5" s="6" t="s">
        <v>19</v>
      </c>
      <c r="E5" s="7"/>
      <c r="F5" s="8"/>
      <c r="G5" s="8"/>
      <c r="H5" s="8"/>
      <c r="I5" s="8"/>
      <c r="J5" s="9"/>
      <c r="K5" s="4"/>
      <c r="L5" s="4"/>
      <c r="M5" s="4"/>
      <c r="N5" s="4"/>
      <c r="O5" s="4"/>
      <c r="P5" s="4"/>
      <c r="Q5" s="4"/>
      <c r="R5" s="4"/>
      <c r="S5" s="4"/>
      <c r="T5" s="4"/>
      <c r="U5" s="4"/>
      <c r="V5" s="4"/>
      <c r="W5" s="4"/>
      <c r="X5" s="4"/>
      <c r="Y5" s="4"/>
      <c r="Z5" s="4"/>
    </row>
    <row r="6" ht="22.5" customHeight="1">
      <c r="A6" s="5" t="s">
        <v>20</v>
      </c>
      <c r="B6" s="6" t="s">
        <v>21</v>
      </c>
      <c r="C6" s="6" t="s">
        <v>13</v>
      </c>
      <c r="D6" s="6" t="s">
        <v>22</v>
      </c>
      <c r="E6" s="10" t="s">
        <v>23</v>
      </c>
      <c r="F6" s="8"/>
      <c r="G6" s="8"/>
      <c r="H6" s="8"/>
      <c r="I6" s="8"/>
      <c r="J6" s="9"/>
      <c r="K6" s="4"/>
      <c r="L6" s="4"/>
      <c r="M6" s="4"/>
      <c r="N6" s="4"/>
      <c r="O6" s="4"/>
      <c r="P6" s="4"/>
      <c r="Q6" s="4"/>
      <c r="R6" s="4"/>
      <c r="S6" s="4"/>
      <c r="T6" s="4"/>
      <c r="U6" s="4"/>
      <c r="V6" s="4"/>
      <c r="W6" s="4"/>
      <c r="X6" s="4"/>
      <c r="Y6" s="4"/>
      <c r="Z6" s="4"/>
    </row>
    <row r="7" ht="22.5" customHeight="1">
      <c r="A7" s="5" t="s">
        <v>24</v>
      </c>
      <c r="B7" s="6" t="s">
        <v>25</v>
      </c>
      <c r="C7" s="6" t="s">
        <v>13</v>
      </c>
      <c r="D7" s="6" t="s">
        <v>14</v>
      </c>
      <c r="E7" s="10" t="s">
        <v>26</v>
      </c>
      <c r="F7" s="8"/>
      <c r="G7" s="8"/>
      <c r="H7" s="8"/>
      <c r="I7" s="8"/>
      <c r="J7" s="9"/>
      <c r="K7" s="4"/>
      <c r="L7" s="4"/>
      <c r="M7" s="4"/>
      <c r="N7" s="4"/>
      <c r="O7" s="4"/>
      <c r="P7" s="4"/>
      <c r="Q7" s="4"/>
      <c r="R7" s="4"/>
      <c r="S7" s="4"/>
      <c r="T7" s="4"/>
      <c r="U7" s="4"/>
      <c r="V7" s="4"/>
      <c r="W7" s="4"/>
      <c r="X7" s="4"/>
      <c r="Y7" s="4"/>
      <c r="Z7" s="4"/>
    </row>
    <row r="8" ht="22.5" customHeight="1">
      <c r="A8" s="5" t="s">
        <v>27</v>
      </c>
      <c r="B8" s="6" t="s">
        <v>28</v>
      </c>
      <c r="C8" s="6" t="s">
        <v>18</v>
      </c>
      <c r="D8" s="6" t="s">
        <v>19</v>
      </c>
      <c r="E8" s="7"/>
      <c r="F8" s="8"/>
      <c r="G8" s="8"/>
      <c r="H8" s="8"/>
      <c r="I8" s="8"/>
      <c r="J8" s="9"/>
      <c r="K8" s="4"/>
      <c r="L8" s="4"/>
      <c r="M8" s="4"/>
      <c r="N8" s="4"/>
      <c r="O8" s="4"/>
      <c r="P8" s="4"/>
      <c r="Q8" s="4"/>
      <c r="R8" s="4"/>
      <c r="S8" s="4"/>
      <c r="T8" s="4"/>
      <c r="U8" s="4"/>
      <c r="V8" s="4"/>
      <c r="W8" s="4"/>
      <c r="X8" s="4"/>
      <c r="Y8" s="4"/>
      <c r="Z8" s="4"/>
    </row>
    <row r="9" ht="22.5" customHeight="1">
      <c r="A9" s="5" t="s">
        <v>29</v>
      </c>
      <c r="B9" s="12" t="s">
        <v>30</v>
      </c>
      <c r="C9" s="6" t="s">
        <v>13</v>
      </c>
      <c r="D9" s="6" t="s">
        <v>22</v>
      </c>
      <c r="E9" s="10" t="s">
        <v>31</v>
      </c>
      <c r="F9" s="8"/>
      <c r="G9" s="8"/>
      <c r="H9" s="8"/>
      <c r="I9" s="8"/>
      <c r="J9" s="9"/>
      <c r="K9" s="4"/>
      <c r="L9" s="4"/>
      <c r="M9" s="4"/>
      <c r="N9" s="4"/>
      <c r="O9" s="4"/>
      <c r="P9" s="4"/>
      <c r="Q9" s="4"/>
      <c r="R9" s="4"/>
      <c r="S9" s="4"/>
      <c r="T9" s="4"/>
      <c r="U9" s="4"/>
      <c r="V9" s="4"/>
      <c r="W9" s="4"/>
      <c r="X9" s="4"/>
      <c r="Y9" s="4"/>
      <c r="Z9" s="4"/>
    </row>
    <row r="10" ht="22.5" customHeight="1">
      <c r="A10" s="5" t="s">
        <v>32</v>
      </c>
      <c r="B10" s="12" t="s">
        <v>33</v>
      </c>
      <c r="C10" s="6" t="s">
        <v>13</v>
      </c>
      <c r="D10" s="6" t="s">
        <v>22</v>
      </c>
      <c r="E10" s="10" t="s">
        <v>34</v>
      </c>
      <c r="F10" s="8"/>
      <c r="G10" s="8"/>
      <c r="H10" s="8"/>
      <c r="I10" s="8"/>
      <c r="J10" s="9"/>
      <c r="K10" s="4"/>
      <c r="L10" s="4"/>
      <c r="M10" s="4"/>
      <c r="N10" s="4"/>
      <c r="O10" s="4"/>
      <c r="P10" s="4"/>
      <c r="Q10" s="4"/>
      <c r="R10" s="4"/>
      <c r="S10" s="4"/>
      <c r="T10" s="4"/>
      <c r="U10" s="4"/>
      <c r="V10" s="4"/>
      <c r="W10" s="4"/>
      <c r="X10" s="4"/>
      <c r="Y10" s="4"/>
      <c r="Z10" s="4"/>
    </row>
    <row r="11" ht="22.5" customHeight="1">
      <c r="A11" s="5" t="s">
        <v>35</v>
      </c>
      <c r="B11" s="6" t="s">
        <v>36</v>
      </c>
      <c r="C11" s="6" t="s">
        <v>18</v>
      </c>
      <c r="D11" s="6" t="s">
        <v>19</v>
      </c>
      <c r="E11" s="7"/>
      <c r="F11" s="8"/>
      <c r="G11" s="8"/>
      <c r="H11" s="8"/>
      <c r="I11" s="8"/>
      <c r="J11" s="9"/>
      <c r="K11" s="4"/>
      <c r="L11" s="4"/>
      <c r="M11" s="4"/>
      <c r="N11" s="4"/>
      <c r="O11" s="4"/>
      <c r="P11" s="4"/>
      <c r="Q11" s="4"/>
      <c r="R11" s="4"/>
      <c r="S11" s="4"/>
      <c r="T11" s="4"/>
      <c r="U11" s="4"/>
      <c r="V11" s="4"/>
      <c r="W11" s="4"/>
      <c r="X11" s="4"/>
      <c r="Y11" s="4"/>
      <c r="Z11" s="4"/>
    </row>
    <row r="12" ht="22.5" customHeight="1">
      <c r="A12" s="5" t="s">
        <v>37</v>
      </c>
      <c r="B12" s="6" t="s">
        <v>38</v>
      </c>
      <c r="C12" s="6" t="s">
        <v>39</v>
      </c>
      <c r="D12" s="6" t="s">
        <v>40</v>
      </c>
      <c r="E12" s="7"/>
      <c r="F12" s="8"/>
      <c r="G12" s="8"/>
      <c r="H12" s="8"/>
      <c r="I12" s="8"/>
      <c r="J12" s="9"/>
      <c r="K12" s="4"/>
      <c r="L12" s="4"/>
      <c r="M12" s="4"/>
      <c r="N12" s="4"/>
      <c r="O12" s="4"/>
      <c r="P12" s="4"/>
      <c r="Q12" s="4"/>
      <c r="R12" s="4"/>
      <c r="S12" s="4"/>
      <c r="T12" s="4"/>
      <c r="U12" s="4"/>
      <c r="V12" s="4"/>
      <c r="W12" s="4"/>
      <c r="X12" s="4"/>
      <c r="Y12" s="4"/>
      <c r="Z12" s="4"/>
    </row>
    <row r="13" ht="22.5" customHeight="1">
      <c r="A13" s="11" t="s">
        <v>41</v>
      </c>
      <c r="B13" s="13" t="s">
        <v>42</v>
      </c>
      <c r="C13" s="6" t="s">
        <v>13</v>
      </c>
      <c r="D13" s="6" t="s">
        <v>22</v>
      </c>
      <c r="E13" s="10" t="s">
        <v>43</v>
      </c>
      <c r="F13" s="8"/>
      <c r="G13" s="8"/>
      <c r="H13" s="8"/>
      <c r="I13" s="8"/>
      <c r="J13" s="9"/>
      <c r="K13" s="4"/>
      <c r="L13" s="4"/>
      <c r="M13" s="4"/>
      <c r="N13" s="4"/>
      <c r="O13" s="4"/>
      <c r="P13" s="4"/>
      <c r="Q13" s="4"/>
      <c r="R13" s="4"/>
      <c r="S13" s="4"/>
      <c r="T13" s="4"/>
      <c r="U13" s="4"/>
      <c r="V13" s="4"/>
      <c r="W13" s="4"/>
      <c r="X13" s="4"/>
      <c r="Y13" s="4"/>
      <c r="Z13" s="4"/>
    </row>
    <row r="14" ht="22.5" customHeight="1">
      <c r="A14" s="5" t="s">
        <v>44</v>
      </c>
      <c r="B14" s="6" t="s">
        <v>45</v>
      </c>
      <c r="C14" s="6" t="s">
        <v>18</v>
      </c>
      <c r="D14" s="6" t="s">
        <v>19</v>
      </c>
      <c r="E14" s="7"/>
      <c r="F14" s="8"/>
      <c r="G14" s="8"/>
      <c r="H14" s="8"/>
      <c r="I14" s="8"/>
      <c r="J14" s="9"/>
      <c r="K14" s="4"/>
      <c r="L14" s="4"/>
      <c r="M14" s="4"/>
      <c r="N14" s="4"/>
      <c r="O14" s="4"/>
      <c r="P14" s="4"/>
      <c r="Q14" s="4"/>
      <c r="R14" s="4"/>
      <c r="S14" s="4"/>
      <c r="T14" s="4"/>
      <c r="U14" s="4"/>
      <c r="V14" s="4"/>
      <c r="W14" s="4"/>
      <c r="X14" s="4"/>
      <c r="Y14" s="4"/>
      <c r="Z14" s="4"/>
    </row>
    <row r="15" ht="22.5" customHeight="1">
      <c r="A15" s="5" t="s">
        <v>46</v>
      </c>
      <c r="B15" s="6" t="s">
        <v>47</v>
      </c>
      <c r="C15" s="6" t="s">
        <v>18</v>
      </c>
      <c r="D15" s="6" t="s">
        <v>19</v>
      </c>
      <c r="E15" s="7"/>
      <c r="F15" s="8"/>
      <c r="G15" s="8"/>
      <c r="H15" s="8"/>
      <c r="I15" s="8"/>
      <c r="J15" s="9"/>
      <c r="K15" s="4"/>
      <c r="L15" s="4"/>
      <c r="M15" s="4"/>
      <c r="N15" s="4"/>
      <c r="O15" s="4"/>
      <c r="P15" s="4"/>
      <c r="Q15" s="4"/>
      <c r="R15" s="4"/>
      <c r="S15" s="4"/>
      <c r="T15" s="4"/>
      <c r="U15" s="4"/>
      <c r="V15" s="4"/>
      <c r="W15" s="4"/>
      <c r="X15" s="4"/>
      <c r="Y15" s="4"/>
      <c r="Z15" s="4"/>
    </row>
    <row r="16" ht="22.5" customHeight="1">
      <c r="A16" s="5" t="s">
        <v>48</v>
      </c>
      <c r="B16" s="6" t="s">
        <v>49</v>
      </c>
      <c r="C16" s="6" t="s">
        <v>13</v>
      </c>
      <c r="D16" s="6" t="s">
        <v>22</v>
      </c>
      <c r="E16" s="10" t="s">
        <v>50</v>
      </c>
      <c r="F16" s="8"/>
      <c r="G16" s="8"/>
      <c r="H16" s="8"/>
      <c r="I16" s="8"/>
      <c r="J16" s="9"/>
      <c r="K16" s="4"/>
      <c r="L16" s="4"/>
      <c r="M16" s="4"/>
      <c r="N16" s="4"/>
      <c r="O16" s="4"/>
      <c r="P16" s="4"/>
      <c r="Q16" s="4"/>
      <c r="R16" s="4"/>
      <c r="S16" s="4"/>
      <c r="T16" s="4"/>
      <c r="U16" s="4"/>
      <c r="V16" s="4"/>
      <c r="W16" s="4"/>
      <c r="X16" s="4"/>
      <c r="Y16" s="4"/>
      <c r="Z16" s="4"/>
    </row>
    <row r="17" ht="22.5" customHeight="1">
      <c r="A17" s="5" t="s">
        <v>51</v>
      </c>
      <c r="B17" s="6" t="s">
        <v>52</v>
      </c>
      <c r="C17" s="6" t="s">
        <v>13</v>
      </c>
      <c r="D17" s="6" t="s">
        <v>22</v>
      </c>
      <c r="E17" s="10" t="s">
        <v>53</v>
      </c>
      <c r="F17" s="8"/>
      <c r="G17" s="8"/>
      <c r="H17" s="8"/>
      <c r="I17" s="8"/>
      <c r="J17" s="9"/>
      <c r="K17" s="4"/>
      <c r="L17" s="4"/>
      <c r="M17" s="4"/>
      <c r="N17" s="4"/>
      <c r="O17" s="4"/>
      <c r="P17" s="4"/>
      <c r="Q17" s="4"/>
      <c r="R17" s="4"/>
      <c r="S17" s="4"/>
      <c r="T17" s="4"/>
      <c r="U17" s="4"/>
      <c r="V17" s="4"/>
      <c r="W17" s="4"/>
      <c r="X17" s="4"/>
      <c r="Y17" s="4"/>
      <c r="Z17" s="4"/>
    </row>
    <row r="18" ht="22.5" customHeight="1">
      <c r="A18" s="5" t="s">
        <v>54</v>
      </c>
      <c r="B18" s="6" t="s">
        <v>55</v>
      </c>
      <c r="C18" s="6" t="s">
        <v>18</v>
      </c>
      <c r="D18" s="6" t="s">
        <v>56</v>
      </c>
      <c r="E18" s="10" t="s">
        <v>57</v>
      </c>
      <c r="F18" s="8"/>
      <c r="G18" s="8"/>
      <c r="H18" s="8"/>
      <c r="I18" s="8"/>
      <c r="J18" s="9"/>
      <c r="K18" s="4"/>
      <c r="L18" s="4"/>
      <c r="M18" s="4"/>
      <c r="N18" s="4"/>
      <c r="O18" s="4"/>
      <c r="P18" s="4"/>
      <c r="Q18" s="4"/>
      <c r="R18" s="4"/>
      <c r="S18" s="4"/>
      <c r="T18" s="4"/>
      <c r="U18" s="4"/>
      <c r="V18" s="4"/>
      <c r="W18" s="4"/>
      <c r="X18" s="4"/>
      <c r="Y18" s="4"/>
      <c r="Z18" s="4"/>
    </row>
    <row r="19" ht="22.5" customHeight="1">
      <c r="A19" s="5" t="s">
        <v>58</v>
      </c>
      <c r="B19" s="6" t="s">
        <v>59</v>
      </c>
      <c r="C19" s="6" t="s">
        <v>13</v>
      </c>
      <c r="D19" s="6" t="s">
        <v>22</v>
      </c>
      <c r="E19" s="10" t="s">
        <v>60</v>
      </c>
      <c r="F19" s="8"/>
      <c r="G19" s="8"/>
      <c r="H19" s="8"/>
      <c r="I19" s="8"/>
      <c r="J19" s="9"/>
      <c r="K19" s="4"/>
      <c r="L19" s="4"/>
      <c r="M19" s="4"/>
      <c r="N19" s="4"/>
      <c r="O19" s="4"/>
      <c r="P19" s="4"/>
      <c r="Q19" s="4"/>
      <c r="R19" s="4"/>
      <c r="S19" s="4"/>
      <c r="T19" s="4"/>
      <c r="U19" s="4"/>
      <c r="V19" s="4"/>
      <c r="W19" s="4"/>
      <c r="X19" s="4"/>
      <c r="Y19" s="4"/>
      <c r="Z19" s="4"/>
    </row>
    <row r="20" ht="22.5" customHeight="1">
      <c r="A20" s="5" t="s">
        <v>61</v>
      </c>
      <c r="B20" s="6" t="s">
        <v>62</v>
      </c>
      <c r="C20" s="6" t="s">
        <v>13</v>
      </c>
      <c r="D20" s="6" t="s">
        <v>22</v>
      </c>
      <c r="E20" s="10" t="s">
        <v>63</v>
      </c>
      <c r="F20" s="8"/>
      <c r="G20" s="8"/>
      <c r="H20" s="8"/>
      <c r="I20" s="8"/>
      <c r="J20" s="9"/>
      <c r="K20" s="4"/>
      <c r="L20" s="4"/>
      <c r="M20" s="4"/>
      <c r="N20" s="4"/>
      <c r="O20" s="4"/>
      <c r="P20" s="4"/>
      <c r="Q20" s="4"/>
      <c r="R20" s="4"/>
      <c r="S20" s="4"/>
      <c r="T20" s="4"/>
      <c r="U20" s="4"/>
      <c r="V20" s="4"/>
      <c r="W20" s="4"/>
      <c r="X20" s="4"/>
      <c r="Y20" s="4"/>
      <c r="Z20" s="4"/>
    </row>
    <row r="21" ht="22.5" customHeight="1">
      <c r="A21" s="5" t="s">
        <v>64</v>
      </c>
      <c r="B21" s="6" t="s">
        <v>65</v>
      </c>
      <c r="C21" s="6" t="s">
        <v>18</v>
      </c>
      <c r="D21" s="6" t="s">
        <v>19</v>
      </c>
      <c r="E21" s="7"/>
      <c r="F21" s="8"/>
      <c r="G21" s="8"/>
      <c r="H21" s="8"/>
      <c r="I21" s="8"/>
      <c r="J21" s="9"/>
      <c r="K21" s="4"/>
      <c r="L21" s="4"/>
      <c r="M21" s="4"/>
      <c r="N21" s="4"/>
      <c r="O21" s="4"/>
      <c r="P21" s="4"/>
      <c r="Q21" s="4"/>
      <c r="R21" s="4"/>
      <c r="S21" s="4"/>
      <c r="T21" s="4"/>
      <c r="U21" s="4"/>
      <c r="V21" s="4"/>
      <c r="W21" s="4"/>
      <c r="X21" s="4"/>
      <c r="Y21" s="4"/>
      <c r="Z21" s="4"/>
    </row>
    <row r="22" ht="22.5" customHeight="1">
      <c r="A22" s="5" t="s">
        <v>66</v>
      </c>
      <c r="B22" s="6" t="s">
        <v>67</v>
      </c>
      <c r="C22" s="6" t="s">
        <v>13</v>
      </c>
      <c r="D22" s="6" t="s">
        <v>14</v>
      </c>
      <c r="E22" s="10" t="s">
        <v>68</v>
      </c>
      <c r="F22" s="8"/>
      <c r="G22" s="8"/>
      <c r="H22" s="8"/>
      <c r="I22" s="8"/>
      <c r="J22" s="9"/>
      <c r="K22" s="4"/>
      <c r="L22" s="4"/>
      <c r="M22" s="4"/>
      <c r="N22" s="4"/>
      <c r="O22" s="4"/>
      <c r="P22" s="4"/>
      <c r="Q22" s="4"/>
      <c r="R22" s="4"/>
      <c r="S22" s="4"/>
      <c r="T22" s="4"/>
      <c r="U22" s="4"/>
      <c r="V22" s="4"/>
      <c r="W22" s="4"/>
      <c r="X22" s="4"/>
      <c r="Y22" s="4"/>
      <c r="Z22" s="4"/>
    </row>
    <row r="23" ht="22.5" customHeight="1">
      <c r="A23" s="5" t="s">
        <v>69</v>
      </c>
      <c r="B23" s="6" t="s">
        <v>70</v>
      </c>
      <c r="C23" s="6" t="s">
        <v>13</v>
      </c>
      <c r="D23" s="6" t="s">
        <v>22</v>
      </c>
      <c r="E23" s="10" t="s">
        <v>71</v>
      </c>
      <c r="F23" s="8"/>
      <c r="G23" s="8"/>
      <c r="H23" s="8"/>
      <c r="I23" s="8"/>
      <c r="J23" s="9"/>
      <c r="K23" s="4"/>
      <c r="L23" s="4"/>
      <c r="M23" s="4"/>
      <c r="N23" s="4"/>
      <c r="O23" s="4"/>
      <c r="P23" s="4"/>
      <c r="Q23" s="4"/>
      <c r="R23" s="4"/>
      <c r="S23" s="4"/>
      <c r="T23" s="4"/>
      <c r="U23" s="4"/>
      <c r="V23" s="4"/>
      <c r="W23" s="4"/>
      <c r="X23" s="4"/>
      <c r="Y23" s="4"/>
      <c r="Z23" s="4"/>
    </row>
    <row r="24" ht="22.5" customHeight="1">
      <c r="A24" s="5" t="s">
        <v>72</v>
      </c>
      <c r="B24" s="6" t="s">
        <v>73</v>
      </c>
      <c r="C24" s="6" t="s">
        <v>18</v>
      </c>
      <c r="D24" s="6" t="s">
        <v>19</v>
      </c>
      <c r="E24" s="7"/>
      <c r="F24" s="8"/>
      <c r="G24" s="8"/>
      <c r="H24" s="8"/>
      <c r="I24" s="8"/>
      <c r="J24" s="9"/>
      <c r="K24" s="4"/>
      <c r="L24" s="4"/>
      <c r="M24" s="4"/>
      <c r="N24" s="4"/>
      <c r="O24" s="4"/>
      <c r="P24" s="4"/>
      <c r="Q24" s="4"/>
      <c r="R24" s="4"/>
      <c r="S24" s="4"/>
      <c r="T24" s="4"/>
      <c r="U24" s="4"/>
      <c r="V24" s="4"/>
      <c r="W24" s="4"/>
      <c r="X24" s="4"/>
      <c r="Y24" s="4"/>
      <c r="Z24" s="4"/>
    </row>
    <row r="25" ht="22.5" customHeight="1">
      <c r="A25" s="5" t="s">
        <v>74</v>
      </c>
      <c r="B25" s="6" t="s">
        <v>75</v>
      </c>
      <c r="C25" s="6" t="s">
        <v>13</v>
      </c>
      <c r="D25" s="6" t="s">
        <v>22</v>
      </c>
      <c r="E25" s="7" t="s">
        <v>76</v>
      </c>
      <c r="F25" s="8"/>
      <c r="G25" s="8"/>
      <c r="H25" s="8"/>
      <c r="I25" s="8"/>
      <c r="J25" s="9"/>
      <c r="K25" s="4"/>
      <c r="L25" s="4"/>
      <c r="M25" s="4"/>
      <c r="N25" s="4"/>
      <c r="O25" s="4"/>
      <c r="P25" s="4"/>
      <c r="Q25" s="4"/>
      <c r="R25" s="4"/>
      <c r="S25" s="4"/>
      <c r="T25" s="4"/>
      <c r="U25" s="4"/>
      <c r="V25" s="4"/>
      <c r="W25" s="4"/>
      <c r="X25" s="4"/>
      <c r="Y25" s="4"/>
      <c r="Z25" s="4"/>
    </row>
    <row r="26" ht="22.5" customHeight="1">
      <c r="A26" s="5" t="s">
        <v>77</v>
      </c>
      <c r="B26" s="6" t="s">
        <v>78</v>
      </c>
      <c r="C26" s="6" t="s">
        <v>13</v>
      </c>
      <c r="D26" s="6" t="s">
        <v>22</v>
      </c>
      <c r="E26" s="10" t="s">
        <v>79</v>
      </c>
      <c r="F26" s="8"/>
      <c r="G26" s="8"/>
      <c r="H26" s="8"/>
      <c r="I26" s="8"/>
      <c r="J26" s="9"/>
      <c r="K26" s="4"/>
      <c r="L26" s="4"/>
      <c r="M26" s="4"/>
      <c r="N26" s="4"/>
      <c r="O26" s="4"/>
      <c r="P26" s="4"/>
      <c r="Q26" s="4"/>
      <c r="R26" s="4"/>
      <c r="S26" s="4"/>
      <c r="T26" s="4"/>
      <c r="U26" s="4"/>
      <c r="V26" s="4"/>
      <c r="W26" s="4"/>
      <c r="X26" s="4"/>
      <c r="Y26" s="4"/>
      <c r="Z26" s="4"/>
    </row>
    <row r="27" ht="22.5" customHeight="1">
      <c r="A27" s="5" t="s">
        <v>80</v>
      </c>
      <c r="B27" s="6" t="s">
        <v>81</v>
      </c>
      <c r="C27" s="6" t="s">
        <v>13</v>
      </c>
      <c r="D27" s="6" t="s">
        <v>22</v>
      </c>
      <c r="E27" s="10" t="s">
        <v>82</v>
      </c>
      <c r="F27" s="8"/>
      <c r="G27" s="8"/>
      <c r="H27" s="8"/>
      <c r="I27" s="8"/>
      <c r="J27" s="9"/>
      <c r="K27" s="4"/>
      <c r="L27" s="4"/>
      <c r="M27" s="4"/>
      <c r="N27" s="4"/>
      <c r="O27" s="4"/>
      <c r="P27" s="4"/>
      <c r="Q27" s="4"/>
      <c r="R27" s="4"/>
      <c r="S27" s="4"/>
      <c r="T27" s="4"/>
      <c r="U27" s="4"/>
      <c r="V27" s="4"/>
      <c r="W27" s="4"/>
      <c r="X27" s="4"/>
      <c r="Y27" s="4"/>
      <c r="Z27" s="4"/>
    </row>
    <row r="28" ht="22.5" customHeight="1">
      <c r="A28" s="5" t="s">
        <v>83</v>
      </c>
      <c r="B28" s="6" t="s">
        <v>84</v>
      </c>
      <c r="C28" s="6" t="s">
        <v>13</v>
      </c>
      <c r="D28" s="6" t="s">
        <v>22</v>
      </c>
      <c r="E28" s="10" t="s">
        <v>85</v>
      </c>
      <c r="F28" s="8"/>
      <c r="G28" s="8"/>
      <c r="H28" s="8"/>
      <c r="I28" s="8"/>
      <c r="J28" s="9"/>
      <c r="K28" s="4"/>
      <c r="L28" s="4"/>
      <c r="M28" s="4"/>
      <c r="N28" s="4"/>
      <c r="O28" s="4"/>
      <c r="P28" s="4"/>
      <c r="Q28" s="4"/>
      <c r="R28" s="4"/>
      <c r="S28" s="4"/>
      <c r="T28" s="4"/>
      <c r="U28" s="4"/>
      <c r="V28" s="4"/>
      <c r="W28" s="4"/>
      <c r="X28" s="4"/>
      <c r="Y28" s="4"/>
      <c r="Z28" s="4"/>
    </row>
    <row r="29" ht="22.5" customHeight="1">
      <c r="A29" s="5" t="s">
        <v>86</v>
      </c>
      <c r="B29" s="6" t="s">
        <v>87</v>
      </c>
      <c r="C29" s="6" t="s">
        <v>13</v>
      </c>
      <c r="D29" s="6" t="s">
        <v>22</v>
      </c>
      <c r="E29" s="10" t="s">
        <v>88</v>
      </c>
      <c r="F29" s="8"/>
      <c r="G29" s="8"/>
      <c r="H29" s="8"/>
      <c r="I29" s="8"/>
      <c r="J29" s="9"/>
      <c r="K29" s="4"/>
      <c r="L29" s="4"/>
      <c r="M29" s="4"/>
      <c r="N29" s="4"/>
      <c r="O29" s="4"/>
      <c r="P29" s="4"/>
      <c r="Q29" s="4"/>
      <c r="R29" s="4"/>
      <c r="S29" s="4"/>
      <c r="T29" s="4"/>
      <c r="U29" s="4"/>
      <c r="V29" s="4"/>
      <c r="W29" s="4"/>
      <c r="X29" s="4"/>
      <c r="Y29" s="4"/>
      <c r="Z29" s="4"/>
    </row>
    <row r="30" ht="22.5" customHeight="1">
      <c r="A30" s="5" t="s">
        <v>89</v>
      </c>
      <c r="B30" s="6" t="s">
        <v>90</v>
      </c>
      <c r="C30" s="6" t="s">
        <v>39</v>
      </c>
      <c r="D30" s="6" t="s">
        <v>40</v>
      </c>
      <c r="E30" s="7"/>
      <c r="F30" s="8"/>
      <c r="G30" s="8"/>
      <c r="H30" s="8"/>
      <c r="I30" s="8"/>
      <c r="J30" s="9"/>
      <c r="K30" s="4"/>
      <c r="L30" s="4"/>
      <c r="M30" s="4"/>
      <c r="N30" s="4"/>
      <c r="O30" s="4"/>
      <c r="P30" s="4"/>
      <c r="Q30" s="4"/>
      <c r="R30" s="4"/>
      <c r="S30" s="4"/>
      <c r="T30" s="4"/>
      <c r="U30" s="4"/>
      <c r="V30" s="4"/>
      <c r="W30" s="4"/>
      <c r="X30" s="4"/>
      <c r="Y30" s="4"/>
      <c r="Z30" s="4"/>
    </row>
    <row r="31" ht="22.5" customHeight="1">
      <c r="A31" s="5" t="s">
        <v>91</v>
      </c>
      <c r="B31" s="6" t="s">
        <v>92</v>
      </c>
      <c r="C31" s="6" t="s">
        <v>13</v>
      </c>
      <c r="D31" s="6" t="s">
        <v>22</v>
      </c>
      <c r="E31" s="10" t="s">
        <v>93</v>
      </c>
      <c r="F31" s="8"/>
      <c r="G31" s="8"/>
      <c r="H31" s="8"/>
      <c r="I31" s="8"/>
      <c r="J31" s="9"/>
      <c r="K31" s="4"/>
      <c r="L31" s="4"/>
      <c r="M31" s="4"/>
      <c r="N31" s="4"/>
      <c r="O31" s="4"/>
      <c r="P31" s="4"/>
      <c r="Q31" s="4"/>
      <c r="R31" s="4"/>
      <c r="S31" s="4"/>
      <c r="T31" s="4"/>
      <c r="U31" s="4"/>
      <c r="V31" s="4"/>
      <c r="W31" s="4"/>
      <c r="X31" s="4"/>
      <c r="Y31" s="4"/>
      <c r="Z31" s="4"/>
    </row>
    <row r="32" ht="22.5" customHeight="1">
      <c r="A32" s="5" t="s">
        <v>94</v>
      </c>
      <c r="B32" s="6" t="s">
        <v>95</v>
      </c>
      <c r="C32" s="6" t="s">
        <v>13</v>
      </c>
      <c r="D32" s="6" t="s">
        <v>22</v>
      </c>
      <c r="E32" s="10" t="s">
        <v>96</v>
      </c>
      <c r="F32" s="8"/>
      <c r="G32" s="8"/>
      <c r="H32" s="8"/>
      <c r="I32" s="8"/>
      <c r="J32" s="9"/>
      <c r="K32" s="4"/>
      <c r="L32" s="4"/>
      <c r="M32" s="4"/>
      <c r="N32" s="4"/>
      <c r="O32" s="4"/>
      <c r="P32" s="4"/>
      <c r="Q32" s="4"/>
      <c r="R32" s="4"/>
      <c r="S32" s="4"/>
      <c r="T32" s="4"/>
      <c r="U32" s="4"/>
      <c r="V32" s="4"/>
      <c r="W32" s="4"/>
      <c r="X32" s="4"/>
      <c r="Y32" s="4"/>
      <c r="Z32" s="4"/>
    </row>
    <row r="33" ht="22.5" customHeight="1">
      <c r="A33" s="5" t="s">
        <v>97</v>
      </c>
      <c r="B33" s="6" t="s">
        <v>98</v>
      </c>
      <c r="C33" s="6" t="s">
        <v>13</v>
      </c>
      <c r="D33" s="6" t="s">
        <v>22</v>
      </c>
      <c r="E33" s="10" t="s">
        <v>99</v>
      </c>
      <c r="F33" s="8"/>
      <c r="G33" s="8"/>
      <c r="H33" s="8"/>
      <c r="I33" s="8"/>
      <c r="J33" s="9"/>
      <c r="K33" s="4"/>
      <c r="L33" s="4"/>
      <c r="M33" s="4"/>
      <c r="N33" s="4"/>
      <c r="O33" s="4"/>
      <c r="P33" s="4"/>
      <c r="Q33" s="4"/>
      <c r="R33" s="4"/>
      <c r="S33" s="4"/>
      <c r="T33" s="4"/>
      <c r="U33" s="4"/>
      <c r="V33" s="4"/>
      <c r="W33" s="4"/>
      <c r="X33" s="4"/>
      <c r="Y33" s="4"/>
      <c r="Z33" s="4"/>
    </row>
    <row r="34" ht="22.5" customHeight="1">
      <c r="A34" s="5" t="s">
        <v>100</v>
      </c>
      <c r="B34" s="6" t="s">
        <v>101</v>
      </c>
      <c r="C34" s="6" t="s">
        <v>18</v>
      </c>
      <c r="D34" s="6" t="s">
        <v>19</v>
      </c>
      <c r="E34" s="7"/>
      <c r="F34" s="8"/>
      <c r="G34" s="8"/>
      <c r="H34" s="8"/>
      <c r="I34" s="8"/>
      <c r="J34" s="9"/>
      <c r="K34" s="4"/>
      <c r="L34" s="4"/>
      <c r="M34" s="4"/>
      <c r="N34" s="4"/>
      <c r="O34" s="4"/>
      <c r="P34" s="4"/>
      <c r="Q34" s="4"/>
      <c r="R34" s="4"/>
      <c r="S34" s="4"/>
      <c r="T34" s="4"/>
      <c r="U34" s="4"/>
      <c r="V34" s="4"/>
      <c r="W34" s="4"/>
      <c r="X34" s="4"/>
      <c r="Y34" s="4"/>
      <c r="Z34" s="4"/>
    </row>
    <row r="35" ht="22.5" customHeight="1">
      <c r="A35" s="5" t="s">
        <v>102</v>
      </c>
      <c r="B35" s="6" t="s">
        <v>103</v>
      </c>
      <c r="C35" s="6" t="s">
        <v>13</v>
      </c>
      <c r="D35" s="6" t="s">
        <v>22</v>
      </c>
      <c r="E35" s="10" t="s">
        <v>104</v>
      </c>
      <c r="F35" s="8"/>
      <c r="G35" s="8"/>
      <c r="H35" s="8"/>
      <c r="I35" s="8"/>
      <c r="J35" s="9"/>
      <c r="K35" s="4"/>
      <c r="L35" s="4"/>
      <c r="M35" s="4"/>
      <c r="N35" s="4"/>
      <c r="O35" s="4"/>
      <c r="P35" s="4"/>
      <c r="Q35" s="4"/>
      <c r="R35" s="4"/>
      <c r="S35" s="4"/>
      <c r="T35" s="4"/>
      <c r="U35" s="4"/>
      <c r="V35" s="4"/>
      <c r="W35" s="4"/>
      <c r="X35" s="4"/>
      <c r="Y35" s="4"/>
      <c r="Z35" s="4"/>
    </row>
    <row r="36" ht="22.5" customHeight="1">
      <c r="A36" s="5" t="s">
        <v>105</v>
      </c>
      <c r="B36" s="6" t="s">
        <v>106</v>
      </c>
      <c r="C36" s="6" t="s">
        <v>13</v>
      </c>
      <c r="D36" s="6" t="s">
        <v>22</v>
      </c>
      <c r="E36" s="7" t="s">
        <v>107</v>
      </c>
      <c r="F36" s="8"/>
      <c r="G36" s="8"/>
      <c r="H36" s="8"/>
      <c r="I36" s="8"/>
      <c r="J36" s="9"/>
      <c r="K36" s="4"/>
      <c r="L36" s="4"/>
      <c r="M36" s="4"/>
      <c r="N36" s="4"/>
      <c r="O36" s="4"/>
      <c r="P36" s="4"/>
      <c r="Q36" s="4"/>
      <c r="R36" s="4"/>
      <c r="S36" s="4"/>
      <c r="T36" s="4"/>
      <c r="U36" s="4"/>
      <c r="V36" s="4"/>
      <c r="W36" s="4"/>
      <c r="X36" s="4"/>
      <c r="Y36" s="4"/>
      <c r="Z36" s="4"/>
    </row>
    <row r="37" ht="22.5" customHeight="1">
      <c r="A37" s="5" t="s">
        <v>108</v>
      </c>
      <c r="B37" s="6" t="s">
        <v>109</v>
      </c>
      <c r="C37" s="6" t="s">
        <v>13</v>
      </c>
      <c r="D37" s="6" t="s">
        <v>22</v>
      </c>
      <c r="E37" s="10" t="s">
        <v>110</v>
      </c>
      <c r="F37" s="8"/>
      <c r="G37" s="8"/>
      <c r="H37" s="8"/>
      <c r="I37" s="8"/>
      <c r="J37" s="9"/>
      <c r="K37" s="4"/>
      <c r="L37" s="4"/>
      <c r="M37" s="4"/>
      <c r="N37" s="4"/>
      <c r="O37" s="4"/>
      <c r="P37" s="4"/>
      <c r="Q37" s="4"/>
      <c r="R37" s="4"/>
      <c r="S37" s="4"/>
      <c r="T37" s="4"/>
      <c r="U37" s="4"/>
      <c r="V37" s="4"/>
      <c r="W37" s="4"/>
      <c r="X37" s="4"/>
      <c r="Y37" s="4"/>
      <c r="Z37" s="4"/>
    </row>
    <row r="38" ht="22.5" customHeight="1">
      <c r="A38" s="5" t="s">
        <v>111</v>
      </c>
      <c r="B38" s="6" t="s">
        <v>112</v>
      </c>
      <c r="C38" s="6" t="s">
        <v>39</v>
      </c>
      <c r="D38" s="6" t="s">
        <v>40</v>
      </c>
      <c r="E38" s="7"/>
      <c r="F38" s="8"/>
      <c r="G38" s="8"/>
      <c r="H38" s="8"/>
      <c r="I38" s="8"/>
      <c r="J38" s="9"/>
      <c r="K38" s="4"/>
      <c r="L38" s="4"/>
      <c r="M38" s="4"/>
      <c r="N38" s="4"/>
      <c r="O38" s="4"/>
      <c r="P38" s="4"/>
      <c r="Q38" s="4"/>
      <c r="R38" s="4"/>
      <c r="S38" s="4"/>
      <c r="T38" s="4"/>
      <c r="U38" s="4"/>
      <c r="V38" s="4"/>
      <c r="W38" s="4"/>
      <c r="X38" s="4"/>
      <c r="Y38" s="4"/>
      <c r="Z38" s="4"/>
    </row>
    <row r="39" ht="22.5" customHeight="1">
      <c r="A39" s="5" t="s">
        <v>113</v>
      </c>
      <c r="B39" s="6" t="s">
        <v>114</v>
      </c>
      <c r="C39" s="6" t="s">
        <v>13</v>
      </c>
      <c r="D39" s="6" t="s">
        <v>14</v>
      </c>
      <c r="E39" s="10" t="s">
        <v>115</v>
      </c>
      <c r="F39" s="8"/>
      <c r="G39" s="8"/>
      <c r="H39" s="8"/>
      <c r="I39" s="8"/>
      <c r="J39" s="9"/>
      <c r="K39" s="4"/>
      <c r="L39" s="4"/>
      <c r="M39" s="4"/>
      <c r="N39" s="4"/>
      <c r="O39" s="4"/>
      <c r="P39" s="4"/>
      <c r="Q39" s="4"/>
      <c r="R39" s="4"/>
      <c r="S39" s="4"/>
      <c r="T39" s="4"/>
      <c r="U39" s="4"/>
      <c r="V39" s="4"/>
      <c r="W39" s="4"/>
      <c r="X39" s="4"/>
      <c r="Y39" s="4"/>
      <c r="Z39" s="4"/>
    </row>
    <row r="40" ht="22.5" customHeight="1">
      <c r="A40" s="5" t="s">
        <v>116</v>
      </c>
      <c r="B40" s="6" t="s">
        <v>117</v>
      </c>
      <c r="C40" s="6" t="s">
        <v>18</v>
      </c>
      <c r="D40" s="6" t="s">
        <v>14</v>
      </c>
      <c r="E40" s="10" t="s">
        <v>118</v>
      </c>
      <c r="F40" s="8"/>
      <c r="G40" s="8"/>
      <c r="H40" s="8"/>
      <c r="I40" s="8"/>
      <c r="J40" s="9"/>
      <c r="K40" s="4"/>
      <c r="L40" s="4"/>
      <c r="M40" s="4"/>
      <c r="N40" s="4"/>
      <c r="O40" s="4"/>
      <c r="P40" s="4"/>
      <c r="Q40" s="4"/>
      <c r="R40" s="4"/>
      <c r="S40" s="4"/>
      <c r="T40" s="4"/>
      <c r="U40" s="4"/>
      <c r="V40" s="4"/>
      <c r="W40" s="4"/>
      <c r="X40" s="4"/>
      <c r="Y40" s="4"/>
      <c r="Z40" s="4"/>
    </row>
    <row r="41" ht="22.5" customHeight="1">
      <c r="A41" s="5" t="s">
        <v>119</v>
      </c>
      <c r="B41" s="6" t="s">
        <v>120</v>
      </c>
      <c r="C41" s="6" t="s">
        <v>7</v>
      </c>
      <c r="D41" s="6" t="s">
        <v>14</v>
      </c>
      <c r="E41" s="10" t="s">
        <v>121</v>
      </c>
      <c r="F41" s="8"/>
      <c r="G41" s="8"/>
      <c r="H41" s="8"/>
      <c r="I41" s="8"/>
      <c r="J41" s="9"/>
      <c r="K41" s="4"/>
      <c r="L41" s="4"/>
      <c r="M41" s="4"/>
      <c r="N41" s="4"/>
      <c r="O41" s="4"/>
      <c r="P41" s="4"/>
      <c r="Q41" s="4"/>
      <c r="R41" s="4"/>
      <c r="S41" s="4"/>
      <c r="T41" s="4"/>
      <c r="U41" s="4"/>
      <c r="V41" s="4"/>
      <c r="W41" s="4"/>
      <c r="X41" s="4"/>
      <c r="Y41" s="4"/>
      <c r="Z41" s="4"/>
    </row>
    <row r="42" ht="22.5" customHeight="1">
      <c r="A42" s="5" t="s">
        <v>122</v>
      </c>
      <c r="B42" s="11" t="s">
        <v>123</v>
      </c>
      <c r="C42" s="6" t="s">
        <v>18</v>
      </c>
      <c r="D42" s="6" t="s">
        <v>14</v>
      </c>
      <c r="E42" s="10" t="s">
        <v>124</v>
      </c>
      <c r="F42" s="8"/>
      <c r="G42" s="8"/>
      <c r="H42" s="8"/>
      <c r="I42" s="8"/>
      <c r="J42" s="9"/>
      <c r="K42" s="4"/>
      <c r="L42" s="4"/>
      <c r="M42" s="4"/>
      <c r="N42" s="4"/>
      <c r="O42" s="4"/>
      <c r="P42" s="4"/>
      <c r="Q42" s="4"/>
      <c r="R42" s="4"/>
      <c r="S42" s="4"/>
      <c r="T42" s="4"/>
      <c r="U42" s="4"/>
      <c r="V42" s="4"/>
      <c r="W42" s="4"/>
      <c r="X42" s="4"/>
      <c r="Y42" s="4"/>
      <c r="Z42" s="4"/>
    </row>
    <row r="43" ht="22.5" customHeight="1">
      <c r="A43" s="5" t="s">
        <v>125</v>
      </c>
      <c r="B43" s="6" t="s">
        <v>126</v>
      </c>
      <c r="C43" s="6" t="s">
        <v>18</v>
      </c>
      <c r="D43" s="6" t="s">
        <v>14</v>
      </c>
      <c r="E43" s="10" t="s">
        <v>127</v>
      </c>
      <c r="F43" s="8"/>
      <c r="G43" s="8"/>
      <c r="H43" s="8"/>
      <c r="I43" s="8"/>
      <c r="J43" s="9"/>
      <c r="K43" s="4"/>
      <c r="L43" s="4"/>
      <c r="M43" s="4"/>
      <c r="N43" s="4"/>
      <c r="O43" s="4"/>
      <c r="P43" s="4"/>
      <c r="Q43" s="4"/>
      <c r="R43" s="4"/>
      <c r="S43" s="4"/>
      <c r="T43" s="4"/>
      <c r="U43" s="4"/>
      <c r="V43" s="4"/>
      <c r="W43" s="4"/>
      <c r="X43" s="4"/>
      <c r="Y43" s="4"/>
      <c r="Z43" s="4"/>
    </row>
    <row r="44" ht="22.5" customHeight="1">
      <c r="A44" s="5" t="s">
        <v>128</v>
      </c>
      <c r="B44" s="6" t="s">
        <v>129</v>
      </c>
      <c r="C44" s="6" t="s">
        <v>18</v>
      </c>
      <c r="D44" s="6" t="s">
        <v>14</v>
      </c>
      <c r="E44" s="10" t="s">
        <v>130</v>
      </c>
      <c r="F44" s="8"/>
      <c r="G44" s="8"/>
      <c r="H44" s="8"/>
      <c r="I44" s="8"/>
      <c r="J44" s="9"/>
      <c r="K44" s="4"/>
      <c r="L44" s="4"/>
      <c r="M44" s="4"/>
      <c r="N44" s="4"/>
      <c r="O44" s="4"/>
      <c r="P44" s="4"/>
      <c r="Q44" s="4"/>
      <c r="R44" s="4"/>
      <c r="S44" s="4"/>
      <c r="T44" s="4"/>
      <c r="U44" s="4"/>
      <c r="V44" s="4"/>
      <c r="W44" s="4"/>
      <c r="X44" s="4"/>
      <c r="Y44" s="4"/>
      <c r="Z44" s="4"/>
    </row>
    <row r="45" ht="22.5" customHeight="1">
      <c r="A45" s="5" t="s">
        <v>131</v>
      </c>
      <c r="B45" s="6" t="s">
        <v>132</v>
      </c>
      <c r="C45" s="6" t="s">
        <v>18</v>
      </c>
      <c r="D45" s="6" t="s">
        <v>14</v>
      </c>
      <c r="E45" s="10" t="s">
        <v>133</v>
      </c>
      <c r="F45" s="8"/>
      <c r="G45" s="8"/>
      <c r="H45" s="8"/>
      <c r="I45" s="8"/>
      <c r="J45" s="9"/>
      <c r="K45" s="4"/>
      <c r="L45" s="4"/>
      <c r="M45" s="4"/>
      <c r="N45" s="4"/>
      <c r="O45" s="4"/>
      <c r="P45" s="4"/>
      <c r="Q45" s="4"/>
      <c r="R45" s="4"/>
      <c r="S45" s="4"/>
      <c r="T45" s="4"/>
      <c r="U45" s="4"/>
      <c r="V45" s="4"/>
      <c r="W45" s="4"/>
      <c r="X45" s="4"/>
      <c r="Y45" s="4"/>
      <c r="Z45" s="4"/>
    </row>
    <row r="46" ht="22.5" customHeight="1">
      <c r="A46" s="5" t="s">
        <v>134</v>
      </c>
      <c r="B46" s="6" t="s">
        <v>135</v>
      </c>
      <c r="C46" s="6" t="s">
        <v>18</v>
      </c>
      <c r="D46" s="6" t="s">
        <v>14</v>
      </c>
      <c r="E46" s="10" t="s">
        <v>136</v>
      </c>
      <c r="F46" s="8"/>
      <c r="G46" s="8"/>
      <c r="H46" s="8"/>
      <c r="I46" s="8"/>
      <c r="J46" s="9"/>
      <c r="K46" s="4"/>
      <c r="L46" s="4"/>
      <c r="M46" s="4"/>
      <c r="N46" s="4"/>
      <c r="O46" s="4"/>
      <c r="P46" s="4"/>
      <c r="Q46" s="4"/>
      <c r="R46" s="4"/>
      <c r="S46" s="4"/>
      <c r="T46" s="4"/>
      <c r="U46" s="4"/>
      <c r="V46" s="4"/>
      <c r="W46" s="4"/>
      <c r="X46" s="4"/>
      <c r="Y46" s="4"/>
      <c r="Z46" s="4"/>
    </row>
    <row r="47" ht="22.5" customHeight="1">
      <c r="A47" s="5" t="s">
        <v>137</v>
      </c>
      <c r="B47" s="6" t="s">
        <v>138</v>
      </c>
      <c r="C47" s="6" t="s">
        <v>18</v>
      </c>
      <c r="D47" s="6" t="s">
        <v>14</v>
      </c>
      <c r="E47" s="10" t="s">
        <v>139</v>
      </c>
      <c r="F47" s="8"/>
      <c r="G47" s="8"/>
      <c r="H47" s="8"/>
      <c r="I47" s="8"/>
      <c r="J47" s="9"/>
      <c r="K47" s="4"/>
      <c r="L47" s="4"/>
      <c r="M47" s="4"/>
      <c r="N47" s="4"/>
      <c r="O47" s="4"/>
      <c r="P47" s="4"/>
      <c r="Q47" s="4"/>
      <c r="R47" s="4"/>
      <c r="S47" s="4"/>
      <c r="T47" s="4"/>
      <c r="U47" s="4"/>
      <c r="V47" s="4"/>
      <c r="W47" s="4"/>
      <c r="X47" s="4"/>
      <c r="Y47" s="4"/>
      <c r="Z47" s="4"/>
    </row>
    <row r="48" ht="22.5" customHeight="1">
      <c r="A48" s="5" t="s">
        <v>140</v>
      </c>
      <c r="B48" s="6" t="s">
        <v>141</v>
      </c>
      <c r="C48" s="6" t="s">
        <v>18</v>
      </c>
      <c r="D48" s="6" t="s">
        <v>14</v>
      </c>
      <c r="E48" s="10" t="s">
        <v>142</v>
      </c>
      <c r="F48" s="8"/>
      <c r="G48" s="8"/>
      <c r="H48" s="8"/>
      <c r="I48" s="8"/>
      <c r="J48" s="9"/>
      <c r="K48" s="4"/>
      <c r="L48" s="4"/>
      <c r="M48" s="4"/>
      <c r="N48" s="4"/>
      <c r="O48" s="4"/>
      <c r="P48" s="4"/>
      <c r="Q48" s="4"/>
      <c r="R48" s="4"/>
      <c r="S48" s="4"/>
      <c r="T48" s="4"/>
      <c r="U48" s="4"/>
      <c r="V48" s="4"/>
      <c r="W48" s="4"/>
      <c r="X48" s="4"/>
      <c r="Y48" s="4"/>
      <c r="Z48" s="4"/>
    </row>
    <row r="49" ht="22.5" customHeight="1">
      <c r="A49" s="5" t="s">
        <v>143</v>
      </c>
      <c r="B49" s="6" t="s">
        <v>144</v>
      </c>
      <c r="C49" s="6" t="s">
        <v>18</v>
      </c>
      <c r="D49" s="6" t="s">
        <v>14</v>
      </c>
      <c r="E49" s="10" t="s">
        <v>145</v>
      </c>
      <c r="F49" s="8"/>
      <c r="G49" s="8"/>
      <c r="H49" s="8"/>
      <c r="I49" s="8"/>
      <c r="J49" s="9"/>
      <c r="K49" s="4"/>
      <c r="L49" s="4"/>
      <c r="M49" s="4"/>
      <c r="N49" s="4"/>
      <c r="O49" s="4"/>
      <c r="P49" s="4"/>
      <c r="Q49" s="4"/>
      <c r="R49" s="4"/>
      <c r="S49" s="4"/>
      <c r="T49" s="4"/>
      <c r="U49" s="4"/>
      <c r="V49" s="4"/>
      <c r="W49" s="4"/>
      <c r="X49" s="4"/>
      <c r="Y49" s="4"/>
      <c r="Z49" s="4"/>
    </row>
    <row r="50" ht="22.5" customHeight="1">
      <c r="A50" s="5" t="s">
        <v>146</v>
      </c>
      <c r="B50" s="6" t="s">
        <v>147</v>
      </c>
      <c r="C50" s="6" t="s">
        <v>18</v>
      </c>
      <c r="D50" s="6" t="s">
        <v>14</v>
      </c>
      <c r="E50" s="10" t="s">
        <v>148</v>
      </c>
      <c r="F50" s="8"/>
      <c r="G50" s="8"/>
      <c r="H50" s="8"/>
      <c r="I50" s="8"/>
      <c r="J50" s="9"/>
      <c r="K50" s="4"/>
      <c r="L50" s="4"/>
      <c r="M50" s="4"/>
      <c r="N50" s="4"/>
      <c r="O50" s="4"/>
      <c r="P50" s="4"/>
      <c r="Q50" s="4"/>
      <c r="R50" s="4"/>
      <c r="S50" s="4"/>
      <c r="T50" s="4"/>
      <c r="U50" s="4"/>
      <c r="V50" s="4"/>
      <c r="W50" s="4"/>
      <c r="X50" s="4"/>
      <c r="Y50" s="4"/>
      <c r="Z50" s="4"/>
    </row>
    <row r="51" ht="22.5" customHeight="1">
      <c r="A51" s="11" t="s">
        <v>149</v>
      </c>
      <c r="B51" s="11" t="s">
        <v>150</v>
      </c>
      <c r="C51" s="13" t="s">
        <v>39</v>
      </c>
      <c r="D51" s="6" t="s">
        <v>14</v>
      </c>
      <c r="E51" s="10" t="s">
        <v>151</v>
      </c>
      <c r="F51" s="8"/>
      <c r="G51" s="8"/>
      <c r="H51" s="8"/>
      <c r="I51" s="8"/>
      <c r="J51" s="9"/>
      <c r="K51" s="4"/>
      <c r="L51" s="4"/>
      <c r="M51" s="4"/>
      <c r="N51" s="4"/>
      <c r="O51" s="4"/>
      <c r="P51" s="4"/>
      <c r="Q51" s="4"/>
      <c r="R51" s="4"/>
      <c r="S51" s="4"/>
      <c r="T51" s="4"/>
      <c r="U51" s="4"/>
      <c r="V51" s="4"/>
      <c r="W51" s="4"/>
      <c r="X51" s="4"/>
      <c r="Y51" s="4"/>
      <c r="Z51" s="4"/>
    </row>
    <row r="52" ht="22.5" customHeight="1">
      <c r="A52" s="11" t="s">
        <v>152</v>
      </c>
      <c r="B52" s="11" t="s">
        <v>153</v>
      </c>
      <c r="C52" s="13" t="s">
        <v>13</v>
      </c>
      <c r="D52" s="6" t="s">
        <v>14</v>
      </c>
      <c r="E52" s="10" t="s">
        <v>154</v>
      </c>
      <c r="F52" s="8"/>
      <c r="G52" s="8"/>
      <c r="H52" s="8"/>
      <c r="I52" s="8"/>
      <c r="J52" s="9"/>
      <c r="K52" s="4"/>
      <c r="L52" s="4"/>
      <c r="M52" s="4"/>
      <c r="N52" s="4"/>
      <c r="O52" s="4"/>
      <c r="P52" s="4"/>
      <c r="Q52" s="4"/>
      <c r="R52" s="4"/>
      <c r="S52" s="4"/>
      <c r="T52" s="4"/>
      <c r="U52" s="4"/>
      <c r="V52" s="4"/>
      <c r="W52" s="4"/>
      <c r="X52" s="4"/>
      <c r="Y52" s="4"/>
      <c r="Z52" s="4"/>
    </row>
    <row r="53" ht="22.5" customHeight="1">
      <c r="A53" s="11" t="s">
        <v>155</v>
      </c>
      <c r="B53" s="11" t="s">
        <v>156</v>
      </c>
      <c r="C53" s="13" t="s">
        <v>13</v>
      </c>
      <c r="D53" s="6" t="s">
        <v>14</v>
      </c>
      <c r="E53" s="10" t="s">
        <v>157</v>
      </c>
      <c r="F53" s="8"/>
      <c r="G53" s="8"/>
      <c r="H53" s="8"/>
      <c r="I53" s="8"/>
      <c r="J53" s="9"/>
      <c r="K53" s="4"/>
      <c r="L53" s="4"/>
      <c r="M53" s="4"/>
      <c r="N53" s="4"/>
      <c r="O53" s="4"/>
      <c r="P53" s="4"/>
      <c r="Q53" s="4"/>
      <c r="R53" s="4"/>
      <c r="S53" s="4"/>
      <c r="T53" s="4"/>
      <c r="U53" s="4"/>
      <c r="V53" s="4"/>
      <c r="W53" s="4"/>
      <c r="X53" s="4"/>
      <c r="Y53" s="4"/>
      <c r="Z53" s="4"/>
    </row>
    <row r="54" ht="22.5" customHeight="1">
      <c r="A54" s="11" t="s">
        <v>158</v>
      </c>
      <c r="B54" s="11" t="s">
        <v>159</v>
      </c>
      <c r="C54" s="13" t="s">
        <v>18</v>
      </c>
      <c r="D54" s="6" t="s">
        <v>14</v>
      </c>
      <c r="E54" s="10" t="s">
        <v>160</v>
      </c>
      <c r="F54" s="8"/>
      <c r="G54" s="8"/>
      <c r="H54" s="8"/>
      <c r="I54" s="8"/>
      <c r="J54" s="9"/>
      <c r="K54" s="4"/>
      <c r="L54" s="4"/>
      <c r="M54" s="4"/>
      <c r="N54" s="4"/>
      <c r="O54" s="4"/>
      <c r="P54" s="4"/>
      <c r="Q54" s="4"/>
      <c r="R54" s="4"/>
      <c r="S54" s="4"/>
      <c r="T54" s="4"/>
      <c r="U54" s="4"/>
      <c r="V54" s="4"/>
      <c r="W54" s="4"/>
      <c r="X54" s="4"/>
      <c r="Y54" s="4"/>
      <c r="Z54" s="4"/>
    </row>
    <row r="55" ht="22.5" customHeight="1">
      <c r="A55" s="5" t="s">
        <v>161</v>
      </c>
      <c r="B55" s="13" t="s">
        <v>162</v>
      </c>
      <c r="C55" s="6" t="s">
        <v>18</v>
      </c>
      <c r="D55" s="6" t="s">
        <v>163</v>
      </c>
      <c r="E55" s="10" t="s">
        <v>164</v>
      </c>
      <c r="F55" s="8"/>
      <c r="G55" s="8"/>
      <c r="H55" s="8"/>
      <c r="I55" s="8"/>
      <c r="J55" s="9"/>
      <c r="K55" s="4"/>
      <c r="L55" s="4"/>
      <c r="M55" s="4"/>
      <c r="N55" s="4"/>
      <c r="O55" s="4"/>
      <c r="P55" s="4"/>
      <c r="Q55" s="4"/>
      <c r="R55" s="4"/>
      <c r="S55" s="4"/>
      <c r="T55" s="4"/>
      <c r="U55" s="4"/>
      <c r="V55" s="4"/>
      <c r="W55" s="4"/>
      <c r="X55" s="4"/>
      <c r="Y55" s="4"/>
      <c r="Z55" s="4"/>
    </row>
    <row r="56" ht="22.5" customHeight="1">
      <c r="A56" s="5" t="s">
        <v>165</v>
      </c>
      <c r="B56" s="11" t="s">
        <v>166</v>
      </c>
      <c r="C56" s="6" t="s">
        <v>18</v>
      </c>
      <c r="D56" s="6" t="s">
        <v>163</v>
      </c>
      <c r="E56" s="10" t="s">
        <v>167</v>
      </c>
      <c r="F56" s="8"/>
      <c r="G56" s="8"/>
      <c r="H56" s="8"/>
      <c r="I56" s="8"/>
      <c r="J56" s="9"/>
      <c r="K56" s="4"/>
      <c r="L56" s="4"/>
      <c r="M56" s="4"/>
      <c r="N56" s="4"/>
      <c r="O56" s="4"/>
      <c r="P56" s="4"/>
      <c r="Q56" s="4"/>
      <c r="R56" s="4"/>
      <c r="S56" s="4"/>
      <c r="T56" s="4"/>
      <c r="U56" s="4"/>
      <c r="V56" s="4"/>
      <c r="W56" s="4"/>
      <c r="X56" s="4"/>
      <c r="Y56" s="4"/>
      <c r="Z56" s="4"/>
    </row>
    <row r="57" ht="22.5" customHeight="1">
      <c r="A57" s="11" t="s">
        <v>168</v>
      </c>
      <c r="B57" s="11" t="s">
        <v>169</v>
      </c>
      <c r="C57" s="14" t="s">
        <v>18</v>
      </c>
      <c r="D57" s="6" t="s">
        <v>14</v>
      </c>
      <c r="E57" s="10" t="s">
        <v>170</v>
      </c>
      <c r="F57" s="8"/>
      <c r="G57" s="8"/>
      <c r="H57" s="8"/>
      <c r="I57" s="8"/>
      <c r="J57" s="9"/>
      <c r="K57" s="4"/>
      <c r="L57" s="4"/>
      <c r="M57" s="4"/>
      <c r="N57" s="4"/>
      <c r="O57" s="4"/>
      <c r="P57" s="4"/>
      <c r="Q57" s="4"/>
      <c r="R57" s="4"/>
      <c r="S57" s="4"/>
      <c r="T57" s="4"/>
      <c r="U57" s="4"/>
      <c r="V57" s="4"/>
      <c r="W57" s="4"/>
      <c r="X57" s="4"/>
      <c r="Y57" s="4"/>
      <c r="Z57" s="4"/>
    </row>
    <row r="58" ht="22.5" customHeight="1">
      <c r="A58" s="11" t="s">
        <v>171</v>
      </c>
      <c r="B58" s="11" t="s">
        <v>172</v>
      </c>
      <c r="C58" s="13" t="s">
        <v>39</v>
      </c>
      <c r="D58" s="6" t="s">
        <v>14</v>
      </c>
      <c r="E58" s="10" t="s">
        <v>173</v>
      </c>
      <c r="F58" s="8"/>
      <c r="G58" s="8"/>
      <c r="H58" s="8"/>
      <c r="I58" s="8"/>
      <c r="J58" s="9"/>
      <c r="K58" s="4"/>
      <c r="L58" s="4"/>
      <c r="M58" s="4"/>
      <c r="N58" s="4"/>
      <c r="O58" s="4"/>
      <c r="P58" s="4"/>
      <c r="Q58" s="4"/>
      <c r="R58" s="4"/>
      <c r="S58" s="4"/>
      <c r="T58" s="4"/>
      <c r="U58" s="4"/>
      <c r="V58" s="4"/>
      <c r="W58" s="4"/>
      <c r="X58" s="4"/>
      <c r="Y58" s="4"/>
      <c r="Z58" s="4"/>
    </row>
    <row r="59" ht="22.5" customHeight="1">
      <c r="A59" s="11" t="s">
        <v>174</v>
      </c>
      <c r="B59" s="11" t="s">
        <v>175</v>
      </c>
      <c r="C59" s="13" t="s">
        <v>39</v>
      </c>
      <c r="D59" s="6" t="s">
        <v>176</v>
      </c>
      <c r="E59" s="7"/>
      <c r="F59" s="8"/>
      <c r="G59" s="8"/>
      <c r="H59" s="8"/>
      <c r="I59" s="8"/>
      <c r="J59" s="9"/>
      <c r="K59" s="4"/>
      <c r="L59" s="4"/>
      <c r="M59" s="4"/>
      <c r="N59" s="4"/>
      <c r="O59" s="4"/>
      <c r="P59" s="4"/>
      <c r="Q59" s="4"/>
      <c r="R59" s="4"/>
      <c r="S59" s="4"/>
      <c r="T59" s="4"/>
      <c r="U59" s="4"/>
      <c r="V59" s="4"/>
      <c r="W59" s="4"/>
      <c r="X59" s="4"/>
      <c r="Y59" s="4"/>
      <c r="Z59" s="4"/>
    </row>
    <row r="60" ht="22.5" customHeight="1">
      <c r="A60" s="11" t="s">
        <v>177</v>
      </c>
      <c r="B60" s="11" t="s">
        <v>178</v>
      </c>
      <c r="C60" s="13" t="s">
        <v>18</v>
      </c>
      <c r="D60" s="6" t="s">
        <v>176</v>
      </c>
      <c r="E60" s="7"/>
      <c r="F60" s="8"/>
      <c r="G60" s="8"/>
      <c r="H60" s="8"/>
      <c r="I60" s="8"/>
      <c r="J60" s="9"/>
      <c r="K60" s="4"/>
      <c r="L60" s="4"/>
      <c r="M60" s="4"/>
      <c r="N60" s="4"/>
      <c r="O60" s="4"/>
      <c r="P60" s="4"/>
      <c r="Q60" s="4"/>
      <c r="R60" s="4"/>
      <c r="S60" s="4"/>
      <c r="T60" s="4"/>
      <c r="U60" s="4"/>
      <c r="V60" s="4"/>
      <c r="W60" s="4"/>
      <c r="X60" s="4"/>
      <c r="Y60" s="4"/>
      <c r="Z60" s="4"/>
    </row>
    <row r="61" ht="22.5" customHeight="1">
      <c r="A61" s="11" t="s">
        <v>179</v>
      </c>
      <c r="B61" s="11" t="s">
        <v>180</v>
      </c>
      <c r="C61" s="13" t="s">
        <v>13</v>
      </c>
      <c r="D61" s="6" t="s">
        <v>14</v>
      </c>
      <c r="E61" s="10" t="s">
        <v>181</v>
      </c>
      <c r="F61" s="8"/>
      <c r="G61" s="8"/>
      <c r="H61" s="8"/>
      <c r="I61" s="8"/>
      <c r="J61" s="9"/>
      <c r="K61" s="4"/>
      <c r="L61" s="4"/>
      <c r="M61" s="4"/>
      <c r="N61" s="4"/>
      <c r="O61" s="4"/>
      <c r="P61" s="4"/>
      <c r="Q61" s="4"/>
      <c r="R61" s="4"/>
      <c r="S61" s="4"/>
      <c r="T61" s="4"/>
      <c r="U61" s="4"/>
      <c r="V61" s="4"/>
      <c r="W61" s="4"/>
      <c r="X61" s="4"/>
      <c r="Y61" s="4"/>
      <c r="Z61" s="4"/>
    </row>
    <row r="62" ht="22.5" customHeight="1">
      <c r="A62" s="11" t="s">
        <v>182</v>
      </c>
      <c r="B62" s="11" t="s">
        <v>183</v>
      </c>
      <c r="C62" s="13" t="s">
        <v>39</v>
      </c>
      <c r="D62" s="15" t="s">
        <v>14</v>
      </c>
      <c r="E62" s="16" t="s">
        <v>184</v>
      </c>
      <c r="F62" s="8"/>
      <c r="G62" s="8"/>
      <c r="H62" s="8"/>
      <c r="I62" s="8"/>
      <c r="J62" s="9"/>
      <c r="K62" s="4"/>
      <c r="L62" s="4"/>
      <c r="M62" s="4"/>
      <c r="N62" s="4"/>
      <c r="O62" s="4"/>
      <c r="P62" s="4"/>
      <c r="Q62" s="4"/>
      <c r="R62" s="4"/>
      <c r="S62" s="4"/>
      <c r="T62" s="4"/>
      <c r="U62" s="4"/>
      <c r="V62" s="4"/>
      <c r="W62" s="4"/>
      <c r="X62" s="4"/>
      <c r="Y62" s="4"/>
      <c r="Z62" s="4"/>
    </row>
  </sheetData>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79.88"/>
    <col customWidth="1" min="2" max="2" width="20.0"/>
    <col customWidth="1" min="3" max="3" width="12.5"/>
  </cols>
  <sheetData>
    <row r="1">
      <c r="A1" s="17" t="s">
        <v>185</v>
      </c>
      <c r="C1" s="18"/>
      <c r="D1" s="19"/>
      <c r="E1" s="19"/>
      <c r="F1" s="19"/>
      <c r="G1" s="19"/>
      <c r="H1" s="19"/>
      <c r="I1" s="19"/>
      <c r="J1" s="19"/>
      <c r="K1" s="19"/>
      <c r="L1" s="19"/>
      <c r="M1" s="19"/>
      <c r="N1" s="19"/>
      <c r="O1" s="19"/>
      <c r="P1" s="19"/>
      <c r="Q1" s="19"/>
      <c r="R1" s="19"/>
      <c r="S1" s="19"/>
      <c r="T1" s="19"/>
      <c r="U1" s="19"/>
      <c r="V1" s="19"/>
      <c r="W1" s="19"/>
      <c r="X1" s="19"/>
      <c r="Y1" s="19"/>
      <c r="Z1" s="19"/>
    </row>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4.38"/>
    <col customWidth="1" min="2" max="2" width="50.88"/>
    <col customWidth="1" min="3" max="3" width="37.38"/>
  </cols>
  <sheetData>
    <row r="1" ht="15.75" customHeight="1">
      <c r="A1" s="20" t="s">
        <v>186</v>
      </c>
      <c r="B1" s="20" t="s">
        <v>187</v>
      </c>
      <c r="C1" s="20" t="s">
        <v>188</v>
      </c>
      <c r="D1" s="21"/>
      <c r="E1" s="21"/>
      <c r="F1" s="21"/>
      <c r="G1" s="21"/>
      <c r="H1" s="21"/>
      <c r="I1" s="21"/>
      <c r="J1" s="21"/>
      <c r="K1" s="21"/>
      <c r="L1" s="21"/>
      <c r="M1" s="21"/>
      <c r="N1" s="21"/>
      <c r="O1" s="21"/>
      <c r="P1" s="21"/>
      <c r="Q1" s="21"/>
      <c r="R1" s="21"/>
      <c r="S1" s="21"/>
      <c r="T1" s="21"/>
      <c r="U1" s="21"/>
      <c r="V1" s="21"/>
      <c r="W1" s="21"/>
      <c r="X1" s="21"/>
      <c r="Y1" s="21"/>
      <c r="Z1" s="22"/>
    </row>
    <row r="2" ht="15.75" customHeight="1">
      <c r="A2" s="23" t="s">
        <v>189</v>
      </c>
      <c r="B2" s="23" t="s">
        <v>190</v>
      </c>
      <c r="C2" s="23" t="s">
        <v>191</v>
      </c>
      <c r="D2" s="24"/>
      <c r="E2" s="24"/>
      <c r="F2" s="24"/>
      <c r="G2" s="24"/>
      <c r="H2" s="24"/>
      <c r="I2" s="24"/>
      <c r="J2" s="24"/>
      <c r="K2" s="24"/>
      <c r="L2" s="24"/>
      <c r="M2" s="24"/>
      <c r="N2" s="24"/>
      <c r="O2" s="24"/>
      <c r="P2" s="24"/>
      <c r="Q2" s="24"/>
      <c r="R2" s="24"/>
      <c r="S2" s="24"/>
      <c r="T2" s="24"/>
      <c r="U2" s="24"/>
      <c r="V2" s="24"/>
      <c r="W2" s="24"/>
      <c r="X2" s="24"/>
      <c r="Y2" s="24"/>
      <c r="Z2" s="22"/>
    </row>
    <row r="3" ht="15.75" customHeight="1">
      <c r="A3" s="23" t="s">
        <v>192</v>
      </c>
      <c r="B3" s="23" t="s">
        <v>193</v>
      </c>
      <c r="C3" s="23" t="s">
        <v>194</v>
      </c>
      <c r="D3" s="24"/>
      <c r="E3" s="24"/>
      <c r="F3" s="24"/>
      <c r="G3" s="24"/>
      <c r="H3" s="24"/>
      <c r="I3" s="24"/>
      <c r="J3" s="24"/>
      <c r="K3" s="24"/>
      <c r="L3" s="24"/>
      <c r="M3" s="24"/>
      <c r="N3" s="24"/>
      <c r="O3" s="24"/>
      <c r="P3" s="24"/>
      <c r="Q3" s="24"/>
      <c r="R3" s="24"/>
      <c r="S3" s="24"/>
      <c r="T3" s="24"/>
      <c r="U3" s="24"/>
      <c r="V3" s="24"/>
      <c r="W3" s="24"/>
      <c r="X3" s="24"/>
      <c r="Y3" s="24"/>
      <c r="Z3" s="22"/>
    </row>
    <row r="4" ht="15.75" customHeight="1">
      <c r="A4" s="23" t="s">
        <v>195</v>
      </c>
      <c r="B4" s="23">
        <v>1.25</v>
      </c>
      <c r="C4" s="23" t="s">
        <v>196</v>
      </c>
      <c r="D4" s="24"/>
      <c r="E4" s="24"/>
      <c r="F4" s="24"/>
      <c r="G4" s="24"/>
      <c r="H4" s="24"/>
      <c r="I4" s="24"/>
      <c r="J4" s="24"/>
      <c r="K4" s="24"/>
      <c r="L4" s="24"/>
      <c r="M4" s="24"/>
      <c r="N4" s="24"/>
      <c r="O4" s="24"/>
      <c r="P4" s="24"/>
      <c r="Q4" s="24"/>
      <c r="R4" s="24"/>
      <c r="S4" s="24"/>
      <c r="T4" s="24"/>
      <c r="U4" s="24"/>
      <c r="V4" s="24"/>
      <c r="W4" s="24"/>
      <c r="X4" s="24"/>
      <c r="Y4" s="24"/>
      <c r="Z4" s="22"/>
    </row>
    <row r="5" ht="15.75" customHeight="1">
      <c r="A5" s="23" t="s">
        <v>197</v>
      </c>
      <c r="B5" s="23">
        <v>0.0</v>
      </c>
      <c r="C5" s="23" t="s">
        <v>198</v>
      </c>
      <c r="D5" s="24"/>
      <c r="E5" s="24"/>
      <c r="F5" s="24"/>
      <c r="G5" s="24"/>
      <c r="H5" s="24"/>
      <c r="I5" s="24"/>
      <c r="J5" s="24"/>
      <c r="K5" s="24"/>
      <c r="L5" s="24"/>
      <c r="M5" s="24"/>
      <c r="N5" s="24"/>
      <c r="O5" s="24"/>
      <c r="P5" s="24"/>
      <c r="Q5" s="24"/>
      <c r="R5" s="24"/>
      <c r="S5" s="24"/>
      <c r="T5" s="24"/>
      <c r="U5" s="24"/>
      <c r="V5" s="24"/>
      <c r="W5" s="24"/>
      <c r="X5" s="24"/>
      <c r="Y5" s="24"/>
      <c r="Z5" s="22"/>
    </row>
    <row r="6" ht="15.75" customHeight="1">
      <c r="A6" s="23" t="s">
        <v>199</v>
      </c>
      <c r="B6" s="23">
        <v>1.0</v>
      </c>
      <c r="C6" s="23" t="s">
        <v>200</v>
      </c>
      <c r="D6" s="24"/>
      <c r="E6" s="24"/>
      <c r="F6" s="24"/>
      <c r="G6" s="24"/>
      <c r="H6" s="24"/>
      <c r="I6" s="24"/>
      <c r="J6" s="24"/>
      <c r="K6" s="24"/>
      <c r="L6" s="24"/>
      <c r="M6" s="24"/>
      <c r="N6" s="24"/>
      <c r="O6" s="24"/>
      <c r="P6" s="24"/>
      <c r="Q6" s="24"/>
      <c r="R6" s="24"/>
      <c r="S6" s="24"/>
      <c r="T6" s="24"/>
      <c r="U6" s="24"/>
      <c r="V6" s="24"/>
      <c r="W6" s="24"/>
      <c r="X6" s="24"/>
      <c r="Y6" s="24"/>
      <c r="Z6" s="22"/>
    </row>
    <row r="7" ht="15.75" customHeight="1">
      <c r="A7" s="23" t="s">
        <v>201</v>
      </c>
      <c r="B7" s="23" t="s">
        <v>202</v>
      </c>
      <c r="C7" s="23" t="s">
        <v>203</v>
      </c>
      <c r="D7" s="24"/>
      <c r="E7" s="24"/>
      <c r="F7" s="24"/>
      <c r="G7" s="24"/>
      <c r="H7" s="24"/>
      <c r="I7" s="24"/>
      <c r="J7" s="24"/>
      <c r="K7" s="24"/>
      <c r="L7" s="24"/>
      <c r="M7" s="24"/>
      <c r="N7" s="24"/>
      <c r="O7" s="24"/>
      <c r="P7" s="24"/>
      <c r="Q7" s="24"/>
      <c r="R7" s="24"/>
      <c r="S7" s="24"/>
      <c r="T7" s="24"/>
      <c r="U7" s="24"/>
      <c r="V7" s="24"/>
      <c r="W7" s="24"/>
      <c r="X7" s="24"/>
      <c r="Y7" s="24"/>
      <c r="Z7" s="22"/>
    </row>
    <row r="8" ht="15.75" customHeight="1">
      <c r="A8" s="23" t="s">
        <v>204</v>
      </c>
      <c r="B8" s="23">
        <v>0.8</v>
      </c>
      <c r="C8" s="23" t="s">
        <v>205</v>
      </c>
      <c r="D8" s="24"/>
      <c r="E8" s="24"/>
      <c r="F8" s="24"/>
      <c r="G8" s="24"/>
      <c r="H8" s="24"/>
      <c r="I8" s="24"/>
      <c r="J8" s="24"/>
      <c r="K8" s="24"/>
      <c r="L8" s="24"/>
      <c r="M8" s="24"/>
      <c r="N8" s="24"/>
      <c r="O8" s="24"/>
      <c r="P8" s="24"/>
      <c r="Q8" s="24"/>
      <c r="R8" s="24"/>
      <c r="S8" s="24"/>
      <c r="T8" s="24"/>
      <c r="U8" s="24"/>
      <c r="V8" s="24"/>
      <c r="W8" s="24"/>
      <c r="X8" s="24"/>
      <c r="Y8" s="24"/>
      <c r="Z8" s="22"/>
    </row>
    <row r="9" ht="15.75" customHeight="1">
      <c r="A9" s="23" t="s">
        <v>206</v>
      </c>
      <c r="B9" s="23" t="s">
        <v>207</v>
      </c>
      <c r="C9" s="23" t="s">
        <v>208</v>
      </c>
      <c r="D9" s="24"/>
      <c r="E9" s="24"/>
      <c r="F9" s="24"/>
      <c r="G9" s="24"/>
      <c r="H9" s="24"/>
      <c r="I9" s="24"/>
      <c r="J9" s="24"/>
      <c r="K9" s="24"/>
      <c r="L9" s="24"/>
      <c r="M9" s="24"/>
      <c r="N9" s="24"/>
      <c r="O9" s="24"/>
      <c r="P9" s="24"/>
      <c r="Q9" s="24"/>
      <c r="R9" s="24"/>
      <c r="S9" s="24"/>
      <c r="T9" s="24"/>
      <c r="U9" s="24"/>
      <c r="V9" s="24"/>
      <c r="W9" s="24"/>
      <c r="X9" s="24"/>
      <c r="Y9" s="24"/>
      <c r="Z9" s="22"/>
    </row>
    <row r="10" ht="15.75" customHeight="1">
      <c r="A10" s="23" t="s">
        <v>209</v>
      </c>
      <c r="B10" s="23" t="s">
        <v>210</v>
      </c>
      <c r="C10" s="23" t="s">
        <v>211</v>
      </c>
      <c r="D10" s="24"/>
      <c r="E10" s="24"/>
      <c r="F10" s="24"/>
      <c r="G10" s="24"/>
      <c r="H10" s="24"/>
      <c r="I10" s="24"/>
      <c r="J10" s="24"/>
      <c r="K10" s="24"/>
      <c r="L10" s="24"/>
      <c r="M10" s="24"/>
      <c r="N10" s="24"/>
      <c r="O10" s="24"/>
      <c r="P10" s="24"/>
      <c r="Q10" s="24"/>
      <c r="R10" s="24"/>
      <c r="S10" s="24"/>
      <c r="T10" s="24"/>
      <c r="U10" s="24"/>
      <c r="V10" s="24"/>
      <c r="W10" s="24"/>
      <c r="X10" s="24"/>
      <c r="Y10" s="24"/>
      <c r="Z10" s="22"/>
    </row>
    <row r="11" ht="15.75" customHeight="1">
      <c r="A11" s="23" t="s">
        <v>212</v>
      </c>
      <c r="B11" s="23">
        <v>1.0</v>
      </c>
      <c r="C11" s="23" t="s">
        <v>213</v>
      </c>
      <c r="D11" s="24"/>
      <c r="E11" s="24"/>
      <c r="F11" s="24"/>
      <c r="G11" s="24"/>
      <c r="H11" s="24"/>
      <c r="I11" s="24"/>
      <c r="J11" s="24"/>
      <c r="K11" s="24"/>
      <c r="L11" s="24"/>
      <c r="M11" s="24"/>
      <c r="N11" s="24"/>
      <c r="O11" s="24"/>
      <c r="P11" s="24"/>
      <c r="Q11" s="24"/>
      <c r="R11" s="24"/>
      <c r="S11" s="24"/>
      <c r="T11" s="24"/>
      <c r="U11" s="24"/>
      <c r="V11" s="24"/>
      <c r="W11" s="24"/>
      <c r="X11" s="24"/>
      <c r="Y11" s="24"/>
      <c r="Z11" s="22"/>
    </row>
    <row r="12" ht="15.75" customHeight="1">
      <c r="A12" s="23" t="s">
        <v>214</v>
      </c>
      <c r="B12" s="23">
        <v>0.0</v>
      </c>
      <c r="C12" s="23" t="s">
        <v>215</v>
      </c>
      <c r="D12" s="24"/>
      <c r="E12" s="24"/>
      <c r="F12" s="24"/>
      <c r="G12" s="24"/>
      <c r="H12" s="24"/>
      <c r="I12" s="24"/>
      <c r="J12" s="24"/>
      <c r="K12" s="24"/>
      <c r="L12" s="24"/>
      <c r="M12" s="24"/>
      <c r="N12" s="24"/>
      <c r="O12" s="24"/>
      <c r="P12" s="24"/>
      <c r="Q12" s="24"/>
      <c r="R12" s="24"/>
      <c r="S12" s="24"/>
      <c r="T12" s="24"/>
      <c r="U12" s="24"/>
      <c r="V12" s="24"/>
      <c r="W12" s="24"/>
      <c r="X12" s="24"/>
      <c r="Y12" s="24"/>
      <c r="Z12" s="22"/>
    </row>
    <row r="13" ht="15.75" customHeight="1">
      <c r="A13" s="23" t="s">
        <v>216</v>
      </c>
      <c r="B13" s="23" t="s">
        <v>217</v>
      </c>
      <c r="C13" s="23" t="s">
        <v>218</v>
      </c>
      <c r="D13" s="24"/>
      <c r="E13" s="24"/>
      <c r="F13" s="24"/>
      <c r="G13" s="24"/>
      <c r="H13" s="24"/>
      <c r="I13" s="24"/>
      <c r="J13" s="24"/>
      <c r="K13" s="24"/>
      <c r="L13" s="24"/>
      <c r="M13" s="24"/>
      <c r="N13" s="24"/>
      <c r="O13" s="24"/>
      <c r="P13" s="24"/>
      <c r="Q13" s="24"/>
      <c r="R13" s="24"/>
      <c r="S13" s="24"/>
      <c r="T13" s="24"/>
      <c r="U13" s="24"/>
      <c r="V13" s="24"/>
      <c r="W13" s="24"/>
      <c r="X13" s="24"/>
      <c r="Y13" s="24"/>
      <c r="Z13" s="22"/>
    </row>
    <row r="14" ht="15.75" customHeight="1">
      <c r="A14" s="23" t="s">
        <v>219</v>
      </c>
      <c r="B14" s="23" t="s">
        <v>207</v>
      </c>
      <c r="C14" s="23" t="s">
        <v>220</v>
      </c>
      <c r="D14" s="24"/>
      <c r="E14" s="24"/>
      <c r="F14" s="24"/>
      <c r="G14" s="24"/>
      <c r="H14" s="24"/>
      <c r="I14" s="24"/>
      <c r="J14" s="24"/>
      <c r="K14" s="24"/>
      <c r="L14" s="24"/>
      <c r="M14" s="24"/>
      <c r="N14" s="24"/>
      <c r="O14" s="24"/>
      <c r="P14" s="24"/>
      <c r="Q14" s="24"/>
      <c r="R14" s="24"/>
      <c r="S14" s="24"/>
      <c r="T14" s="24"/>
      <c r="U14" s="24"/>
      <c r="V14" s="24"/>
      <c r="W14" s="24"/>
      <c r="X14" s="24"/>
      <c r="Y14" s="24"/>
      <c r="Z14" s="22"/>
    </row>
    <row r="15" ht="15.75" customHeight="1">
      <c r="A15" s="23" t="s">
        <v>221</v>
      </c>
      <c r="B15" s="23">
        <v>1.0</v>
      </c>
      <c r="C15" s="23" t="s">
        <v>222</v>
      </c>
      <c r="D15" s="24"/>
      <c r="E15" s="24"/>
      <c r="F15" s="24"/>
      <c r="G15" s="24"/>
      <c r="H15" s="24"/>
      <c r="I15" s="24"/>
      <c r="J15" s="24"/>
      <c r="K15" s="24"/>
      <c r="L15" s="24"/>
      <c r="M15" s="24"/>
      <c r="N15" s="24"/>
      <c r="O15" s="24"/>
      <c r="P15" s="24"/>
      <c r="Q15" s="24"/>
      <c r="R15" s="24"/>
      <c r="S15" s="24"/>
      <c r="T15" s="24"/>
      <c r="U15" s="24"/>
      <c r="V15" s="24"/>
      <c r="W15" s="24"/>
      <c r="X15" s="24"/>
      <c r="Y15" s="24"/>
      <c r="Z15" s="22"/>
    </row>
    <row r="16" ht="15.75" customHeight="1">
      <c r="A16" s="23" t="s">
        <v>223</v>
      </c>
      <c r="B16" s="23" t="s">
        <v>224</v>
      </c>
      <c r="C16" s="23" t="s">
        <v>225</v>
      </c>
      <c r="D16" s="24"/>
      <c r="E16" s="24"/>
      <c r="F16" s="24"/>
      <c r="G16" s="24"/>
      <c r="H16" s="24"/>
      <c r="I16" s="24"/>
      <c r="J16" s="24"/>
      <c r="K16" s="24"/>
      <c r="L16" s="24"/>
      <c r="M16" s="24"/>
      <c r="N16" s="24"/>
      <c r="O16" s="24"/>
      <c r="P16" s="24"/>
      <c r="Q16" s="24"/>
      <c r="R16" s="24"/>
      <c r="S16" s="24"/>
      <c r="T16" s="24"/>
      <c r="U16" s="24"/>
      <c r="V16" s="24"/>
      <c r="W16" s="24"/>
      <c r="X16" s="24"/>
      <c r="Y16" s="24"/>
      <c r="Z16" s="22"/>
    </row>
    <row r="17" ht="15.75" customHeight="1">
      <c r="A17" s="23" t="s">
        <v>226</v>
      </c>
      <c r="B17" s="23" t="s">
        <v>227</v>
      </c>
      <c r="C17" s="23" t="s">
        <v>228</v>
      </c>
      <c r="D17" s="24"/>
      <c r="E17" s="24"/>
      <c r="F17" s="24"/>
      <c r="G17" s="24"/>
      <c r="H17" s="24"/>
      <c r="I17" s="24"/>
      <c r="J17" s="24"/>
      <c r="K17" s="24"/>
      <c r="L17" s="24"/>
      <c r="M17" s="24"/>
      <c r="N17" s="24"/>
      <c r="O17" s="24"/>
      <c r="P17" s="24"/>
      <c r="Q17" s="24"/>
      <c r="R17" s="24"/>
      <c r="S17" s="24"/>
      <c r="T17" s="24"/>
      <c r="U17" s="24"/>
      <c r="V17" s="24"/>
      <c r="W17" s="24"/>
      <c r="X17" s="24"/>
      <c r="Y17" s="24"/>
      <c r="Z17" s="22"/>
    </row>
    <row r="18" ht="15.75" customHeight="1">
      <c r="A18" s="23" t="s">
        <v>229</v>
      </c>
      <c r="B18" s="23">
        <v>0.5</v>
      </c>
      <c r="C18" s="23" t="s">
        <v>230</v>
      </c>
      <c r="D18" s="24"/>
      <c r="E18" s="24"/>
      <c r="F18" s="24"/>
      <c r="G18" s="24"/>
      <c r="H18" s="24"/>
      <c r="I18" s="24"/>
      <c r="J18" s="24"/>
      <c r="K18" s="24"/>
      <c r="L18" s="24"/>
      <c r="M18" s="24"/>
      <c r="N18" s="24"/>
      <c r="O18" s="24"/>
      <c r="P18" s="24"/>
      <c r="Q18" s="24"/>
      <c r="R18" s="24"/>
      <c r="S18" s="24"/>
      <c r="T18" s="24"/>
      <c r="U18" s="24"/>
      <c r="V18" s="24"/>
      <c r="W18" s="24"/>
      <c r="X18" s="24"/>
      <c r="Y18" s="24"/>
      <c r="Z18" s="22"/>
    </row>
    <row r="19" ht="15.75" customHeight="1">
      <c r="A19" s="23" t="s">
        <v>231</v>
      </c>
      <c r="B19" s="23">
        <v>2.5</v>
      </c>
      <c r="C19" s="23" t="s">
        <v>232</v>
      </c>
      <c r="D19" s="24"/>
      <c r="E19" s="24"/>
      <c r="F19" s="24"/>
      <c r="G19" s="24"/>
      <c r="H19" s="24"/>
      <c r="I19" s="24"/>
      <c r="J19" s="24"/>
      <c r="K19" s="24"/>
      <c r="L19" s="24"/>
      <c r="M19" s="24"/>
      <c r="N19" s="24"/>
      <c r="O19" s="24"/>
      <c r="P19" s="24"/>
      <c r="Q19" s="24"/>
      <c r="R19" s="24"/>
      <c r="S19" s="24"/>
      <c r="T19" s="24"/>
      <c r="U19" s="24"/>
      <c r="V19" s="24"/>
      <c r="W19" s="24"/>
      <c r="X19" s="24"/>
      <c r="Y19" s="24"/>
      <c r="Z19" s="22"/>
    </row>
    <row r="20" ht="15.75" customHeight="1">
      <c r="A20" s="23" t="s">
        <v>233</v>
      </c>
      <c r="B20" s="23" t="s">
        <v>234</v>
      </c>
      <c r="C20" s="23" t="s">
        <v>235</v>
      </c>
      <c r="D20" s="22"/>
      <c r="E20" s="22"/>
      <c r="F20" s="22"/>
      <c r="G20" s="22"/>
      <c r="H20" s="22"/>
      <c r="I20" s="22"/>
      <c r="J20" s="22"/>
      <c r="K20" s="22"/>
      <c r="L20" s="22"/>
      <c r="M20" s="22"/>
      <c r="N20" s="22"/>
      <c r="O20" s="22"/>
      <c r="P20" s="22"/>
      <c r="Q20" s="22"/>
      <c r="R20" s="22"/>
      <c r="S20" s="22"/>
      <c r="T20" s="22"/>
      <c r="U20" s="22"/>
      <c r="V20" s="22"/>
      <c r="W20" s="22"/>
      <c r="X20" s="22"/>
      <c r="Y20" s="22"/>
      <c r="Z20" s="22"/>
    </row>
    <row r="21" ht="15.75" customHeight="1">
      <c r="A21" s="23" t="s">
        <v>236</v>
      </c>
      <c r="B21" s="23">
        <v>1.0</v>
      </c>
      <c r="C21" s="23" t="s">
        <v>237</v>
      </c>
      <c r="D21" s="22"/>
      <c r="E21" s="22"/>
      <c r="F21" s="22"/>
      <c r="G21" s="22"/>
      <c r="H21" s="22"/>
      <c r="I21" s="22"/>
      <c r="J21" s="22"/>
      <c r="K21" s="22"/>
      <c r="L21" s="22"/>
      <c r="M21" s="22"/>
      <c r="N21" s="22"/>
      <c r="O21" s="22"/>
      <c r="P21" s="22"/>
      <c r="Q21" s="22"/>
      <c r="R21" s="22"/>
      <c r="S21" s="22"/>
      <c r="T21" s="22"/>
      <c r="U21" s="22"/>
      <c r="V21" s="22"/>
      <c r="W21" s="22"/>
      <c r="X21" s="22"/>
      <c r="Y21" s="22"/>
      <c r="Z21" s="22"/>
    </row>
    <row r="22" ht="15.75" customHeight="1">
      <c r="A22" s="23" t="s">
        <v>238</v>
      </c>
      <c r="B22" s="23" t="s">
        <v>239</v>
      </c>
      <c r="C22" s="23" t="s">
        <v>240</v>
      </c>
      <c r="D22" s="22"/>
      <c r="E22" s="22"/>
      <c r="F22" s="22"/>
      <c r="G22" s="22"/>
      <c r="H22" s="22"/>
      <c r="I22" s="22"/>
      <c r="J22" s="22"/>
      <c r="K22" s="22"/>
      <c r="L22" s="22"/>
      <c r="M22" s="22"/>
      <c r="N22" s="22"/>
      <c r="O22" s="22"/>
      <c r="P22" s="22"/>
      <c r="Q22" s="22"/>
      <c r="R22" s="22"/>
      <c r="S22" s="22"/>
      <c r="T22" s="22"/>
      <c r="U22" s="22"/>
      <c r="V22" s="22"/>
      <c r="W22" s="22"/>
      <c r="X22" s="22"/>
      <c r="Y22" s="22"/>
      <c r="Z22" s="22"/>
    </row>
    <row r="23" ht="15.75" customHeight="1">
      <c r="A23" s="23" t="s">
        <v>241</v>
      </c>
      <c r="B23" s="23" t="s">
        <v>242</v>
      </c>
      <c r="C23" s="23" t="s">
        <v>243</v>
      </c>
      <c r="D23" s="22"/>
      <c r="E23" s="22"/>
      <c r="F23" s="22"/>
      <c r="G23" s="22"/>
      <c r="H23" s="22"/>
      <c r="I23" s="22"/>
      <c r="J23" s="22"/>
      <c r="K23" s="22"/>
      <c r="L23" s="22"/>
      <c r="M23" s="22"/>
      <c r="N23" s="22"/>
      <c r="O23" s="22"/>
      <c r="P23" s="22"/>
      <c r="Q23" s="22"/>
      <c r="R23" s="22"/>
      <c r="S23" s="22"/>
      <c r="T23" s="22"/>
      <c r="U23" s="22"/>
      <c r="V23" s="22"/>
      <c r="W23" s="22"/>
      <c r="X23" s="22"/>
      <c r="Y23" s="22"/>
      <c r="Z23" s="22"/>
    </row>
    <row r="24" ht="15.75" customHeight="1">
      <c r="A24" s="23" t="s">
        <v>244</v>
      </c>
      <c r="B24" s="23" t="s">
        <v>245</v>
      </c>
      <c r="C24" s="23" t="s">
        <v>246</v>
      </c>
      <c r="D24" s="22"/>
      <c r="E24" s="22"/>
      <c r="F24" s="22"/>
      <c r="G24" s="22"/>
      <c r="H24" s="22"/>
      <c r="I24" s="22"/>
      <c r="J24" s="22"/>
      <c r="K24" s="22"/>
      <c r="L24" s="22"/>
      <c r="M24" s="22"/>
      <c r="N24" s="22"/>
      <c r="O24" s="22"/>
      <c r="P24" s="22"/>
      <c r="Q24" s="22"/>
      <c r="R24" s="22"/>
      <c r="S24" s="22"/>
      <c r="T24" s="22"/>
      <c r="U24" s="22"/>
      <c r="V24" s="22"/>
      <c r="W24" s="22"/>
      <c r="X24" s="22"/>
      <c r="Y24" s="22"/>
      <c r="Z24" s="22"/>
    </row>
    <row r="25" ht="15.75" customHeight="1">
      <c r="A25" s="23" t="s">
        <v>247</v>
      </c>
      <c r="B25" s="23" t="s">
        <v>248</v>
      </c>
      <c r="C25" s="23" t="s">
        <v>249</v>
      </c>
      <c r="D25" s="22"/>
      <c r="E25" s="22"/>
      <c r="F25" s="22"/>
      <c r="G25" s="22"/>
      <c r="H25" s="22"/>
      <c r="I25" s="22"/>
      <c r="J25" s="22"/>
      <c r="K25" s="22"/>
      <c r="L25" s="22"/>
      <c r="M25" s="22"/>
      <c r="N25" s="22"/>
      <c r="O25" s="22"/>
      <c r="P25" s="22"/>
      <c r="Q25" s="22"/>
      <c r="R25" s="22"/>
      <c r="S25" s="22"/>
      <c r="T25" s="22"/>
      <c r="U25" s="22"/>
      <c r="V25" s="22"/>
      <c r="W25" s="22"/>
      <c r="X25" s="22"/>
      <c r="Y25" s="22"/>
      <c r="Z25" s="22"/>
    </row>
    <row r="26" ht="15.75" customHeight="1">
      <c r="A26" s="23" t="s">
        <v>250</v>
      </c>
      <c r="B26" s="23">
        <v>0.0</v>
      </c>
      <c r="C26" s="23" t="s">
        <v>251</v>
      </c>
      <c r="D26" s="22"/>
      <c r="E26" s="22"/>
      <c r="F26" s="22"/>
      <c r="G26" s="22"/>
      <c r="H26" s="22"/>
      <c r="I26" s="22"/>
      <c r="J26" s="22"/>
      <c r="K26" s="22"/>
      <c r="L26" s="22"/>
      <c r="M26" s="22"/>
      <c r="N26" s="22"/>
      <c r="O26" s="22"/>
      <c r="P26" s="22"/>
      <c r="Q26" s="22"/>
      <c r="R26" s="22"/>
      <c r="S26" s="22"/>
      <c r="T26" s="22"/>
      <c r="U26" s="22"/>
      <c r="V26" s="22"/>
      <c r="W26" s="22"/>
      <c r="X26" s="22"/>
      <c r="Y26" s="22"/>
      <c r="Z26" s="22"/>
    </row>
    <row r="27" ht="15.75" customHeight="1">
      <c r="A27" s="23" t="s">
        <v>252</v>
      </c>
      <c r="B27" s="23">
        <v>0.0</v>
      </c>
      <c r="C27" s="23" t="s">
        <v>253</v>
      </c>
      <c r="D27" s="22"/>
      <c r="E27" s="22"/>
      <c r="F27" s="22"/>
      <c r="G27" s="22"/>
      <c r="H27" s="22"/>
      <c r="I27" s="22"/>
      <c r="J27" s="22"/>
      <c r="K27" s="22"/>
      <c r="L27" s="22"/>
      <c r="M27" s="22"/>
      <c r="N27" s="22"/>
      <c r="O27" s="22"/>
      <c r="P27" s="22"/>
      <c r="Q27" s="22"/>
      <c r="R27" s="22"/>
      <c r="S27" s="22"/>
      <c r="T27" s="22"/>
      <c r="U27" s="22"/>
      <c r="V27" s="22"/>
      <c r="W27" s="22"/>
      <c r="X27" s="22"/>
      <c r="Y27" s="22"/>
      <c r="Z27" s="22"/>
    </row>
    <row r="28" ht="15.75" customHeight="1">
      <c r="A28" s="23" t="s">
        <v>254</v>
      </c>
      <c r="B28" s="23">
        <v>0.0</v>
      </c>
      <c r="C28" s="23" t="s">
        <v>255</v>
      </c>
      <c r="D28" s="22"/>
      <c r="E28" s="22"/>
      <c r="F28" s="22"/>
      <c r="G28" s="22"/>
      <c r="H28" s="22"/>
      <c r="I28" s="22"/>
      <c r="J28" s="22"/>
      <c r="K28" s="22"/>
      <c r="L28" s="22"/>
      <c r="M28" s="22"/>
      <c r="N28" s="22"/>
      <c r="O28" s="22"/>
      <c r="P28" s="22"/>
      <c r="Q28" s="22"/>
      <c r="R28" s="22"/>
      <c r="S28" s="22"/>
      <c r="T28" s="22"/>
      <c r="U28" s="22"/>
      <c r="V28" s="22"/>
      <c r="W28" s="22"/>
      <c r="X28" s="22"/>
      <c r="Y28" s="22"/>
      <c r="Z28" s="22"/>
    </row>
    <row r="29" ht="15.75" customHeight="1">
      <c r="A29" s="23" t="s">
        <v>256</v>
      </c>
      <c r="B29" s="23" t="s">
        <v>257</v>
      </c>
      <c r="C29" s="23" t="s">
        <v>258</v>
      </c>
      <c r="D29" s="22"/>
      <c r="E29" s="22"/>
      <c r="F29" s="22"/>
      <c r="G29" s="22"/>
      <c r="H29" s="22"/>
      <c r="I29" s="22"/>
      <c r="J29" s="22"/>
      <c r="K29" s="22"/>
      <c r="L29" s="22"/>
      <c r="M29" s="22"/>
      <c r="N29" s="22"/>
      <c r="O29" s="22"/>
      <c r="P29" s="22"/>
      <c r="Q29" s="22"/>
      <c r="R29" s="22"/>
      <c r="S29" s="22"/>
      <c r="T29" s="22"/>
      <c r="U29" s="22"/>
      <c r="V29" s="22"/>
      <c r="W29" s="22"/>
      <c r="X29" s="22"/>
      <c r="Y29" s="22"/>
      <c r="Z29" s="22"/>
    </row>
    <row r="30" ht="15.75" customHeight="1">
      <c r="A30" s="23" t="s">
        <v>259</v>
      </c>
      <c r="B30" s="23" t="s">
        <v>260</v>
      </c>
      <c r="C30" s="23" t="s">
        <v>261</v>
      </c>
      <c r="D30" s="22"/>
      <c r="E30" s="22"/>
      <c r="F30" s="22"/>
      <c r="G30" s="22"/>
      <c r="H30" s="22"/>
      <c r="I30" s="22"/>
      <c r="J30" s="22"/>
      <c r="K30" s="22"/>
      <c r="L30" s="22"/>
      <c r="M30" s="22"/>
      <c r="N30" s="22"/>
      <c r="O30" s="22"/>
      <c r="P30" s="22"/>
      <c r="Q30" s="22"/>
      <c r="R30" s="22"/>
      <c r="S30" s="22"/>
      <c r="T30" s="22"/>
      <c r="U30" s="22"/>
      <c r="V30" s="22"/>
      <c r="W30" s="22"/>
      <c r="X30" s="22"/>
      <c r="Y30" s="22"/>
      <c r="Z30" s="22"/>
    </row>
    <row r="31" ht="15.75" customHeight="1">
      <c r="A31" s="23" t="s">
        <v>262</v>
      </c>
      <c r="B31" s="23">
        <v>1.0</v>
      </c>
      <c r="C31" s="23" t="s">
        <v>263</v>
      </c>
      <c r="D31" s="22"/>
      <c r="E31" s="22"/>
      <c r="F31" s="22"/>
      <c r="G31" s="22"/>
      <c r="H31" s="22"/>
      <c r="I31" s="22"/>
      <c r="J31" s="22"/>
      <c r="K31" s="22"/>
      <c r="L31" s="22"/>
      <c r="M31" s="22"/>
      <c r="N31" s="22"/>
      <c r="O31" s="22"/>
      <c r="P31" s="22"/>
      <c r="Q31" s="22"/>
      <c r="R31" s="22"/>
      <c r="S31" s="22"/>
      <c r="T31" s="22"/>
      <c r="U31" s="22"/>
      <c r="V31" s="22"/>
      <c r="W31" s="22"/>
      <c r="X31" s="22"/>
      <c r="Y31" s="22"/>
      <c r="Z31" s="22"/>
    </row>
    <row r="32" ht="15.75" customHeight="1">
      <c r="A32" s="23" t="s">
        <v>264</v>
      </c>
      <c r="B32" s="23" t="s">
        <v>265</v>
      </c>
      <c r="C32" s="23" t="s">
        <v>266</v>
      </c>
      <c r="D32" s="22"/>
      <c r="E32" s="22"/>
      <c r="F32" s="22"/>
      <c r="G32" s="22"/>
      <c r="H32" s="22"/>
      <c r="I32" s="22"/>
      <c r="J32" s="22"/>
      <c r="K32" s="22"/>
      <c r="L32" s="22"/>
      <c r="M32" s="22"/>
      <c r="N32" s="22"/>
      <c r="O32" s="22"/>
      <c r="P32" s="22"/>
      <c r="Q32" s="22"/>
      <c r="R32" s="22"/>
      <c r="S32" s="22"/>
      <c r="T32" s="22"/>
      <c r="U32" s="22"/>
      <c r="V32" s="22"/>
      <c r="W32" s="22"/>
      <c r="X32" s="22"/>
      <c r="Y32" s="22"/>
      <c r="Z32" s="22"/>
    </row>
    <row r="33" ht="15.75" customHeight="1">
      <c r="A33" s="23" t="s">
        <v>267</v>
      </c>
      <c r="B33" s="23" t="s">
        <v>268</v>
      </c>
      <c r="C33" s="23" t="s">
        <v>269</v>
      </c>
      <c r="D33" s="22"/>
      <c r="E33" s="22"/>
      <c r="F33" s="22"/>
      <c r="G33" s="22"/>
      <c r="H33" s="22"/>
      <c r="I33" s="22"/>
      <c r="J33" s="22"/>
      <c r="K33" s="22"/>
      <c r="L33" s="22"/>
      <c r="M33" s="22"/>
      <c r="N33" s="22"/>
      <c r="O33" s="22"/>
      <c r="P33" s="22"/>
      <c r="Q33" s="22"/>
      <c r="R33" s="22"/>
      <c r="S33" s="22"/>
      <c r="T33" s="22"/>
      <c r="U33" s="22"/>
      <c r="V33" s="22"/>
      <c r="W33" s="22"/>
      <c r="X33" s="22"/>
      <c r="Y33" s="22"/>
      <c r="Z33" s="22"/>
    </row>
    <row r="34" ht="15.75" customHeight="1">
      <c r="A34" s="23" t="s">
        <v>270</v>
      </c>
      <c r="B34" s="23">
        <v>3.0</v>
      </c>
      <c r="C34" s="23" t="s">
        <v>271</v>
      </c>
      <c r="D34" s="22"/>
      <c r="E34" s="22"/>
      <c r="F34" s="22"/>
      <c r="G34" s="22"/>
      <c r="H34" s="22"/>
      <c r="I34" s="22"/>
      <c r="J34" s="22"/>
      <c r="K34" s="22"/>
      <c r="L34" s="22"/>
      <c r="M34" s="22"/>
      <c r="N34" s="22"/>
      <c r="O34" s="22"/>
      <c r="P34" s="22"/>
      <c r="Q34" s="22"/>
      <c r="R34" s="22"/>
      <c r="S34" s="22"/>
      <c r="T34" s="22"/>
      <c r="U34" s="22"/>
      <c r="V34" s="22"/>
      <c r="W34" s="22"/>
      <c r="X34" s="22"/>
      <c r="Y34" s="22"/>
      <c r="Z34" s="22"/>
    </row>
    <row r="35" ht="15.75" customHeight="1">
      <c r="A35" s="23" t="s">
        <v>272</v>
      </c>
      <c r="B35" s="23">
        <v>4.0</v>
      </c>
      <c r="C35" s="23" t="s">
        <v>273</v>
      </c>
      <c r="D35" s="22"/>
      <c r="E35" s="22"/>
      <c r="F35" s="22"/>
      <c r="G35" s="22"/>
      <c r="H35" s="22"/>
      <c r="I35" s="22"/>
      <c r="J35" s="22"/>
      <c r="K35" s="22"/>
      <c r="L35" s="22"/>
      <c r="M35" s="22"/>
      <c r="N35" s="22"/>
      <c r="O35" s="22"/>
      <c r="P35" s="22"/>
      <c r="Q35" s="22"/>
      <c r="R35" s="22"/>
      <c r="S35" s="22"/>
      <c r="T35" s="22"/>
      <c r="U35" s="22"/>
      <c r="V35" s="22"/>
      <c r="W35" s="22"/>
      <c r="X35" s="22"/>
      <c r="Y35" s="22"/>
      <c r="Z35" s="22"/>
    </row>
    <row r="36" ht="15.75" customHeight="1">
      <c r="A36" s="23" t="s">
        <v>274</v>
      </c>
      <c r="B36" s="23" t="s">
        <v>275</v>
      </c>
      <c r="C36" s="23" t="s">
        <v>276</v>
      </c>
      <c r="D36" s="22"/>
      <c r="E36" s="22"/>
      <c r="F36" s="22"/>
      <c r="G36" s="22"/>
      <c r="H36" s="22"/>
      <c r="I36" s="22"/>
      <c r="J36" s="22"/>
      <c r="K36" s="22"/>
      <c r="L36" s="22"/>
      <c r="M36" s="22"/>
      <c r="N36" s="22"/>
      <c r="O36" s="22"/>
      <c r="P36" s="22"/>
      <c r="Q36" s="22"/>
      <c r="R36" s="22"/>
      <c r="S36" s="22"/>
      <c r="T36" s="22"/>
      <c r="U36" s="22"/>
      <c r="V36" s="22"/>
      <c r="W36" s="22"/>
      <c r="X36" s="22"/>
      <c r="Y36" s="22"/>
      <c r="Z36" s="22"/>
    </row>
    <row r="37" ht="15.75" customHeight="1">
      <c r="A37" s="23" t="s">
        <v>277</v>
      </c>
      <c r="B37" s="23" t="s">
        <v>278</v>
      </c>
      <c r="C37" s="23" t="s">
        <v>279</v>
      </c>
      <c r="D37" s="22"/>
      <c r="E37" s="22"/>
      <c r="F37" s="22"/>
      <c r="G37" s="22"/>
      <c r="H37" s="22"/>
      <c r="I37" s="22"/>
      <c r="J37" s="22"/>
      <c r="K37" s="22"/>
      <c r="L37" s="22"/>
      <c r="M37" s="22"/>
      <c r="N37" s="22"/>
      <c r="O37" s="22"/>
      <c r="P37" s="22"/>
      <c r="Q37" s="22"/>
      <c r="R37" s="22"/>
      <c r="S37" s="22"/>
      <c r="T37" s="22"/>
      <c r="U37" s="22"/>
      <c r="V37" s="22"/>
      <c r="W37" s="22"/>
      <c r="X37" s="22"/>
      <c r="Y37" s="22"/>
      <c r="Z37" s="22"/>
    </row>
    <row r="38" ht="15.75" customHeight="1">
      <c r="A38" s="23" t="s">
        <v>280</v>
      </c>
      <c r="B38" s="23" t="s">
        <v>281</v>
      </c>
      <c r="C38" s="23" t="s">
        <v>282</v>
      </c>
      <c r="D38" s="22"/>
      <c r="E38" s="22"/>
      <c r="F38" s="22"/>
      <c r="G38" s="22"/>
      <c r="H38" s="22"/>
      <c r="I38" s="22"/>
      <c r="J38" s="22"/>
      <c r="K38" s="22"/>
      <c r="L38" s="22"/>
      <c r="M38" s="22"/>
      <c r="N38" s="22"/>
      <c r="O38" s="22"/>
      <c r="P38" s="22"/>
      <c r="Q38" s="22"/>
      <c r="R38" s="22"/>
      <c r="S38" s="22"/>
      <c r="T38" s="22"/>
      <c r="U38" s="22"/>
      <c r="V38" s="22"/>
      <c r="W38" s="22"/>
      <c r="X38" s="22"/>
      <c r="Y38" s="22"/>
      <c r="Z38" s="22"/>
    </row>
    <row r="39" ht="15.75" customHeight="1">
      <c r="A39" s="23" t="s">
        <v>283</v>
      </c>
      <c r="B39" s="23">
        <v>1.0</v>
      </c>
      <c r="C39" s="23" t="s">
        <v>284</v>
      </c>
      <c r="D39" s="22"/>
      <c r="E39" s="22"/>
      <c r="F39" s="22"/>
      <c r="G39" s="22"/>
      <c r="H39" s="22"/>
      <c r="I39" s="22"/>
      <c r="J39" s="22"/>
      <c r="K39" s="22"/>
      <c r="L39" s="22"/>
      <c r="M39" s="22"/>
      <c r="N39" s="22"/>
      <c r="O39" s="22"/>
      <c r="P39" s="22"/>
      <c r="Q39" s="22"/>
      <c r="R39" s="22"/>
      <c r="S39" s="22"/>
      <c r="T39" s="22"/>
      <c r="U39" s="22"/>
      <c r="V39" s="22"/>
      <c r="W39" s="22"/>
      <c r="X39" s="22"/>
      <c r="Y39" s="22"/>
      <c r="Z39" s="22"/>
    </row>
    <row r="40" ht="15.75" customHeight="1">
      <c r="A40" s="23" t="s">
        <v>285</v>
      </c>
      <c r="B40" s="23" t="s">
        <v>286</v>
      </c>
      <c r="C40" s="23" t="s">
        <v>287</v>
      </c>
      <c r="D40" s="22"/>
      <c r="E40" s="22"/>
      <c r="F40" s="22"/>
      <c r="G40" s="22"/>
      <c r="H40" s="22"/>
      <c r="I40" s="22"/>
      <c r="J40" s="22"/>
      <c r="K40" s="22"/>
      <c r="L40" s="22"/>
      <c r="M40" s="22"/>
      <c r="N40" s="22"/>
      <c r="O40" s="22"/>
      <c r="P40" s="22"/>
      <c r="Q40" s="22"/>
      <c r="R40" s="22"/>
      <c r="S40" s="22"/>
      <c r="T40" s="22"/>
      <c r="U40" s="22"/>
      <c r="V40" s="22"/>
      <c r="W40" s="22"/>
      <c r="X40" s="22"/>
      <c r="Y40" s="22"/>
      <c r="Z40" s="22"/>
    </row>
    <row r="41" ht="15.75" customHeight="1">
      <c r="A41" s="23" t="s">
        <v>288</v>
      </c>
      <c r="B41" s="23" t="s">
        <v>289</v>
      </c>
      <c r="C41" s="23" t="s">
        <v>290</v>
      </c>
      <c r="D41" s="22"/>
      <c r="E41" s="22"/>
      <c r="F41" s="22"/>
      <c r="G41" s="22"/>
      <c r="H41" s="22"/>
      <c r="I41" s="22"/>
      <c r="J41" s="22"/>
      <c r="K41" s="22"/>
      <c r="L41" s="22"/>
      <c r="M41" s="22"/>
      <c r="N41" s="22"/>
      <c r="O41" s="22"/>
      <c r="P41" s="22"/>
      <c r="Q41" s="22"/>
      <c r="R41" s="22"/>
      <c r="S41" s="22"/>
      <c r="T41" s="22"/>
      <c r="U41" s="22"/>
      <c r="V41" s="22"/>
      <c r="W41" s="22"/>
      <c r="X41" s="22"/>
      <c r="Y41" s="22"/>
      <c r="Z41" s="22"/>
    </row>
    <row r="42" ht="15.75" customHeight="1">
      <c r="A42" s="23" t="s">
        <v>291</v>
      </c>
      <c r="B42" s="23" t="s">
        <v>292</v>
      </c>
      <c r="C42" s="23" t="s">
        <v>293</v>
      </c>
      <c r="D42" s="22"/>
      <c r="E42" s="22"/>
      <c r="F42" s="22"/>
      <c r="G42" s="22"/>
      <c r="H42" s="22"/>
      <c r="I42" s="22"/>
      <c r="J42" s="22"/>
      <c r="K42" s="22"/>
      <c r="L42" s="22"/>
      <c r="M42" s="22"/>
      <c r="N42" s="22"/>
      <c r="O42" s="22"/>
      <c r="P42" s="22"/>
      <c r="Q42" s="22"/>
      <c r="R42" s="22"/>
      <c r="S42" s="22"/>
      <c r="T42" s="22"/>
      <c r="U42" s="22"/>
      <c r="V42" s="22"/>
      <c r="W42" s="22"/>
      <c r="X42" s="22"/>
      <c r="Y42" s="22"/>
      <c r="Z42" s="22"/>
    </row>
    <row r="43" ht="15.75" customHeight="1">
      <c r="A43" s="23" t="s">
        <v>294</v>
      </c>
      <c r="B43" s="23" t="s">
        <v>295</v>
      </c>
      <c r="C43" s="23" t="s">
        <v>296</v>
      </c>
      <c r="D43" s="22"/>
      <c r="E43" s="22"/>
      <c r="F43" s="22"/>
      <c r="G43" s="22"/>
      <c r="H43" s="22"/>
      <c r="I43" s="22"/>
      <c r="J43" s="22"/>
      <c r="K43" s="22"/>
      <c r="L43" s="22"/>
      <c r="M43" s="22"/>
      <c r="N43" s="22"/>
      <c r="O43" s="22"/>
      <c r="P43" s="22"/>
      <c r="Q43" s="22"/>
      <c r="R43" s="22"/>
      <c r="S43" s="22"/>
      <c r="T43" s="22"/>
      <c r="U43" s="22"/>
      <c r="V43" s="22"/>
      <c r="W43" s="22"/>
      <c r="X43" s="22"/>
      <c r="Y43" s="22"/>
      <c r="Z43" s="22"/>
    </row>
    <row r="44" ht="15.75" customHeight="1">
      <c r="A44" s="23" t="s">
        <v>297</v>
      </c>
      <c r="B44" s="23" t="s">
        <v>298</v>
      </c>
      <c r="C44" s="23" t="s">
        <v>299</v>
      </c>
      <c r="D44" s="22"/>
      <c r="E44" s="22"/>
      <c r="F44" s="22"/>
      <c r="G44" s="22"/>
      <c r="H44" s="22"/>
      <c r="I44" s="22"/>
      <c r="J44" s="22"/>
      <c r="K44" s="22"/>
      <c r="L44" s="22"/>
      <c r="M44" s="22"/>
      <c r="N44" s="22"/>
      <c r="O44" s="22"/>
      <c r="P44" s="22"/>
      <c r="Q44" s="22"/>
      <c r="R44" s="22"/>
      <c r="S44" s="22"/>
      <c r="T44" s="22"/>
      <c r="U44" s="22"/>
      <c r="V44" s="22"/>
      <c r="W44" s="22"/>
      <c r="X44" s="22"/>
      <c r="Y44" s="22"/>
      <c r="Z44" s="22"/>
    </row>
    <row r="45" ht="15.75" customHeight="1">
      <c r="A45" s="23" t="s">
        <v>300</v>
      </c>
      <c r="B45" s="23" t="s">
        <v>301</v>
      </c>
      <c r="C45" s="23" t="s">
        <v>302</v>
      </c>
      <c r="D45" s="22"/>
      <c r="E45" s="22"/>
      <c r="F45" s="22"/>
      <c r="G45" s="22"/>
      <c r="H45" s="22"/>
      <c r="I45" s="22"/>
      <c r="J45" s="22"/>
      <c r="K45" s="22"/>
      <c r="L45" s="22"/>
      <c r="M45" s="22"/>
      <c r="N45" s="22"/>
      <c r="O45" s="22"/>
      <c r="P45" s="22"/>
      <c r="Q45" s="22"/>
      <c r="R45" s="22"/>
      <c r="S45" s="22"/>
      <c r="T45" s="22"/>
      <c r="U45" s="22"/>
      <c r="V45" s="22"/>
      <c r="W45" s="22"/>
      <c r="X45" s="22"/>
      <c r="Y45" s="22"/>
      <c r="Z45" s="22"/>
    </row>
    <row r="46" ht="15.75" customHeight="1">
      <c r="A46" s="23" t="s">
        <v>303</v>
      </c>
      <c r="B46" s="23" t="s">
        <v>304</v>
      </c>
      <c r="C46" s="23" t="s">
        <v>305</v>
      </c>
      <c r="D46" s="22"/>
      <c r="E46" s="22"/>
      <c r="F46" s="22"/>
      <c r="G46" s="22"/>
      <c r="H46" s="22"/>
      <c r="I46" s="22"/>
      <c r="J46" s="22"/>
      <c r="K46" s="22"/>
      <c r="L46" s="22"/>
      <c r="M46" s="22"/>
      <c r="N46" s="22"/>
      <c r="O46" s="22"/>
      <c r="P46" s="22"/>
      <c r="Q46" s="22"/>
      <c r="R46" s="22"/>
      <c r="S46" s="22"/>
      <c r="T46" s="22"/>
      <c r="U46" s="22"/>
      <c r="V46" s="22"/>
      <c r="W46" s="22"/>
      <c r="X46" s="22"/>
      <c r="Y46" s="22"/>
      <c r="Z46" s="22"/>
    </row>
    <row r="47" ht="15.75" customHeight="1">
      <c r="A47" s="23" t="s">
        <v>306</v>
      </c>
      <c r="B47" s="23">
        <v>1.0</v>
      </c>
      <c r="C47" s="23" t="s">
        <v>307</v>
      </c>
      <c r="D47" s="22"/>
      <c r="E47" s="22"/>
      <c r="F47" s="22"/>
      <c r="G47" s="22"/>
      <c r="H47" s="22"/>
      <c r="I47" s="22"/>
      <c r="J47" s="22"/>
      <c r="K47" s="22"/>
      <c r="L47" s="22"/>
      <c r="M47" s="22"/>
      <c r="N47" s="22"/>
      <c r="O47" s="22"/>
      <c r="P47" s="22"/>
      <c r="Q47" s="22"/>
      <c r="R47" s="22"/>
      <c r="S47" s="22"/>
      <c r="T47" s="22"/>
      <c r="U47" s="22"/>
      <c r="V47" s="22"/>
      <c r="W47" s="22"/>
      <c r="X47" s="22"/>
      <c r="Y47" s="22"/>
      <c r="Z47" s="22"/>
    </row>
    <row r="48" ht="15.75" customHeight="1">
      <c r="A48" s="23" t="s">
        <v>308</v>
      </c>
      <c r="B48" s="23" t="s">
        <v>248</v>
      </c>
      <c r="C48" s="23" t="s">
        <v>309</v>
      </c>
      <c r="D48" s="22"/>
      <c r="E48" s="22"/>
      <c r="F48" s="22"/>
      <c r="G48" s="22"/>
      <c r="H48" s="22"/>
      <c r="I48" s="22"/>
      <c r="J48" s="22"/>
      <c r="K48" s="22"/>
      <c r="L48" s="22"/>
      <c r="M48" s="22"/>
      <c r="N48" s="22"/>
      <c r="O48" s="22"/>
      <c r="P48" s="22"/>
      <c r="Q48" s="22"/>
      <c r="R48" s="22"/>
      <c r="S48" s="22"/>
      <c r="T48" s="22"/>
      <c r="U48" s="22"/>
      <c r="V48" s="22"/>
      <c r="W48" s="22"/>
      <c r="X48" s="22"/>
      <c r="Y48" s="22"/>
      <c r="Z48" s="22"/>
    </row>
    <row r="49" ht="15.75" customHeight="1">
      <c r="A49" s="23" t="s">
        <v>310</v>
      </c>
      <c r="B49" s="23" t="s">
        <v>257</v>
      </c>
      <c r="C49" s="23" t="s">
        <v>311</v>
      </c>
      <c r="D49" s="22"/>
      <c r="E49" s="22"/>
      <c r="F49" s="22"/>
      <c r="G49" s="22"/>
      <c r="H49" s="22"/>
      <c r="I49" s="22"/>
      <c r="J49" s="22"/>
      <c r="K49" s="22"/>
      <c r="L49" s="22"/>
      <c r="M49" s="22"/>
      <c r="N49" s="22"/>
      <c r="O49" s="22"/>
      <c r="P49" s="22"/>
      <c r="Q49" s="22"/>
      <c r="R49" s="22"/>
      <c r="S49" s="22"/>
      <c r="T49" s="22"/>
      <c r="U49" s="22"/>
      <c r="V49" s="22"/>
      <c r="W49" s="22"/>
      <c r="X49" s="22"/>
      <c r="Y49" s="22"/>
      <c r="Z49" s="22"/>
    </row>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5.13"/>
    <col customWidth="1" min="2" max="2" width="55.75"/>
    <col customWidth="1" min="3" max="3" width="72.88"/>
    <col customWidth="1" min="4" max="6" width="8.63"/>
  </cols>
  <sheetData>
    <row r="1">
      <c r="A1" s="20" t="s">
        <v>186</v>
      </c>
      <c r="B1" s="20" t="s">
        <v>187</v>
      </c>
      <c r="C1" s="20" t="s">
        <v>188</v>
      </c>
      <c r="D1" s="4"/>
      <c r="E1" s="4"/>
      <c r="F1" s="4"/>
      <c r="G1" s="4"/>
      <c r="H1" s="4"/>
      <c r="I1" s="4"/>
      <c r="J1" s="4"/>
      <c r="K1" s="4"/>
      <c r="L1" s="4"/>
      <c r="M1" s="4"/>
      <c r="N1" s="4"/>
      <c r="O1" s="4"/>
      <c r="P1" s="4"/>
      <c r="Q1" s="4"/>
      <c r="R1" s="4"/>
      <c r="S1" s="4"/>
      <c r="T1" s="4"/>
      <c r="U1" s="4"/>
      <c r="V1" s="4"/>
      <c r="W1" s="4"/>
      <c r="X1" s="4"/>
      <c r="Y1" s="4"/>
      <c r="Z1" s="4"/>
    </row>
    <row r="2">
      <c r="A2" s="23" t="s">
        <v>312</v>
      </c>
      <c r="B2" s="25" t="s">
        <v>313</v>
      </c>
      <c r="C2" s="25" t="s">
        <v>314</v>
      </c>
      <c r="D2" s="4"/>
      <c r="E2" s="4"/>
      <c r="F2" s="4"/>
      <c r="G2" s="4"/>
      <c r="H2" s="4"/>
      <c r="I2" s="4"/>
      <c r="J2" s="4"/>
      <c r="K2" s="4"/>
      <c r="L2" s="4"/>
      <c r="M2" s="4"/>
      <c r="N2" s="4"/>
      <c r="O2" s="4"/>
      <c r="P2" s="4"/>
      <c r="Q2" s="4"/>
      <c r="R2" s="4"/>
      <c r="S2" s="4"/>
      <c r="T2" s="4"/>
      <c r="U2" s="4"/>
      <c r="V2" s="4"/>
      <c r="W2" s="4"/>
      <c r="X2" s="4"/>
      <c r="Y2" s="4"/>
      <c r="Z2" s="4"/>
    </row>
    <row r="3">
      <c r="A3" s="23" t="s">
        <v>315</v>
      </c>
      <c r="B3" s="25" t="s">
        <v>239</v>
      </c>
      <c r="C3" s="25" t="s">
        <v>316</v>
      </c>
      <c r="D3" s="4"/>
      <c r="E3" s="4"/>
      <c r="F3" s="4"/>
      <c r="G3" s="4"/>
      <c r="H3" s="4"/>
      <c r="I3" s="4"/>
      <c r="J3" s="4"/>
      <c r="K3" s="4"/>
      <c r="L3" s="4"/>
      <c r="M3" s="4"/>
      <c r="N3" s="4"/>
      <c r="O3" s="4"/>
      <c r="P3" s="4"/>
      <c r="Q3" s="4"/>
      <c r="R3" s="4"/>
      <c r="S3" s="4"/>
      <c r="T3" s="4"/>
      <c r="U3" s="4"/>
      <c r="V3" s="4"/>
      <c r="W3" s="4"/>
      <c r="X3" s="4"/>
      <c r="Y3" s="4"/>
      <c r="Z3" s="4"/>
    </row>
    <row r="4">
      <c r="A4" s="23" t="s">
        <v>317</v>
      </c>
      <c r="B4" s="25" t="s">
        <v>242</v>
      </c>
      <c r="C4" s="25" t="s">
        <v>318</v>
      </c>
      <c r="D4" s="4"/>
      <c r="E4" s="4"/>
      <c r="F4" s="4"/>
      <c r="G4" s="4"/>
      <c r="H4" s="4"/>
      <c r="I4" s="4"/>
      <c r="J4" s="4"/>
      <c r="K4" s="4"/>
      <c r="L4" s="4"/>
      <c r="M4" s="4"/>
      <c r="N4" s="4"/>
      <c r="O4" s="4"/>
      <c r="P4" s="4"/>
      <c r="Q4" s="4"/>
      <c r="R4" s="4"/>
      <c r="S4" s="4"/>
      <c r="T4" s="4"/>
      <c r="U4" s="4"/>
      <c r="V4" s="4"/>
      <c r="W4" s="4"/>
      <c r="X4" s="4"/>
      <c r="Y4" s="4"/>
      <c r="Z4" s="4"/>
    </row>
    <row r="5">
      <c r="A5" s="23" t="s">
        <v>319</v>
      </c>
      <c r="B5" s="25" t="s">
        <v>320</v>
      </c>
      <c r="C5" s="25" t="s">
        <v>321</v>
      </c>
      <c r="D5" s="4"/>
      <c r="E5" s="4"/>
      <c r="F5" s="4"/>
      <c r="G5" s="4"/>
      <c r="H5" s="4"/>
      <c r="I5" s="4"/>
      <c r="J5" s="4"/>
      <c r="K5" s="4"/>
      <c r="L5" s="4"/>
      <c r="M5" s="4"/>
      <c r="N5" s="4"/>
      <c r="O5" s="4"/>
      <c r="P5" s="4"/>
      <c r="Q5" s="4"/>
      <c r="R5" s="4"/>
      <c r="S5" s="4"/>
      <c r="T5" s="4"/>
      <c r="U5" s="4"/>
      <c r="V5" s="4"/>
      <c r="W5" s="4"/>
      <c r="X5" s="4"/>
      <c r="Y5" s="4"/>
      <c r="Z5" s="4"/>
    </row>
    <row r="6">
      <c r="A6" s="23" t="s">
        <v>322</v>
      </c>
      <c r="B6" s="25" t="s">
        <v>323</v>
      </c>
      <c r="C6" s="25" t="s">
        <v>324</v>
      </c>
      <c r="D6" s="4"/>
      <c r="E6" s="4"/>
      <c r="F6" s="4"/>
      <c r="G6" s="4"/>
      <c r="H6" s="4"/>
      <c r="I6" s="4"/>
      <c r="J6" s="4"/>
      <c r="K6" s="4"/>
      <c r="L6" s="4"/>
      <c r="M6" s="4"/>
      <c r="N6" s="4"/>
      <c r="O6" s="4"/>
      <c r="P6" s="4"/>
      <c r="Q6" s="4"/>
      <c r="R6" s="4"/>
      <c r="S6" s="4"/>
      <c r="T6" s="4"/>
      <c r="U6" s="4"/>
      <c r="V6" s="4"/>
      <c r="W6" s="4"/>
      <c r="X6" s="4"/>
      <c r="Y6" s="4"/>
      <c r="Z6" s="4"/>
    </row>
    <row r="7">
      <c r="A7" s="23" t="s">
        <v>325</v>
      </c>
      <c r="B7" s="25" t="s">
        <v>326</v>
      </c>
      <c r="C7" s="25" t="s">
        <v>327</v>
      </c>
      <c r="D7" s="4"/>
      <c r="E7" s="4"/>
      <c r="F7" s="4"/>
      <c r="G7" s="4"/>
      <c r="H7" s="4"/>
      <c r="I7" s="4"/>
      <c r="J7" s="4"/>
      <c r="K7" s="4"/>
      <c r="L7" s="4"/>
      <c r="M7" s="4"/>
      <c r="N7" s="4"/>
      <c r="O7" s="4"/>
      <c r="P7" s="4"/>
      <c r="Q7" s="4"/>
      <c r="R7" s="4"/>
      <c r="S7" s="4"/>
      <c r="T7" s="4"/>
      <c r="U7" s="4"/>
      <c r="V7" s="4"/>
      <c r="W7" s="4"/>
      <c r="X7" s="4"/>
      <c r="Y7" s="4"/>
      <c r="Z7" s="4"/>
    </row>
    <row r="8">
      <c r="A8" s="23" t="s">
        <v>328</v>
      </c>
      <c r="B8" s="25" t="s">
        <v>329</v>
      </c>
      <c r="C8" s="25" t="s">
        <v>330</v>
      </c>
      <c r="D8" s="4"/>
      <c r="E8" s="4"/>
      <c r="F8" s="4"/>
      <c r="G8" s="4"/>
      <c r="H8" s="4"/>
      <c r="I8" s="4"/>
      <c r="J8" s="4"/>
      <c r="K8" s="4"/>
      <c r="L8" s="4"/>
      <c r="M8" s="4"/>
      <c r="N8" s="4"/>
      <c r="O8" s="4"/>
      <c r="P8" s="4"/>
      <c r="Q8" s="4"/>
      <c r="R8" s="4"/>
      <c r="S8" s="4"/>
      <c r="T8" s="4"/>
      <c r="U8" s="4"/>
      <c r="V8" s="4"/>
      <c r="W8" s="4"/>
      <c r="X8" s="4"/>
      <c r="Y8" s="4"/>
      <c r="Z8" s="4"/>
    </row>
    <row r="9">
      <c r="A9" s="23" t="s">
        <v>331</v>
      </c>
      <c r="B9" s="25">
        <v>0.0</v>
      </c>
      <c r="C9" s="25" t="s">
        <v>332</v>
      </c>
      <c r="D9" s="4"/>
      <c r="E9" s="4"/>
      <c r="F9" s="4"/>
      <c r="G9" s="4"/>
      <c r="H9" s="4"/>
      <c r="I9" s="4"/>
      <c r="J9" s="4"/>
      <c r="K9" s="4"/>
      <c r="L9" s="4"/>
      <c r="M9" s="4"/>
      <c r="N9" s="4"/>
      <c r="O9" s="4"/>
      <c r="P9" s="4"/>
      <c r="Q9" s="4"/>
      <c r="R9" s="4"/>
      <c r="S9" s="4"/>
      <c r="T9" s="4"/>
      <c r="U9" s="4"/>
      <c r="V9" s="4"/>
      <c r="W9" s="4"/>
      <c r="X9" s="4"/>
      <c r="Y9" s="4"/>
      <c r="Z9" s="4"/>
    </row>
    <row r="10">
      <c r="A10" s="23" t="s">
        <v>333</v>
      </c>
      <c r="B10" s="25" t="s">
        <v>334</v>
      </c>
      <c r="C10" s="25" t="s">
        <v>335</v>
      </c>
      <c r="D10" s="4"/>
      <c r="E10" s="4"/>
      <c r="F10" s="4"/>
      <c r="G10" s="4"/>
      <c r="H10" s="4"/>
      <c r="I10" s="4"/>
      <c r="J10" s="4"/>
      <c r="K10" s="4"/>
      <c r="L10" s="4"/>
      <c r="M10" s="4"/>
      <c r="N10" s="4"/>
      <c r="O10" s="4"/>
      <c r="P10" s="4"/>
      <c r="Q10" s="4"/>
      <c r="R10" s="4"/>
      <c r="S10" s="4"/>
      <c r="T10" s="4"/>
      <c r="U10" s="4"/>
      <c r="V10" s="4"/>
      <c r="W10" s="4"/>
      <c r="X10" s="4"/>
      <c r="Y10" s="4"/>
      <c r="Z10" s="4"/>
    </row>
    <row r="11">
      <c r="A11" s="23" t="s">
        <v>336</v>
      </c>
      <c r="B11" s="25">
        <v>0.0</v>
      </c>
      <c r="C11" s="25" t="s">
        <v>337</v>
      </c>
      <c r="D11" s="4"/>
      <c r="E11" s="4"/>
      <c r="F11" s="4"/>
      <c r="G11" s="4"/>
      <c r="H11" s="4"/>
      <c r="I11" s="4"/>
      <c r="J11" s="4"/>
      <c r="K11" s="4"/>
      <c r="L11" s="4"/>
      <c r="M11" s="4"/>
      <c r="N11" s="4"/>
      <c r="O11" s="4"/>
      <c r="P11" s="4"/>
      <c r="Q11" s="4"/>
      <c r="R11" s="4"/>
      <c r="S11" s="4"/>
      <c r="T11" s="4"/>
      <c r="U11" s="4"/>
      <c r="V11" s="4"/>
      <c r="W11" s="4"/>
      <c r="X11" s="4"/>
      <c r="Y11" s="4"/>
      <c r="Z11" s="4"/>
    </row>
    <row r="12">
      <c r="A12" s="23" t="s">
        <v>338</v>
      </c>
      <c r="B12" s="25">
        <v>0.0</v>
      </c>
      <c r="C12" s="25" t="s">
        <v>339</v>
      </c>
      <c r="D12" s="4"/>
      <c r="E12" s="4"/>
      <c r="F12" s="4"/>
      <c r="G12" s="4"/>
      <c r="H12" s="4"/>
      <c r="I12" s="4"/>
      <c r="J12" s="4"/>
      <c r="K12" s="4"/>
      <c r="L12" s="4"/>
      <c r="M12" s="4"/>
      <c r="N12" s="4"/>
      <c r="O12" s="4"/>
      <c r="P12" s="4"/>
      <c r="Q12" s="4"/>
      <c r="R12" s="4"/>
      <c r="S12" s="4"/>
      <c r="T12" s="4"/>
      <c r="U12" s="4"/>
      <c r="V12" s="4"/>
      <c r="W12" s="4"/>
      <c r="X12" s="4"/>
      <c r="Y12" s="4"/>
      <c r="Z12" s="4"/>
    </row>
    <row r="13">
      <c r="A13" s="23" t="s">
        <v>340</v>
      </c>
      <c r="B13" s="25" t="s">
        <v>341</v>
      </c>
      <c r="C13" s="25" t="s">
        <v>342</v>
      </c>
      <c r="D13" s="4"/>
      <c r="E13" s="4"/>
      <c r="F13" s="4"/>
      <c r="G13" s="4"/>
      <c r="H13" s="4"/>
      <c r="I13" s="4"/>
      <c r="J13" s="4"/>
      <c r="K13" s="4"/>
      <c r="L13" s="4"/>
      <c r="M13" s="4"/>
      <c r="N13" s="4"/>
      <c r="O13" s="4"/>
      <c r="P13" s="4"/>
      <c r="Q13" s="4"/>
      <c r="R13" s="4"/>
      <c r="S13" s="4"/>
      <c r="T13" s="4"/>
      <c r="U13" s="4"/>
      <c r="V13" s="4"/>
      <c r="W13" s="4"/>
      <c r="X13" s="4"/>
      <c r="Y13" s="4"/>
      <c r="Z13" s="4"/>
    </row>
    <row r="14">
      <c r="A14" s="23" t="s">
        <v>343</v>
      </c>
      <c r="B14" s="25" t="s">
        <v>344</v>
      </c>
      <c r="C14" s="25" t="s">
        <v>345</v>
      </c>
      <c r="D14" s="4"/>
      <c r="E14" s="4"/>
      <c r="F14" s="4"/>
      <c r="G14" s="4"/>
      <c r="H14" s="4"/>
      <c r="I14" s="4"/>
      <c r="J14" s="4"/>
      <c r="K14" s="4"/>
      <c r="L14" s="4"/>
      <c r="M14" s="4"/>
      <c r="N14" s="4"/>
      <c r="O14" s="4"/>
      <c r="P14" s="4"/>
      <c r="Q14" s="4"/>
      <c r="R14" s="4"/>
      <c r="S14" s="4"/>
      <c r="T14" s="4"/>
      <c r="U14" s="4"/>
      <c r="V14" s="4"/>
      <c r="W14" s="4"/>
      <c r="X14" s="4"/>
      <c r="Y14" s="4"/>
      <c r="Z14" s="4"/>
    </row>
    <row r="15">
      <c r="A15" s="23" t="s">
        <v>346</v>
      </c>
      <c r="B15" s="25" t="s">
        <v>347</v>
      </c>
      <c r="C15" s="25" t="s">
        <v>348</v>
      </c>
      <c r="D15" s="4"/>
      <c r="E15" s="4"/>
      <c r="F15" s="4"/>
      <c r="G15" s="4"/>
      <c r="H15" s="4"/>
      <c r="I15" s="4"/>
      <c r="J15" s="4"/>
      <c r="K15" s="4"/>
      <c r="L15" s="4"/>
      <c r="M15" s="4"/>
      <c r="N15" s="4"/>
      <c r="O15" s="4"/>
      <c r="P15" s="4"/>
      <c r="Q15" s="4"/>
      <c r="R15" s="4"/>
      <c r="S15" s="4"/>
      <c r="T15" s="4"/>
      <c r="U15" s="4"/>
      <c r="V15" s="4"/>
      <c r="W15" s="4"/>
      <c r="X15" s="4"/>
      <c r="Y15" s="4"/>
      <c r="Z15" s="4"/>
    </row>
    <row r="16">
      <c r="A16" s="23" t="s">
        <v>349</v>
      </c>
      <c r="B16" s="25" t="s">
        <v>350</v>
      </c>
      <c r="C16" s="25" t="s">
        <v>351</v>
      </c>
      <c r="D16" s="4"/>
      <c r="E16" s="4"/>
      <c r="F16" s="4"/>
      <c r="G16" s="4"/>
      <c r="H16" s="4"/>
      <c r="I16" s="4"/>
      <c r="J16" s="4"/>
      <c r="K16" s="4"/>
      <c r="L16" s="4"/>
      <c r="M16" s="4"/>
      <c r="N16" s="4"/>
      <c r="O16" s="4"/>
      <c r="P16" s="4"/>
      <c r="Q16" s="4"/>
      <c r="R16" s="4"/>
      <c r="S16" s="4"/>
      <c r="T16" s="4"/>
      <c r="U16" s="4"/>
      <c r="V16" s="4"/>
      <c r="W16" s="4"/>
      <c r="X16" s="4"/>
      <c r="Y16" s="4"/>
      <c r="Z16" s="4"/>
    </row>
    <row r="17">
      <c r="A17" s="23" t="s">
        <v>352</v>
      </c>
      <c r="B17" s="25" t="s">
        <v>353</v>
      </c>
      <c r="C17" s="25" t="s">
        <v>354</v>
      </c>
      <c r="D17" s="4"/>
      <c r="E17" s="4"/>
      <c r="F17" s="4"/>
      <c r="G17" s="4"/>
      <c r="H17" s="4"/>
      <c r="I17" s="4"/>
      <c r="J17" s="4"/>
      <c r="K17" s="4"/>
      <c r="L17" s="4"/>
      <c r="M17" s="4"/>
      <c r="N17" s="4"/>
      <c r="O17" s="4"/>
      <c r="P17" s="4"/>
      <c r="Q17" s="4"/>
      <c r="R17" s="4"/>
      <c r="S17" s="4"/>
      <c r="T17" s="4"/>
      <c r="U17" s="4"/>
      <c r="V17" s="4"/>
      <c r="W17" s="4"/>
      <c r="X17" s="4"/>
      <c r="Y17" s="4"/>
      <c r="Z17" s="4"/>
    </row>
    <row r="18">
      <c r="A18" s="23" t="s">
        <v>355</v>
      </c>
      <c r="B18" s="25" t="s">
        <v>356</v>
      </c>
      <c r="C18" s="25" t="s">
        <v>357</v>
      </c>
      <c r="D18" s="4"/>
      <c r="E18" s="4"/>
      <c r="F18" s="4"/>
      <c r="G18" s="4"/>
      <c r="H18" s="4"/>
      <c r="I18" s="4"/>
      <c r="J18" s="4"/>
      <c r="K18" s="4"/>
      <c r="L18" s="4"/>
      <c r="M18" s="4"/>
      <c r="N18" s="4"/>
      <c r="O18" s="4"/>
      <c r="P18" s="4"/>
      <c r="Q18" s="4"/>
      <c r="R18" s="4"/>
      <c r="S18" s="4"/>
      <c r="T18" s="4"/>
      <c r="U18" s="4"/>
      <c r="V18" s="4"/>
      <c r="W18" s="4"/>
      <c r="X18" s="4"/>
      <c r="Y18" s="4"/>
      <c r="Z18" s="4"/>
    </row>
    <row r="19">
      <c r="A19" s="23" t="s">
        <v>358</v>
      </c>
      <c r="B19" s="25" t="s">
        <v>359</v>
      </c>
      <c r="C19" s="25" t="s">
        <v>360</v>
      </c>
      <c r="D19" s="4"/>
      <c r="E19" s="4"/>
      <c r="F19" s="4"/>
      <c r="G19" s="4"/>
      <c r="H19" s="4"/>
      <c r="I19" s="4"/>
      <c r="J19" s="4"/>
      <c r="K19" s="4"/>
      <c r="L19" s="4"/>
      <c r="M19" s="4"/>
      <c r="N19" s="4"/>
      <c r="O19" s="4"/>
      <c r="P19" s="4"/>
      <c r="Q19" s="4"/>
      <c r="R19" s="4"/>
      <c r="S19" s="4"/>
      <c r="T19" s="4"/>
      <c r="U19" s="4"/>
      <c r="V19" s="4"/>
      <c r="W19" s="4"/>
      <c r="X19" s="4"/>
      <c r="Y19" s="4"/>
      <c r="Z19" s="4"/>
    </row>
    <row r="20">
      <c r="A20" s="23" t="s">
        <v>361</v>
      </c>
      <c r="B20" s="25" t="s">
        <v>362</v>
      </c>
      <c r="C20" s="25" t="s">
        <v>363</v>
      </c>
      <c r="D20" s="4"/>
      <c r="E20" s="4"/>
      <c r="F20" s="4"/>
      <c r="G20" s="4"/>
      <c r="H20" s="4"/>
      <c r="I20" s="4"/>
      <c r="J20" s="4"/>
      <c r="K20" s="4"/>
      <c r="L20" s="4"/>
      <c r="M20" s="4"/>
      <c r="N20" s="4"/>
      <c r="O20" s="4"/>
      <c r="P20" s="4"/>
      <c r="Q20" s="4"/>
      <c r="R20" s="4"/>
      <c r="S20" s="4"/>
      <c r="T20" s="4"/>
      <c r="U20" s="4"/>
      <c r="V20" s="4"/>
      <c r="W20" s="4"/>
      <c r="X20" s="4"/>
      <c r="Y20" s="4"/>
      <c r="Z20" s="4"/>
    </row>
    <row r="21">
      <c r="A21" s="23" t="s">
        <v>364</v>
      </c>
      <c r="B21" s="25" t="s">
        <v>265</v>
      </c>
      <c r="C21" s="25" t="s">
        <v>365</v>
      </c>
      <c r="D21" s="4"/>
      <c r="E21" s="4"/>
      <c r="F21" s="4"/>
      <c r="G21" s="4"/>
      <c r="H21" s="4"/>
      <c r="I21" s="4"/>
      <c r="J21" s="4"/>
      <c r="K21" s="4"/>
      <c r="L21" s="4"/>
      <c r="M21" s="4"/>
      <c r="N21" s="4"/>
      <c r="O21" s="4"/>
      <c r="P21" s="4"/>
      <c r="Q21" s="4"/>
      <c r="R21" s="4"/>
      <c r="S21" s="4"/>
      <c r="T21" s="4"/>
      <c r="U21" s="4"/>
      <c r="V21" s="4"/>
      <c r="W21" s="4"/>
      <c r="X21" s="4"/>
      <c r="Y21" s="4"/>
      <c r="Z21" s="4"/>
    </row>
    <row r="22" ht="15.75" customHeight="1">
      <c r="A22" s="23" t="s">
        <v>366</v>
      </c>
      <c r="B22" s="25" t="s">
        <v>268</v>
      </c>
      <c r="C22" s="25" t="s">
        <v>367</v>
      </c>
      <c r="D22" s="4"/>
      <c r="E22" s="4"/>
      <c r="F22" s="4"/>
      <c r="G22" s="4"/>
      <c r="H22" s="4"/>
      <c r="I22" s="4"/>
      <c r="J22" s="4"/>
      <c r="K22" s="4"/>
      <c r="L22" s="4"/>
      <c r="M22" s="4"/>
      <c r="N22" s="4"/>
      <c r="O22" s="4"/>
      <c r="P22" s="4"/>
      <c r="Q22" s="4"/>
      <c r="R22" s="4"/>
      <c r="S22" s="4"/>
      <c r="T22" s="4"/>
      <c r="U22" s="4"/>
      <c r="V22" s="4"/>
      <c r="W22" s="4"/>
      <c r="X22" s="4"/>
      <c r="Y22" s="4"/>
      <c r="Z22" s="4"/>
    </row>
    <row r="23" ht="15.75" customHeight="1">
      <c r="A23" s="23" t="s">
        <v>368</v>
      </c>
      <c r="B23" s="25" t="s">
        <v>278</v>
      </c>
      <c r="C23" s="25" t="s">
        <v>369</v>
      </c>
      <c r="D23" s="4"/>
      <c r="E23" s="4"/>
      <c r="F23" s="4"/>
      <c r="G23" s="4"/>
      <c r="H23" s="4"/>
      <c r="I23" s="4"/>
      <c r="J23" s="4"/>
      <c r="K23" s="4"/>
      <c r="L23" s="4"/>
      <c r="M23" s="4"/>
      <c r="N23" s="4"/>
      <c r="O23" s="4"/>
      <c r="P23" s="4"/>
      <c r="Q23" s="4"/>
      <c r="R23" s="4"/>
      <c r="S23" s="4"/>
      <c r="T23" s="4"/>
      <c r="U23" s="4"/>
      <c r="V23" s="4"/>
      <c r="W23" s="4"/>
      <c r="X23" s="4"/>
      <c r="Y23" s="4"/>
      <c r="Z23" s="4"/>
    </row>
    <row r="24" ht="15.75" customHeight="1">
      <c r="A24" s="23" t="s">
        <v>370</v>
      </c>
      <c r="B24" s="25" t="s">
        <v>371</v>
      </c>
      <c r="C24" s="25" t="s">
        <v>372</v>
      </c>
      <c r="D24" s="4"/>
      <c r="E24" s="4"/>
      <c r="F24" s="4"/>
      <c r="G24" s="4"/>
      <c r="H24" s="4"/>
      <c r="I24" s="4"/>
      <c r="J24" s="4"/>
      <c r="K24" s="4"/>
      <c r="L24" s="4"/>
      <c r="M24" s="4"/>
      <c r="N24" s="4"/>
      <c r="O24" s="4"/>
      <c r="P24" s="4"/>
      <c r="Q24" s="4"/>
      <c r="R24" s="4"/>
      <c r="S24" s="4"/>
      <c r="T24" s="4"/>
      <c r="U24" s="4"/>
      <c r="V24" s="4"/>
      <c r="W24" s="4"/>
      <c r="X24" s="4"/>
      <c r="Y24" s="4"/>
      <c r="Z24" s="4"/>
    </row>
    <row r="25" ht="15.75" customHeight="1">
      <c r="A25" s="23" t="s">
        <v>373</v>
      </c>
      <c r="B25" s="25" t="s">
        <v>374</v>
      </c>
      <c r="C25" s="25" t="s">
        <v>375</v>
      </c>
      <c r="D25" s="4"/>
      <c r="E25" s="4"/>
      <c r="F25" s="4"/>
      <c r="G25" s="4"/>
      <c r="H25" s="4"/>
      <c r="I25" s="4"/>
      <c r="J25" s="4"/>
      <c r="K25" s="4"/>
      <c r="L25" s="4"/>
      <c r="M25" s="4"/>
      <c r="N25" s="4"/>
      <c r="O25" s="4"/>
      <c r="P25" s="4"/>
      <c r="Q25" s="4"/>
      <c r="R25" s="4"/>
      <c r="S25" s="4"/>
      <c r="T25" s="4"/>
      <c r="U25" s="4"/>
      <c r="V25" s="4"/>
      <c r="W25" s="4"/>
      <c r="X25" s="4"/>
      <c r="Y25" s="4"/>
      <c r="Z25" s="4"/>
    </row>
    <row r="26" ht="15.75" customHeight="1">
      <c r="A26" s="23" t="s">
        <v>376</v>
      </c>
      <c r="B26" s="25" t="s">
        <v>377</v>
      </c>
      <c r="C26" s="25" t="s">
        <v>378</v>
      </c>
      <c r="D26" s="4"/>
      <c r="E26" s="4"/>
      <c r="F26" s="4"/>
      <c r="G26" s="4"/>
      <c r="H26" s="4"/>
      <c r="I26" s="4"/>
      <c r="J26" s="4"/>
      <c r="K26" s="4"/>
      <c r="L26" s="4"/>
      <c r="M26" s="4"/>
      <c r="N26" s="4"/>
      <c r="O26" s="4"/>
      <c r="P26" s="4"/>
      <c r="Q26" s="4"/>
      <c r="R26" s="4"/>
      <c r="S26" s="4"/>
      <c r="T26" s="4"/>
      <c r="U26" s="4"/>
      <c r="V26" s="4"/>
      <c r="W26" s="4"/>
      <c r="X26" s="4"/>
      <c r="Y26" s="4"/>
      <c r="Z26" s="4"/>
    </row>
    <row r="27" ht="15.75" customHeight="1">
      <c r="A27" s="23" t="s">
        <v>379</v>
      </c>
      <c r="B27" s="25" t="s">
        <v>380</v>
      </c>
      <c r="C27" s="25" t="s">
        <v>381</v>
      </c>
      <c r="D27" s="4"/>
      <c r="E27" s="4"/>
      <c r="F27" s="4"/>
      <c r="G27" s="4"/>
      <c r="H27" s="4"/>
      <c r="I27" s="4"/>
      <c r="J27" s="4"/>
      <c r="K27" s="4"/>
      <c r="L27" s="4"/>
      <c r="M27" s="4"/>
      <c r="N27" s="4"/>
      <c r="O27" s="4"/>
      <c r="P27" s="4"/>
      <c r="Q27" s="4"/>
      <c r="R27" s="4"/>
      <c r="S27" s="4"/>
      <c r="T27" s="4"/>
      <c r="U27" s="4"/>
      <c r="V27" s="4"/>
      <c r="W27" s="4"/>
      <c r="X27" s="4"/>
      <c r="Y27" s="4"/>
      <c r="Z27" s="4"/>
    </row>
    <row r="28" ht="15.75" customHeight="1">
      <c r="A28" s="23" t="s">
        <v>382</v>
      </c>
      <c r="B28" s="25" t="s">
        <v>383</v>
      </c>
      <c r="C28" s="25" t="s">
        <v>384</v>
      </c>
      <c r="D28" s="4"/>
      <c r="E28" s="4"/>
      <c r="F28" s="4"/>
      <c r="G28" s="4"/>
      <c r="H28" s="4"/>
      <c r="I28" s="4"/>
      <c r="J28" s="4"/>
      <c r="K28" s="4"/>
      <c r="L28" s="4"/>
      <c r="M28" s="4"/>
      <c r="N28" s="4"/>
      <c r="O28" s="4"/>
      <c r="P28" s="4"/>
      <c r="Q28" s="4"/>
      <c r="R28" s="4"/>
      <c r="S28" s="4"/>
      <c r="T28" s="4"/>
      <c r="U28" s="4"/>
      <c r="V28" s="4"/>
      <c r="W28" s="4"/>
      <c r="X28" s="4"/>
      <c r="Y28" s="4"/>
      <c r="Z28" s="4"/>
    </row>
    <row r="29" ht="15.75" customHeight="1">
      <c r="A29" s="23" t="s">
        <v>385</v>
      </c>
      <c r="B29" s="25" t="s">
        <v>386</v>
      </c>
      <c r="C29" s="25" t="s">
        <v>387</v>
      </c>
      <c r="D29" s="4"/>
      <c r="E29" s="4"/>
      <c r="F29" s="4"/>
      <c r="G29" s="4"/>
      <c r="H29" s="4"/>
      <c r="I29" s="4"/>
      <c r="J29" s="4"/>
      <c r="K29" s="4"/>
      <c r="L29" s="4"/>
      <c r="M29" s="4"/>
      <c r="N29" s="4"/>
      <c r="O29" s="4"/>
      <c r="P29" s="4"/>
      <c r="Q29" s="4"/>
      <c r="R29" s="4"/>
      <c r="S29" s="4"/>
      <c r="T29" s="4"/>
      <c r="U29" s="4"/>
      <c r="V29" s="4"/>
      <c r="W29" s="4"/>
      <c r="X29" s="4"/>
      <c r="Y29" s="4"/>
      <c r="Z29" s="4"/>
    </row>
    <row r="30" ht="15.75" customHeight="1">
      <c r="A30" s="23" t="s">
        <v>388</v>
      </c>
      <c r="B30" s="25" t="s">
        <v>281</v>
      </c>
      <c r="C30" s="25" t="s">
        <v>389</v>
      </c>
      <c r="D30" s="4"/>
      <c r="E30" s="4"/>
      <c r="F30" s="4"/>
      <c r="G30" s="4"/>
      <c r="H30" s="4"/>
      <c r="I30" s="4"/>
      <c r="J30" s="4"/>
      <c r="K30" s="4"/>
      <c r="L30" s="4"/>
      <c r="M30" s="4"/>
      <c r="N30" s="4"/>
      <c r="O30" s="4"/>
      <c r="P30" s="4"/>
      <c r="Q30" s="4"/>
      <c r="R30" s="4"/>
      <c r="S30" s="4"/>
      <c r="T30" s="4"/>
      <c r="U30" s="4"/>
      <c r="V30" s="4"/>
      <c r="W30" s="4"/>
      <c r="X30" s="4"/>
      <c r="Y30" s="4"/>
      <c r="Z30" s="4"/>
    </row>
    <row r="31" ht="15.75" customHeight="1">
      <c r="A31" s="23" t="s">
        <v>390</v>
      </c>
      <c r="B31" s="25">
        <v>1.0</v>
      </c>
      <c r="C31" s="25" t="s">
        <v>284</v>
      </c>
      <c r="D31" s="4"/>
      <c r="E31" s="4"/>
      <c r="F31" s="4"/>
      <c r="G31" s="4"/>
      <c r="H31" s="4"/>
      <c r="I31" s="4"/>
      <c r="J31" s="4"/>
      <c r="K31" s="4"/>
      <c r="L31" s="4"/>
      <c r="M31" s="4"/>
      <c r="N31" s="4"/>
      <c r="O31" s="4"/>
      <c r="P31" s="4"/>
      <c r="Q31" s="4"/>
      <c r="R31" s="4"/>
      <c r="S31" s="4"/>
      <c r="T31" s="4"/>
      <c r="U31" s="4"/>
      <c r="V31" s="4"/>
      <c r="W31" s="4"/>
      <c r="X31" s="4"/>
      <c r="Y31" s="4"/>
      <c r="Z31" s="4"/>
    </row>
    <row r="32" ht="15.75" customHeight="1">
      <c r="A32" s="23" t="s">
        <v>391</v>
      </c>
      <c r="B32" s="25" t="s">
        <v>392</v>
      </c>
      <c r="C32" s="25" t="s">
        <v>393</v>
      </c>
      <c r="D32" s="4"/>
      <c r="E32" s="4"/>
      <c r="F32" s="4"/>
      <c r="G32" s="4"/>
      <c r="H32" s="4"/>
      <c r="I32" s="4"/>
      <c r="J32" s="4"/>
      <c r="K32" s="4"/>
      <c r="L32" s="4"/>
      <c r="M32" s="4"/>
      <c r="N32" s="4"/>
      <c r="O32" s="4"/>
      <c r="P32" s="4"/>
      <c r="Q32" s="4"/>
      <c r="R32" s="4"/>
      <c r="S32" s="4"/>
      <c r="T32" s="4"/>
      <c r="U32" s="4"/>
      <c r="V32" s="4"/>
      <c r="W32" s="4"/>
      <c r="X32" s="4"/>
      <c r="Y32" s="4"/>
      <c r="Z32" s="4"/>
    </row>
    <row r="33" ht="15.75" customHeight="1">
      <c r="A33" s="23" t="s">
        <v>394</v>
      </c>
      <c r="B33" s="25" t="s">
        <v>295</v>
      </c>
      <c r="C33" s="25" t="s">
        <v>395</v>
      </c>
      <c r="D33" s="4"/>
      <c r="E33" s="4"/>
      <c r="F33" s="4"/>
      <c r="G33" s="4"/>
      <c r="H33" s="4"/>
      <c r="I33" s="4"/>
      <c r="J33" s="4"/>
      <c r="K33" s="4"/>
      <c r="L33" s="4"/>
      <c r="M33" s="4"/>
      <c r="N33" s="4"/>
      <c r="O33" s="4"/>
      <c r="P33" s="4"/>
      <c r="Q33" s="4"/>
      <c r="R33" s="4"/>
      <c r="S33" s="4"/>
      <c r="T33" s="4"/>
      <c r="U33" s="4"/>
      <c r="V33" s="4"/>
      <c r="W33" s="4"/>
      <c r="X33" s="4"/>
      <c r="Y33" s="4"/>
      <c r="Z33" s="4"/>
    </row>
    <row r="34" ht="15.75" customHeight="1">
      <c r="A34" s="23" t="s">
        <v>288</v>
      </c>
      <c r="B34" s="25" t="s">
        <v>289</v>
      </c>
      <c r="C34" s="25" t="s">
        <v>290</v>
      </c>
      <c r="D34" s="4"/>
      <c r="E34" s="4"/>
      <c r="F34" s="4"/>
      <c r="G34" s="4"/>
      <c r="H34" s="4"/>
      <c r="I34" s="4"/>
      <c r="J34" s="4"/>
      <c r="K34" s="4"/>
      <c r="L34" s="4"/>
      <c r="M34" s="4"/>
      <c r="N34" s="4"/>
      <c r="O34" s="4"/>
      <c r="P34" s="4"/>
      <c r="Q34" s="4"/>
      <c r="R34" s="4"/>
      <c r="S34" s="4"/>
      <c r="T34" s="4"/>
      <c r="U34" s="4"/>
      <c r="V34" s="4"/>
      <c r="W34" s="4"/>
      <c r="X34" s="4"/>
      <c r="Y34" s="4"/>
      <c r="Z34" s="4"/>
    </row>
    <row r="35" ht="15.75" customHeight="1">
      <c r="A35" s="23" t="s">
        <v>291</v>
      </c>
      <c r="B35" s="25" t="s">
        <v>292</v>
      </c>
      <c r="C35" s="25" t="s">
        <v>396</v>
      </c>
      <c r="D35" s="4"/>
      <c r="E35" s="4"/>
      <c r="F35" s="4"/>
      <c r="G35" s="4"/>
      <c r="H35" s="4"/>
      <c r="I35" s="4"/>
      <c r="J35" s="4"/>
      <c r="K35" s="4"/>
      <c r="L35" s="4"/>
      <c r="M35" s="4"/>
      <c r="N35" s="4"/>
      <c r="O35" s="4"/>
      <c r="P35" s="4"/>
      <c r="Q35" s="4"/>
      <c r="R35" s="4"/>
      <c r="S35" s="4"/>
      <c r="T35" s="4"/>
      <c r="U35" s="4"/>
      <c r="V35" s="4"/>
      <c r="W35" s="4"/>
      <c r="X35" s="4"/>
      <c r="Y35" s="4"/>
      <c r="Z35" s="4"/>
    </row>
    <row r="36" ht="15.75" customHeight="1">
      <c r="A36" s="23" t="s">
        <v>397</v>
      </c>
      <c r="B36" s="25" t="s">
        <v>304</v>
      </c>
      <c r="C36" s="25" t="s">
        <v>398</v>
      </c>
      <c r="D36" s="4"/>
      <c r="E36" s="4"/>
      <c r="F36" s="4"/>
      <c r="G36" s="4"/>
      <c r="H36" s="4"/>
      <c r="I36" s="4"/>
      <c r="J36" s="4"/>
      <c r="K36" s="4"/>
      <c r="L36" s="4"/>
      <c r="M36" s="4"/>
      <c r="N36" s="4"/>
      <c r="O36" s="4"/>
      <c r="P36" s="4"/>
      <c r="Q36" s="4"/>
      <c r="R36" s="4"/>
      <c r="S36" s="4"/>
      <c r="T36" s="4"/>
      <c r="U36" s="4"/>
      <c r="V36" s="4"/>
      <c r="W36" s="4"/>
      <c r="X36" s="4"/>
      <c r="Y36" s="4"/>
      <c r="Z36" s="4"/>
    </row>
    <row r="37" ht="15.75" customHeight="1">
      <c r="A37" s="23" t="s">
        <v>399</v>
      </c>
      <c r="B37" s="25" t="s">
        <v>76</v>
      </c>
      <c r="C37" s="25" t="s">
        <v>400</v>
      </c>
      <c r="D37" s="4"/>
      <c r="E37" s="4"/>
      <c r="F37" s="4"/>
      <c r="G37" s="4"/>
      <c r="H37" s="4"/>
      <c r="I37" s="4"/>
      <c r="J37" s="4"/>
      <c r="K37" s="4"/>
      <c r="L37" s="4"/>
      <c r="M37" s="4"/>
      <c r="N37" s="4"/>
      <c r="O37" s="4"/>
      <c r="P37" s="4"/>
      <c r="Q37" s="4"/>
      <c r="R37" s="4"/>
      <c r="S37" s="4"/>
      <c r="T37" s="4"/>
      <c r="U37" s="4"/>
      <c r="V37" s="4"/>
      <c r="W37" s="4"/>
      <c r="X37" s="4"/>
      <c r="Y37" s="4"/>
      <c r="Z37" s="4"/>
    </row>
    <row r="38" ht="15.75" customHeight="1">
      <c r="A38" s="23" t="s">
        <v>401</v>
      </c>
      <c r="B38" s="25" t="s">
        <v>107</v>
      </c>
      <c r="C38" s="25" t="s">
        <v>402</v>
      </c>
      <c r="D38" s="4"/>
      <c r="E38" s="4"/>
      <c r="F38" s="4"/>
      <c r="G38" s="4"/>
      <c r="H38" s="4"/>
      <c r="I38" s="4"/>
      <c r="J38" s="4"/>
      <c r="K38" s="4"/>
      <c r="L38" s="4"/>
      <c r="M38" s="4"/>
      <c r="N38" s="4"/>
      <c r="O38" s="4"/>
      <c r="P38" s="4"/>
      <c r="Q38" s="4"/>
      <c r="R38" s="4"/>
      <c r="S38" s="4"/>
      <c r="T38" s="4"/>
      <c r="U38" s="4"/>
      <c r="V38" s="4"/>
      <c r="W38" s="4"/>
      <c r="X38" s="4"/>
      <c r="Y38" s="4"/>
      <c r="Z38" s="4"/>
    </row>
  </sheetData>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4.88"/>
    <col customWidth="1" min="2" max="2" width="38.0"/>
    <col customWidth="1" min="3" max="3" width="18.5"/>
    <col customWidth="1" min="4" max="4" width="18.25"/>
    <col customWidth="1" min="5" max="5" width="13.38"/>
  </cols>
  <sheetData>
    <row r="1" ht="15.75" customHeight="1">
      <c r="A1" s="26" t="s">
        <v>403</v>
      </c>
      <c r="B1" s="26" t="s">
        <v>404</v>
      </c>
      <c r="C1" s="27" t="s">
        <v>405</v>
      </c>
      <c r="D1" s="26" t="s">
        <v>406</v>
      </c>
      <c r="E1" s="28" t="s">
        <v>407</v>
      </c>
      <c r="F1" s="29"/>
      <c r="G1" s="29"/>
      <c r="H1" s="29"/>
      <c r="I1" s="29"/>
      <c r="J1" s="29"/>
      <c r="K1" s="29"/>
      <c r="L1" s="29"/>
      <c r="M1" s="29"/>
      <c r="N1" s="29"/>
      <c r="O1" s="29"/>
      <c r="P1" s="29"/>
      <c r="Q1" s="29"/>
      <c r="R1" s="29"/>
      <c r="S1" s="29"/>
      <c r="T1" s="29"/>
      <c r="U1" s="29"/>
      <c r="V1" s="29"/>
      <c r="W1" s="29"/>
      <c r="X1" s="29"/>
      <c r="Y1" s="4"/>
      <c r="Z1" s="4"/>
    </row>
    <row r="2" ht="15.75" customHeight="1">
      <c r="A2" s="30" t="s">
        <v>23</v>
      </c>
      <c r="B2" s="30" t="s">
        <v>408</v>
      </c>
      <c r="C2" s="31" t="s">
        <v>20</v>
      </c>
      <c r="D2" s="30" t="s">
        <v>409</v>
      </c>
      <c r="E2" s="32" t="s">
        <v>410</v>
      </c>
      <c r="F2" s="4"/>
      <c r="G2" s="4"/>
      <c r="H2" s="4"/>
      <c r="I2" s="4"/>
      <c r="J2" s="4"/>
      <c r="K2" s="4"/>
      <c r="L2" s="4"/>
      <c r="M2" s="4"/>
      <c r="N2" s="4"/>
      <c r="O2" s="4"/>
      <c r="P2" s="4"/>
      <c r="Q2" s="4"/>
      <c r="R2" s="4"/>
      <c r="S2" s="4"/>
      <c r="T2" s="4"/>
      <c r="U2" s="4"/>
      <c r="V2" s="4"/>
      <c r="W2" s="4"/>
      <c r="X2" s="4"/>
      <c r="Y2" s="4"/>
      <c r="Z2" s="4"/>
    </row>
    <row r="3" ht="15.75" customHeight="1">
      <c r="A3" s="30" t="s">
        <v>31</v>
      </c>
      <c r="B3" s="30" t="s">
        <v>411</v>
      </c>
      <c r="C3" s="31" t="s">
        <v>29</v>
      </c>
      <c r="D3" s="30" t="s">
        <v>409</v>
      </c>
      <c r="E3" s="32" t="s">
        <v>412</v>
      </c>
      <c r="F3" s="4"/>
      <c r="G3" s="4"/>
      <c r="H3" s="4"/>
      <c r="I3" s="4"/>
      <c r="J3" s="4"/>
      <c r="K3" s="4"/>
      <c r="L3" s="4"/>
      <c r="M3" s="4"/>
      <c r="N3" s="4"/>
      <c r="O3" s="4"/>
      <c r="P3" s="4"/>
      <c r="Q3" s="4"/>
      <c r="R3" s="4"/>
      <c r="S3" s="4"/>
      <c r="T3" s="4"/>
      <c r="U3" s="4"/>
      <c r="V3" s="4"/>
      <c r="W3" s="4"/>
      <c r="X3" s="4"/>
      <c r="Y3" s="4"/>
      <c r="Z3" s="4"/>
    </row>
    <row r="4" ht="15.75" customHeight="1">
      <c r="A4" s="30" t="s">
        <v>34</v>
      </c>
      <c r="B4" s="30" t="s">
        <v>413</v>
      </c>
      <c r="C4" s="31" t="s">
        <v>32</v>
      </c>
      <c r="D4" s="30" t="s">
        <v>409</v>
      </c>
      <c r="E4" s="32" t="s">
        <v>414</v>
      </c>
      <c r="F4" s="4"/>
      <c r="G4" s="4"/>
      <c r="H4" s="4"/>
      <c r="I4" s="4"/>
      <c r="J4" s="4"/>
      <c r="K4" s="4"/>
      <c r="L4" s="4"/>
      <c r="M4" s="4"/>
      <c r="N4" s="4"/>
      <c r="O4" s="4"/>
      <c r="P4" s="4"/>
      <c r="Q4" s="4"/>
      <c r="R4" s="4"/>
      <c r="S4" s="4"/>
      <c r="T4" s="4"/>
      <c r="U4" s="4"/>
      <c r="V4" s="4"/>
      <c r="W4" s="4"/>
      <c r="X4" s="4"/>
      <c r="Y4" s="4"/>
      <c r="Z4" s="4"/>
    </row>
    <row r="5" ht="15.75" customHeight="1">
      <c r="A5" s="30" t="s">
        <v>43</v>
      </c>
      <c r="B5" s="30" t="s">
        <v>415</v>
      </c>
      <c r="C5" s="31" t="s">
        <v>41</v>
      </c>
      <c r="D5" s="30" t="s">
        <v>409</v>
      </c>
      <c r="E5" s="32" t="s">
        <v>410</v>
      </c>
      <c r="F5" s="4"/>
      <c r="G5" s="4"/>
      <c r="H5" s="4"/>
      <c r="I5" s="4"/>
      <c r="J5" s="4"/>
      <c r="K5" s="4"/>
      <c r="L5" s="4"/>
      <c r="M5" s="4"/>
      <c r="N5" s="4"/>
      <c r="O5" s="4"/>
      <c r="P5" s="4"/>
      <c r="Q5" s="4"/>
      <c r="R5" s="4"/>
      <c r="S5" s="4"/>
      <c r="T5" s="4"/>
      <c r="U5" s="4"/>
      <c r="V5" s="4"/>
      <c r="W5" s="4"/>
      <c r="X5" s="4"/>
      <c r="Y5" s="4"/>
      <c r="Z5" s="4"/>
    </row>
    <row r="6" ht="15.75" customHeight="1">
      <c r="A6" s="30" t="s">
        <v>50</v>
      </c>
      <c r="B6" s="30" t="s">
        <v>416</v>
      </c>
      <c r="C6" s="31" t="s">
        <v>48</v>
      </c>
      <c r="D6" s="30" t="s">
        <v>409</v>
      </c>
      <c r="E6" s="32" t="s">
        <v>410</v>
      </c>
      <c r="F6" s="4"/>
      <c r="G6" s="4"/>
      <c r="H6" s="4"/>
      <c r="I6" s="4"/>
      <c r="J6" s="4"/>
      <c r="K6" s="4"/>
      <c r="L6" s="4"/>
      <c r="M6" s="4"/>
      <c r="N6" s="4"/>
      <c r="O6" s="4"/>
      <c r="P6" s="4"/>
      <c r="Q6" s="4"/>
      <c r="R6" s="4"/>
      <c r="S6" s="4"/>
      <c r="T6" s="4"/>
      <c r="U6" s="4"/>
      <c r="V6" s="4"/>
      <c r="W6" s="4"/>
      <c r="X6" s="4"/>
      <c r="Y6" s="4"/>
      <c r="Z6" s="4"/>
    </row>
    <row r="7" ht="15.75" customHeight="1">
      <c r="A7" s="30" t="s">
        <v>53</v>
      </c>
      <c r="B7" s="30" t="s">
        <v>417</v>
      </c>
      <c r="C7" s="31" t="s">
        <v>51</v>
      </c>
      <c r="D7" s="30" t="s">
        <v>409</v>
      </c>
      <c r="E7" s="32" t="s">
        <v>410</v>
      </c>
      <c r="F7" s="4"/>
      <c r="G7" s="4"/>
      <c r="H7" s="4"/>
      <c r="I7" s="4"/>
      <c r="J7" s="4"/>
      <c r="K7" s="4"/>
      <c r="L7" s="4"/>
      <c r="M7" s="4"/>
      <c r="N7" s="4"/>
      <c r="O7" s="4"/>
      <c r="P7" s="4"/>
      <c r="Q7" s="4"/>
      <c r="R7" s="4"/>
      <c r="S7" s="4"/>
      <c r="T7" s="4"/>
      <c r="U7" s="4"/>
      <c r="V7" s="4"/>
      <c r="W7" s="4"/>
      <c r="X7" s="4"/>
      <c r="Y7" s="4"/>
      <c r="Z7" s="4"/>
    </row>
    <row r="8" ht="15.75" customHeight="1">
      <c r="A8" s="30" t="s">
        <v>63</v>
      </c>
      <c r="B8" s="30" t="s">
        <v>418</v>
      </c>
      <c r="C8" s="31" t="s">
        <v>61</v>
      </c>
      <c r="D8" s="30" t="s">
        <v>409</v>
      </c>
      <c r="E8" s="32" t="s">
        <v>419</v>
      </c>
      <c r="F8" s="4"/>
      <c r="G8" s="4"/>
      <c r="H8" s="4"/>
      <c r="I8" s="4"/>
      <c r="J8" s="4"/>
      <c r="K8" s="4"/>
      <c r="L8" s="4"/>
      <c r="M8" s="4"/>
      <c r="N8" s="4"/>
      <c r="O8" s="4"/>
      <c r="P8" s="4"/>
      <c r="Q8" s="4"/>
      <c r="R8" s="4"/>
      <c r="S8" s="4"/>
      <c r="T8" s="4"/>
      <c r="U8" s="4"/>
      <c r="V8" s="4"/>
      <c r="W8" s="4"/>
      <c r="X8" s="4"/>
      <c r="Y8" s="4"/>
      <c r="Z8" s="4"/>
    </row>
    <row r="9" ht="15.75" customHeight="1">
      <c r="A9" s="30" t="s">
        <v>60</v>
      </c>
      <c r="B9" s="30" t="s">
        <v>420</v>
      </c>
      <c r="C9" s="31" t="s">
        <v>58</v>
      </c>
      <c r="D9" s="30" t="s">
        <v>409</v>
      </c>
      <c r="E9" s="32" t="s">
        <v>421</v>
      </c>
      <c r="F9" s="4"/>
      <c r="G9" s="4"/>
      <c r="H9" s="4"/>
      <c r="I9" s="4"/>
      <c r="J9" s="4"/>
      <c r="K9" s="4"/>
      <c r="L9" s="4"/>
      <c r="M9" s="4"/>
      <c r="N9" s="4"/>
      <c r="O9" s="4"/>
      <c r="P9" s="4"/>
      <c r="Q9" s="4"/>
      <c r="R9" s="4"/>
      <c r="S9" s="4"/>
      <c r="T9" s="4"/>
      <c r="U9" s="4"/>
      <c r="V9" s="4"/>
      <c r="W9" s="4"/>
      <c r="X9" s="4"/>
      <c r="Y9" s="4"/>
      <c r="Z9" s="4"/>
    </row>
    <row r="10" ht="15.75" customHeight="1">
      <c r="A10" s="30" t="s">
        <v>57</v>
      </c>
      <c r="B10" s="30" t="s">
        <v>422</v>
      </c>
      <c r="C10" s="31" t="s">
        <v>54</v>
      </c>
      <c r="D10" s="30" t="s">
        <v>423</v>
      </c>
      <c r="E10" s="32" t="s">
        <v>412</v>
      </c>
      <c r="F10" s="4"/>
      <c r="G10" s="4"/>
      <c r="H10" s="4"/>
      <c r="I10" s="4"/>
      <c r="J10" s="4"/>
      <c r="K10" s="4"/>
      <c r="L10" s="4"/>
      <c r="M10" s="4"/>
      <c r="N10" s="4"/>
      <c r="O10" s="4"/>
      <c r="P10" s="4"/>
      <c r="Q10" s="4"/>
      <c r="R10" s="4"/>
      <c r="S10" s="4"/>
      <c r="T10" s="4"/>
      <c r="U10" s="4"/>
      <c r="V10" s="4"/>
      <c r="W10" s="4"/>
      <c r="X10" s="4"/>
      <c r="Y10" s="4"/>
      <c r="Z10" s="4"/>
    </row>
    <row r="11" ht="15.75" customHeight="1">
      <c r="A11" s="30" t="s">
        <v>99</v>
      </c>
      <c r="B11" s="30" t="s">
        <v>424</v>
      </c>
      <c r="C11" s="31" t="s">
        <v>97</v>
      </c>
      <c r="D11" s="30" t="s">
        <v>409</v>
      </c>
      <c r="E11" s="32" t="s">
        <v>421</v>
      </c>
      <c r="F11" s="4"/>
      <c r="G11" s="4"/>
      <c r="H11" s="4"/>
      <c r="I11" s="4"/>
      <c r="J11" s="4"/>
      <c r="K11" s="4"/>
      <c r="L11" s="4"/>
      <c r="M11" s="4"/>
      <c r="N11" s="4"/>
      <c r="O11" s="4"/>
      <c r="P11" s="4"/>
      <c r="Q11" s="4"/>
      <c r="R11" s="4"/>
      <c r="S11" s="4"/>
      <c r="T11" s="4"/>
      <c r="U11" s="4"/>
      <c r="V11" s="4"/>
      <c r="W11" s="4"/>
      <c r="X11" s="4"/>
      <c r="Y11" s="4"/>
      <c r="Z11" s="4"/>
    </row>
    <row r="12" ht="15.75" customHeight="1">
      <c r="A12" s="30" t="s">
        <v>93</v>
      </c>
      <c r="B12" s="30" t="s">
        <v>425</v>
      </c>
      <c r="C12" s="31" t="s">
        <v>91</v>
      </c>
      <c r="D12" s="30" t="s">
        <v>409</v>
      </c>
      <c r="E12" s="32" t="s">
        <v>414</v>
      </c>
      <c r="F12" s="4"/>
      <c r="G12" s="4"/>
      <c r="H12" s="4"/>
      <c r="I12" s="4"/>
      <c r="J12" s="4"/>
      <c r="K12" s="4"/>
      <c r="L12" s="4"/>
      <c r="M12" s="4"/>
      <c r="N12" s="4"/>
      <c r="O12" s="4"/>
      <c r="P12" s="4"/>
      <c r="Q12" s="4"/>
      <c r="R12" s="4"/>
      <c r="S12" s="4"/>
      <c r="T12" s="4"/>
      <c r="U12" s="4"/>
      <c r="V12" s="4"/>
      <c r="W12" s="4"/>
      <c r="X12" s="4"/>
      <c r="Y12" s="4"/>
      <c r="Z12" s="4"/>
    </row>
    <row r="13" ht="15.75" customHeight="1">
      <c r="A13" s="30" t="s">
        <v>96</v>
      </c>
      <c r="B13" s="30" t="s">
        <v>426</v>
      </c>
      <c r="C13" s="31" t="s">
        <v>94</v>
      </c>
      <c r="D13" s="30" t="s">
        <v>409</v>
      </c>
      <c r="E13" s="32" t="s">
        <v>414</v>
      </c>
      <c r="F13" s="4"/>
      <c r="G13" s="4"/>
      <c r="H13" s="4"/>
      <c r="I13" s="4"/>
      <c r="J13" s="4"/>
      <c r="K13" s="4"/>
      <c r="L13" s="4"/>
      <c r="M13" s="4"/>
      <c r="N13" s="4"/>
      <c r="O13" s="4"/>
      <c r="P13" s="4"/>
      <c r="Q13" s="4"/>
      <c r="R13" s="4"/>
      <c r="S13" s="4"/>
      <c r="T13" s="4"/>
      <c r="U13" s="4"/>
      <c r="V13" s="4"/>
      <c r="W13" s="4"/>
      <c r="X13" s="4"/>
      <c r="Y13" s="4"/>
      <c r="Z13" s="4"/>
    </row>
    <row r="14" ht="15.75" customHeight="1">
      <c r="A14" s="30" t="s">
        <v>104</v>
      </c>
      <c r="B14" s="30" t="s">
        <v>427</v>
      </c>
      <c r="C14" s="31" t="s">
        <v>102</v>
      </c>
      <c r="D14" s="30" t="s">
        <v>409</v>
      </c>
      <c r="E14" s="32" t="s">
        <v>412</v>
      </c>
      <c r="F14" s="4"/>
      <c r="G14" s="4"/>
      <c r="H14" s="4"/>
      <c r="I14" s="4"/>
      <c r="J14" s="4"/>
      <c r="K14" s="4"/>
      <c r="L14" s="4"/>
      <c r="M14" s="4"/>
      <c r="N14" s="4"/>
      <c r="O14" s="4"/>
      <c r="P14" s="4"/>
      <c r="Q14" s="4"/>
      <c r="R14" s="4"/>
      <c r="S14" s="4"/>
      <c r="T14" s="4"/>
      <c r="U14" s="4"/>
      <c r="V14" s="4"/>
      <c r="W14" s="4"/>
      <c r="X14" s="4"/>
      <c r="Y14" s="4"/>
      <c r="Z14" s="4"/>
    </row>
    <row r="15" ht="15.75" customHeight="1">
      <c r="A15" s="30" t="s">
        <v>110</v>
      </c>
      <c r="B15" s="30" t="s">
        <v>428</v>
      </c>
      <c r="C15" s="31" t="s">
        <v>108</v>
      </c>
      <c r="D15" s="30" t="s">
        <v>409</v>
      </c>
      <c r="E15" s="32" t="s">
        <v>429</v>
      </c>
      <c r="F15" s="4"/>
      <c r="G15" s="4"/>
      <c r="H15" s="4"/>
      <c r="I15" s="4"/>
      <c r="J15" s="4"/>
      <c r="K15" s="4"/>
      <c r="L15" s="4"/>
      <c r="M15" s="4"/>
      <c r="N15" s="4"/>
      <c r="O15" s="4"/>
      <c r="P15" s="4"/>
      <c r="Q15" s="4"/>
      <c r="R15" s="4"/>
      <c r="S15" s="4"/>
      <c r="T15" s="4"/>
      <c r="U15" s="4"/>
      <c r="V15" s="4"/>
      <c r="W15" s="4"/>
      <c r="X15" s="4"/>
      <c r="Y15" s="4"/>
      <c r="Z15" s="4"/>
    </row>
    <row r="16" ht="15.75" customHeight="1">
      <c r="A16" s="30" t="s">
        <v>71</v>
      </c>
      <c r="B16" s="30" t="s">
        <v>430</v>
      </c>
      <c r="C16" s="31" t="s">
        <v>69</v>
      </c>
      <c r="D16" s="30" t="s">
        <v>409</v>
      </c>
      <c r="E16" s="32" t="s">
        <v>431</v>
      </c>
      <c r="F16" s="4"/>
      <c r="G16" s="4"/>
      <c r="H16" s="4"/>
      <c r="I16" s="4"/>
      <c r="J16" s="4"/>
      <c r="K16" s="4"/>
      <c r="L16" s="4"/>
      <c r="M16" s="4"/>
      <c r="N16" s="4"/>
      <c r="O16" s="4"/>
      <c r="P16" s="4"/>
      <c r="Q16" s="4"/>
      <c r="R16" s="4"/>
      <c r="S16" s="4"/>
      <c r="T16" s="4"/>
      <c r="U16" s="4"/>
      <c r="V16" s="4"/>
      <c r="W16" s="4"/>
      <c r="X16" s="4"/>
      <c r="Y16" s="4"/>
      <c r="Z16" s="4"/>
    </row>
    <row r="17" ht="15.75" customHeight="1">
      <c r="A17" s="30" t="s">
        <v>79</v>
      </c>
      <c r="B17" s="30" t="s">
        <v>432</v>
      </c>
      <c r="C17" s="31" t="s">
        <v>77</v>
      </c>
      <c r="D17" s="30" t="s">
        <v>409</v>
      </c>
      <c r="E17" s="32" t="s">
        <v>412</v>
      </c>
      <c r="F17" s="4"/>
      <c r="G17" s="4"/>
      <c r="H17" s="4"/>
      <c r="I17" s="4"/>
      <c r="J17" s="4"/>
      <c r="K17" s="4"/>
      <c r="L17" s="4"/>
      <c r="M17" s="4"/>
      <c r="N17" s="4"/>
      <c r="O17" s="4"/>
      <c r="P17" s="4"/>
      <c r="Q17" s="4"/>
      <c r="R17" s="4"/>
      <c r="S17" s="4"/>
      <c r="T17" s="4"/>
      <c r="U17" s="4"/>
      <c r="V17" s="4"/>
      <c r="W17" s="4"/>
      <c r="X17" s="4"/>
      <c r="Y17" s="4"/>
      <c r="Z17" s="4"/>
    </row>
    <row r="18" ht="15.75" customHeight="1">
      <c r="A18" s="30" t="s">
        <v>82</v>
      </c>
      <c r="B18" s="30" t="s">
        <v>433</v>
      </c>
      <c r="C18" s="31" t="s">
        <v>80</v>
      </c>
      <c r="D18" s="30" t="s">
        <v>409</v>
      </c>
      <c r="E18" s="32" t="s">
        <v>421</v>
      </c>
      <c r="F18" s="4"/>
      <c r="G18" s="4"/>
      <c r="H18" s="4"/>
      <c r="I18" s="4"/>
      <c r="J18" s="4"/>
      <c r="K18" s="4"/>
      <c r="L18" s="4"/>
      <c r="M18" s="4"/>
      <c r="N18" s="4"/>
      <c r="O18" s="4"/>
      <c r="P18" s="4"/>
      <c r="Q18" s="4"/>
      <c r="R18" s="4"/>
      <c r="S18" s="4"/>
      <c r="T18" s="4"/>
      <c r="U18" s="4"/>
      <c r="V18" s="4"/>
      <c r="W18" s="4"/>
      <c r="X18" s="4"/>
      <c r="Y18" s="4"/>
      <c r="Z18" s="4"/>
    </row>
    <row r="19" ht="15.75" customHeight="1">
      <c r="A19" s="30" t="s">
        <v>85</v>
      </c>
      <c r="B19" s="30" t="s">
        <v>434</v>
      </c>
      <c r="C19" s="31" t="s">
        <v>83</v>
      </c>
      <c r="D19" s="30" t="s">
        <v>409</v>
      </c>
      <c r="E19" s="32" t="s">
        <v>414</v>
      </c>
      <c r="F19" s="4"/>
      <c r="G19" s="4"/>
      <c r="H19" s="4"/>
      <c r="I19" s="4"/>
      <c r="J19" s="4"/>
      <c r="K19" s="4"/>
      <c r="L19" s="4"/>
      <c r="M19" s="4"/>
      <c r="N19" s="4"/>
      <c r="O19" s="4"/>
      <c r="P19" s="4"/>
      <c r="Q19" s="4"/>
      <c r="R19" s="4"/>
      <c r="S19" s="4"/>
      <c r="T19" s="4"/>
      <c r="U19" s="4"/>
      <c r="V19" s="4"/>
      <c r="W19" s="4"/>
      <c r="X19" s="4"/>
      <c r="Y19" s="4"/>
      <c r="Z19" s="4"/>
    </row>
    <row r="20" ht="15.75" customHeight="1">
      <c r="A20" s="30" t="s">
        <v>88</v>
      </c>
      <c r="B20" s="30" t="s">
        <v>435</v>
      </c>
      <c r="C20" s="31" t="s">
        <v>86</v>
      </c>
      <c r="D20" s="30" t="s">
        <v>409</v>
      </c>
      <c r="E20" s="32" t="s">
        <v>436</v>
      </c>
      <c r="F20" s="4"/>
      <c r="G20" s="4"/>
      <c r="H20" s="4"/>
      <c r="I20" s="4"/>
      <c r="J20" s="4"/>
      <c r="K20" s="4"/>
      <c r="L20" s="4"/>
      <c r="M20" s="4"/>
      <c r="N20" s="4"/>
      <c r="O20" s="4"/>
      <c r="P20" s="4"/>
      <c r="Q20" s="4"/>
      <c r="R20" s="4"/>
      <c r="S20" s="4"/>
      <c r="T20" s="4"/>
      <c r="U20" s="4"/>
      <c r="V20" s="4"/>
      <c r="W20" s="4"/>
      <c r="X20" s="4"/>
      <c r="Y20" s="4"/>
      <c r="Z20" s="4"/>
    </row>
    <row r="21" ht="15.75" customHeight="1">
      <c r="A21" s="30" t="s">
        <v>76</v>
      </c>
      <c r="B21" s="30" t="s">
        <v>437</v>
      </c>
      <c r="C21" s="31" t="s">
        <v>74</v>
      </c>
      <c r="D21" s="30" t="s">
        <v>409</v>
      </c>
      <c r="E21" s="32">
        <v>1.0</v>
      </c>
      <c r="F21" s="4"/>
      <c r="G21" s="4"/>
      <c r="H21" s="4"/>
      <c r="I21" s="4"/>
      <c r="J21" s="4"/>
      <c r="K21" s="4"/>
      <c r="L21" s="4"/>
      <c r="M21" s="4"/>
      <c r="N21" s="4"/>
      <c r="O21" s="4"/>
      <c r="P21" s="4"/>
      <c r="Q21" s="4"/>
      <c r="R21" s="4"/>
      <c r="S21" s="4"/>
      <c r="T21" s="4"/>
      <c r="U21" s="4"/>
      <c r="V21" s="4"/>
      <c r="W21" s="4"/>
      <c r="X21" s="4"/>
      <c r="Y21" s="4"/>
      <c r="Z21" s="4"/>
    </row>
    <row r="22" ht="15.75" customHeight="1">
      <c r="A22" s="30" t="s">
        <v>107</v>
      </c>
      <c r="B22" s="30" t="s">
        <v>438</v>
      </c>
      <c r="C22" s="31" t="s">
        <v>105</v>
      </c>
      <c r="D22" s="30" t="s">
        <v>409</v>
      </c>
      <c r="E22" s="32">
        <v>1.2</v>
      </c>
      <c r="F22" s="4"/>
      <c r="G22" s="4"/>
      <c r="H22" s="4"/>
      <c r="I22" s="4"/>
      <c r="J22" s="4"/>
      <c r="K22" s="4"/>
      <c r="L22" s="4"/>
      <c r="M22" s="4"/>
      <c r="N22" s="4"/>
      <c r="O22" s="4"/>
      <c r="P22" s="4"/>
      <c r="Q22" s="4"/>
      <c r="R22" s="4"/>
      <c r="S22" s="4"/>
      <c r="T22" s="4"/>
      <c r="U22" s="4"/>
      <c r="V22" s="4"/>
      <c r="W22" s="4"/>
      <c r="X22" s="4"/>
      <c r="Y22" s="4"/>
      <c r="Z22" s="4"/>
    </row>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0.5"/>
    <col customWidth="1" min="2" max="2" width="18.75"/>
    <col customWidth="1" min="3" max="3" width="24.88"/>
    <col customWidth="1" min="4" max="4" width="38.0"/>
    <col customWidth="1" min="5" max="5" width="13.88"/>
  </cols>
  <sheetData>
    <row r="1" ht="15.75" customHeight="1">
      <c r="A1" s="27" t="s">
        <v>439</v>
      </c>
      <c r="B1" s="26" t="s">
        <v>440</v>
      </c>
      <c r="C1" s="26" t="s">
        <v>403</v>
      </c>
      <c r="D1" s="26" t="s">
        <v>404</v>
      </c>
      <c r="E1" s="33" t="s">
        <v>441</v>
      </c>
      <c r="F1" s="29"/>
      <c r="G1" s="29"/>
      <c r="H1" s="29"/>
      <c r="I1" s="29"/>
      <c r="J1" s="29"/>
      <c r="K1" s="29"/>
      <c r="L1" s="29"/>
      <c r="M1" s="29"/>
      <c r="N1" s="29"/>
      <c r="O1" s="29"/>
      <c r="P1" s="29"/>
      <c r="Q1" s="29"/>
      <c r="R1" s="29"/>
      <c r="S1" s="29"/>
      <c r="T1" s="29"/>
      <c r="U1" s="29"/>
      <c r="V1" s="29"/>
      <c r="W1" s="29"/>
      <c r="X1" s="29"/>
      <c r="Y1" s="29"/>
      <c r="Z1" s="29"/>
    </row>
    <row r="2" ht="15.75" customHeight="1">
      <c r="A2" s="34" t="s">
        <v>431</v>
      </c>
      <c r="B2" s="30" t="s">
        <v>442</v>
      </c>
      <c r="C2" s="30" t="s">
        <v>23</v>
      </c>
      <c r="D2" s="30" t="s">
        <v>408</v>
      </c>
      <c r="E2" s="35">
        <v>0.3</v>
      </c>
      <c r="F2" s="4"/>
      <c r="G2" s="4"/>
      <c r="H2" s="4"/>
      <c r="I2" s="4"/>
      <c r="J2" s="4"/>
      <c r="K2" s="4"/>
      <c r="L2" s="4"/>
      <c r="M2" s="4"/>
      <c r="N2" s="4"/>
      <c r="O2" s="4"/>
      <c r="P2" s="4"/>
      <c r="Q2" s="4"/>
      <c r="R2" s="4"/>
      <c r="S2" s="4"/>
      <c r="T2" s="4"/>
      <c r="U2" s="4"/>
      <c r="V2" s="4"/>
      <c r="W2" s="4"/>
      <c r="X2" s="4"/>
      <c r="Y2" s="4"/>
      <c r="Z2" s="4"/>
    </row>
    <row r="3" ht="15.75" customHeight="1">
      <c r="A3" s="34" t="s">
        <v>431</v>
      </c>
      <c r="B3" s="30" t="s">
        <v>442</v>
      </c>
      <c r="C3" s="30" t="s">
        <v>31</v>
      </c>
      <c r="D3" s="30" t="s">
        <v>411</v>
      </c>
      <c r="E3" s="35">
        <v>0.8</v>
      </c>
      <c r="F3" s="4"/>
      <c r="G3" s="4"/>
      <c r="H3" s="4"/>
      <c r="I3" s="4"/>
      <c r="J3" s="4"/>
      <c r="K3" s="4"/>
      <c r="L3" s="4"/>
      <c r="M3" s="4"/>
      <c r="N3" s="4"/>
      <c r="O3" s="4"/>
      <c r="P3" s="4"/>
      <c r="Q3" s="4"/>
      <c r="R3" s="4"/>
      <c r="S3" s="4"/>
      <c r="T3" s="4"/>
      <c r="U3" s="4"/>
      <c r="V3" s="4"/>
      <c r="W3" s="4"/>
      <c r="X3" s="4"/>
      <c r="Y3" s="4"/>
      <c r="Z3" s="4"/>
    </row>
    <row r="4" ht="15.75" customHeight="1">
      <c r="A4" s="34" t="s">
        <v>431</v>
      </c>
      <c r="B4" s="30" t="s">
        <v>442</v>
      </c>
      <c r="C4" s="30" t="s">
        <v>34</v>
      </c>
      <c r="D4" s="30" t="s">
        <v>413</v>
      </c>
      <c r="E4" s="35">
        <v>0.45</v>
      </c>
      <c r="F4" s="4"/>
      <c r="G4" s="4"/>
      <c r="H4" s="4"/>
      <c r="I4" s="4"/>
      <c r="J4" s="4"/>
      <c r="K4" s="4"/>
      <c r="L4" s="4"/>
      <c r="M4" s="4"/>
      <c r="N4" s="4"/>
      <c r="O4" s="4"/>
      <c r="P4" s="4"/>
      <c r="Q4" s="4"/>
      <c r="R4" s="4"/>
      <c r="S4" s="4"/>
      <c r="T4" s="4"/>
      <c r="U4" s="4"/>
      <c r="V4" s="4"/>
      <c r="W4" s="4"/>
      <c r="X4" s="4"/>
      <c r="Y4" s="4"/>
      <c r="Z4" s="4"/>
    </row>
    <row r="5" ht="15.75" customHeight="1">
      <c r="A5" s="34" t="s">
        <v>431</v>
      </c>
      <c r="B5" s="30" t="s">
        <v>442</v>
      </c>
      <c r="C5" s="30" t="s">
        <v>43</v>
      </c>
      <c r="D5" s="30" t="s">
        <v>415</v>
      </c>
      <c r="E5" s="35">
        <v>0.85</v>
      </c>
      <c r="F5" s="4"/>
      <c r="G5" s="4"/>
      <c r="H5" s="4"/>
      <c r="I5" s="4"/>
      <c r="J5" s="4"/>
      <c r="K5" s="4"/>
      <c r="L5" s="4"/>
      <c r="M5" s="4"/>
      <c r="N5" s="4"/>
      <c r="O5" s="4"/>
      <c r="P5" s="4"/>
      <c r="Q5" s="4"/>
      <c r="R5" s="4"/>
      <c r="S5" s="4"/>
      <c r="T5" s="4"/>
      <c r="U5" s="4"/>
      <c r="V5" s="4"/>
      <c r="W5" s="4"/>
      <c r="X5" s="4"/>
      <c r="Y5" s="4"/>
      <c r="Z5" s="4"/>
    </row>
    <row r="6" ht="15.75" customHeight="1">
      <c r="A6" s="34" t="s">
        <v>431</v>
      </c>
      <c r="B6" s="30" t="s">
        <v>442</v>
      </c>
      <c r="C6" s="30" t="s">
        <v>50</v>
      </c>
      <c r="D6" s="30" t="s">
        <v>416</v>
      </c>
      <c r="E6" s="35">
        <v>0.4</v>
      </c>
      <c r="F6" s="4"/>
      <c r="G6" s="4"/>
      <c r="H6" s="4"/>
      <c r="I6" s="4"/>
      <c r="J6" s="4"/>
      <c r="K6" s="4"/>
      <c r="L6" s="4"/>
      <c r="M6" s="4"/>
      <c r="N6" s="4"/>
      <c r="O6" s="4"/>
      <c r="P6" s="4"/>
      <c r="Q6" s="4"/>
      <c r="R6" s="4"/>
      <c r="S6" s="4"/>
      <c r="T6" s="4"/>
      <c r="U6" s="4"/>
      <c r="V6" s="4"/>
      <c r="W6" s="4"/>
      <c r="X6" s="4"/>
      <c r="Y6" s="4"/>
      <c r="Z6" s="4"/>
    </row>
    <row r="7" ht="15.75" customHeight="1">
      <c r="A7" s="34" t="s">
        <v>431</v>
      </c>
      <c r="B7" s="30" t="s">
        <v>442</v>
      </c>
      <c r="C7" s="30" t="s">
        <v>53</v>
      </c>
      <c r="D7" s="30" t="s">
        <v>417</v>
      </c>
      <c r="E7" s="35">
        <v>0.25</v>
      </c>
      <c r="F7" s="4"/>
      <c r="G7" s="4"/>
      <c r="H7" s="4"/>
      <c r="I7" s="4"/>
      <c r="J7" s="4"/>
      <c r="K7" s="4"/>
      <c r="L7" s="4"/>
      <c r="M7" s="4"/>
      <c r="N7" s="4"/>
      <c r="O7" s="4"/>
      <c r="P7" s="4"/>
      <c r="Q7" s="4"/>
      <c r="R7" s="4"/>
      <c r="S7" s="4"/>
      <c r="T7" s="4"/>
      <c r="U7" s="4"/>
      <c r="V7" s="4"/>
      <c r="W7" s="4"/>
      <c r="X7" s="4"/>
      <c r="Y7" s="4"/>
      <c r="Z7" s="4"/>
    </row>
    <row r="8" ht="15.75" customHeight="1">
      <c r="A8" s="34" t="s">
        <v>431</v>
      </c>
      <c r="B8" s="30" t="s">
        <v>442</v>
      </c>
      <c r="C8" s="30" t="s">
        <v>63</v>
      </c>
      <c r="D8" s="30" t="s">
        <v>418</v>
      </c>
      <c r="E8" s="35">
        <v>0.2</v>
      </c>
      <c r="F8" s="4"/>
      <c r="G8" s="4"/>
      <c r="H8" s="4"/>
      <c r="I8" s="4"/>
      <c r="J8" s="4"/>
      <c r="K8" s="4"/>
      <c r="L8" s="4"/>
      <c r="M8" s="4"/>
      <c r="N8" s="4"/>
      <c r="O8" s="4"/>
      <c r="P8" s="4"/>
      <c r="Q8" s="4"/>
      <c r="R8" s="4"/>
      <c r="S8" s="4"/>
      <c r="T8" s="4"/>
      <c r="U8" s="4"/>
      <c r="V8" s="4"/>
      <c r="W8" s="4"/>
      <c r="X8" s="4"/>
      <c r="Y8" s="4"/>
      <c r="Z8" s="4"/>
    </row>
    <row r="9" ht="15.75" customHeight="1">
      <c r="A9" s="34" t="s">
        <v>431</v>
      </c>
      <c r="B9" s="30" t="s">
        <v>442</v>
      </c>
      <c r="C9" s="30" t="s">
        <v>60</v>
      </c>
      <c r="D9" s="30" t="s">
        <v>420</v>
      </c>
      <c r="E9" s="35">
        <v>0.55</v>
      </c>
      <c r="F9" s="4"/>
      <c r="G9" s="4"/>
      <c r="H9" s="4"/>
      <c r="I9" s="4"/>
      <c r="J9" s="4"/>
      <c r="K9" s="4"/>
      <c r="L9" s="4"/>
      <c r="M9" s="4"/>
      <c r="N9" s="4"/>
      <c r="O9" s="4"/>
      <c r="P9" s="4"/>
      <c r="Q9" s="4"/>
      <c r="R9" s="4"/>
      <c r="S9" s="4"/>
      <c r="T9" s="4"/>
      <c r="U9" s="4"/>
      <c r="V9" s="4"/>
      <c r="W9" s="4"/>
      <c r="X9" s="4"/>
      <c r="Y9" s="4"/>
      <c r="Z9" s="4"/>
    </row>
    <row r="10" ht="15.75" customHeight="1">
      <c r="A10" s="34" t="s">
        <v>431</v>
      </c>
      <c r="B10" s="30" t="s">
        <v>442</v>
      </c>
      <c r="C10" s="30" t="s">
        <v>57</v>
      </c>
      <c r="D10" s="30" t="s">
        <v>422</v>
      </c>
      <c r="E10" s="35">
        <v>0.2</v>
      </c>
      <c r="F10" s="4"/>
      <c r="G10" s="4"/>
      <c r="H10" s="4"/>
      <c r="I10" s="4"/>
      <c r="J10" s="4"/>
      <c r="K10" s="4"/>
      <c r="L10" s="4"/>
      <c r="M10" s="4"/>
      <c r="N10" s="4"/>
      <c r="O10" s="4"/>
      <c r="P10" s="4"/>
      <c r="Q10" s="4"/>
      <c r="R10" s="4"/>
      <c r="S10" s="4"/>
      <c r="T10" s="4"/>
      <c r="U10" s="4"/>
      <c r="V10" s="4"/>
      <c r="W10" s="4"/>
      <c r="X10" s="4"/>
      <c r="Y10" s="4"/>
      <c r="Z10" s="4"/>
    </row>
    <row r="11" ht="15.75" customHeight="1">
      <c r="A11" s="34" t="s">
        <v>431</v>
      </c>
      <c r="B11" s="30" t="s">
        <v>442</v>
      </c>
      <c r="C11" s="30" t="s">
        <v>99</v>
      </c>
      <c r="D11" s="30" t="s">
        <v>424</v>
      </c>
      <c r="E11" s="35">
        <v>0.3</v>
      </c>
      <c r="F11" s="4"/>
      <c r="G11" s="4"/>
      <c r="H11" s="4"/>
      <c r="I11" s="4"/>
      <c r="J11" s="4"/>
      <c r="K11" s="4"/>
      <c r="L11" s="4"/>
      <c r="M11" s="4"/>
      <c r="N11" s="4"/>
      <c r="O11" s="4"/>
      <c r="P11" s="4"/>
      <c r="Q11" s="4"/>
      <c r="R11" s="4"/>
      <c r="S11" s="4"/>
      <c r="T11" s="4"/>
      <c r="U11" s="4"/>
      <c r="V11" s="4"/>
      <c r="W11" s="4"/>
      <c r="X11" s="4"/>
      <c r="Y11" s="4"/>
      <c r="Z11" s="4"/>
    </row>
    <row r="12" ht="15.75" customHeight="1">
      <c r="A12" s="34" t="s">
        <v>431</v>
      </c>
      <c r="B12" s="30" t="s">
        <v>442</v>
      </c>
      <c r="C12" s="30" t="s">
        <v>93</v>
      </c>
      <c r="D12" s="30" t="s">
        <v>425</v>
      </c>
      <c r="E12" s="35">
        <v>0.45</v>
      </c>
      <c r="F12" s="4"/>
      <c r="G12" s="4"/>
      <c r="H12" s="4"/>
      <c r="I12" s="4"/>
      <c r="J12" s="4"/>
      <c r="K12" s="4"/>
      <c r="L12" s="4"/>
      <c r="M12" s="4"/>
      <c r="N12" s="4"/>
      <c r="O12" s="4"/>
      <c r="P12" s="4"/>
      <c r="Q12" s="4"/>
      <c r="R12" s="4"/>
      <c r="S12" s="4"/>
      <c r="T12" s="4"/>
      <c r="U12" s="4"/>
      <c r="V12" s="4"/>
      <c r="W12" s="4"/>
      <c r="X12" s="4"/>
      <c r="Y12" s="4"/>
      <c r="Z12" s="4"/>
    </row>
    <row r="13" ht="15.75" customHeight="1">
      <c r="A13" s="34" t="s">
        <v>431</v>
      </c>
      <c r="B13" s="30" t="s">
        <v>442</v>
      </c>
      <c r="C13" s="30" t="s">
        <v>96</v>
      </c>
      <c r="D13" s="30" t="s">
        <v>426</v>
      </c>
      <c r="E13" s="35">
        <v>0.55</v>
      </c>
      <c r="F13" s="4"/>
      <c r="G13" s="4"/>
      <c r="H13" s="4"/>
      <c r="I13" s="4"/>
      <c r="J13" s="4"/>
      <c r="K13" s="4"/>
      <c r="L13" s="4"/>
      <c r="M13" s="4"/>
      <c r="N13" s="4"/>
      <c r="O13" s="4"/>
      <c r="P13" s="4"/>
      <c r="Q13" s="4"/>
      <c r="R13" s="4"/>
      <c r="S13" s="4"/>
      <c r="T13" s="4"/>
      <c r="U13" s="4"/>
      <c r="V13" s="4"/>
      <c r="W13" s="4"/>
      <c r="X13" s="4"/>
      <c r="Y13" s="4"/>
      <c r="Z13" s="4"/>
    </row>
    <row r="14" ht="15.75" customHeight="1">
      <c r="A14" s="34" t="s">
        <v>431</v>
      </c>
      <c r="B14" s="30" t="s">
        <v>442</v>
      </c>
      <c r="C14" s="30" t="s">
        <v>104</v>
      </c>
      <c r="D14" s="30" t="s">
        <v>427</v>
      </c>
      <c r="E14" s="35">
        <v>0.2</v>
      </c>
      <c r="F14" s="4"/>
      <c r="G14" s="4"/>
      <c r="H14" s="4"/>
      <c r="I14" s="4"/>
      <c r="J14" s="4"/>
      <c r="K14" s="4"/>
      <c r="L14" s="4"/>
      <c r="M14" s="4"/>
      <c r="N14" s="4"/>
      <c r="O14" s="4"/>
      <c r="P14" s="4"/>
      <c r="Q14" s="4"/>
      <c r="R14" s="4"/>
      <c r="S14" s="4"/>
      <c r="T14" s="4"/>
      <c r="U14" s="4"/>
      <c r="V14" s="4"/>
      <c r="W14" s="4"/>
      <c r="X14" s="4"/>
      <c r="Y14" s="4"/>
      <c r="Z14" s="4"/>
    </row>
    <row r="15" ht="15.75" customHeight="1">
      <c r="A15" s="34" t="s">
        <v>431</v>
      </c>
      <c r="B15" s="30" t="s">
        <v>442</v>
      </c>
      <c r="C15" s="30" t="s">
        <v>110</v>
      </c>
      <c r="D15" s="30" t="s">
        <v>428</v>
      </c>
      <c r="E15" s="35">
        <v>0.5</v>
      </c>
      <c r="F15" s="4"/>
      <c r="G15" s="4"/>
      <c r="H15" s="4"/>
      <c r="I15" s="4"/>
      <c r="J15" s="4"/>
      <c r="K15" s="4"/>
      <c r="L15" s="4"/>
      <c r="M15" s="4"/>
      <c r="N15" s="4"/>
      <c r="O15" s="4"/>
      <c r="P15" s="4"/>
      <c r="Q15" s="4"/>
      <c r="R15" s="4"/>
      <c r="S15" s="4"/>
      <c r="T15" s="4"/>
      <c r="U15" s="4"/>
      <c r="V15" s="4"/>
      <c r="W15" s="4"/>
      <c r="X15" s="4"/>
      <c r="Y15" s="4"/>
      <c r="Z15" s="4"/>
    </row>
    <row r="16" ht="15.75" customHeight="1">
      <c r="A16" s="34" t="s">
        <v>431</v>
      </c>
      <c r="B16" s="30" t="s">
        <v>442</v>
      </c>
      <c r="C16" s="30" t="s">
        <v>71</v>
      </c>
      <c r="D16" s="30" t="s">
        <v>430</v>
      </c>
      <c r="E16" s="35">
        <v>0.75</v>
      </c>
      <c r="F16" s="4"/>
      <c r="G16" s="4"/>
      <c r="H16" s="4"/>
      <c r="I16" s="4"/>
      <c r="J16" s="4"/>
      <c r="K16" s="4"/>
      <c r="L16" s="4"/>
      <c r="M16" s="4"/>
      <c r="N16" s="4"/>
      <c r="O16" s="4"/>
      <c r="P16" s="4"/>
      <c r="Q16" s="4"/>
      <c r="R16" s="4"/>
      <c r="S16" s="4"/>
      <c r="T16" s="4"/>
      <c r="U16" s="4"/>
      <c r="V16" s="4"/>
      <c r="W16" s="4"/>
      <c r="X16" s="4"/>
      <c r="Y16" s="4"/>
      <c r="Z16" s="4"/>
    </row>
    <row r="17" ht="15.75" customHeight="1">
      <c r="A17" s="34" t="s">
        <v>431</v>
      </c>
      <c r="B17" s="30" t="s">
        <v>442</v>
      </c>
      <c r="C17" s="30" t="s">
        <v>79</v>
      </c>
      <c r="D17" s="30" t="s">
        <v>432</v>
      </c>
      <c r="E17" s="35">
        <v>0.65</v>
      </c>
      <c r="F17" s="4"/>
      <c r="G17" s="4"/>
      <c r="H17" s="4"/>
      <c r="I17" s="4"/>
      <c r="J17" s="4"/>
      <c r="K17" s="4"/>
      <c r="L17" s="4"/>
      <c r="M17" s="4"/>
      <c r="N17" s="4"/>
      <c r="O17" s="4"/>
      <c r="P17" s="4"/>
      <c r="Q17" s="4"/>
      <c r="R17" s="4"/>
      <c r="S17" s="4"/>
      <c r="T17" s="4"/>
      <c r="U17" s="4"/>
      <c r="V17" s="4"/>
      <c r="W17" s="4"/>
      <c r="X17" s="4"/>
      <c r="Y17" s="4"/>
      <c r="Z17" s="4"/>
    </row>
    <row r="18" ht="15.75" customHeight="1">
      <c r="A18" s="34" t="s">
        <v>431</v>
      </c>
      <c r="B18" s="30" t="s">
        <v>442</v>
      </c>
      <c r="C18" s="30" t="s">
        <v>82</v>
      </c>
      <c r="D18" s="30" t="s">
        <v>433</v>
      </c>
      <c r="E18" s="35">
        <v>0.45</v>
      </c>
      <c r="F18" s="4"/>
      <c r="G18" s="4"/>
      <c r="H18" s="4"/>
      <c r="I18" s="4"/>
      <c r="J18" s="4"/>
      <c r="K18" s="4"/>
      <c r="L18" s="4"/>
      <c r="M18" s="4"/>
      <c r="N18" s="4"/>
      <c r="O18" s="4"/>
      <c r="P18" s="4"/>
      <c r="Q18" s="4"/>
      <c r="R18" s="4"/>
      <c r="S18" s="4"/>
      <c r="T18" s="4"/>
      <c r="U18" s="4"/>
      <c r="V18" s="4"/>
      <c r="W18" s="4"/>
      <c r="X18" s="4"/>
      <c r="Y18" s="4"/>
      <c r="Z18" s="4"/>
    </row>
    <row r="19" ht="15.75" customHeight="1">
      <c r="A19" s="34" t="s">
        <v>431</v>
      </c>
      <c r="B19" s="30" t="s">
        <v>442</v>
      </c>
      <c r="C19" s="30" t="s">
        <v>85</v>
      </c>
      <c r="D19" s="30" t="s">
        <v>434</v>
      </c>
      <c r="E19" s="35">
        <v>0.2</v>
      </c>
      <c r="F19" s="4"/>
      <c r="G19" s="4"/>
      <c r="H19" s="4"/>
      <c r="I19" s="4"/>
      <c r="J19" s="4"/>
      <c r="K19" s="4"/>
      <c r="L19" s="4"/>
      <c r="M19" s="4"/>
      <c r="N19" s="4"/>
      <c r="O19" s="4"/>
      <c r="P19" s="4"/>
      <c r="Q19" s="4"/>
      <c r="R19" s="4"/>
      <c r="S19" s="4"/>
      <c r="T19" s="4"/>
      <c r="U19" s="4"/>
      <c r="V19" s="4"/>
      <c r="W19" s="4"/>
      <c r="X19" s="4"/>
      <c r="Y19" s="4"/>
      <c r="Z19" s="4"/>
    </row>
    <row r="20" ht="15.75" customHeight="1">
      <c r="A20" s="34" t="s">
        <v>431</v>
      </c>
      <c r="B20" s="30" t="s">
        <v>442</v>
      </c>
      <c r="C20" s="30" t="s">
        <v>88</v>
      </c>
      <c r="D20" s="30" t="s">
        <v>435</v>
      </c>
      <c r="E20" s="35">
        <v>0.1</v>
      </c>
      <c r="F20" s="4"/>
      <c r="G20" s="4"/>
      <c r="H20" s="4"/>
      <c r="I20" s="4"/>
      <c r="J20" s="4"/>
      <c r="K20" s="4"/>
      <c r="L20" s="4"/>
      <c r="M20" s="4"/>
      <c r="N20" s="4"/>
      <c r="O20" s="4"/>
      <c r="P20" s="4"/>
      <c r="Q20" s="4"/>
      <c r="R20" s="4"/>
      <c r="S20" s="4"/>
      <c r="T20" s="4"/>
      <c r="U20" s="4"/>
      <c r="V20" s="4"/>
      <c r="W20" s="4"/>
      <c r="X20" s="4"/>
      <c r="Y20" s="4"/>
      <c r="Z20" s="4"/>
    </row>
    <row r="21" ht="15.75" customHeight="1">
      <c r="A21" s="34" t="s">
        <v>431</v>
      </c>
      <c r="B21" s="30" t="s">
        <v>442</v>
      </c>
      <c r="C21" s="30" t="s">
        <v>76</v>
      </c>
      <c r="D21" s="30" t="s">
        <v>437</v>
      </c>
      <c r="E21" s="35">
        <v>0.75</v>
      </c>
      <c r="F21" s="4"/>
      <c r="G21" s="4"/>
      <c r="H21" s="4"/>
      <c r="I21" s="4"/>
      <c r="J21" s="4"/>
      <c r="K21" s="4"/>
      <c r="L21" s="4"/>
      <c r="M21" s="4"/>
      <c r="N21" s="4"/>
      <c r="O21" s="4"/>
      <c r="P21" s="4"/>
      <c r="Q21" s="4"/>
      <c r="R21" s="4"/>
      <c r="S21" s="4"/>
      <c r="T21" s="4"/>
      <c r="U21" s="4"/>
      <c r="V21" s="4"/>
      <c r="W21" s="4"/>
      <c r="X21" s="4"/>
      <c r="Y21" s="4"/>
      <c r="Z21" s="4"/>
    </row>
    <row r="22" ht="15.75" customHeight="1">
      <c r="A22" s="34" t="s">
        <v>431</v>
      </c>
      <c r="B22" s="30" t="s">
        <v>442</v>
      </c>
      <c r="C22" s="30" t="s">
        <v>107</v>
      </c>
      <c r="D22" s="30" t="s">
        <v>438</v>
      </c>
      <c r="E22" s="35">
        <v>0.7</v>
      </c>
      <c r="F22" s="4"/>
      <c r="G22" s="4"/>
      <c r="H22" s="4"/>
      <c r="I22" s="4"/>
      <c r="J22" s="4"/>
      <c r="K22" s="4"/>
      <c r="L22" s="4"/>
      <c r="M22" s="4"/>
      <c r="N22" s="4"/>
      <c r="O22" s="4"/>
      <c r="P22" s="4"/>
      <c r="Q22" s="4"/>
      <c r="R22" s="4"/>
      <c r="S22" s="4"/>
      <c r="T22" s="4"/>
      <c r="U22" s="4"/>
      <c r="V22" s="4"/>
      <c r="W22" s="4"/>
      <c r="X22" s="4"/>
      <c r="Y22" s="4"/>
      <c r="Z22" s="4"/>
    </row>
    <row r="23" ht="15.75" customHeight="1">
      <c r="A23" s="34" t="s">
        <v>443</v>
      </c>
      <c r="B23" s="30" t="s">
        <v>444</v>
      </c>
      <c r="C23" s="30" t="s">
        <v>23</v>
      </c>
      <c r="D23" s="30" t="s">
        <v>408</v>
      </c>
      <c r="E23" s="35">
        <v>0.83</v>
      </c>
      <c r="F23" s="4"/>
      <c r="G23" s="4"/>
      <c r="H23" s="4"/>
      <c r="I23" s="4"/>
      <c r="J23" s="4"/>
      <c r="K23" s="4"/>
      <c r="L23" s="4"/>
      <c r="M23" s="4"/>
      <c r="N23" s="4"/>
      <c r="O23" s="4"/>
      <c r="P23" s="4"/>
      <c r="Q23" s="4"/>
      <c r="R23" s="4"/>
      <c r="S23" s="4"/>
      <c r="T23" s="4"/>
      <c r="U23" s="4"/>
      <c r="V23" s="4"/>
      <c r="W23" s="4"/>
      <c r="X23" s="4"/>
      <c r="Y23" s="4"/>
      <c r="Z23" s="4"/>
    </row>
    <row r="24" ht="15.75" customHeight="1">
      <c r="A24" s="34" t="s">
        <v>443</v>
      </c>
      <c r="B24" s="30" t="s">
        <v>444</v>
      </c>
      <c r="C24" s="30" t="s">
        <v>31</v>
      </c>
      <c r="D24" s="30" t="s">
        <v>411</v>
      </c>
      <c r="E24" s="35">
        <v>0.26</v>
      </c>
      <c r="F24" s="4"/>
      <c r="G24" s="4"/>
      <c r="H24" s="4"/>
      <c r="I24" s="4"/>
      <c r="J24" s="4"/>
      <c r="K24" s="4"/>
      <c r="L24" s="4"/>
      <c r="M24" s="4"/>
      <c r="N24" s="4"/>
      <c r="O24" s="4"/>
      <c r="P24" s="4"/>
      <c r="Q24" s="4"/>
      <c r="R24" s="4"/>
      <c r="S24" s="4"/>
      <c r="T24" s="4"/>
      <c r="U24" s="4"/>
      <c r="V24" s="4"/>
      <c r="W24" s="4"/>
      <c r="X24" s="4"/>
      <c r="Y24" s="4"/>
      <c r="Z24" s="4"/>
    </row>
    <row r="25" ht="15.75" customHeight="1">
      <c r="A25" s="34" t="s">
        <v>443</v>
      </c>
      <c r="B25" s="30" t="s">
        <v>444</v>
      </c>
      <c r="C25" s="30" t="s">
        <v>34</v>
      </c>
      <c r="D25" s="30" t="s">
        <v>413</v>
      </c>
      <c r="E25" s="35">
        <v>0.17</v>
      </c>
      <c r="F25" s="4"/>
      <c r="G25" s="4"/>
      <c r="H25" s="4"/>
      <c r="I25" s="4"/>
      <c r="J25" s="4"/>
      <c r="K25" s="4"/>
      <c r="L25" s="4"/>
      <c r="M25" s="4"/>
      <c r="N25" s="4"/>
      <c r="O25" s="4"/>
      <c r="P25" s="4"/>
      <c r="Q25" s="4"/>
      <c r="R25" s="4"/>
      <c r="S25" s="4"/>
      <c r="T25" s="4"/>
      <c r="U25" s="4"/>
      <c r="V25" s="4"/>
      <c r="W25" s="4"/>
      <c r="X25" s="4"/>
      <c r="Y25" s="4"/>
      <c r="Z25" s="4"/>
    </row>
    <row r="26" ht="15.75" customHeight="1">
      <c r="A26" s="34" t="s">
        <v>443</v>
      </c>
      <c r="B26" s="30" t="s">
        <v>444</v>
      </c>
      <c r="C26" s="30" t="s">
        <v>43</v>
      </c>
      <c r="D26" s="30" t="s">
        <v>415</v>
      </c>
      <c r="E26" s="35">
        <v>0.37</v>
      </c>
      <c r="F26" s="4"/>
      <c r="G26" s="4"/>
      <c r="H26" s="4"/>
      <c r="I26" s="4"/>
      <c r="J26" s="4"/>
      <c r="K26" s="4"/>
      <c r="L26" s="4"/>
      <c r="M26" s="4"/>
      <c r="N26" s="4"/>
      <c r="O26" s="4"/>
      <c r="P26" s="4"/>
      <c r="Q26" s="4"/>
      <c r="R26" s="4"/>
      <c r="S26" s="4"/>
      <c r="T26" s="4"/>
      <c r="U26" s="4"/>
      <c r="V26" s="4"/>
      <c r="W26" s="4"/>
      <c r="X26" s="4"/>
      <c r="Y26" s="4"/>
      <c r="Z26" s="4"/>
    </row>
    <row r="27" ht="15.75" customHeight="1">
      <c r="A27" s="34" t="s">
        <v>443</v>
      </c>
      <c r="B27" s="30" t="s">
        <v>444</v>
      </c>
      <c r="C27" s="30" t="s">
        <v>50</v>
      </c>
      <c r="D27" s="30" t="s">
        <v>416</v>
      </c>
      <c r="E27" s="35">
        <v>0.84</v>
      </c>
      <c r="F27" s="4"/>
      <c r="G27" s="4"/>
      <c r="H27" s="4"/>
      <c r="I27" s="4"/>
      <c r="J27" s="4"/>
      <c r="K27" s="4"/>
      <c r="L27" s="4"/>
      <c r="M27" s="4"/>
      <c r="N27" s="4"/>
      <c r="O27" s="4"/>
      <c r="P27" s="4"/>
      <c r="Q27" s="4"/>
      <c r="R27" s="4"/>
      <c r="S27" s="4"/>
      <c r="T27" s="4"/>
      <c r="U27" s="4"/>
      <c r="V27" s="4"/>
      <c r="W27" s="4"/>
      <c r="X27" s="4"/>
      <c r="Y27" s="4"/>
      <c r="Z27" s="4"/>
    </row>
    <row r="28" ht="15.75" customHeight="1">
      <c r="A28" s="34" t="s">
        <v>443</v>
      </c>
      <c r="B28" s="30" t="s">
        <v>444</v>
      </c>
      <c r="C28" s="30" t="s">
        <v>53</v>
      </c>
      <c r="D28" s="30" t="s">
        <v>417</v>
      </c>
      <c r="E28" s="35">
        <v>0.79</v>
      </c>
      <c r="F28" s="4"/>
      <c r="G28" s="4"/>
      <c r="H28" s="4"/>
      <c r="I28" s="4"/>
      <c r="J28" s="4"/>
      <c r="K28" s="4"/>
      <c r="L28" s="4"/>
      <c r="M28" s="4"/>
      <c r="N28" s="4"/>
      <c r="O28" s="4"/>
      <c r="P28" s="4"/>
      <c r="Q28" s="4"/>
      <c r="R28" s="4"/>
      <c r="S28" s="4"/>
      <c r="T28" s="4"/>
      <c r="U28" s="4"/>
      <c r="V28" s="4"/>
      <c r="W28" s="4"/>
      <c r="X28" s="4"/>
      <c r="Y28" s="4"/>
      <c r="Z28" s="4"/>
    </row>
    <row r="29" ht="15.75" customHeight="1">
      <c r="A29" s="34" t="s">
        <v>443</v>
      </c>
      <c r="B29" s="30" t="s">
        <v>444</v>
      </c>
      <c r="C29" s="30" t="s">
        <v>63</v>
      </c>
      <c r="D29" s="30" t="s">
        <v>418</v>
      </c>
      <c r="E29" s="35">
        <v>0.6</v>
      </c>
      <c r="F29" s="4"/>
      <c r="G29" s="4"/>
      <c r="H29" s="4"/>
      <c r="I29" s="4"/>
      <c r="J29" s="4"/>
      <c r="K29" s="4"/>
      <c r="L29" s="4"/>
      <c r="M29" s="4"/>
      <c r="N29" s="4"/>
      <c r="O29" s="4"/>
      <c r="P29" s="4"/>
      <c r="Q29" s="4"/>
      <c r="R29" s="4"/>
      <c r="S29" s="4"/>
      <c r="T29" s="4"/>
      <c r="U29" s="4"/>
      <c r="V29" s="4"/>
      <c r="W29" s="4"/>
      <c r="X29" s="4"/>
      <c r="Y29" s="4"/>
      <c r="Z29" s="4"/>
    </row>
    <row r="30" ht="15.75" customHeight="1">
      <c r="A30" s="34" t="s">
        <v>443</v>
      </c>
      <c r="B30" s="30" t="s">
        <v>444</v>
      </c>
      <c r="C30" s="30" t="s">
        <v>60</v>
      </c>
      <c r="D30" s="30" t="s">
        <v>420</v>
      </c>
      <c r="E30" s="35">
        <v>0.1</v>
      </c>
      <c r="F30" s="4"/>
      <c r="G30" s="4"/>
      <c r="H30" s="4"/>
      <c r="I30" s="4"/>
      <c r="J30" s="4"/>
      <c r="K30" s="4"/>
      <c r="L30" s="4"/>
      <c r="M30" s="4"/>
      <c r="N30" s="4"/>
      <c r="O30" s="4"/>
      <c r="P30" s="4"/>
      <c r="Q30" s="4"/>
      <c r="R30" s="4"/>
      <c r="S30" s="4"/>
      <c r="T30" s="4"/>
      <c r="U30" s="4"/>
      <c r="V30" s="4"/>
      <c r="W30" s="4"/>
      <c r="X30" s="4"/>
      <c r="Y30" s="4"/>
      <c r="Z30" s="4"/>
    </row>
    <row r="31" ht="15.75" customHeight="1">
      <c r="A31" s="34" t="s">
        <v>443</v>
      </c>
      <c r="B31" s="30" t="s">
        <v>444</v>
      </c>
      <c r="C31" s="30" t="s">
        <v>57</v>
      </c>
      <c r="D31" s="30" t="s">
        <v>422</v>
      </c>
      <c r="E31" s="35">
        <v>0.69</v>
      </c>
      <c r="F31" s="4"/>
      <c r="G31" s="4"/>
      <c r="H31" s="4"/>
      <c r="I31" s="4"/>
      <c r="J31" s="4"/>
      <c r="K31" s="4"/>
      <c r="L31" s="4"/>
      <c r="M31" s="4"/>
      <c r="N31" s="4"/>
      <c r="O31" s="4"/>
      <c r="P31" s="4"/>
      <c r="Q31" s="4"/>
      <c r="R31" s="4"/>
      <c r="S31" s="4"/>
      <c r="T31" s="4"/>
      <c r="U31" s="4"/>
      <c r="V31" s="4"/>
      <c r="W31" s="4"/>
      <c r="X31" s="4"/>
      <c r="Y31" s="4"/>
      <c r="Z31" s="4"/>
    </row>
    <row r="32" ht="15.75" customHeight="1">
      <c r="A32" s="34" t="s">
        <v>443</v>
      </c>
      <c r="B32" s="30" t="s">
        <v>444</v>
      </c>
      <c r="C32" s="30" t="s">
        <v>99</v>
      </c>
      <c r="D32" s="30" t="s">
        <v>424</v>
      </c>
      <c r="E32" s="35">
        <v>0.48</v>
      </c>
      <c r="F32" s="4"/>
      <c r="G32" s="4"/>
      <c r="H32" s="4"/>
      <c r="I32" s="4"/>
      <c r="J32" s="4"/>
      <c r="K32" s="4"/>
      <c r="L32" s="4"/>
      <c r="M32" s="4"/>
      <c r="N32" s="4"/>
      <c r="O32" s="4"/>
      <c r="P32" s="4"/>
      <c r="Q32" s="4"/>
      <c r="R32" s="4"/>
      <c r="S32" s="4"/>
      <c r="T32" s="4"/>
      <c r="U32" s="4"/>
      <c r="V32" s="4"/>
      <c r="W32" s="4"/>
      <c r="X32" s="4"/>
      <c r="Y32" s="4"/>
      <c r="Z32" s="4"/>
    </row>
    <row r="33" ht="15.75" customHeight="1">
      <c r="A33" s="34" t="s">
        <v>443</v>
      </c>
      <c r="B33" s="30" t="s">
        <v>444</v>
      </c>
      <c r="C33" s="30" t="s">
        <v>93</v>
      </c>
      <c r="D33" s="30" t="s">
        <v>425</v>
      </c>
      <c r="E33" s="35">
        <v>0.75</v>
      </c>
      <c r="F33" s="4"/>
      <c r="G33" s="4"/>
      <c r="H33" s="4"/>
      <c r="I33" s="4"/>
      <c r="J33" s="4"/>
      <c r="K33" s="4"/>
      <c r="L33" s="4"/>
      <c r="M33" s="4"/>
      <c r="N33" s="4"/>
      <c r="O33" s="4"/>
      <c r="P33" s="4"/>
      <c r="Q33" s="4"/>
      <c r="R33" s="4"/>
      <c r="S33" s="4"/>
      <c r="T33" s="4"/>
      <c r="U33" s="4"/>
      <c r="V33" s="4"/>
      <c r="W33" s="4"/>
      <c r="X33" s="4"/>
      <c r="Y33" s="4"/>
      <c r="Z33" s="4"/>
    </row>
    <row r="34" ht="15.75" customHeight="1">
      <c r="A34" s="34" t="s">
        <v>443</v>
      </c>
      <c r="B34" s="30" t="s">
        <v>444</v>
      </c>
      <c r="C34" s="30" t="s">
        <v>96</v>
      </c>
      <c r="D34" s="30" t="s">
        <v>426</v>
      </c>
      <c r="E34" s="35">
        <v>0.61</v>
      </c>
      <c r="F34" s="4"/>
      <c r="G34" s="4"/>
      <c r="H34" s="4"/>
      <c r="I34" s="4"/>
      <c r="J34" s="4"/>
      <c r="K34" s="4"/>
      <c r="L34" s="4"/>
      <c r="M34" s="4"/>
      <c r="N34" s="4"/>
      <c r="O34" s="4"/>
      <c r="P34" s="4"/>
      <c r="Q34" s="4"/>
      <c r="R34" s="4"/>
      <c r="S34" s="4"/>
      <c r="T34" s="4"/>
      <c r="U34" s="4"/>
      <c r="V34" s="4"/>
      <c r="W34" s="4"/>
      <c r="X34" s="4"/>
      <c r="Y34" s="4"/>
      <c r="Z34" s="4"/>
    </row>
    <row r="35" ht="15.75" customHeight="1">
      <c r="A35" s="34" t="s">
        <v>443</v>
      </c>
      <c r="B35" s="30" t="s">
        <v>444</v>
      </c>
      <c r="C35" s="30" t="s">
        <v>104</v>
      </c>
      <c r="D35" s="30" t="s">
        <v>427</v>
      </c>
      <c r="E35" s="35">
        <v>0.23</v>
      </c>
      <c r="F35" s="4"/>
      <c r="G35" s="4"/>
      <c r="H35" s="4"/>
      <c r="I35" s="4"/>
      <c r="J35" s="4"/>
      <c r="K35" s="4"/>
      <c r="L35" s="4"/>
      <c r="M35" s="4"/>
      <c r="N35" s="4"/>
      <c r="O35" s="4"/>
      <c r="P35" s="4"/>
      <c r="Q35" s="4"/>
      <c r="R35" s="4"/>
      <c r="S35" s="4"/>
      <c r="T35" s="4"/>
      <c r="U35" s="4"/>
      <c r="V35" s="4"/>
      <c r="W35" s="4"/>
      <c r="X35" s="4"/>
      <c r="Y35" s="4"/>
      <c r="Z35" s="4"/>
    </row>
    <row r="36" ht="15.75" customHeight="1">
      <c r="A36" s="34" t="s">
        <v>443</v>
      </c>
      <c r="B36" s="30" t="s">
        <v>444</v>
      </c>
      <c r="C36" s="30" t="s">
        <v>110</v>
      </c>
      <c r="D36" s="30" t="s">
        <v>428</v>
      </c>
      <c r="E36" s="35">
        <v>0.15</v>
      </c>
      <c r="F36" s="4"/>
      <c r="G36" s="4"/>
      <c r="H36" s="4"/>
      <c r="I36" s="4"/>
      <c r="J36" s="4"/>
      <c r="K36" s="4"/>
      <c r="L36" s="4"/>
      <c r="M36" s="4"/>
      <c r="N36" s="4"/>
      <c r="O36" s="4"/>
      <c r="P36" s="4"/>
      <c r="Q36" s="4"/>
      <c r="R36" s="4"/>
      <c r="S36" s="4"/>
      <c r="T36" s="4"/>
      <c r="U36" s="4"/>
      <c r="V36" s="4"/>
      <c r="W36" s="4"/>
      <c r="X36" s="4"/>
      <c r="Y36" s="4"/>
      <c r="Z36" s="4"/>
    </row>
    <row r="37" ht="15.75" customHeight="1">
      <c r="A37" s="34" t="s">
        <v>443</v>
      </c>
      <c r="B37" s="30" t="s">
        <v>444</v>
      </c>
      <c r="C37" s="30" t="s">
        <v>71</v>
      </c>
      <c r="D37" s="30" t="s">
        <v>430</v>
      </c>
      <c r="E37" s="35">
        <v>0.55</v>
      </c>
      <c r="F37" s="4"/>
      <c r="G37" s="4"/>
      <c r="H37" s="4"/>
      <c r="I37" s="4"/>
      <c r="J37" s="4"/>
      <c r="K37" s="4"/>
      <c r="L37" s="4"/>
      <c r="M37" s="4"/>
      <c r="N37" s="4"/>
      <c r="O37" s="4"/>
      <c r="P37" s="4"/>
      <c r="Q37" s="4"/>
      <c r="R37" s="4"/>
      <c r="S37" s="4"/>
      <c r="T37" s="4"/>
      <c r="U37" s="4"/>
      <c r="V37" s="4"/>
      <c r="W37" s="4"/>
      <c r="X37" s="4"/>
      <c r="Y37" s="4"/>
      <c r="Z37" s="4"/>
    </row>
    <row r="38" ht="15.75" customHeight="1">
      <c r="A38" s="34" t="s">
        <v>443</v>
      </c>
      <c r="B38" s="30" t="s">
        <v>444</v>
      </c>
      <c r="C38" s="30" t="s">
        <v>79</v>
      </c>
      <c r="D38" s="30" t="s">
        <v>432</v>
      </c>
      <c r="E38" s="35">
        <v>0.23</v>
      </c>
      <c r="F38" s="4"/>
      <c r="G38" s="4"/>
      <c r="H38" s="4"/>
      <c r="I38" s="4"/>
      <c r="J38" s="4"/>
      <c r="K38" s="4"/>
      <c r="L38" s="4"/>
      <c r="M38" s="4"/>
      <c r="N38" s="4"/>
      <c r="O38" s="4"/>
      <c r="P38" s="4"/>
      <c r="Q38" s="4"/>
      <c r="R38" s="4"/>
      <c r="S38" s="4"/>
      <c r="T38" s="4"/>
      <c r="U38" s="4"/>
      <c r="V38" s="4"/>
      <c r="W38" s="4"/>
      <c r="X38" s="4"/>
      <c r="Y38" s="4"/>
      <c r="Z38" s="4"/>
    </row>
    <row r="39" ht="15.75" customHeight="1">
      <c r="A39" s="34" t="s">
        <v>443</v>
      </c>
      <c r="B39" s="30" t="s">
        <v>444</v>
      </c>
      <c r="C39" s="30" t="s">
        <v>82</v>
      </c>
      <c r="D39" s="30" t="s">
        <v>433</v>
      </c>
      <c r="E39" s="35">
        <v>0.2</v>
      </c>
      <c r="F39" s="4"/>
      <c r="G39" s="4"/>
      <c r="H39" s="4"/>
      <c r="I39" s="4"/>
      <c r="J39" s="4"/>
      <c r="K39" s="4"/>
      <c r="L39" s="4"/>
      <c r="M39" s="4"/>
      <c r="N39" s="4"/>
      <c r="O39" s="4"/>
      <c r="P39" s="4"/>
      <c r="Q39" s="4"/>
      <c r="R39" s="4"/>
      <c r="S39" s="4"/>
      <c r="T39" s="4"/>
      <c r="U39" s="4"/>
      <c r="V39" s="4"/>
      <c r="W39" s="4"/>
      <c r="X39" s="4"/>
      <c r="Y39" s="4"/>
      <c r="Z39" s="4"/>
    </row>
    <row r="40" ht="15.75" customHeight="1">
      <c r="A40" s="34" t="s">
        <v>443</v>
      </c>
      <c r="B40" s="30" t="s">
        <v>444</v>
      </c>
      <c r="C40" s="30" t="s">
        <v>85</v>
      </c>
      <c r="D40" s="30" t="s">
        <v>434</v>
      </c>
      <c r="E40" s="35">
        <v>0.47</v>
      </c>
      <c r="F40" s="4"/>
      <c r="G40" s="4"/>
      <c r="H40" s="4"/>
      <c r="I40" s="4"/>
      <c r="J40" s="4"/>
      <c r="K40" s="4"/>
      <c r="L40" s="4"/>
      <c r="M40" s="4"/>
      <c r="N40" s="4"/>
      <c r="O40" s="4"/>
      <c r="P40" s="4"/>
      <c r="Q40" s="4"/>
      <c r="R40" s="4"/>
      <c r="S40" s="4"/>
      <c r="T40" s="4"/>
      <c r="U40" s="4"/>
      <c r="V40" s="4"/>
      <c r="W40" s="4"/>
      <c r="X40" s="4"/>
      <c r="Y40" s="4"/>
      <c r="Z40" s="4"/>
    </row>
    <row r="41" ht="15.75" customHeight="1">
      <c r="A41" s="34" t="s">
        <v>443</v>
      </c>
      <c r="B41" s="30" t="s">
        <v>444</v>
      </c>
      <c r="C41" s="30" t="s">
        <v>88</v>
      </c>
      <c r="D41" s="30" t="s">
        <v>435</v>
      </c>
      <c r="E41" s="35">
        <v>0.23</v>
      </c>
      <c r="F41" s="4"/>
      <c r="G41" s="4"/>
      <c r="H41" s="4"/>
      <c r="I41" s="4"/>
      <c r="J41" s="4"/>
      <c r="K41" s="4"/>
      <c r="L41" s="4"/>
      <c r="M41" s="4"/>
      <c r="N41" s="4"/>
      <c r="O41" s="4"/>
      <c r="P41" s="4"/>
      <c r="Q41" s="4"/>
      <c r="R41" s="4"/>
      <c r="S41" s="4"/>
      <c r="T41" s="4"/>
      <c r="U41" s="4"/>
      <c r="V41" s="4"/>
      <c r="W41" s="4"/>
      <c r="X41" s="4"/>
      <c r="Y41" s="4"/>
      <c r="Z41" s="4"/>
    </row>
    <row r="42" ht="15.75" customHeight="1">
      <c r="A42" s="34" t="s">
        <v>443</v>
      </c>
      <c r="B42" s="30" t="s">
        <v>444</v>
      </c>
      <c r="C42" s="30" t="s">
        <v>76</v>
      </c>
      <c r="D42" s="30" t="s">
        <v>437</v>
      </c>
      <c r="E42" s="35">
        <v>0.35</v>
      </c>
      <c r="F42" s="4"/>
      <c r="G42" s="4"/>
      <c r="H42" s="4"/>
      <c r="I42" s="4"/>
      <c r="J42" s="4"/>
      <c r="K42" s="4"/>
      <c r="L42" s="4"/>
      <c r="M42" s="4"/>
      <c r="N42" s="4"/>
      <c r="O42" s="4"/>
      <c r="P42" s="4"/>
      <c r="Q42" s="4"/>
      <c r="R42" s="4"/>
      <c r="S42" s="4"/>
      <c r="T42" s="4"/>
      <c r="U42" s="4"/>
      <c r="V42" s="4"/>
      <c r="W42" s="4"/>
      <c r="X42" s="4"/>
      <c r="Y42" s="4"/>
      <c r="Z42" s="4"/>
    </row>
    <row r="43" ht="15.75" customHeight="1">
      <c r="A43" s="34" t="s">
        <v>443</v>
      </c>
      <c r="B43" s="30" t="s">
        <v>444</v>
      </c>
      <c r="C43" s="30" t="s">
        <v>107</v>
      </c>
      <c r="D43" s="30" t="s">
        <v>438</v>
      </c>
      <c r="E43" s="35">
        <v>0.3</v>
      </c>
      <c r="F43" s="4"/>
      <c r="G43" s="4"/>
      <c r="H43" s="4"/>
      <c r="I43" s="4"/>
      <c r="J43" s="4"/>
      <c r="K43" s="4"/>
      <c r="L43" s="4"/>
      <c r="M43" s="4"/>
      <c r="N43" s="4"/>
      <c r="O43" s="4"/>
      <c r="P43" s="4"/>
      <c r="Q43" s="4"/>
      <c r="R43" s="4"/>
      <c r="S43" s="4"/>
      <c r="T43" s="4"/>
      <c r="U43" s="4"/>
      <c r="V43" s="4"/>
      <c r="W43" s="4"/>
      <c r="X43" s="4"/>
      <c r="Y43" s="4"/>
      <c r="Z43" s="4"/>
    </row>
    <row r="44" ht="15.75" customHeight="1">
      <c r="A44" s="34" t="s">
        <v>445</v>
      </c>
      <c r="B44" s="30" t="s">
        <v>446</v>
      </c>
      <c r="C44" s="30" t="s">
        <v>23</v>
      </c>
      <c r="D44" s="30" t="s">
        <v>408</v>
      </c>
      <c r="E44" s="35">
        <v>0.27</v>
      </c>
      <c r="F44" s="4"/>
      <c r="G44" s="4"/>
      <c r="H44" s="4"/>
      <c r="I44" s="4"/>
      <c r="J44" s="4"/>
      <c r="K44" s="4"/>
      <c r="L44" s="4"/>
      <c r="M44" s="4"/>
      <c r="N44" s="4"/>
      <c r="O44" s="4"/>
      <c r="P44" s="4"/>
      <c r="Q44" s="4"/>
      <c r="R44" s="4"/>
      <c r="S44" s="4"/>
      <c r="T44" s="4"/>
      <c r="U44" s="4"/>
      <c r="V44" s="4"/>
      <c r="W44" s="4"/>
      <c r="X44" s="4"/>
      <c r="Y44" s="4"/>
      <c r="Z44" s="4"/>
    </row>
    <row r="45" ht="15.75" customHeight="1">
      <c r="A45" s="34" t="s">
        <v>445</v>
      </c>
      <c r="B45" s="30" t="s">
        <v>446</v>
      </c>
      <c r="C45" s="30" t="s">
        <v>31</v>
      </c>
      <c r="D45" s="30" t="s">
        <v>411</v>
      </c>
      <c r="E45" s="35">
        <v>0.8</v>
      </c>
      <c r="F45" s="4"/>
      <c r="G45" s="4"/>
      <c r="H45" s="4"/>
      <c r="I45" s="4"/>
      <c r="J45" s="4"/>
      <c r="K45" s="4"/>
      <c r="L45" s="4"/>
      <c r="M45" s="4"/>
      <c r="N45" s="4"/>
      <c r="O45" s="4"/>
      <c r="P45" s="4"/>
      <c r="Q45" s="4"/>
      <c r="R45" s="4"/>
      <c r="S45" s="4"/>
      <c r="T45" s="4"/>
      <c r="U45" s="4"/>
      <c r="V45" s="4"/>
      <c r="W45" s="4"/>
      <c r="X45" s="4"/>
      <c r="Y45" s="4"/>
      <c r="Z45" s="4"/>
    </row>
    <row r="46" ht="15.75" customHeight="1">
      <c r="A46" s="34" t="s">
        <v>445</v>
      </c>
      <c r="B46" s="30" t="s">
        <v>446</v>
      </c>
      <c r="C46" s="30" t="s">
        <v>34</v>
      </c>
      <c r="D46" s="30" t="s">
        <v>413</v>
      </c>
      <c r="E46" s="35">
        <v>0.42</v>
      </c>
      <c r="F46" s="4"/>
      <c r="G46" s="4"/>
      <c r="H46" s="4"/>
      <c r="I46" s="4"/>
      <c r="J46" s="4"/>
      <c r="K46" s="4"/>
      <c r="L46" s="4"/>
      <c r="M46" s="4"/>
      <c r="N46" s="4"/>
      <c r="O46" s="4"/>
      <c r="P46" s="4"/>
      <c r="Q46" s="4"/>
      <c r="R46" s="4"/>
      <c r="S46" s="4"/>
      <c r="T46" s="4"/>
      <c r="U46" s="4"/>
      <c r="V46" s="4"/>
      <c r="W46" s="4"/>
      <c r="X46" s="4"/>
      <c r="Y46" s="4"/>
      <c r="Z46" s="4"/>
    </row>
    <row r="47" ht="15.75" customHeight="1">
      <c r="A47" s="34" t="s">
        <v>445</v>
      </c>
      <c r="B47" s="30" t="s">
        <v>446</v>
      </c>
      <c r="C47" s="30" t="s">
        <v>43</v>
      </c>
      <c r="D47" s="30" t="s">
        <v>415</v>
      </c>
      <c r="E47" s="35">
        <v>0.81</v>
      </c>
      <c r="F47" s="4"/>
      <c r="G47" s="4"/>
      <c r="H47" s="4"/>
      <c r="I47" s="4"/>
      <c r="J47" s="4"/>
      <c r="K47" s="4"/>
      <c r="L47" s="4"/>
      <c r="M47" s="4"/>
      <c r="N47" s="4"/>
      <c r="O47" s="4"/>
      <c r="P47" s="4"/>
      <c r="Q47" s="4"/>
      <c r="R47" s="4"/>
      <c r="S47" s="4"/>
      <c r="T47" s="4"/>
      <c r="U47" s="4"/>
      <c r="V47" s="4"/>
      <c r="W47" s="4"/>
      <c r="X47" s="4"/>
      <c r="Y47" s="4"/>
      <c r="Z47" s="4"/>
    </row>
    <row r="48" ht="15.75" customHeight="1">
      <c r="A48" s="34" t="s">
        <v>445</v>
      </c>
      <c r="B48" s="30" t="s">
        <v>446</v>
      </c>
      <c r="C48" s="30" t="s">
        <v>50</v>
      </c>
      <c r="D48" s="30" t="s">
        <v>416</v>
      </c>
      <c r="E48" s="35">
        <v>0.37</v>
      </c>
      <c r="F48" s="4"/>
      <c r="G48" s="4"/>
      <c r="H48" s="4"/>
      <c r="I48" s="4"/>
      <c r="J48" s="4"/>
      <c r="K48" s="4"/>
      <c r="L48" s="4"/>
      <c r="M48" s="4"/>
      <c r="N48" s="4"/>
      <c r="O48" s="4"/>
      <c r="P48" s="4"/>
      <c r="Q48" s="4"/>
      <c r="R48" s="4"/>
      <c r="S48" s="4"/>
      <c r="T48" s="4"/>
      <c r="U48" s="4"/>
      <c r="V48" s="4"/>
      <c r="W48" s="4"/>
      <c r="X48" s="4"/>
      <c r="Y48" s="4"/>
      <c r="Z48" s="4"/>
    </row>
    <row r="49" ht="15.75" customHeight="1">
      <c r="A49" s="34" t="s">
        <v>445</v>
      </c>
      <c r="B49" s="30" t="s">
        <v>446</v>
      </c>
      <c r="C49" s="30" t="s">
        <v>53</v>
      </c>
      <c r="D49" s="30" t="s">
        <v>417</v>
      </c>
      <c r="E49" s="35">
        <v>0.22</v>
      </c>
      <c r="F49" s="4"/>
      <c r="G49" s="4"/>
      <c r="H49" s="4"/>
      <c r="I49" s="4"/>
      <c r="J49" s="4"/>
      <c r="K49" s="4"/>
      <c r="L49" s="4"/>
      <c r="M49" s="4"/>
      <c r="N49" s="4"/>
      <c r="O49" s="4"/>
      <c r="P49" s="4"/>
      <c r="Q49" s="4"/>
      <c r="R49" s="4"/>
      <c r="S49" s="4"/>
      <c r="T49" s="4"/>
      <c r="U49" s="4"/>
      <c r="V49" s="4"/>
      <c r="W49" s="4"/>
      <c r="X49" s="4"/>
      <c r="Y49" s="4"/>
      <c r="Z49" s="4"/>
    </row>
    <row r="50" ht="15.75" customHeight="1">
      <c r="A50" s="34" t="s">
        <v>445</v>
      </c>
      <c r="B50" s="30" t="s">
        <v>446</v>
      </c>
      <c r="C50" s="30" t="s">
        <v>63</v>
      </c>
      <c r="D50" s="30" t="s">
        <v>418</v>
      </c>
      <c r="E50" s="35">
        <v>0.2</v>
      </c>
      <c r="F50" s="4"/>
      <c r="G50" s="4"/>
      <c r="H50" s="4"/>
      <c r="I50" s="4"/>
      <c r="J50" s="4"/>
      <c r="K50" s="4"/>
      <c r="L50" s="4"/>
      <c r="M50" s="4"/>
      <c r="N50" s="4"/>
      <c r="O50" s="4"/>
      <c r="P50" s="4"/>
      <c r="Q50" s="4"/>
      <c r="R50" s="4"/>
      <c r="S50" s="4"/>
      <c r="T50" s="4"/>
      <c r="U50" s="4"/>
      <c r="V50" s="4"/>
      <c r="W50" s="4"/>
      <c r="X50" s="4"/>
      <c r="Y50" s="4"/>
      <c r="Z50" s="4"/>
    </row>
    <row r="51" ht="15.75" customHeight="1">
      <c r="A51" s="34" t="s">
        <v>445</v>
      </c>
      <c r="B51" s="30" t="s">
        <v>446</v>
      </c>
      <c r="C51" s="30" t="s">
        <v>60</v>
      </c>
      <c r="D51" s="30" t="s">
        <v>420</v>
      </c>
      <c r="E51" s="35">
        <v>0.41</v>
      </c>
      <c r="F51" s="4"/>
      <c r="G51" s="4"/>
      <c r="H51" s="4"/>
      <c r="I51" s="4"/>
      <c r="J51" s="4"/>
      <c r="K51" s="4"/>
      <c r="L51" s="4"/>
      <c r="M51" s="4"/>
      <c r="N51" s="4"/>
      <c r="O51" s="4"/>
      <c r="P51" s="4"/>
      <c r="Q51" s="4"/>
      <c r="R51" s="4"/>
      <c r="S51" s="4"/>
      <c r="T51" s="4"/>
      <c r="U51" s="4"/>
      <c r="V51" s="4"/>
      <c r="W51" s="4"/>
      <c r="X51" s="4"/>
      <c r="Y51" s="4"/>
      <c r="Z51" s="4"/>
    </row>
    <row r="52" ht="15.75" customHeight="1">
      <c r="A52" s="34" t="s">
        <v>445</v>
      </c>
      <c r="B52" s="30" t="s">
        <v>446</v>
      </c>
      <c r="C52" s="30" t="s">
        <v>57</v>
      </c>
      <c r="D52" s="30" t="s">
        <v>422</v>
      </c>
      <c r="E52" s="35">
        <v>0.17</v>
      </c>
      <c r="F52" s="4"/>
      <c r="G52" s="4"/>
      <c r="H52" s="4"/>
      <c r="I52" s="4"/>
      <c r="J52" s="4"/>
      <c r="K52" s="4"/>
      <c r="L52" s="4"/>
      <c r="M52" s="4"/>
      <c r="N52" s="4"/>
      <c r="O52" s="4"/>
      <c r="P52" s="4"/>
      <c r="Q52" s="4"/>
      <c r="R52" s="4"/>
      <c r="S52" s="4"/>
      <c r="T52" s="4"/>
      <c r="U52" s="4"/>
      <c r="V52" s="4"/>
      <c r="W52" s="4"/>
      <c r="X52" s="4"/>
      <c r="Y52" s="4"/>
      <c r="Z52" s="4"/>
    </row>
    <row r="53" ht="15.75" customHeight="1">
      <c r="A53" s="34" t="s">
        <v>445</v>
      </c>
      <c r="B53" s="30" t="s">
        <v>446</v>
      </c>
      <c r="C53" s="30" t="s">
        <v>99</v>
      </c>
      <c r="D53" s="30" t="s">
        <v>424</v>
      </c>
      <c r="E53" s="35">
        <v>0.32</v>
      </c>
      <c r="F53" s="4"/>
      <c r="G53" s="4"/>
      <c r="H53" s="4"/>
      <c r="I53" s="4"/>
      <c r="J53" s="4"/>
      <c r="K53" s="4"/>
      <c r="L53" s="4"/>
      <c r="M53" s="4"/>
      <c r="N53" s="4"/>
      <c r="O53" s="4"/>
      <c r="P53" s="4"/>
      <c r="Q53" s="4"/>
      <c r="R53" s="4"/>
      <c r="S53" s="4"/>
      <c r="T53" s="4"/>
      <c r="U53" s="4"/>
      <c r="V53" s="4"/>
      <c r="W53" s="4"/>
      <c r="X53" s="4"/>
      <c r="Y53" s="4"/>
      <c r="Z53" s="4"/>
    </row>
    <row r="54" ht="15.75" customHeight="1">
      <c r="A54" s="34" t="s">
        <v>445</v>
      </c>
      <c r="B54" s="30" t="s">
        <v>446</v>
      </c>
      <c r="C54" s="30" t="s">
        <v>93</v>
      </c>
      <c r="D54" s="30" t="s">
        <v>425</v>
      </c>
      <c r="E54" s="35">
        <v>0.43</v>
      </c>
      <c r="F54" s="4"/>
      <c r="G54" s="4"/>
      <c r="H54" s="4"/>
      <c r="I54" s="4"/>
      <c r="J54" s="4"/>
      <c r="K54" s="4"/>
      <c r="L54" s="4"/>
      <c r="M54" s="4"/>
      <c r="N54" s="4"/>
      <c r="O54" s="4"/>
      <c r="P54" s="4"/>
      <c r="Q54" s="4"/>
      <c r="R54" s="4"/>
      <c r="S54" s="4"/>
      <c r="T54" s="4"/>
      <c r="U54" s="4"/>
      <c r="V54" s="4"/>
      <c r="W54" s="4"/>
      <c r="X54" s="4"/>
      <c r="Y54" s="4"/>
      <c r="Z54" s="4"/>
    </row>
    <row r="55" ht="15.75" customHeight="1">
      <c r="A55" s="34" t="s">
        <v>445</v>
      </c>
      <c r="B55" s="30" t="s">
        <v>446</v>
      </c>
      <c r="C55" s="30" t="s">
        <v>96</v>
      </c>
      <c r="D55" s="30" t="s">
        <v>426</v>
      </c>
      <c r="E55" s="35">
        <v>0.45</v>
      </c>
      <c r="F55" s="4"/>
      <c r="G55" s="4"/>
      <c r="H55" s="4"/>
      <c r="I55" s="4"/>
      <c r="J55" s="4"/>
      <c r="K55" s="4"/>
      <c r="L55" s="4"/>
      <c r="M55" s="4"/>
      <c r="N55" s="4"/>
      <c r="O55" s="4"/>
      <c r="P55" s="4"/>
      <c r="Q55" s="4"/>
      <c r="R55" s="4"/>
      <c r="S55" s="4"/>
      <c r="T55" s="4"/>
      <c r="U55" s="4"/>
      <c r="V55" s="4"/>
      <c r="W55" s="4"/>
      <c r="X55" s="4"/>
      <c r="Y55" s="4"/>
      <c r="Z55" s="4"/>
    </row>
    <row r="56" ht="15.75" customHeight="1">
      <c r="A56" s="34" t="s">
        <v>445</v>
      </c>
      <c r="B56" s="30" t="s">
        <v>446</v>
      </c>
      <c r="C56" s="30" t="s">
        <v>104</v>
      </c>
      <c r="D56" s="30" t="s">
        <v>427</v>
      </c>
      <c r="E56" s="35">
        <v>0.2</v>
      </c>
      <c r="F56" s="4"/>
      <c r="G56" s="4"/>
      <c r="H56" s="4"/>
      <c r="I56" s="4"/>
      <c r="J56" s="4"/>
      <c r="K56" s="4"/>
      <c r="L56" s="4"/>
      <c r="M56" s="4"/>
      <c r="N56" s="4"/>
      <c r="O56" s="4"/>
      <c r="P56" s="4"/>
      <c r="Q56" s="4"/>
      <c r="R56" s="4"/>
      <c r="S56" s="4"/>
      <c r="T56" s="4"/>
      <c r="U56" s="4"/>
      <c r="V56" s="4"/>
      <c r="W56" s="4"/>
      <c r="X56" s="4"/>
      <c r="Y56" s="4"/>
      <c r="Z56" s="4"/>
    </row>
    <row r="57" ht="15.75" customHeight="1">
      <c r="A57" s="34" t="s">
        <v>445</v>
      </c>
      <c r="B57" s="30" t="s">
        <v>446</v>
      </c>
      <c r="C57" s="30" t="s">
        <v>110</v>
      </c>
      <c r="D57" s="30" t="s">
        <v>428</v>
      </c>
      <c r="E57" s="35">
        <v>0.83</v>
      </c>
      <c r="F57" s="4"/>
      <c r="G57" s="4"/>
      <c r="H57" s="4"/>
      <c r="I57" s="4"/>
      <c r="J57" s="4"/>
      <c r="K57" s="4"/>
      <c r="L57" s="4"/>
      <c r="M57" s="4"/>
      <c r="N57" s="4"/>
      <c r="O57" s="4"/>
      <c r="P57" s="4"/>
      <c r="Q57" s="4"/>
      <c r="R57" s="4"/>
      <c r="S57" s="4"/>
      <c r="T57" s="4"/>
      <c r="U57" s="4"/>
      <c r="V57" s="4"/>
      <c r="W57" s="4"/>
      <c r="X57" s="4"/>
      <c r="Y57" s="4"/>
      <c r="Z57" s="4"/>
    </row>
    <row r="58" ht="15.75" customHeight="1">
      <c r="A58" s="34" t="s">
        <v>445</v>
      </c>
      <c r="B58" s="30" t="s">
        <v>446</v>
      </c>
      <c r="C58" s="30" t="s">
        <v>71</v>
      </c>
      <c r="D58" s="30" t="s">
        <v>430</v>
      </c>
      <c r="E58" s="35">
        <v>0.58</v>
      </c>
      <c r="F58" s="4"/>
      <c r="G58" s="4"/>
      <c r="H58" s="4"/>
      <c r="I58" s="4"/>
      <c r="J58" s="4"/>
      <c r="K58" s="4"/>
      <c r="L58" s="4"/>
      <c r="M58" s="4"/>
      <c r="N58" s="4"/>
      <c r="O58" s="4"/>
      <c r="P58" s="4"/>
      <c r="Q58" s="4"/>
      <c r="R58" s="4"/>
      <c r="S58" s="4"/>
      <c r="T58" s="4"/>
      <c r="U58" s="4"/>
      <c r="V58" s="4"/>
      <c r="W58" s="4"/>
      <c r="X58" s="4"/>
      <c r="Y58" s="4"/>
      <c r="Z58" s="4"/>
    </row>
    <row r="59" ht="15.75" customHeight="1">
      <c r="A59" s="34" t="s">
        <v>445</v>
      </c>
      <c r="B59" s="30" t="s">
        <v>446</v>
      </c>
      <c r="C59" s="30" t="s">
        <v>79</v>
      </c>
      <c r="D59" s="30" t="s">
        <v>432</v>
      </c>
      <c r="E59" s="35">
        <v>0.73</v>
      </c>
      <c r="F59" s="4"/>
      <c r="G59" s="4"/>
      <c r="H59" s="4"/>
      <c r="I59" s="4"/>
      <c r="J59" s="4"/>
      <c r="K59" s="4"/>
      <c r="L59" s="4"/>
      <c r="M59" s="4"/>
      <c r="N59" s="4"/>
      <c r="O59" s="4"/>
      <c r="P59" s="4"/>
      <c r="Q59" s="4"/>
      <c r="R59" s="4"/>
      <c r="S59" s="4"/>
      <c r="T59" s="4"/>
      <c r="U59" s="4"/>
      <c r="V59" s="4"/>
      <c r="W59" s="4"/>
      <c r="X59" s="4"/>
      <c r="Y59" s="4"/>
      <c r="Z59" s="4"/>
    </row>
    <row r="60" ht="15.75" customHeight="1">
      <c r="A60" s="34" t="s">
        <v>445</v>
      </c>
      <c r="B60" s="30" t="s">
        <v>446</v>
      </c>
      <c r="C60" s="30" t="s">
        <v>82</v>
      </c>
      <c r="D60" s="30" t="s">
        <v>433</v>
      </c>
      <c r="E60" s="35">
        <v>0.39</v>
      </c>
      <c r="F60" s="4"/>
      <c r="G60" s="4"/>
      <c r="H60" s="4"/>
      <c r="I60" s="4"/>
      <c r="J60" s="4"/>
      <c r="K60" s="4"/>
      <c r="L60" s="4"/>
      <c r="M60" s="4"/>
      <c r="N60" s="4"/>
      <c r="O60" s="4"/>
      <c r="P60" s="4"/>
      <c r="Q60" s="4"/>
      <c r="R60" s="4"/>
      <c r="S60" s="4"/>
      <c r="T60" s="4"/>
      <c r="U60" s="4"/>
      <c r="V60" s="4"/>
      <c r="W60" s="4"/>
      <c r="X60" s="4"/>
      <c r="Y60" s="4"/>
      <c r="Z60" s="4"/>
    </row>
    <row r="61" ht="15.75" customHeight="1">
      <c r="A61" s="34" t="s">
        <v>445</v>
      </c>
      <c r="B61" s="30" t="s">
        <v>446</v>
      </c>
      <c r="C61" s="30" t="s">
        <v>85</v>
      </c>
      <c r="D61" s="30" t="s">
        <v>434</v>
      </c>
      <c r="E61" s="35">
        <v>0.2</v>
      </c>
      <c r="F61" s="4"/>
      <c r="G61" s="4"/>
      <c r="H61" s="4"/>
      <c r="I61" s="4"/>
      <c r="J61" s="4"/>
      <c r="K61" s="4"/>
      <c r="L61" s="4"/>
      <c r="M61" s="4"/>
      <c r="N61" s="4"/>
      <c r="O61" s="4"/>
      <c r="P61" s="4"/>
      <c r="Q61" s="4"/>
      <c r="R61" s="4"/>
      <c r="S61" s="4"/>
      <c r="T61" s="4"/>
      <c r="U61" s="4"/>
      <c r="V61" s="4"/>
      <c r="W61" s="4"/>
      <c r="X61" s="4"/>
      <c r="Y61" s="4"/>
      <c r="Z61" s="4"/>
    </row>
    <row r="62" ht="15.75" customHeight="1">
      <c r="A62" s="34" t="s">
        <v>445</v>
      </c>
      <c r="B62" s="30" t="s">
        <v>446</v>
      </c>
      <c r="C62" s="30" t="s">
        <v>88</v>
      </c>
      <c r="D62" s="30" t="s">
        <v>435</v>
      </c>
      <c r="E62" s="35">
        <v>0.07</v>
      </c>
      <c r="F62" s="4"/>
      <c r="G62" s="4"/>
      <c r="H62" s="4"/>
      <c r="I62" s="4"/>
      <c r="J62" s="4"/>
      <c r="K62" s="4"/>
      <c r="L62" s="4"/>
      <c r="M62" s="4"/>
      <c r="N62" s="4"/>
      <c r="O62" s="4"/>
      <c r="P62" s="4"/>
      <c r="Q62" s="4"/>
      <c r="R62" s="4"/>
      <c r="S62" s="4"/>
      <c r="T62" s="4"/>
      <c r="U62" s="4"/>
      <c r="V62" s="4"/>
      <c r="W62" s="4"/>
      <c r="X62" s="4"/>
      <c r="Y62" s="4"/>
      <c r="Z62" s="4"/>
    </row>
    <row r="63" ht="15.75" customHeight="1">
      <c r="A63" s="34" t="s">
        <v>445</v>
      </c>
      <c r="B63" s="30" t="s">
        <v>446</v>
      </c>
      <c r="C63" s="30" t="s">
        <v>76</v>
      </c>
      <c r="D63" s="30" t="s">
        <v>437</v>
      </c>
      <c r="E63" s="35">
        <v>0.88</v>
      </c>
      <c r="F63" s="4"/>
      <c r="G63" s="4"/>
      <c r="H63" s="4"/>
      <c r="I63" s="4"/>
      <c r="J63" s="4"/>
      <c r="K63" s="4"/>
      <c r="L63" s="4"/>
      <c r="M63" s="4"/>
      <c r="N63" s="4"/>
      <c r="O63" s="4"/>
      <c r="P63" s="4"/>
      <c r="Q63" s="4"/>
      <c r="R63" s="4"/>
      <c r="S63" s="4"/>
      <c r="T63" s="4"/>
      <c r="U63" s="4"/>
      <c r="V63" s="4"/>
      <c r="W63" s="4"/>
      <c r="X63" s="4"/>
      <c r="Y63" s="4"/>
      <c r="Z63" s="4"/>
    </row>
    <row r="64" ht="15.75" customHeight="1">
      <c r="A64" s="34" t="s">
        <v>445</v>
      </c>
      <c r="B64" s="30" t="s">
        <v>446</v>
      </c>
      <c r="C64" s="30" t="s">
        <v>107</v>
      </c>
      <c r="D64" s="30" t="s">
        <v>438</v>
      </c>
      <c r="E64" s="35">
        <v>0.92</v>
      </c>
      <c r="F64" s="4"/>
      <c r="G64" s="4"/>
      <c r="H64" s="4"/>
      <c r="I64" s="4"/>
      <c r="J64" s="4"/>
      <c r="K64" s="4"/>
      <c r="L64" s="4"/>
      <c r="M64" s="4"/>
      <c r="N64" s="4"/>
      <c r="O64" s="4"/>
      <c r="P64" s="4"/>
      <c r="Q64" s="4"/>
      <c r="R64" s="4"/>
      <c r="S64" s="4"/>
      <c r="T64" s="4"/>
      <c r="U64" s="4"/>
      <c r="V64" s="4"/>
      <c r="W64" s="4"/>
      <c r="X64" s="4"/>
      <c r="Y64" s="4"/>
      <c r="Z64" s="4"/>
    </row>
    <row r="65" ht="15.75" customHeight="1">
      <c r="A65" s="34" t="s">
        <v>447</v>
      </c>
      <c r="B65" s="30" t="s">
        <v>448</v>
      </c>
      <c r="C65" s="30" t="s">
        <v>23</v>
      </c>
      <c r="D65" s="30" t="s">
        <v>408</v>
      </c>
      <c r="E65" s="35">
        <v>0.7</v>
      </c>
      <c r="F65" s="4"/>
      <c r="G65" s="4"/>
      <c r="H65" s="4"/>
      <c r="I65" s="4"/>
      <c r="J65" s="4"/>
      <c r="K65" s="4"/>
      <c r="L65" s="4"/>
      <c r="M65" s="4"/>
      <c r="N65" s="4"/>
      <c r="O65" s="4"/>
      <c r="P65" s="4"/>
      <c r="Q65" s="4"/>
      <c r="R65" s="4"/>
      <c r="S65" s="4"/>
      <c r="T65" s="4"/>
      <c r="U65" s="4"/>
      <c r="V65" s="4"/>
      <c r="W65" s="4"/>
      <c r="X65" s="4"/>
      <c r="Y65" s="4"/>
      <c r="Z65" s="4"/>
    </row>
    <row r="66" ht="15.75" customHeight="1">
      <c r="A66" s="34" t="s">
        <v>447</v>
      </c>
      <c r="B66" s="30" t="s">
        <v>448</v>
      </c>
      <c r="C66" s="30" t="s">
        <v>31</v>
      </c>
      <c r="D66" s="30" t="s">
        <v>411</v>
      </c>
      <c r="E66" s="35">
        <v>0.35</v>
      </c>
      <c r="F66" s="4"/>
      <c r="G66" s="4"/>
      <c r="H66" s="4"/>
      <c r="I66" s="4"/>
      <c r="J66" s="4"/>
      <c r="K66" s="4"/>
      <c r="L66" s="4"/>
      <c r="M66" s="4"/>
      <c r="N66" s="4"/>
      <c r="O66" s="4"/>
      <c r="P66" s="4"/>
      <c r="Q66" s="4"/>
      <c r="R66" s="4"/>
      <c r="S66" s="4"/>
      <c r="T66" s="4"/>
      <c r="U66" s="4"/>
      <c r="V66" s="4"/>
      <c r="W66" s="4"/>
      <c r="X66" s="4"/>
      <c r="Y66" s="4"/>
      <c r="Z66" s="4"/>
    </row>
    <row r="67" ht="15.75" customHeight="1">
      <c r="A67" s="34" t="s">
        <v>447</v>
      </c>
      <c r="B67" s="30" t="s">
        <v>448</v>
      </c>
      <c r="C67" s="30" t="s">
        <v>34</v>
      </c>
      <c r="D67" s="30" t="s">
        <v>413</v>
      </c>
      <c r="E67" s="35">
        <v>0.25</v>
      </c>
      <c r="F67" s="4"/>
      <c r="G67" s="4"/>
      <c r="H67" s="4"/>
      <c r="I67" s="4"/>
      <c r="J67" s="4"/>
      <c r="K67" s="4"/>
      <c r="L67" s="4"/>
      <c r="M67" s="4"/>
      <c r="N67" s="4"/>
      <c r="O67" s="4"/>
      <c r="P67" s="4"/>
      <c r="Q67" s="4"/>
      <c r="R67" s="4"/>
      <c r="S67" s="4"/>
      <c r="T67" s="4"/>
      <c r="U67" s="4"/>
      <c r="V67" s="4"/>
      <c r="W67" s="4"/>
      <c r="X67" s="4"/>
      <c r="Y67" s="4"/>
      <c r="Z67" s="4"/>
    </row>
    <row r="68" ht="15.75" customHeight="1">
      <c r="A68" s="34" t="s">
        <v>447</v>
      </c>
      <c r="B68" s="30" t="s">
        <v>448</v>
      </c>
      <c r="C68" s="30" t="s">
        <v>43</v>
      </c>
      <c r="D68" s="30" t="s">
        <v>415</v>
      </c>
      <c r="E68" s="35">
        <v>0.35</v>
      </c>
      <c r="F68" s="4"/>
      <c r="G68" s="4"/>
      <c r="H68" s="4"/>
      <c r="I68" s="4"/>
      <c r="J68" s="4"/>
      <c r="K68" s="4"/>
      <c r="L68" s="4"/>
      <c r="M68" s="4"/>
      <c r="N68" s="4"/>
      <c r="O68" s="4"/>
      <c r="P68" s="4"/>
      <c r="Q68" s="4"/>
      <c r="R68" s="4"/>
      <c r="S68" s="4"/>
      <c r="T68" s="4"/>
      <c r="U68" s="4"/>
      <c r="V68" s="4"/>
      <c r="W68" s="4"/>
      <c r="X68" s="4"/>
      <c r="Y68" s="4"/>
      <c r="Z68" s="4"/>
    </row>
    <row r="69" ht="15.75" customHeight="1">
      <c r="A69" s="34" t="s">
        <v>447</v>
      </c>
      <c r="B69" s="30" t="s">
        <v>448</v>
      </c>
      <c r="C69" s="30" t="s">
        <v>50</v>
      </c>
      <c r="D69" s="30" t="s">
        <v>416</v>
      </c>
      <c r="E69" s="35">
        <v>0.8</v>
      </c>
      <c r="F69" s="4"/>
      <c r="G69" s="4"/>
      <c r="H69" s="4"/>
      <c r="I69" s="4"/>
      <c r="J69" s="4"/>
      <c r="K69" s="4"/>
      <c r="L69" s="4"/>
      <c r="M69" s="4"/>
      <c r="N69" s="4"/>
      <c r="O69" s="4"/>
      <c r="P69" s="4"/>
      <c r="Q69" s="4"/>
      <c r="R69" s="4"/>
      <c r="S69" s="4"/>
      <c r="T69" s="4"/>
      <c r="U69" s="4"/>
      <c r="V69" s="4"/>
      <c r="W69" s="4"/>
      <c r="X69" s="4"/>
      <c r="Y69" s="4"/>
      <c r="Z69" s="4"/>
    </row>
    <row r="70" ht="15.75" customHeight="1">
      <c r="A70" s="34" t="s">
        <v>447</v>
      </c>
      <c r="B70" s="30" t="s">
        <v>448</v>
      </c>
      <c r="C70" s="30" t="s">
        <v>53</v>
      </c>
      <c r="D70" s="30" t="s">
        <v>417</v>
      </c>
      <c r="E70" s="35">
        <v>0.6</v>
      </c>
      <c r="F70" s="4"/>
      <c r="G70" s="4"/>
      <c r="H70" s="4"/>
      <c r="I70" s="4"/>
      <c r="J70" s="4"/>
      <c r="K70" s="4"/>
      <c r="L70" s="4"/>
      <c r="M70" s="4"/>
      <c r="N70" s="4"/>
      <c r="O70" s="4"/>
      <c r="P70" s="4"/>
      <c r="Q70" s="4"/>
      <c r="R70" s="4"/>
      <c r="S70" s="4"/>
      <c r="T70" s="4"/>
      <c r="U70" s="4"/>
      <c r="V70" s="4"/>
      <c r="W70" s="4"/>
      <c r="X70" s="4"/>
      <c r="Y70" s="4"/>
      <c r="Z70" s="4"/>
    </row>
    <row r="71" ht="15.75" customHeight="1">
      <c r="A71" s="34" t="s">
        <v>447</v>
      </c>
      <c r="B71" s="30" t="s">
        <v>448</v>
      </c>
      <c r="C71" s="30" t="s">
        <v>63</v>
      </c>
      <c r="D71" s="30" t="s">
        <v>418</v>
      </c>
      <c r="E71" s="35">
        <v>0.55</v>
      </c>
      <c r="F71" s="4"/>
      <c r="G71" s="4"/>
      <c r="H71" s="4"/>
      <c r="I71" s="4"/>
      <c r="J71" s="4"/>
      <c r="K71" s="4"/>
      <c r="L71" s="4"/>
      <c r="M71" s="4"/>
      <c r="N71" s="4"/>
      <c r="O71" s="4"/>
      <c r="P71" s="4"/>
      <c r="Q71" s="4"/>
      <c r="R71" s="4"/>
      <c r="S71" s="4"/>
      <c r="T71" s="4"/>
      <c r="U71" s="4"/>
      <c r="V71" s="4"/>
      <c r="W71" s="4"/>
      <c r="X71" s="4"/>
      <c r="Y71" s="4"/>
      <c r="Z71" s="4"/>
    </row>
    <row r="72" ht="15.75" customHeight="1">
      <c r="A72" s="34" t="s">
        <v>447</v>
      </c>
      <c r="B72" s="30" t="s">
        <v>448</v>
      </c>
      <c r="C72" s="30" t="s">
        <v>60</v>
      </c>
      <c r="D72" s="30" t="s">
        <v>420</v>
      </c>
      <c r="E72" s="35">
        <v>0.15</v>
      </c>
      <c r="F72" s="4"/>
      <c r="G72" s="4"/>
      <c r="H72" s="4"/>
      <c r="I72" s="4"/>
      <c r="J72" s="4"/>
      <c r="K72" s="4"/>
      <c r="L72" s="4"/>
      <c r="M72" s="4"/>
      <c r="N72" s="4"/>
      <c r="O72" s="4"/>
      <c r="P72" s="4"/>
      <c r="Q72" s="4"/>
      <c r="R72" s="4"/>
      <c r="S72" s="4"/>
      <c r="T72" s="4"/>
      <c r="U72" s="4"/>
      <c r="V72" s="4"/>
      <c r="W72" s="4"/>
      <c r="X72" s="4"/>
      <c r="Y72" s="4"/>
      <c r="Z72" s="4"/>
    </row>
    <row r="73" ht="15.75" customHeight="1">
      <c r="A73" s="34" t="s">
        <v>447</v>
      </c>
      <c r="B73" s="30" t="s">
        <v>448</v>
      </c>
      <c r="C73" s="30" t="s">
        <v>57</v>
      </c>
      <c r="D73" s="30" t="s">
        <v>422</v>
      </c>
      <c r="E73" s="35">
        <v>0.7</v>
      </c>
      <c r="F73" s="4"/>
      <c r="G73" s="4"/>
      <c r="H73" s="4"/>
      <c r="I73" s="4"/>
      <c r="J73" s="4"/>
      <c r="K73" s="4"/>
      <c r="L73" s="4"/>
      <c r="M73" s="4"/>
      <c r="N73" s="4"/>
      <c r="O73" s="4"/>
      <c r="P73" s="4"/>
      <c r="Q73" s="4"/>
      <c r="R73" s="4"/>
      <c r="S73" s="4"/>
      <c r="T73" s="4"/>
      <c r="U73" s="4"/>
      <c r="V73" s="4"/>
      <c r="W73" s="4"/>
      <c r="X73" s="4"/>
      <c r="Y73" s="4"/>
      <c r="Z73" s="4"/>
    </row>
    <row r="74" ht="15.75" customHeight="1">
      <c r="A74" s="34" t="s">
        <v>447</v>
      </c>
      <c r="B74" s="30" t="s">
        <v>448</v>
      </c>
      <c r="C74" s="30" t="s">
        <v>99</v>
      </c>
      <c r="D74" s="30" t="s">
        <v>424</v>
      </c>
      <c r="E74" s="35">
        <v>0.9</v>
      </c>
      <c r="F74" s="4"/>
      <c r="G74" s="4"/>
      <c r="H74" s="4"/>
      <c r="I74" s="4"/>
      <c r="J74" s="4"/>
      <c r="K74" s="4"/>
      <c r="L74" s="4"/>
      <c r="M74" s="4"/>
      <c r="N74" s="4"/>
      <c r="O74" s="4"/>
      <c r="P74" s="4"/>
      <c r="Q74" s="4"/>
      <c r="R74" s="4"/>
      <c r="S74" s="4"/>
      <c r="T74" s="4"/>
      <c r="U74" s="4"/>
      <c r="V74" s="4"/>
      <c r="W74" s="4"/>
      <c r="X74" s="4"/>
      <c r="Y74" s="4"/>
      <c r="Z74" s="4"/>
    </row>
    <row r="75" ht="15.75" customHeight="1">
      <c r="A75" s="34" t="s">
        <v>447</v>
      </c>
      <c r="B75" s="30" t="s">
        <v>448</v>
      </c>
      <c r="C75" s="30" t="s">
        <v>93</v>
      </c>
      <c r="D75" s="30" t="s">
        <v>425</v>
      </c>
      <c r="E75" s="35">
        <v>0.85</v>
      </c>
      <c r="F75" s="4"/>
      <c r="G75" s="4"/>
      <c r="H75" s="4"/>
      <c r="I75" s="4"/>
      <c r="J75" s="4"/>
      <c r="K75" s="4"/>
      <c r="L75" s="4"/>
      <c r="M75" s="4"/>
      <c r="N75" s="4"/>
      <c r="O75" s="4"/>
      <c r="P75" s="4"/>
      <c r="Q75" s="4"/>
      <c r="R75" s="4"/>
      <c r="S75" s="4"/>
      <c r="T75" s="4"/>
      <c r="U75" s="4"/>
      <c r="V75" s="4"/>
      <c r="W75" s="4"/>
      <c r="X75" s="4"/>
      <c r="Y75" s="4"/>
      <c r="Z75" s="4"/>
    </row>
    <row r="76" ht="15.75" customHeight="1">
      <c r="A76" s="34" t="s">
        <v>447</v>
      </c>
      <c r="B76" s="30" t="s">
        <v>448</v>
      </c>
      <c r="C76" s="30" t="s">
        <v>96</v>
      </c>
      <c r="D76" s="30" t="s">
        <v>426</v>
      </c>
      <c r="E76" s="35">
        <v>0.55</v>
      </c>
      <c r="F76" s="4"/>
      <c r="G76" s="4"/>
      <c r="H76" s="4"/>
      <c r="I76" s="4"/>
      <c r="J76" s="4"/>
      <c r="K76" s="4"/>
      <c r="L76" s="4"/>
      <c r="M76" s="4"/>
      <c r="N76" s="4"/>
      <c r="O76" s="4"/>
      <c r="P76" s="4"/>
      <c r="Q76" s="4"/>
      <c r="R76" s="4"/>
      <c r="S76" s="4"/>
      <c r="T76" s="4"/>
      <c r="U76" s="4"/>
      <c r="V76" s="4"/>
      <c r="W76" s="4"/>
      <c r="X76" s="4"/>
      <c r="Y76" s="4"/>
      <c r="Z76" s="4"/>
    </row>
    <row r="77" ht="15.75" customHeight="1">
      <c r="A77" s="34" t="s">
        <v>447</v>
      </c>
      <c r="B77" s="30" t="s">
        <v>448</v>
      </c>
      <c r="C77" s="30" t="s">
        <v>104</v>
      </c>
      <c r="D77" s="30" t="s">
        <v>427</v>
      </c>
      <c r="E77" s="35">
        <v>0.3</v>
      </c>
      <c r="F77" s="4"/>
      <c r="G77" s="4"/>
      <c r="H77" s="4"/>
      <c r="I77" s="4"/>
      <c r="J77" s="4"/>
      <c r="K77" s="4"/>
      <c r="L77" s="4"/>
      <c r="M77" s="4"/>
      <c r="N77" s="4"/>
      <c r="O77" s="4"/>
      <c r="P77" s="4"/>
      <c r="Q77" s="4"/>
      <c r="R77" s="4"/>
      <c r="S77" s="4"/>
      <c r="T77" s="4"/>
      <c r="U77" s="4"/>
      <c r="V77" s="4"/>
      <c r="W77" s="4"/>
      <c r="X77" s="4"/>
      <c r="Y77" s="4"/>
      <c r="Z77" s="4"/>
    </row>
    <row r="78" ht="15.75" customHeight="1">
      <c r="A78" s="34" t="s">
        <v>447</v>
      </c>
      <c r="B78" s="30" t="s">
        <v>448</v>
      </c>
      <c r="C78" s="30" t="s">
        <v>110</v>
      </c>
      <c r="D78" s="30" t="s">
        <v>428</v>
      </c>
      <c r="E78" s="35">
        <v>0.15</v>
      </c>
      <c r="F78" s="4"/>
      <c r="G78" s="4"/>
      <c r="H78" s="4"/>
      <c r="I78" s="4"/>
      <c r="J78" s="4"/>
      <c r="K78" s="4"/>
      <c r="L78" s="4"/>
      <c r="M78" s="4"/>
      <c r="N78" s="4"/>
      <c r="O78" s="4"/>
      <c r="P78" s="4"/>
      <c r="Q78" s="4"/>
      <c r="R78" s="4"/>
      <c r="S78" s="4"/>
      <c r="T78" s="4"/>
      <c r="U78" s="4"/>
      <c r="V78" s="4"/>
      <c r="W78" s="4"/>
      <c r="X78" s="4"/>
      <c r="Y78" s="4"/>
      <c r="Z78" s="4"/>
    </row>
    <row r="79" ht="15.75" customHeight="1">
      <c r="A79" s="34" t="s">
        <v>447</v>
      </c>
      <c r="B79" s="30" t="s">
        <v>448</v>
      </c>
      <c r="C79" s="30" t="s">
        <v>71</v>
      </c>
      <c r="D79" s="30" t="s">
        <v>430</v>
      </c>
      <c r="E79" s="35">
        <v>0.45</v>
      </c>
      <c r="F79" s="4"/>
      <c r="G79" s="4"/>
      <c r="H79" s="4"/>
      <c r="I79" s="4"/>
      <c r="J79" s="4"/>
      <c r="K79" s="4"/>
      <c r="L79" s="4"/>
      <c r="M79" s="4"/>
      <c r="N79" s="4"/>
      <c r="O79" s="4"/>
      <c r="P79" s="4"/>
      <c r="Q79" s="4"/>
      <c r="R79" s="4"/>
      <c r="S79" s="4"/>
      <c r="T79" s="4"/>
      <c r="U79" s="4"/>
      <c r="V79" s="4"/>
      <c r="W79" s="4"/>
      <c r="X79" s="4"/>
      <c r="Y79" s="4"/>
      <c r="Z79" s="4"/>
    </row>
    <row r="80" ht="15.75" customHeight="1">
      <c r="A80" s="34" t="s">
        <v>447</v>
      </c>
      <c r="B80" s="30" t="s">
        <v>448</v>
      </c>
      <c r="C80" s="30" t="s">
        <v>79</v>
      </c>
      <c r="D80" s="30" t="s">
        <v>432</v>
      </c>
      <c r="E80" s="35">
        <v>0.2</v>
      </c>
      <c r="F80" s="4"/>
      <c r="G80" s="4"/>
      <c r="H80" s="4"/>
      <c r="I80" s="4"/>
      <c r="J80" s="4"/>
      <c r="K80" s="4"/>
      <c r="L80" s="4"/>
      <c r="M80" s="4"/>
      <c r="N80" s="4"/>
      <c r="O80" s="4"/>
      <c r="P80" s="4"/>
      <c r="Q80" s="4"/>
      <c r="R80" s="4"/>
      <c r="S80" s="4"/>
      <c r="T80" s="4"/>
      <c r="U80" s="4"/>
      <c r="V80" s="4"/>
      <c r="W80" s="4"/>
      <c r="X80" s="4"/>
      <c r="Y80" s="4"/>
      <c r="Z80" s="4"/>
    </row>
    <row r="81" ht="15.75" customHeight="1">
      <c r="A81" s="34" t="s">
        <v>447</v>
      </c>
      <c r="B81" s="30" t="s">
        <v>448</v>
      </c>
      <c r="C81" s="30" t="s">
        <v>82</v>
      </c>
      <c r="D81" s="30" t="s">
        <v>433</v>
      </c>
      <c r="E81" s="35">
        <v>0.25</v>
      </c>
      <c r="F81" s="4"/>
      <c r="G81" s="4"/>
      <c r="H81" s="4"/>
      <c r="I81" s="4"/>
      <c r="J81" s="4"/>
      <c r="K81" s="4"/>
      <c r="L81" s="4"/>
      <c r="M81" s="4"/>
      <c r="N81" s="4"/>
      <c r="O81" s="4"/>
      <c r="P81" s="4"/>
      <c r="Q81" s="4"/>
      <c r="R81" s="4"/>
      <c r="S81" s="4"/>
      <c r="T81" s="4"/>
      <c r="U81" s="4"/>
      <c r="V81" s="4"/>
      <c r="W81" s="4"/>
      <c r="X81" s="4"/>
      <c r="Y81" s="4"/>
      <c r="Z81" s="4"/>
    </row>
    <row r="82" ht="15.75" customHeight="1">
      <c r="A82" s="34" t="s">
        <v>447</v>
      </c>
      <c r="B82" s="30" t="s">
        <v>448</v>
      </c>
      <c r="C82" s="30" t="s">
        <v>85</v>
      </c>
      <c r="D82" s="30" t="s">
        <v>434</v>
      </c>
      <c r="E82" s="35">
        <v>0.45</v>
      </c>
      <c r="F82" s="4"/>
      <c r="G82" s="4"/>
      <c r="H82" s="4"/>
      <c r="I82" s="4"/>
      <c r="J82" s="4"/>
      <c r="K82" s="4"/>
      <c r="L82" s="4"/>
      <c r="M82" s="4"/>
      <c r="N82" s="4"/>
      <c r="O82" s="4"/>
      <c r="P82" s="4"/>
      <c r="Q82" s="4"/>
      <c r="R82" s="4"/>
      <c r="S82" s="4"/>
      <c r="T82" s="4"/>
      <c r="U82" s="4"/>
      <c r="V82" s="4"/>
      <c r="W82" s="4"/>
      <c r="X82" s="4"/>
      <c r="Y82" s="4"/>
      <c r="Z82" s="4"/>
    </row>
    <row r="83" ht="15.75" customHeight="1">
      <c r="A83" s="34" t="s">
        <v>447</v>
      </c>
      <c r="B83" s="30" t="s">
        <v>448</v>
      </c>
      <c r="C83" s="30" t="s">
        <v>88</v>
      </c>
      <c r="D83" s="30" t="s">
        <v>435</v>
      </c>
      <c r="E83" s="35">
        <v>0.3</v>
      </c>
      <c r="F83" s="4"/>
      <c r="G83" s="4"/>
      <c r="H83" s="4"/>
      <c r="I83" s="4"/>
      <c r="J83" s="4"/>
      <c r="K83" s="4"/>
      <c r="L83" s="4"/>
      <c r="M83" s="4"/>
      <c r="N83" s="4"/>
      <c r="O83" s="4"/>
      <c r="P83" s="4"/>
      <c r="Q83" s="4"/>
      <c r="R83" s="4"/>
      <c r="S83" s="4"/>
      <c r="T83" s="4"/>
      <c r="U83" s="4"/>
      <c r="V83" s="4"/>
      <c r="W83" s="4"/>
      <c r="X83" s="4"/>
      <c r="Y83" s="4"/>
      <c r="Z83" s="4"/>
    </row>
    <row r="84" ht="15.75" customHeight="1">
      <c r="A84" s="34" t="s">
        <v>447</v>
      </c>
      <c r="B84" s="30" t="s">
        <v>448</v>
      </c>
      <c r="C84" s="30" t="s">
        <v>76</v>
      </c>
      <c r="D84" s="30" t="s">
        <v>437</v>
      </c>
      <c r="E84" s="35">
        <v>0.45</v>
      </c>
      <c r="F84" s="4"/>
      <c r="G84" s="4"/>
      <c r="H84" s="4"/>
      <c r="I84" s="4"/>
      <c r="J84" s="4"/>
      <c r="K84" s="4"/>
      <c r="L84" s="4"/>
      <c r="M84" s="4"/>
      <c r="N84" s="4"/>
      <c r="O84" s="4"/>
      <c r="P84" s="4"/>
      <c r="Q84" s="4"/>
      <c r="R84" s="4"/>
      <c r="S84" s="4"/>
      <c r="T84" s="4"/>
      <c r="U84" s="4"/>
      <c r="V84" s="4"/>
      <c r="W84" s="4"/>
      <c r="X84" s="4"/>
      <c r="Y84" s="4"/>
      <c r="Z84" s="4"/>
    </row>
    <row r="85" ht="15.75" customHeight="1">
      <c r="A85" s="34" t="s">
        <v>447</v>
      </c>
      <c r="B85" s="30" t="s">
        <v>448</v>
      </c>
      <c r="C85" s="30" t="s">
        <v>107</v>
      </c>
      <c r="D85" s="30" t="s">
        <v>438</v>
      </c>
      <c r="E85" s="35">
        <v>0.18</v>
      </c>
      <c r="F85" s="4"/>
      <c r="G85" s="4"/>
      <c r="H85" s="4"/>
      <c r="I85" s="4"/>
      <c r="J85" s="4"/>
      <c r="K85" s="4"/>
      <c r="L85" s="4"/>
      <c r="M85" s="4"/>
      <c r="N85" s="4"/>
      <c r="O85" s="4"/>
      <c r="P85" s="4"/>
      <c r="Q85" s="4"/>
      <c r="R85" s="4"/>
      <c r="S85" s="4"/>
      <c r="T85" s="4"/>
      <c r="U85" s="4"/>
      <c r="V85" s="4"/>
      <c r="W85" s="4"/>
      <c r="X85" s="4"/>
      <c r="Y85" s="4"/>
      <c r="Z85" s="4"/>
    </row>
    <row r="86" ht="15.75" customHeight="1">
      <c r="A86" s="34" t="s">
        <v>449</v>
      </c>
      <c r="B86" s="30" t="s">
        <v>450</v>
      </c>
      <c r="C86" s="30" t="s">
        <v>23</v>
      </c>
      <c r="D86" s="30" t="s">
        <v>408</v>
      </c>
      <c r="E86" s="35">
        <v>0.85</v>
      </c>
      <c r="F86" s="4"/>
      <c r="G86" s="4"/>
      <c r="H86" s="4"/>
      <c r="I86" s="4"/>
      <c r="J86" s="4"/>
      <c r="K86" s="4"/>
      <c r="L86" s="4"/>
      <c r="M86" s="4"/>
      <c r="N86" s="4"/>
      <c r="O86" s="4"/>
      <c r="P86" s="4"/>
      <c r="Q86" s="4"/>
      <c r="R86" s="4"/>
      <c r="S86" s="4"/>
      <c r="T86" s="4"/>
      <c r="U86" s="4"/>
      <c r="V86" s="4"/>
      <c r="W86" s="4"/>
      <c r="X86" s="4"/>
      <c r="Y86" s="4"/>
      <c r="Z86" s="4"/>
    </row>
    <row r="87" ht="15.75" customHeight="1">
      <c r="A87" s="34" t="s">
        <v>449</v>
      </c>
      <c r="B87" s="30" t="s">
        <v>450</v>
      </c>
      <c r="C87" s="30" t="s">
        <v>31</v>
      </c>
      <c r="D87" s="30" t="s">
        <v>411</v>
      </c>
      <c r="E87" s="35">
        <v>0.25</v>
      </c>
      <c r="F87" s="4"/>
      <c r="G87" s="4"/>
      <c r="H87" s="4"/>
      <c r="I87" s="4"/>
      <c r="J87" s="4"/>
      <c r="K87" s="4"/>
      <c r="L87" s="4"/>
      <c r="M87" s="4"/>
      <c r="N87" s="4"/>
      <c r="O87" s="4"/>
      <c r="P87" s="4"/>
      <c r="Q87" s="4"/>
      <c r="R87" s="4"/>
      <c r="S87" s="4"/>
      <c r="T87" s="4"/>
      <c r="U87" s="4"/>
      <c r="V87" s="4"/>
      <c r="W87" s="4"/>
      <c r="X87" s="4"/>
      <c r="Y87" s="4"/>
      <c r="Z87" s="4"/>
    </row>
    <row r="88" ht="15.75" customHeight="1">
      <c r="A88" s="34" t="s">
        <v>449</v>
      </c>
      <c r="B88" s="30" t="s">
        <v>450</v>
      </c>
      <c r="C88" s="30" t="s">
        <v>34</v>
      </c>
      <c r="D88" s="30" t="s">
        <v>413</v>
      </c>
      <c r="E88" s="35">
        <v>0.25</v>
      </c>
      <c r="F88" s="4"/>
      <c r="G88" s="4"/>
      <c r="H88" s="4"/>
      <c r="I88" s="4"/>
      <c r="J88" s="4"/>
      <c r="K88" s="4"/>
      <c r="L88" s="4"/>
      <c r="M88" s="4"/>
      <c r="N88" s="4"/>
      <c r="O88" s="4"/>
      <c r="P88" s="4"/>
      <c r="Q88" s="4"/>
      <c r="R88" s="4"/>
      <c r="S88" s="4"/>
      <c r="T88" s="4"/>
      <c r="U88" s="4"/>
      <c r="V88" s="4"/>
      <c r="W88" s="4"/>
      <c r="X88" s="4"/>
      <c r="Y88" s="4"/>
      <c r="Z88" s="4"/>
    </row>
    <row r="89" ht="15.75" customHeight="1">
      <c r="A89" s="34" t="s">
        <v>449</v>
      </c>
      <c r="B89" s="30" t="s">
        <v>450</v>
      </c>
      <c r="C89" s="30" t="s">
        <v>43</v>
      </c>
      <c r="D89" s="30" t="s">
        <v>415</v>
      </c>
      <c r="E89" s="35">
        <v>0.4</v>
      </c>
      <c r="F89" s="4"/>
      <c r="G89" s="4"/>
      <c r="H89" s="4"/>
      <c r="I89" s="4"/>
      <c r="J89" s="4"/>
      <c r="K89" s="4"/>
      <c r="L89" s="4"/>
      <c r="M89" s="4"/>
      <c r="N89" s="4"/>
      <c r="O89" s="4"/>
      <c r="P89" s="4"/>
      <c r="Q89" s="4"/>
      <c r="R89" s="4"/>
      <c r="S89" s="4"/>
      <c r="T89" s="4"/>
      <c r="U89" s="4"/>
      <c r="V89" s="4"/>
      <c r="W89" s="4"/>
      <c r="X89" s="4"/>
      <c r="Y89" s="4"/>
      <c r="Z89" s="4"/>
    </row>
    <row r="90" ht="15.75" customHeight="1">
      <c r="A90" s="34" t="s">
        <v>449</v>
      </c>
      <c r="B90" s="30" t="s">
        <v>450</v>
      </c>
      <c r="C90" s="30" t="s">
        <v>50</v>
      </c>
      <c r="D90" s="30" t="s">
        <v>416</v>
      </c>
      <c r="E90" s="35">
        <v>0.9</v>
      </c>
      <c r="F90" s="4"/>
      <c r="G90" s="4"/>
      <c r="H90" s="4"/>
      <c r="I90" s="4"/>
      <c r="J90" s="4"/>
      <c r="K90" s="4"/>
      <c r="L90" s="4"/>
      <c r="M90" s="4"/>
      <c r="N90" s="4"/>
      <c r="O90" s="4"/>
      <c r="P90" s="4"/>
      <c r="Q90" s="4"/>
      <c r="R90" s="4"/>
      <c r="S90" s="4"/>
      <c r="T90" s="4"/>
      <c r="U90" s="4"/>
      <c r="V90" s="4"/>
      <c r="W90" s="4"/>
      <c r="X90" s="4"/>
      <c r="Y90" s="4"/>
      <c r="Z90" s="4"/>
    </row>
    <row r="91" ht="15.75" customHeight="1">
      <c r="A91" s="34" t="s">
        <v>449</v>
      </c>
      <c r="B91" s="30" t="s">
        <v>450</v>
      </c>
      <c r="C91" s="30" t="s">
        <v>53</v>
      </c>
      <c r="D91" s="30" t="s">
        <v>417</v>
      </c>
      <c r="E91" s="35">
        <v>0.7</v>
      </c>
      <c r="F91" s="4"/>
      <c r="G91" s="4"/>
      <c r="H91" s="4"/>
      <c r="I91" s="4"/>
      <c r="J91" s="4"/>
      <c r="K91" s="4"/>
      <c r="L91" s="4"/>
      <c r="M91" s="4"/>
      <c r="N91" s="4"/>
      <c r="O91" s="4"/>
      <c r="P91" s="4"/>
      <c r="Q91" s="4"/>
      <c r="R91" s="4"/>
      <c r="S91" s="4"/>
      <c r="T91" s="4"/>
      <c r="U91" s="4"/>
      <c r="V91" s="4"/>
      <c r="W91" s="4"/>
      <c r="X91" s="4"/>
      <c r="Y91" s="4"/>
      <c r="Z91" s="4"/>
    </row>
    <row r="92" ht="15.75" customHeight="1">
      <c r="A92" s="34" t="s">
        <v>449</v>
      </c>
      <c r="B92" s="30" t="s">
        <v>450</v>
      </c>
      <c r="C92" s="30" t="s">
        <v>63</v>
      </c>
      <c r="D92" s="30" t="s">
        <v>418</v>
      </c>
      <c r="E92" s="35">
        <v>0.9</v>
      </c>
      <c r="F92" s="4"/>
      <c r="G92" s="4"/>
      <c r="H92" s="4"/>
      <c r="I92" s="4"/>
      <c r="J92" s="4"/>
      <c r="K92" s="4"/>
      <c r="L92" s="4"/>
      <c r="M92" s="4"/>
      <c r="N92" s="4"/>
      <c r="O92" s="4"/>
      <c r="P92" s="4"/>
      <c r="Q92" s="4"/>
      <c r="R92" s="4"/>
      <c r="S92" s="4"/>
      <c r="T92" s="4"/>
      <c r="U92" s="4"/>
      <c r="V92" s="4"/>
      <c r="W92" s="4"/>
      <c r="X92" s="4"/>
      <c r="Y92" s="4"/>
      <c r="Z92" s="4"/>
    </row>
    <row r="93" ht="15.75" customHeight="1">
      <c r="A93" s="34" t="s">
        <v>449</v>
      </c>
      <c r="B93" s="30" t="s">
        <v>450</v>
      </c>
      <c r="C93" s="30" t="s">
        <v>60</v>
      </c>
      <c r="D93" s="30" t="s">
        <v>420</v>
      </c>
      <c r="E93" s="35">
        <v>0.2</v>
      </c>
      <c r="F93" s="4"/>
      <c r="G93" s="4"/>
      <c r="H93" s="4"/>
      <c r="I93" s="4"/>
      <c r="J93" s="4"/>
      <c r="K93" s="4"/>
      <c r="L93" s="4"/>
      <c r="M93" s="4"/>
      <c r="N93" s="4"/>
      <c r="O93" s="4"/>
      <c r="P93" s="4"/>
      <c r="Q93" s="4"/>
      <c r="R93" s="4"/>
      <c r="S93" s="4"/>
      <c r="T93" s="4"/>
      <c r="U93" s="4"/>
      <c r="V93" s="4"/>
      <c r="W93" s="4"/>
      <c r="X93" s="4"/>
      <c r="Y93" s="4"/>
      <c r="Z93" s="4"/>
    </row>
    <row r="94" ht="15.75" customHeight="1">
      <c r="A94" s="34" t="s">
        <v>449</v>
      </c>
      <c r="B94" s="30" t="s">
        <v>450</v>
      </c>
      <c r="C94" s="30" t="s">
        <v>57</v>
      </c>
      <c r="D94" s="30" t="s">
        <v>422</v>
      </c>
      <c r="E94" s="35">
        <v>0.9</v>
      </c>
      <c r="F94" s="4"/>
      <c r="G94" s="4"/>
      <c r="H94" s="4"/>
      <c r="I94" s="4"/>
      <c r="J94" s="4"/>
      <c r="K94" s="4"/>
      <c r="L94" s="4"/>
      <c r="M94" s="4"/>
      <c r="N94" s="4"/>
      <c r="O94" s="4"/>
      <c r="P94" s="4"/>
      <c r="Q94" s="4"/>
      <c r="R94" s="4"/>
      <c r="S94" s="4"/>
      <c r="T94" s="4"/>
      <c r="U94" s="4"/>
      <c r="V94" s="4"/>
      <c r="W94" s="4"/>
      <c r="X94" s="4"/>
      <c r="Y94" s="4"/>
      <c r="Z94" s="4"/>
    </row>
    <row r="95" ht="15.75" customHeight="1">
      <c r="A95" s="34" t="s">
        <v>449</v>
      </c>
      <c r="B95" s="30" t="s">
        <v>450</v>
      </c>
      <c r="C95" s="30" t="s">
        <v>99</v>
      </c>
      <c r="D95" s="30" t="s">
        <v>424</v>
      </c>
      <c r="E95" s="35">
        <v>0.45</v>
      </c>
      <c r="F95" s="4"/>
      <c r="G95" s="4"/>
      <c r="H95" s="4"/>
      <c r="I95" s="4"/>
      <c r="J95" s="4"/>
      <c r="K95" s="4"/>
      <c r="L95" s="4"/>
      <c r="M95" s="4"/>
      <c r="N95" s="4"/>
      <c r="O95" s="4"/>
      <c r="P95" s="4"/>
      <c r="Q95" s="4"/>
      <c r="R95" s="4"/>
      <c r="S95" s="4"/>
      <c r="T95" s="4"/>
      <c r="U95" s="4"/>
      <c r="V95" s="4"/>
      <c r="W95" s="4"/>
      <c r="X95" s="4"/>
      <c r="Y95" s="4"/>
      <c r="Z95" s="4"/>
    </row>
    <row r="96" ht="15.75" customHeight="1">
      <c r="A96" s="34" t="s">
        <v>449</v>
      </c>
      <c r="B96" s="30" t="s">
        <v>450</v>
      </c>
      <c r="C96" s="30" t="s">
        <v>93</v>
      </c>
      <c r="D96" s="30" t="s">
        <v>425</v>
      </c>
      <c r="E96" s="35">
        <v>0.8</v>
      </c>
      <c r="F96" s="4"/>
      <c r="G96" s="4"/>
      <c r="H96" s="4"/>
      <c r="I96" s="4"/>
      <c r="J96" s="4"/>
      <c r="K96" s="4"/>
      <c r="L96" s="4"/>
      <c r="M96" s="4"/>
      <c r="N96" s="4"/>
      <c r="O96" s="4"/>
      <c r="P96" s="4"/>
      <c r="Q96" s="4"/>
      <c r="R96" s="4"/>
      <c r="S96" s="4"/>
      <c r="T96" s="4"/>
      <c r="U96" s="4"/>
      <c r="V96" s="4"/>
      <c r="W96" s="4"/>
      <c r="X96" s="4"/>
      <c r="Y96" s="4"/>
      <c r="Z96" s="4"/>
    </row>
    <row r="97" ht="15.75" customHeight="1">
      <c r="A97" s="34" t="s">
        <v>449</v>
      </c>
      <c r="B97" s="30" t="s">
        <v>450</v>
      </c>
      <c r="C97" s="30" t="s">
        <v>96</v>
      </c>
      <c r="D97" s="30" t="s">
        <v>426</v>
      </c>
      <c r="E97" s="35">
        <v>0.85</v>
      </c>
      <c r="F97" s="4"/>
      <c r="G97" s="4"/>
      <c r="H97" s="4"/>
      <c r="I97" s="4"/>
      <c r="J97" s="4"/>
      <c r="K97" s="4"/>
      <c r="L97" s="4"/>
      <c r="M97" s="4"/>
      <c r="N97" s="4"/>
      <c r="O97" s="4"/>
      <c r="P97" s="4"/>
      <c r="Q97" s="4"/>
      <c r="R97" s="4"/>
      <c r="S97" s="4"/>
      <c r="T97" s="4"/>
      <c r="U97" s="4"/>
      <c r="V97" s="4"/>
      <c r="W97" s="4"/>
      <c r="X97" s="4"/>
      <c r="Y97" s="4"/>
      <c r="Z97" s="4"/>
    </row>
    <row r="98" ht="15.75" customHeight="1">
      <c r="A98" s="34" t="s">
        <v>449</v>
      </c>
      <c r="B98" s="30" t="s">
        <v>450</v>
      </c>
      <c r="C98" s="30" t="s">
        <v>104</v>
      </c>
      <c r="D98" s="30" t="s">
        <v>427</v>
      </c>
      <c r="E98" s="35">
        <v>0.55</v>
      </c>
      <c r="F98" s="4"/>
      <c r="G98" s="4"/>
      <c r="H98" s="4"/>
      <c r="I98" s="4"/>
      <c r="J98" s="4"/>
      <c r="K98" s="4"/>
      <c r="L98" s="4"/>
      <c r="M98" s="4"/>
      <c r="N98" s="4"/>
      <c r="O98" s="4"/>
      <c r="P98" s="4"/>
      <c r="Q98" s="4"/>
      <c r="R98" s="4"/>
      <c r="S98" s="4"/>
      <c r="T98" s="4"/>
      <c r="U98" s="4"/>
      <c r="V98" s="4"/>
      <c r="W98" s="4"/>
      <c r="X98" s="4"/>
      <c r="Y98" s="4"/>
      <c r="Z98" s="4"/>
    </row>
    <row r="99" ht="15.75" customHeight="1">
      <c r="A99" s="34" t="s">
        <v>449</v>
      </c>
      <c r="B99" s="30" t="s">
        <v>450</v>
      </c>
      <c r="C99" s="30" t="s">
        <v>110</v>
      </c>
      <c r="D99" s="30" t="s">
        <v>428</v>
      </c>
      <c r="E99" s="35">
        <v>0.15</v>
      </c>
      <c r="F99" s="4"/>
      <c r="G99" s="4"/>
      <c r="H99" s="4"/>
      <c r="I99" s="4"/>
      <c r="J99" s="4"/>
      <c r="K99" s="4"/>
      <c r="L99" s="4"/>
      <c r="M99" s="4"/>
      <c r="N99" s="4"/>
      <c r="O99" s="4"/>
      <c r="P99" s="4"/>
      <c r="Q99" s="4"/>
      <c r="R99" s="4"/>
      <c r="S99" s="4"/>
      <c r="T99" s="4"/>
      <c r="U99" s="4"/>
      <c r="V99" s="4"/>
      <c r="W99" s="4"/>
      <c r="X99" s="4"/>
      <c r="Y99" s="4"/>
      <c r="Z99" s="4"/>
    </row>
    <row r="100" ht="15.75" customHeight="1">
      <c r="A100" s="34" t="s">
        <v>449</v>
      </c>
      <c r="B100" s="30" t="s">
        <v>450</v>
      </c>
      <c r="C100" s="30" t="s">
        <v>71</v>
      </c>
      <c r="D100" s="30" t="s">
        <v>430</v>
      </c>
      <c r="E100" s="35">
        <v>0.4</v>
      </c>
      <c r="F100" s="4"/>
      <c r="G100" s="4"/>
      <c r="H100" s="4"/>
      <c r="I100" s="4"/>
      <c r="J100" s="4"/>
      <c r="K100" s="4"/>
      <c r="L100" s="4"/>
      <c r="M100" s="4"/>
      <c r="N100" s="4"/>
      <c r="O100" s="4"/>
      <c r="P100" s="4"/>
      <c r="Q100" s="4"/>
      <c r="R100" s="4"/>
      <c r="S100" s="4"/>
      <c r="T100" s="4"/>
      <c r="U100" s="4"/>
      <c r="V100" s="4"/>
      <c r="W100" s="4"/>
      <c r="X100" s="4"/>
      <c r="Y100" s="4"/>
      <c r="Z100" s="4"/>
    </row>
    <row r="101" ht="15.75" customHeight="1">
      <c r="A101" s="34" t="s">
        <v>449</v>
      </c>
      <c r="B101" s="30" t="s">
        <v>450</v>
      </c>
      <c r="C101" s="30" t="s">
        <v>79</v>
      </c>
      <c r="D101" s="30" t="s">
        <v>432</v>
      </c>
      <c r="E101" s="35">
        <v>0.2</v>
      </c>
      <c r="F101" s="4"/>
      <c r="G101" s="4"/>
      <c r="H101" s="4"/>
      <c r="I101" s="4"/>
      <c r="J101" s="4"/>
      <c r="K101" s="4"/>
      <c r="L101" s="4"/>
      <c r="M101" s="4"/>
      <c r="N101" s="4"/>
      <c r="O101" s="4"/>
      <c r="P101" s="4"/>
      <c r="Q101" s="4"/>
      <c r="R101" s="4"/>
      <c r="S101" s="4"/>
      <c r="T101" s="4"/>
      <c r="U101" s="4"/>
      <c r="V101" s="4"/>
      <c r="W101" s="4"/>
      <c r="X101" s="4"/>
      <c r="Y101" s="4"/>
      <c r="Z101" s="4"/>
    </row>
    <row r="102" ht="15.75" customHeight="1">
      <c r="A102" s="34" t="s">
        <v>449</v>
      </c>
      <c r="B102" s="30" t="s">
        <v>450</v>
      </c>
      <c r="C102" s="30" t="s">
        <v>82</v>
      </c>
      <c r="D102" s="30" t="s">
        <v>433</v>
      </c>
      <c r="E102" s="35">
        <v>0.2</v>
      </c>
      <c r="F102" s="4"/>
      <c r="G102" s="4"/>
      <c r="H102" s="4"/>
      <c r="I102" s="4"/>
      <c r="J102" s="4"/>
      <c r="K102" s="4"/>
      <c r="L102" s="4"/>
      <c r="M102" s="4"/>
      <c r="N102" s="4"/>
      <c r="O102" s="4"/>
      <c r="P102" s="4"/>
      <c r="Q102" s="4"/>
      <c r="R102" s="4"/>
      <c r="S102" s="4"/>
      <c r="T102" s="4"/>
      <c r="U102" s="4"/>
      <c r="V102" s="4"/>
      <c r="W102" s="4"/>
      <c r="X102" s="4"/>
      <c r="Y102" s="4"/>
      <c r="Z102" s="4"/>
    </row>
    <row r="103" ht="15.75" customHeight="1">
      <c r="A103" s="34" t="s">
        <v>449</v>
      </c>
      <c r="B103" s="30" t="s">
        <v>450</v>
      </c>
      <c r="C103" s="30" t="s">
        <v>85</v>
      </c>
      <c r="D103" s="30" t="s">
        <v>434</v>
      </c>
      <c r="E103" s="35">
        <v>0.6</v>
      </c>
      <c r="F103" s="4"/>
      <c r="G103" s="4"/>
      <c r="H103" s="4"/>
      <c r="I103" s="4"/>
      <c r="J103" s="4"/>
      <c r="K103" s="4"/>
      <c r="L103" s="4"/>
      <c r="M103" s="4"/>
      <c r="N103" s="4"/>
      <c r="O103" s="4"/>
      <c r="P103" s="4"/>
      <c r="Q103" s="4"/>
      <c r="R103" s="4"/>
      <c r="S103" s="4"/>
      <c r="T103" s="4"/>
      <c r="U103" s="4"/>
      <c r="V103" s="4"/>
      <c r="W103" s="4"/>
      <c r="X103" s="4"/>
      <c r="Y103" s="4"/>
      <c r="Z103" s="4"/>
    </row>
    <row r="104" ht="15.75" customHeight="1">
      <c r="A104" s="34" t="s">
        <v>449</v>
      </c>
      <c r="B104" s="30" t="s">
        <v>450</v>
      </c>
      <c r="C104" s="30" t="s">
        <v>88</v>
      </c>
      <c r="D104" s="30" t="s">
        <v>435</v>
      </c>
      <c r="E104" s="35">
        <v>0.25</v>
      </c>
      <c r="F104" s="4"/>
      <c r="G104" s="4"/>
      <c r="H104" s="4"/>
      <c r="I104" s="4"/>
      <c r="J104" s="4"/>
      <c r="K104" s="4"/>
      <c r="L104" s="4"/>
      <c r="M104" s="4"/>
      <c r="N104" s="4"/>
      <c r="O104" s="4"/>
      <c r="P104" s="4"/>
      <c r="Q104" s="4"/>
      <c r="R104" s="4"/>
      <c r="S104" s="4"/>
      <c r="T104" s="4"/>
      <c r="U104" s="4"/>
      <c r="V104" s="4"/>
      <c r="W104" s="4"/>
      <c r="X104" s="4"/>
      <c r="Y104" s="4"/>
      <c r="Z104" s="4"/>
    </row>
    <row r="105" ht="15.75" customHeight="1">
      <c r="A105" s="34" t="s">
        <v>449</v>
      </c>
      <c r="B105" s="30" t="s">
        <v>450</v>
      </c>
      <c r="C105" s="30" t="s">
        <v>76</v>
      </c>
      <c r="D105" s="30" t="s">
        <v>437</v>
      </c>
      <c r="E105" s="35">
        <v>0.2</v>
      </c>
      <c r="F105" s="4"/>
      <c r="G105" s="4"/>
      <c r="H105" s="4"/>
      <c r="I105" s="4"/>
      <c r="J105" s="4"/>
      <c r="K105" s="4"/>
      <c r="L105" s="4"/>
      <c r="M105" s="4"/>
      <c r="N105" s="4"/>
      <c r="O105" s="4"/>
      <c r="P105" s="4"/>
      <c r="Q105" s="4"/>
      <c r="R105" s="4"/>
      <c r="S105" s="4"/>
      <c r="T105" s="4"/>
      <c r="U105" s="4"/>
      <c r="V105" s="4"/>
      <c r="W105" s="4"/>
      <c r="X105" s="4"/>
      <c r="Y105" s="4"/>
      <c r="Z105" s="4"/>
    </row>
    <row r="106" ht="15.75" customHeight="1">
      <c r="A106" s="34" t="s">
        <v>449</v>
      </c>
      <c r="B106" s="30" t="s">
        <v>450</v>
      </c>
      <c r="C106" s="30" t="s">
        <v>107</v>
      </c>
      <c r="D106" s="30" t="s">
        <v>438</v>
      </c>
      <c r="E106" s="35">
        <v>0.25</v>
      </c>
      <c r="F106" s="4"/>
      <c r="G106" s="4"/>
      <c r="H106" s="4"/>
      <c r="I106" s="4"/>
      <c r="J106" s="4"/>
      <c r="K106" s="4"/>
      <c r="L106" s="4"/>
      <c r="M106" s="4"/>
      <c r="N106" s="4"/>
      <c r="O106" s="4"/>
      <c r="P106" s="4"/>
      <c r="Q106" s="4"/>
      <c r="R106" s="4"/>
      <c r="S106" s="4"/>
      <c r="T106" s="4"/>
      <c r="U106" s="4"/>
      <c r="V106" s="4"/>
      <c r="W106" s="4"/>
      <c r="X106" s="4"/>
      <c r="Y106" s="4"/>
      <c r="Z106" s="4"/>
    </row>
    <row r="107" ht="15.75" customHeight="1">
      <c r="A107" s="34" t="s">
        <v>451</v>
      </c>
      <c r="B107" s="30" t="s">
        <v>452</v>
      </c>
      <c r="C107" s="30" t="s">
        <v>23</v>
      </c>
      <c r="D107" s="30" t="s">
        <v>408</v>
      </c>
      <c r="E107" s="35">
        <v>0.55</v>
      </c>
      <c r="F107" s="4"/>
      <c r="G107" s="4"/>
      <c r="H107" s="4"/>
      <c r="I107" s="4"/>
      <c r="J107" s="4"/>
      <c r="K107" s="4"/>
      <c r="L107" s="4"/>
      <c r="M107" s="4"/>
      <c r="N107" s="4"/>
      <c r="O107" s="4"/>
      <c r="P107" s="4"/>
      <c r="Q107" s="4"/>
      <c r="R107" s="4"/>
      <c r="S107" s="4"/>
      <c r="T107" s="4"/>
      <c r="U107" s="4"/>
      <c r="V107" s="4"/>
      <c r="W107" s="4"/>
      <c r="X107" s="4"/>
      <c r="Y107" s="4"/>
      <c r="Z107" s="4"/>
    </row>
    <row r="108" ht="15.75" customHeight="1">
      <c r="A108" s="34" t="s">
        <v>451</v>
      </c>
      <c r="B108" s="30" t="s">
        <v>452</v>
      </c>
      <c r="C108" s="30" t="s">
        <v>31</v>
      </c>
      <c r="D108" s="30" t="s">
        <v>411</v>
      </c>
      <c r="E108" s="35">
        <v>0.55</v>
      </c>
      <c r="F108" s="4"/>
      <c r="G108" s="4"/>
      <c r="H108" s="4"/>
      <c r="I108" s="4"/>
      <c r="J108" s="4"/>
      <c r="K108" s="4"/>
      <c r="L108" s="4"/>
      <c r="M108" s="4"/>
      <c r="N108" s="4"/>
      <c r="O108" s="4"/>
      <c r="P108" s="4"/>
      <c r="Q108" s="4"/>
      <c r="R108" s="4"/>
      <c r="S108" s="4"/>
      <c r="T108" s="4"/>
      <c r="U108" s="4"/>
      <c r="V108" s="4"/>
      <c r="W108" s="4"/>
      <c r="X108" s="4"/>
      <c r="Y108" s="4"/>
      <c r="Z108" s="4"/>
    </row>
    <row r="109" ht="15.75" customHeight="1">
      <c r="A109" s="34" t="s">
        <v>451</v>
      </c>
      <c r="B109" s="30" t="s">
        <v>452</v>
      </c>
      <c r="C109" s="30" t="s">
        <v>34</v>
      </c>
      <c r="D109" s="30" t="s">
        <v>413</v>
      </c>
      <c r="E109" s="35">
        <v>0.55</v>
      </c>
      <c r="F109" s="4"/>
      <c r="G109" s="4"/>
      <c r="H109" s="4"/>
      <c r="I109" s="4"/>
      <c r="J109" s="4"/>
      <c r="K109" s="4"/>
      <c r="L109" s="4"/>
      <c r="M109" s="4"/>
      <c r="N109" s="4"/>
      <c r="O109" s="4"/>
      <c r="P109" s="4"/>
      <c r="Q109" s="4"/>
      <c r="R109" s="4"/>
      <c r="S109" s="4"/>
      <c r="T109" s="4"/>
      <c r="U109" s="4"/>
      <c r="V109" s="4"/>
      <c r="W109" s="4"/>
      <c r="X109" s="4"/>
      <c r="Y109" s="4"/>
      <c r="Z109" s="4"/>
    </row>
    <row r="110" ht="15.75" customHeight="1">
      <c r="A110" s="34" t="s">
        <v>451</v>
      </c>
      <c r="B110" s="30" t="s">
        <v>452</v>
      </c>
      <c r="C110" s="30" t="s">
        <v>43</v>
      </c>
      <c r="D110" s="30" t="s">
        <v>415</v>
      </c>
      <c r="E110" s="35">
        <v>0.55</v>
      </c>
      <c r="F110" s="4"/>
      <c r="G110" s="4"/>
      <c r="H110" s="4"/>
      <c r="I110" s="4"/>
      <c r="J110" s="4"/>
      <c r="K110" s="4"/>
      <c r="L110" s="4"/>
      <c r="M110" s="4"/>
      <c r="N110" s="4"/>
      <c r="O110" s="4"/>
      <c r="P110" s="4"/>
      <c r="Q110" s="4"/>
      <c r="R110" s="4"/>
      <c r="S110" s="4"/>
      <c r="T110" s="4"/>
      <c r="U110" s="4"/>
      <c r="V110" s="4"/>
      <c r="W110" s="4"/>
      <c r="X110" s="4"/>
      <c r="Y110" s="4"/>
      <c r="Z110" s="4"/>
    </row>
    <row r="111" ht="15.75" customHeight="1">
      <c r="A111" s="34" t="s">
        <v>451</v>
      </c>
      <c r="B111" s="30" t="s">
        <v>452</v>
      </c>
      <c r="C111" s="30" t="s">
        <v>50</v>
      </c>
      <c r="D111" s="30" t="s">
        <v>416</v>
      </c>
      <c r="E111" s="35">
        <v>0.55</v>
      </c>
      <c r="F111" s="4"/>
      <c r="G111" s="4"/>
      <c r="H111" s="4"/>
      <c r="I111" s="4"/>
      <c r="J111" s="4"/>
      <c r="K111" s="4"/>
      <c r="L111" s="4"/>
      <c r="M111" s="4"/>
      <c r="N111" s="4"/>
      <c r="O111" s="4"/>
      <c r="P111" s="4"/>
      <c r="Q111" s="4"/>
      <c r="R111" s="4"/>
      <c r="S111" s="4"/>
      <c r="T111" s="4"/>
      <c r="U111" s="4"/>
      <c r="V111" s="4"/>
      <c r="W111" s="4"/>
      <c r="X111" s="4"/>
      <c r="Y111" s="4"/>
      <c r="Z111" s="4"/>
    </row>
    <row r="112" ht="15.75" customHeight="1">
      <c r="A112" s="34" t="s">
        <v>451</v>
      </c>
      <c r="B112" s="30" t="s">
        <v>452</v>
      </c>
      <c r="C112" s="30" t="s">
        <v>53</v>
      </c>
      <c r="D112" s="30" t="s">
        <v>417</v>
      </c>
      <c r="E112" s="35">
        <v>0.45</v>
      </c>
      <c r="F112" s="4"/>
      <c r="G112" s="4"/>
      <c r="H112" s="4"/>
      <c r="I112" s="4"/>
      <c r="J112" s="4"/>
      <c r="K112" s="4"/>
      <c r="L112" s="4"/>
      <c r="M112" s="4"/>
      <c r="N112" s="4"/>
      <c r="O112" s="4"/>
      <c r="P112" s="4"/>
      <c r="Q112" s="4"/>
      <c r="R112" s="4"/>
      <c r="S112" s="4"/>
      <c r="T112" s="4"/>
      <c r="U112" s="4"/>
      <c r="V112" s="4"/>
      <c r="W112" s="4"/>
      <c r="X112" s="4"/>
      <c r="Y112" s="4"/>
      <c r="Z112" s="4"/>
    </row>
    <row r="113" ht="15.75" customHeight="1">
      <c r="A113" s="34" t="s">
        <v>451</v>
      </c>
      <c r="B113" s="30" t="s">
        <v>452</v>
      </c>
      <c r="C113" s="30" t="s">
        <v>63</v>
      </c>
      <c r="D113" s="30" t="s">
        <v>418</v>
      </c>
      <c r="E113" s="35">
        <v>0.35</v>
      </c>
      <c r="F113" s="4"/>
      <c r="G113" s="4"/>
      <c r="H113" s="4"/>
      <c r="I113" s="4"/>
      <c r="J113" s="4"/>
      <c r="K113" s="4"/>
      <c r="L113" s="4"/>
      <c r="M113" s="4"/>
      <c r="N113" s="4"/>
      <c r="O113" s="4"/>
      <c r="P113" s="4"/>
      <c r="Q113" s="4"/>
      <c r="R113" s="4"/>
      <c r="S113" s="4"/>
      <c r="T113" s="4"/>
      <c r="U113" s="4"/>
      <c r="V113" s="4"/>
      <c r="W113" s="4"/>
      <c r="X113" s="4"/>
      <c r="Y113" s="4"/>
      <c r="Z113" s="4"/>
    </row>
    <row r="114" ht="15.75" customHeight="1">
      <c r="A114" s="34" t="s">
        <v>451</v>
      </c>
      <c r="B114" s="30" t="s">
        <v>452</v>
      </c>
      <c r="C114" s="30" t="s">
        <v>60</v>
      </c>
      <c r="D114" s="30" t="s">
        <v>420</v>
      </c>
      <c r="E114" s="35">
        <v>0.25</v>
      </c>
      <c r="F114" s="4"/>
      <c r="G114" s="4"/>
      <c r="H114" s="4"/>
      <c r="I114" s="4"/>
      <c r="J114" s="4"/>
      <c r="K114" s="4"/>
      <c r="L114" s="4"/>
      <c r="M114" s="4"/>
      <c r="N114" s="4"/>
      <c r="O114" s="4"/>
      <c r="P114" s="4"/>
      <c r="Q114" s="4"/>
      <c r="R114" s="4"/>
      <c r="S114" s="4"/>
      <c r="T114" s="4"/>
      <c r="U114" s="4"/>
      <c r="V114" s="4"/>
      <c r="W114" s="4"/>
      <c r="X114" s="4"/>
      <c r="Y114" s="4"/>
      <c r="Z114" s="4"/>
    </row>
    <row r="115" ht="15.75" customHeight="1">
      <c r="A115" s="34" t="s">
        <v>451</v>
      </c>
      <c r="B115" s="30" t="s">
        <v>452</v>
      </c>
      <c r="C115" s="30" t="s">
        <v>57</v>
      </c>
      <c r="D115" s="30" t="s">
        <v>422</v>
      </c>
      <c r="E115" s="35">
        <v>0.45</v>
      </c>
      <c r="F115" s="4"/>
      <c r="G115" s="4"/>
      <c r="H115" s="4"/>
      <c r="I115" s="4"/>
      <c r="J115" s="4"/>
      <c r="K115" s="4"/>
      <c r="L115" s="4"/>
      <c r="M115" s="4"/>
      <c r="N115" s="4"/>
      <c r="O115" s="4"/>
      <c r="P115" s="4"/>
      <c r="Q115" s="4"/>
      <c r="R115" s="4"/>
      <c r="S115" s="4"/>
      <c r="T115" s="4"/>
      <c r="U115" s="4"/>
      <c r="V115" s="4"/>
      <c r="W115" s="4"/>
      <c r="X115" s="4"/>
      <c r="Y115" s="4"/>
      <c r="Z115" s="4"/>
    </row>
    <row r="116" ht="15.75" customHeight="1">
      <c r="A116" s="34" t="s">
        <v>451</v>
      </c>
      <c r="B116" s="30" t="s">
        <v>452</v>
      </c>
      <c r="C116" s="30" t="s">
        <v>99</v>
      </c>
      <c r="D116" s="30" t="s">
        <v>424</v>
      </c>
      <c r="E116" s="35">
        <v>0.4</v>
      </c>
      <c r="F116" s="4"/>
      <c r="G116" s="4"/>
      <c r="H116" s="4"/>
      <c r="I116" s="4"/>
      <c r="J116" s="4"/>
      <c r="K116" s="4"/>
      <c r="L116" s="4"/>
      <c r="M116" s="4"/>
      <c r="N116" s="4"/>
      <c r="O116" s="4"/>
      <c r="P116" s="4"/>
      <c r="Q116" s="4"/>
      <c r="R116" s="4"/>
      <c r="S116" s="4"/>
      <c r="T116" s="4"/>
      <c r="U116" s="4"/>
      <c r="V116" s="4"/>
      <c r="W116" s="4"/>
      <c r="X116" s="4"/>
      <c r="Y116" s="4"/>
      <c r="Z116" s="4"/>
    </row>
    <row r="117" ht="15.75" customHeight="1">
      <c r="A117" s="34" t="s">
        <v>451</v>
      </c>
      <c r="B117" s="30" t="s">
        <v>452</v>
      </c>
      <c r="C117" s="30" t="s">
        <v>93</v>
      </c>
      <c r="D117" s="30" t="s">
        <v>425</v>
      </c>
      <c r="E117" s="35">
        <v>0.55</v>
      </c>
      <c r="F117" s="4"/>
      <c r="G117" s="4"/>
      <c r="H117" s="4"/>
      <c r="I117" s="4"/>
      <c r="J117" s="4"/>
      <c r="K117" s="4"/>
      <c r="L117" s="4"/>
      <c r="M117" s="4"/>
      <c r="N117" s="4"/>
      <c r="O117" s="4"/>
      <c r="P117" s="4"/>
      <c r="Q117" s="4"/>
      <c r="R117" s="4"/>
      <c r="S117" s="4"/>
      <c r="T117" s="4"/>
      <c r="U117" s="4"/>
      <c r="V117" s="4"/>
      <c r="W117" s="4"/>
      <c r="X117" s="4"/>
      <c r="Y117" s="4"/>
      <c r="Z117" s="4"/>
    </row>
    <row r="118" ht="15.75" customHeight="1">
      <c r="A118" s="34" t="s">
        <v>451</v>
      </c>
      <c r="B118" s="30" t="s">
        <v>452</v>
      </c>
      <c r="C118" s="30" t="s">
        <v>96</v>
      </c>
      <c r="D118" s="30" t="s">
        <v>426</v>
      </c>
      <c r="E118" s="35">
        <v>0.55</v>
      </c>
      <c r="F118" s="4"/>
      <c r="G118" s="4"/>
      <c r="H118" s="4"/>
      <c r="I118" s="4"/>
      <c r="J118" s="4"/>
      <c r="K118" s="4"/>
      <c r="L118" s="4"/>
      <c r="M118" s="4"/>
      <c r="N118" s="4"/>
      <c r="O118" s="4"/>
      <c r="P118" s="4"/>
      <c r="Q118" s="4"/>
      <c r="R118" s="4"/>
      <c r="S118" s="4"/>
      <c r="T118" s="4"/>
      <c r="U118" s="4"/>
      <c r="V118" s="4"/>
      <c r="W118" s="4"/>
      <c r="X118" s="4"/>
      <c r="Y118" s="4"/>
      <c r="Z118" s="4"/>
    </row>
    <row r="119" ht="15.75" customHeight="1">
      <c r="A119" s="34" t="s">
        <v>451</v>
      </c>
      <c r="B119" s="30" t="s">
        <v>452</v>
      </c>
      <c r="C119" s="30" t="s">
        <v>104</v>
      </c>
      <c r="D119" s="30" t="s">
        <v>427</v>
      </c>
      <c r="E119" s="35">
        <v>0.3</v>
      </c>
      <c r="F119" s="4"/>
      <c r="G119" s="4"/>
      <c r="H119" s="4"/>
      <c r="I119" s="4"/>
      <c r="J119" s="4"/>
      <c r="K119" s="4"/>
      <c r="L119" s="4"/>
      <c r="M119" s="4"/>
      <c r="N119" s="4"/>
      <c r="O119" s="4"/>
      <c r="P119" s="4"/>
      <c r="Q119" s="4"/>
      <c r="R119" s="4"/>
      <c r="S119" s="4"/>
      <c r="T119" s="4"/>
      <c r="U119" s="4"/>
      <c r="V119" s="4"/>
      <c r="W119" s="4"/>
      <c r="X119" s="4"/>
      <c r="Y119" s="4"/>
      <c r="Z119" s="4"/>
    </row>
    <row r="120" ht="15.75" customHeight="1">
      <c r="A120" s="34" t="s">
        <v>451</v>
      </c>
      <c r="B120" s="30" t="s">
        <v>452</v>
      </c>
      <c r="C120" s="30" t="s">
        <v>110</v>
      </c>
      <c r="D120" s="30" t="s">
        <v>428</v>
      </c>
      <c r="E120" s="35">
        <v>0.25</v>
      </c>
      <c r="F120" s="4"/>
      <c r="G120" s="4"/>
      <c r="H120" s="4"/>
      <c r="I120" s="4"/>
      <c r="J120" s="4"/>
      <c r="K120" s="4"/>
      <c r="L120" s="4"/>
      <c r="M120" s="4"/>
      <c r="N120" s="4"/>
      <c r="O120" s="4"/>
      <c r="P120" s="4"/>
      <c r="Q120" s="4"/>
      <c r="R120" s="4"/>
      <c r="S120" s="4"/>
      <c r="T120" s="4"/>
      <c r="U120" s="4"/>
      <c r="V120" s="4"/>
      <c r="W120" s="4"/>
      <c r="X120" s="4"/>
      <c r="Y120" s="4"/>
      <c r="Z120" s="4"/>
    </row>
    <row r="121" ht="15.75" customHeight="1">
      <c r="A121" s="34" t="s">
        <v>451</v>
      </c>
      <c r="B121" s="30" t="s">
        <v>452</v>
      </c>
      <c r="C121" s="30" t="s">
        <v>71</v>
      </c>
      <c r="D121" s="30" t="s">
        <v>430</v>
      </c>
      <c r="E121" s="35">
        <v>0.7</v>
      </c>
      <c r="F121" s="4"/>
      <c r="G121" s="4"/>
      <c r="H121" s="4"/>
      <c r="I121" s="4"/>
      <c r="J121" s="4"/>
      <c r="K121" s="4"/>
      <c r="L121" s="4"/>
      <c r="M121" s="4"/>
      <c r="N121" s="4"/>
      <c r="O121" s="4"/>
      <c r="P121" s="4"/>
      <c r="Q121" s="4"/>
      <c r="R121" s="4"/>
      <c r="S121" s="4"/>
      <c r="T121" s="4"/>
      <c r="U121" s="4"/>
      <c r="V121" s="4"/>
      <c r="W121" s="4"/>
      <c r="X121" s="4"/>
      <c r="Y121" s="4"/>
      <c r="Z121" s="4"/>
    </row>
    <row r="122" ht="15.75" customHeight="1">
      <c r="A122" s="34" t="s">
        <v>451</v>
      </c>
      <c r="B122" s="30" t="s">
        <v>452</v>
      </c>
      <c r="C122" s="30" t="s">
        <v>79</v>
      </c>
      <c r="D122" s="30" t="s">
        <v>432</v>
      </c>
      <c r="E122" s="35">
        <v>0.35</v>
      </c>
      <c r="F122" s="4"/>
      <c r="G122" s="4"/>
      <c r="H122" s="4"/>
      <c r="I122" s="4"/>
      <c r="J122" s="4"/>
      <c r="K122" s="4"/>
      <c r="L122" s="4"/>
      <c r="M122" s="4"/>
      <c r="N122" s="4"/>
      <c r="O122" s="4"/>
      <c r="P122" s="4"/>
      <c r="Q122" s="4"/>
      <c r="R122" s="4"/>
      <c r="S122" s="4"/>
      <c r="T122" s="4"/>
      <c r="U122" s="4"/>
      <c r="V122" s="4"/>
      <c r="W122" s="4"/>
      <c r="X122" s="4"/>
      <c r="Y122" s="4"/>
      <c r="Z122" s="4"/>
    </row>
    <row r="123" ht="15.75" customHeight="1">
      <c r="A123" s="34" t="s">
        <v>451</v>
      </c>
      <c r="B123" s="30" t="s">
        <v>452</v>
      </c>
      <c r="C123" s="30" t="s">
        <v>82</v>
      </c>
      <c r="D123" s="30" t="s">
        <v>433</v>
      </c>
      <c r="E123" s="35">
        <v>0.35</v>
      </c>
      <c r="F123" s="4"/>
      <c r="G123" s="4"/>
      <c r="H123" s="4"/>
      <c r="I123" s="4"/>
      <c r="J123" s="4"/>
      <c r="K123" s="4"/>
      <c r="L123" s="4"/>
      <c r="M123" s="4"/>
      <c r="N123" s="4"/>
      <c r="O123" s="4"/>
      <c r="P123" s="4"/>
      <c r="Q123" s="4"/>
      <c r="R123" s="4"/>
      <c r="S123" s="4"/>
      <c r="T123" s="4"/>
      <c r="U123" s="4"/>
      <c r="V123" s="4"/>
      <c r="W123" s="4"/>
      <c r="X123" s="4"/>
      <c r="Y123" s="4"/>
      <c r="Z123" s="4"/>
    </row>
    <row r="124" ht="15.75" customHeight="1">
      <c r="A124" s="34" t="s">
        <v>451</v>
      </c>
      <c r="B124" s="30" t="s">
        <v>452</v>
      </c>
      <c r="C124" s="30" t="s">
        <v>85</v>
      </c>
      <c r="D124" s="30" t="s">
        <v>434</v>
      </c>
      <c r="E124" s="35">
        <v>0.3</v>
      </c>
      <c r="F124" s="4"/>
      <c r="G124" s="4"/>
      <c r="H124" s="4"/>
      <c r="I124" s="4"/>
      <c r="J124" s="4"/>
      <c r="K124" s="4"/>
      <c r="L124" s="4"/>
      <c r="M124" s="4"/>
      <c r="N124" s="4"/>
      <c r="O124" s="4"/>
      <c r="P124" s="4"/>
      <c r="Q124" s="4"/>
      <c r="R124" s="4"/>
      <c r="S124" s="4"/>
      <c r="T124" s="4"/>
      <c r="U124" s="4"/>
      <c r="V124" s="4"/>
      <c r="W124" s="4"/>
      <c r="X124" s="4"/>
      <c r="Y124" s="4"/>
      <c r="Z124" s="4"/>
    </row>
    <row r="125" ht="15.75" customHeight="1">
      <c r="A125" s="34" t="s">
        <v>451</v>
      </c>
      <c r="B125" s="30" t="s">
        <v>452</v>
      </c>
      <c r="C125" s="30" t="s">
        <v>88</v>
      </c>
      <c r="D125" s="30" t="s">
        <v>435</v>
      </c>
      <c r="E125" s="35">
        <v>0.1</v>
      </c>
      <c r="F125" s="4"/>
      <c r="G125" s="4"/>
      <c r="H125" s="4"/>
      <c r="I125" s="4"/>
      <c r="J125" s="4"/>
      <c r="K125" s="4"/>
      <c r="L125" s="4"/>
      <c r="M125" s="4"/>
      <c r="N125" s="4"/>
      <c r="O125" s="4"/>
      <c r="P125" s="4"/>
      <c r="Q125" s="4"/>
      <c r="R125" s="4"/>
      <c r="S125" s="4"/>
      <c r="T125" s="4"/>
      <c r="U125" s="4"/>
      <c r="V125" s="4"/>
      <c r="W125" s="4"/>
      <c r="X125" s="4"/>
      <c r="Y125" s="4"/>
      <c r="Z125" s="4"/>
    </row>
    <row r="126" ht="15.75" customHeight="1">
      <c r="A126" s="34" t="s">
        <v>451</v>
      </c>
      <c r="B126" s="30" t="s">
        <v>452</v>
      </c>
      <c r="C126" s="30" t="s">
        <v>76</v>
      </c>
      <c r="D126" s="30" t="s">
        <v>437</v>
      </c>
      <c r="E126" s="35">
        <v>0.5</v>
      </c>
      <c r="F126" s="4"/>
      <c r="G126" s="4"/>
      <c r="H126" s="4"/>
      <c r="I126" s="4"/>
      <c r="J126" s="4"/>
      <c r="K126" s="4"/>
      <c r="L126" s="4"/>
      <c r="M126" s="4"/>
      <c r="N126" s="4"/>
      <c r="O126" s="4"/>
      <c r="P126" s="4"/>
      <c r="Q126" s="4"/>
      <c r="R126" s="4"/>
      <c r="S126" s="4"/>
      <c r="T126" s="4"/>
      <c r="U126" s="4"/>
      <c r="V126" s="4"/>
      <c r="W126" s="4"/>
      <c r="X126" s="4"/>
      <c r="Y126" s="4"/>
      <c r="Z126" s="4"/>
    </row>
    <row r="127" ht="15.75" customHeight="1">
      <c r="A127" s="34" t="s">
        <v>451</v>
      </c>
      <c r="B127" s="30" t="s">
        <v>452</v>
      </c>
      <c r="C127" s="30" t="s">
        <v>107</v>
      </c>
      <c r="D127" s="30" t="s">
        <v>438</v>
      </c>
      <c r="E127" s="35">
        <v>0.45</v>
      </c>
      <c r="F127" s="4"/>
      <c r="G127" s="4"/>
      <c r="H127" s="4"/>
      <c r="I127" s="4"/>
      <c r="J127" s="4"/>
      <c r="K127" s="4"/>
      <c r="L127" s="4"/>
      <c r="M127" s="4"/>
      <c r="N127" s="4"/>
      <c r="O127" s="4"/>
      <c r="P127" s="4"/>
      <c r="Q127" s="4"/>
      <c r="R127" s="4"/>
      <c r="S127" s="4"/>
      <c r="T127" s="4"/>
      <c r="U127" s="4"/>
      <c r="V127" s="4"/>
      <c r="W127" s="4"/>
      <c r="X127" s="4"/>
      <c r="Y127" s="4"/>
      <c r="Z127" s="4"/>
    </row>
    <row r="128" ht="15.75" customHeight="1">
      <c r="A128" s="34" t="s">
        <v>453</v>
      </c>
      <c r="B128" s="30" t="s">
        <v>454</v>
      </c>
      <c r="C128" s="30" t="s">
        <v>23</v>
      </c>
      <c r="D128" s="30" t="s">
        <v>408</v>
      </c>
      <c r="E128" s="35">
        <v>0.25</v>
      </c>
      <c r="F128" s="4"/>
      <c r="G128" s="4"/>
      <c r="H128" s="4"/>
      <c r="I128" s="4"/>
      <c r="J128" s="4"/>
      <c r="K128" s="4"/>
      <c r="L128" s="4"/>
      <c r="M128" s="4"/>
      <c r="N128" s="4"/>
      <c r="O128" s="4"/>
      <c r="P128" s="4"/>
      <c r="Q128" s="4"/>
      <c r="R128" s="4"/>
      <c r="S128" s="4"/>
      <c r="T128" s="4"/>
      <c r="U128" s="4"/>
      <c r="V128" s="4"/>
      <c r="W128" s="4"/>
      <c r="X128" s="4"/>
      <c r="Y128" s="4"/>
      <c r="Z128" s="4"/>
    </row>
    <row r="129" ht="15.75" customHeight="1">
      <c r="A129" s="34" t="s">
        <v>453</v>
      </c>
      <c r="B129" s="30" t="s">
        <v>454</v>
      </c>
      <c r="C129" s="30" t="s">
        <v>31</v>
      </c>
      <c r="D129" s="30" t="s">
        <v>411</v>
      </c>
      <c r="E129" s="35">
        <v>0.85</v>
      </c>
      <c r="F129" s="4"/>
      <c r="G129" s="4"/>
      <c r="H129" s="4"/>
      <c r="I129" s="4"/>
      <c r="J129" s="4"/>
      <c r="K129" s="4"/>
      <c r="L129" s="4"/>
      <c r="M129" s="4"/>
      <c r="N129" s="4"/>
      <c r="O129" s="4"/>
      <c r="P129" s="4"/>
      <c r="Q129" s="4"/>
      <c r="R129" s="4"/>
      <c r="S129" s="4"/>
      <c r="T129" s="4"/>
      <c r="U129" s="4"/>
      <c r="V129" s="4"/>
      <c r="W129" s="4"/>
      <c r="X129" s="4"/>
      <c r="Y129" s="4"/>
      <c r="Z129" s="4"/>
    </row>
    <row r="130" ht="15.75" customHeight="1">
      <c r="A130" s="34" t="s">
        <v>453</v>
      </c>
      <c r="B130" s="30" t="s">
        <v>454</v>
      </c>
      <c r="C130" s="30" t="s">
        <v>34</v>
      </c>
      <c r="D130" s="30" t="s">
        <v>413</v>
      </c>
      <c r="E130" s="35">
        <v>0.4</v>
      </c>
      <c r="F130" s="4"/>
      <c r="G130" s="4"/>
      <c r="H130" s="4"/>
      <c r="I130" s="4"/>
      <c r="J130" s="4"/>
      <c r="K130" s="4"/>
      <c r="L130" s="4"/>
      <c r="M130" s="4"/>
      <c r="N130" s="4"/>
      <c r="O130" s="4"/>
      <c r="P130" s="4"/>
      <c r="Q130" s="4"/>
      <c r="R130" s="4"/>
      <c r="S130" s="4"/>
      <c r="T130" s="4"/>
      <c r="U130" s="4"/>
      <c r="V130" s="4"/>
      <c r="W130" s="4"/>
      <c r="X130" s="4"/>
      <c r="Y130" s="4"/>
      <c r="Z130" s="4"/>
    </row>
    <row r="131" ht="15.75" customHeight="1">
      <c r="A131" s="34" t="s">
        <v>453</v>
      </c>
      <c r="B131" s="30" t="s">
        <v>454</v>
      </c>
      <c r="C131" s="30" t="s">
        <v>43</v>
      </c>
      <c r="D131" s="30" t="s">
        <v>415</v>
      </c>
      <c r="E131" s="35">
        <v>0.9</v>
      </c>
      <c r="F131" s="4"/>
      <c r="G131" s="4"/>
      <c r="H131" s="4"/>
      <c r="I131" s="4"/>
      <c r="J131" s="4"/>
      <c r="K131" s="4"/>
      <c r="L131" s="4"/>
      <c r="M131" s="4"/>
      <c r="N131" s="4"/>
      <c r="O131" s="4"/>
      <c r="P131" s="4"/>
      <c r="Q131" s="4"/>
      <c r="R131" s="4"/>
      <c r="S131" s="4"/>
      <c r="T131" s="4"/>
      <c r="U131" s="4"/>
      <c r="V131" s="4"/>
      <c r="W131" s="4"/>
      <c r="X131" s="4"/>
      <c r="Y131" s="4"/>
      <c r="Z131" s="4"/>
    </row>
    <row r="132" ht="15.75" customHeight="1">
      <c r="A132" s="34" t="s">
        <v>453</v>
      </c>
      <c r="B132" s="30" t="s">
        <v>454</v>
      </c>
      <c r="C132" s="30" t="s">
        <v>50</v>
      </c>
      <c r="D132" s="30" t="s">
        <v>416</v>
      </c>
      <c r="E132" s="35">
        <v>0.3</v>
      </c>
      <c r="F132" s="4"/>
      <c r="G132" s="4"/>
      <c r="H132" s="4"/>
      <c r="I132" s="4"/>
      <c r="J132" s="4"/>
      <c r="K132" s="4"/>
      <c r="L132" s="4"/>
      <c r="M132" s="4"/>
      <c r="N132" s="4"/>
      <c r="O132" s="4"/>
      <c r="P132" s="4"/>
      <c r="Q132" s="4"/>
      <c r="R132" s="4"/>
      <c r="S132" s="4"/>
      <c r="T132" s="4"/>
      <c r="U132" s="4"/>
      <c r="V132" s="4"/>
      <c r="W132" s="4"/>
      <c r="X132" s="4"/>
      <c r="Y132" s="4"/>
      <c r="Z132" s="4"/>
    </row>
    <row r="133" ht="15.75" customHeight="1">
      <c r="A133" s="34" t="s">
        <v>453</v>
      </c>
      <c r="B133" s="30" t="s">
        <v>454</v>
      </c>
      <c r="C133" s="30" t="s">
        <v>53</v>
      </c>
      <c r="D133" s="30" t="s">
        <v>417</v>
      </c>
      <c r="E133" s="35">
        <v>0.2</v>
      </c>
      <c r="F133" s="4"/>
      <c r="G133" s="4"/>
      <c r="H133" s="4"/>
      <c r="I133" s="4"/>
      <c r="J133" s="4"/>
      <c r="K133" s="4"/>
      <c r="L133" s="4"/>
      <c r="M133" s="4"/>
      <c r="N133" s="4"/>
      <c r="O133" s="4"/>
      <c r="P133" s="4"/>
      <c r="Q133" s="4"/>
      <c r="R133" s="4"/>
      <c r="S133" s="4"/>
      <c r="T133" s="4"/>
      <c r="U133" s="4"/>
      <c r="V133" s="4"/>
      <c r="W133" s="4"/>
      <c r="X133" s="4"/>
      <c r="Y133" s="4"/>
      <c r="Z133" s="4"/>
    </row>
    <row r="134" ht="15.75" customHeight="1">
      <c r="A134" s="34" t="s">
        <v>453</v>
      </c>
      <c r="B134" s="30" t="s">
        <v>454</v>
      </c>
      <c r="C134" s="30" t="s">
        <v>63</v>
      </c>
      <c r="D134" s="30" t="s">
        <v>418</v>
      </c>
      <c r="E134" s="35">
        <v>0.2</v>
      </c>
      <c r="F134" s="4"/>
      <c r="G134" s="4"/>
      <c r="H134" s="4"/>
      <c r="I134" s="4"/>
      <c r="J134" s="4"/>
      <c r="K134" s="4"/>
      <c r="L134" s="4"/>
      <c r="M134" s="4"/>
      <c r="N134" s="4"/>
      <c r="O134" s="4"/>
      <c r="P134" s="4"/>
      <c r="Q134" s="4"/>
      <c r="R134" s="4"/>
      <c r="S134" s="4"/>
      <c r="T134" s="4"/>
      <c r="U134" s="4"/>
      <c r="V134" s="4"/>
      <c r="W134" s="4"/>
      <c r="X134" s="4"/>
      <c r="Y134" s="4"/>
      <c r="Z134" s="4"/>
    </row>
    <row r="135" ht="15.75" customHeight="1">
      <c r="A135" s="34" t="s">
        <v>453</v>
      </c>
      <c r="B135" s="30" t="s">
        <v>454</v>
      </c>
      <c r="C135" s="30" t="s">
        <v>60</v>
      </c>
      <c r="D135" s="30" t="s">
        <v>420</v>
      </c>
      <c r="E135" s="35">
        <v>0.95</v>
      </c>
      <c r="F135" s="4"/>
      <c r="G135" s="4"/>
      <c r="H135" s="4"/>
      <c r="I135" s="4"/>
      <c r="J135" s="4"/>
      <c r="K135" s="4"/>
      <c r="L135" s="4"/>
      <c r="M135" s="4"/>
      <c r="N135" s="4"/>
      <c r="O135" s="4"/>
      <c r="P135" s="4"/>
      <c r="Q135" s="4"/>
      <c r="R135" s="4"/>
      <c r="S135" s="4"/>
      <c r="T135" s="4"/>
      <c r="U135" s="4"/>
      <c r="V135" s="4"/>
      <c r="W135" s="4"/>
      <c r="X135" s="4"/>
      <c r="Y135" s="4"/>
      <c r="Z135" s="4"/>
    </row>
    <row r="136" ht="15.75" customHeight="1">
      <c r="A136" s="34" t="s">
        <v>453</v>
      </c>
      <c r="B136" s="30" t="s">
        <v>454</v>
      </c>
      <c r="C136" s="30" t="s">
        <v>57</v>
      </c>
      <c r="D136" s="30" t="s">
        <v>422</v>
      </c>
      <c r="E136" s="35">
        <v>0.15</v>
      </c>
      <c r="F136" s="4"/>
      <c r="G136" s="4"/>
      <c r="H136" s="4"/>
      <c r="I136" s="4"/>
      <c r="J136" s="4"/>
      <c r="K136" s="4"/>
      <c r="L136" s="4"/>
      <c r="M136" s="4"/>
      <c r="N136" s="4"/>
      <c r="O136" s="4"/>
      <c r="P136" s="4"/>
      <c r="Q136" s="4"/>
      <c r="R136" s="4"/>
      <c r="S136" s="4"/>
      <c r="T136" s="4"/>
      <c r="U136" s="4"/>
      <c r="V136" s="4"/>
      <c r="W136" s="4"/>
      <c r="X136" s="4"/>
      <c r="Y136" s="4"/>
      <c r="Z136" s="4"/>
    </row>
    <row r="137" ht="15.75" customHeight="1">
      <c r="A137" s="34" t="s">
        <v>453</v>
      </c>
      <c r="B137" s="30" t="s">
        <v>454</v>
      </c>
      <c r="C137" s="30" t="s">
        <v>99</v>
      </c>
      <c r="D137" s="30" t="s">
        <v>424</v>
      </c>
      <c r="E137" s="35">
        <v>0.25</v>
      </c>
      <c r="F137" s="4"/>
      <c r="G137" s="4"/>
      <c r="H137" s="4"/>
      <c r="I137" s="4"/>
      <c r="J137" s="4"/>
      <c r="K137" s="4"/>
      <c r="L137" s="4"/>
      <c r="M137" s="4"/>
      <c r="N137" s="4"/>
      <c r="O137" s="4"/>
      <c r="P137" s="4"/>
      <c r="Q137" s="4"/>
      <c r="R137" s="4"/>
      <c r="S137" s="4"/>
      <c r="T137" s="4"/>
      <c r="U137" s="4"/>
      <c r="V137" s="4"/>
      <c r="W137" s="4"/>
      <c r="X137" s="4"/>
      <c r="Y137" s="4"/>
      <c r="Z137" s="4"/>
    </row>
    <row r="138" ht="15.75" customHeight="1">
      <c r="A138" s="34" t="s">
        <v>453</v>
      </c>
      <c r="B138" s="30" t="s">
        <v>454</v>
      </c>
      <c r="C138" s="30" t="s">
        <v>93</v>
      </c>
      <c r="D138" s="30" t="s">
        <v>425</v>
      </c>
      <c r="E138" s="35">
        <v>0.4</v>
      </c>
      <c r="F138" s="4"/>
      <c r="G138" s="4"/>
      <c r="H138" s="4"/>
      <c r="I138" s="4"/>
      <c r="J138" s="4"/>
      <c r="K138" s="4"/>
      <c r="L138" s="4"/>
      <c r="M138" s="4"/>
      <c r="N138" s="4"/>
      <c r="O138" s="4"/>
      <c r="P138" s="4"/>
      <c r="Q138" s="4"/>
      <c r="R138" s="4"/>
      <c r="S138" s="4"/>
      <c r="T138" s="4"/>
      <c r="U138" s="4"/>
      <c r="V138" s="4"/>
      <c r="W138" s="4"/>
      <c r="X138" s="4"/>
      <c r="Y138" s="4"/>
      <c r="Z138" s="4"/>
    </row>
    <row r="139" ht="15.75" customHeight="1">
      <c r="A139" s="34" t="s">
        <v>453</v>
      </c>
      <c r="B139" s="30" t="s">
        <v>454</v>
      </c>
      <c r="C139" s="30" t="s">
        <v>96</v>
      </c>
      <c r="D139" s="30" t="s">
        <v>426</v>
      </c>
      <c r="E139" s="35">
        <v>0.55</v>
      </c>
      <c r="F139" s="4"/>
      <c r="G139" s="4"/>
      <c r="H139" s="4"/>
      <c r="I139" s="4"/>
      <c r="J139" s="4"/>
      <c r="K139" s="4"/>
      <c r="L139" s="4"/>
      <c r="M139" s="4"/>
      <c r="N139" s="4"/>
      <c r="O139" s="4"/>
      <c r="P139" s="4"/>
      <c r="Q139" s="4"/>
      <c r="R139" s="4"/>
      <c r="S139" s="4"/>
      <c r="T139" s="4"/>
      <c r="U139" s="4"/>
      <c r="V139" s="4"/>
      <c r="W139" s="4"/>
      <c r="X139" s="4"/>
      <c r="Y139" s="4"/>
      <c r="Z139" s="4"/>
    </row>
    <row r="140" ht="15.75" customHeight="1">
      <c r="A140" s="34" t="s">
        <v>453</v>
      </c>
      <c r="B140" s="30" t="s">
        <v>454</v>
      </c>
      <c r="C140" s="30" t="s">
        <v>104</v>
      </c>
      <c r="D140" s="30" t="s">
        <v>427</v>
      </c>
      <c r="E140" s="35">
        <v>0.25</v>
      </c>
      <c r="F140" s="4"/>
      <c r="G140" s="4"/>
      <c r="H140" s="4"/>
      <c r="I140" s="4"/>
      <c r="J140" s="4"/>
      <c r="K140" s="4"/>
      <c r="L140" s="4"/>
      <c r="M140" s="4"/>
      <c r="N140" s="4"/>
      <c r="O140" s="4"/>
      <c r="P140" s="4"/>
      <c r="Q140" s="4"/>
      <c r="R140" s="4"/>
      <c r="S140" s="4"/>
      <c r="T140" s="4"/>
      <c r="U140" s="4"/>
      <c r="V140" s="4"/>
      <c r="W140" s="4"/>
      <c r="X140" s="4"/>
      <c r="Y140" s="4"/>
      <c r="Z140" s="4"/>
    </row>
    <row r="141" ht="15.75" customHeight="1">
      <c r="A141" s="34" t="s">
        <v>453</v>
      </c>
      <c r="B141" s="30" t="s">
        <v>454</v>
      </c>
      <c r="C141" s="30" t="s">
        <v>110</v>
      </c>
      <c r="D141" s="30" t="s">
        <v>428</v>
      </c>
      <c r="E141" s="35">
        <v>0.5</v>
      </c>
      <c r="F141" s="4"/>
      <c r="G141" s="4"/>
      <c r="H141" s="4"/>
      <c r="I141" s="4"/>
      <c r="J141" s="4"/>
      <c r="K141" s="4"/>
      <c r="L141" s="4"/>
      <c r="M141" s="4"/>
      <c r="N141" s="4"/>
      <c r="O141" s="4"/>
      <c r="P141" s="4"/>
      <c r="Q141" s="4"/>
      <c r="R141" s="4"/>
      <c r="S141" s="4"/>
      <c r="T141" s="4"/>
      <c r="U141" s="4"/>
      <c r="V141" s="4"/>
      <c r="W141" s="4"/>
      <c r="X141" s="4"/>
      <c r="Y141" s="4"/>
      <c r="Z141" s="4"/>
    </row>
    <row r="142" ht="15.75" customHeight="1">
      <c r="A142" s="34" t="s">
        <v>453</v>
      </c>
      <c r="B142" s="30" t="s">
        <v>454</v>
      </c>
      <c r="C142" s="30" t="s">
        <v>71</v>
      </c>
      <c r="D142" s="30" t="s">
        <v>430</v>
      </c>
      <c r="E142" s="35">
        <v>0.75</v>
      </c>
      <c r="F142" s="4"/>
      <c r="G142" s="4"/>
      <c r="H142" s="4"/>
      <c r="I142" s="4"/>
      <c r="J142" s="4"/>
      <c r="K142" s="4"/>
      <c r="L142" s="4"/>
      <c r="M142" s="4"/>
      <c r="N142" s="4"/>
      <c r="O142" s="4"/>
      <c r="P142" s="4"/>
      <c r="Q142" s="4"/>
      <c r="R142" s="4"/>
      <c r="S142" s="4"/>
      <c r="T142" s="4"/>
      <c r="U142" s="4"/>
      <c r="V142" s="4"/>
      <c r="W142" s="4"/>
      <c r="X142" s="4"/>
      <c r="Y142" s="4"/>
      <c r="Z142" s="4"/>
    </row>
    <row r="143" ht="15.75" customHeight="1">
      <c r="A143" s="34" t="s">
        <v>453</v>
      </c>
      <c r="B143" s="30" t="s">
        <v>454</v>
      </c>
      <c r="C143" s="30" t="s">
        <v>79</v>
      </c>
      <c r="D143" s="30" t="s">
        <v>432</v>
      </c>
      <c r="E143" s="35">
        <v>0.6</v>
      </c>
      <c r="F143" s="4"/>
      <c r="G143" s="4"/>
      <c r="H143" s="4"/>
      <c r="I143" s="4"/>
      <c r="J143" s="4"/>
      <c r="K143" s="4"/>
      <c r="L143" s="4"/>
      <c r="M143" s="4"/>
      <c r="N143" s="4"/>
      <c r="O143" s="4"/>
      <c r="P143" s="4"/>
      <c r="Q143" s="4"/>
      <c r="R143" s="4"/>
      <c r="S143" s="4"/>
      <c r="T143" s="4"/>
      <c r="U143" s="4"/>
      <c r="V143" s="4"/>
      <c r="W143" s="4"/>
      <c r="X143" s="4"/>
      <c r="Y143" s="4"/>
      <c r="Z143" s="4"/>
    </row>
    <row r="144" ht="15.75" customHeight="1">
      <c r="A144" s="34" t="s">
        <v>453</v>
      </c>
      <c r="B144" s="30" t="s">
        <v>454</v>
      </c>
      <c r="C144" s="30" t="s">
        <v>82</v>
      </c>
      <c r="D144" s="30" t="s">
        <v>433</v>
      </c>
      <c r="E144" s="35">
        <v>0.4</v>
      </c>
      <c r="F144" s="4"/>
      <c r="G144" s="4"/>
      <c r="H144" s="4"/>
      <c r="I144" s="4"/>
      <c r="J144" s="4"/>
      <c r="K144" s="4"/>
      <c r="L144" s="4"/>
      <c r="M144" s="4"/>
      <c r="N144" s="4"/>
      <c r="O144" s="4"/>
      <c r="P144" s="4"/>
      <c r="Q144" s="4"/>
      <c r="R144" s="4"/>
      <c r="S144" s="4"/>
      <c r="T144" s="4"/>
      <c r="U144" s="4"/>
      <c r="V144" s="4"/>
      <c r="W144" s="4"/>
      <c r="X144" s="4"/>
      <c r="Y144" s="4"/>
      <c r="Z144" s="4"/>
    </row>
    <row r="145" ht="15.75" customHeight="1">
      <c r="A145" s="34" t="s">
        <v>453</v>
      </c>
      <c r="B145" s="30" t="s">
        <v>454</v>
      </c>
      <c r="C145" s="30" t="s">
        <v>85</v>
      </c>
      <c r="D145" s="30" t="s">
        <v>434</v>
      </c>
      <c r="E145" s="35">
        <v>0.2</v>
      </c>
      <c r="F145" s="4"/>
      <c r="G145" s="4"/>
      <c r="H145" s="4"/>
      <c r="I145" s="4"/>
      <c r="J145" s="4"/>
      <c r="K145" s="4"/>
      <c r="L145" s="4"/>
      <c r="M145" s="4"/>
      <c r="N145" s="4"/>
      <c r="O145" s="4"/>
      <c r="P145" s="4"/>
      <c r="Q145" s="4"/>
      <c r="R145" s="4"/>
      <c r="S145" s="4"/>
      <c r="T145" s="4"/>
      <c r="U145" s="4"/>
      <c r="V145" s="4"/>
      <c r="W145" s="4"/>
      <c r="X145" s="4"/>
      <c r="Y145" s="4"/>
      <c r="Z145" s="4"/>
    </row>
    <row r="146" ht="15.75" customHeight="1">
      <c r="A146" s="34" t="s">
        <v>453</v>
      </c>
      <c r="B146" s="30" t="s">
        <v>454</v>
      </c>
      <c r="C146" s="30" t="s">
        <v>88</v>
      </c>
      <c r="D146" s="30" t="s">
        <v>435</v>
      </c>
      <c r="E146" s="35">
        <v>0.05</v>
      </c>
      <c r="F146" s="4"/>
      <c r="G146" s="4"/>
      <c r="H146" s="4"/>
      <c r="I146" s="4"/>
      <c r="J146" s="4"/>
      <c r="K146" s="4"/>
      <c r="L146" s="4"/>
      <c r="M146" s="4"/>
      <c r="N146" s="4"/>
      <c r="O146" s="4"/>
      <c r="P146" s="4"/>
      <c r="Q146" s="4"/>
      <c r="R146" s="4"/>
      <c r="S146" s="4"/>
      <c r="T146" s="4"/>
      <c r="U146" s="4"/>
      <c r="V146" s="4"/>
      <c r="W146" s="4"/>
      <c r="X146" s="4"/>
      <c r="Y146" s="4"/>
      <c r="Z146" s="4"/>
    </row>
    <row r="147" ht="15.75" customHeight="1">
      <c r="A147" s="34" t="s">
        <v>453</v>
      </c>
      <c r="B147" s="30" t="s">
        <v>454</v>
      </c>
      <c r="C147" s="30" t="s">
        <v>76</v>
      </c>
      <c r="D147" s="30" t="s">
        <v>437</v>
      </c>
      <c r="E147" s="35">
        <v>0.68</v>
      </c>
      <c r="F147" s="4"/>
      <c r="G147" s="4"/>
      <c r="H147" s="4"/>
      <c r="I147" s="4"/>
      <c r="J147" s="4"/>
      <c r="K147" s="4"/>
      <c r="L147" s="4"/>
      <c r="M147" s="4"/>
      <c r="N147" s="4"/>
      <c r="O147" s="4"/>
      <c r="P147" s="4"/>
      <c r="Q147" s="4"/>
      <c r="R147" s="4"/>
      <c r="S147" s="4"/>
      <c r="T147" s="4"/>
      <c r="U147" s="4"/>
      <c r="V147" s="4"/>
      <c r="W147" s="4"/>
      <c r="X147" s="4"/>
      <c r="Y147" s="4"/>
      <c r="Z147" s="4"/>
    </row>
    <row r="148" ht="15.75" customHeight="1">
      <c r="A148" s="34" t="s">
        <v>453</v>
      </c>
      <c r="B148" s="30" t="s">
        <v>454</v>
      </c>
      <c r="C148" s="30" t="s">
        <v>107</v>
      </c>
      <c r="D148" s="30" t="s">
        <v>438</v>
      </c>
      <c r="E148" s="35">
        <v>0.62</v>
      </c>
      <c r="F148" s="4"/>
      <c r="G148" s="4"/>
      <c r="H148" s="4"/>
      <c r="I148" s="4"/>
      <c r="J148" s="4"/>
      <c r="K148" s="4"/>
      <c r="L148" s="4"/>
      <c r="M148" s="4"/>
      <c r="N148" s="4"/>
      <c r="O148" s="4"/>
      <c r="P148" s="4"/>
      <c r="Q148" s="4"/>
      <c r="R148" s="4"/>
      <c r="S148" s="4"/>
      <c r="T148" s="4"/>
      <c r="U148" s="4"/>
      <c r="V148" s="4"/>
      <c r="W148" s="4"/>
      <c r="X148" s="4"/>
      <c r="Y148" s="4"/>
      <c r="Z148" s="4"/>
    </row>
    <row r="149" ht="15.75" customHeight="1">
      <c r="A149" s="34" t="s">
        <v>455</v>
      </c>
      <c r="B149" s="30" t="s">
        <v>456</v>
      </c>
      <c r="C149" s="30" t="s">
        <v>23</v>
      </c>
      <c r="D149" s="30" t="s">
        <v>408</v>
      </c>
      <c r="E149" s="35">
        <v>0.15</v>
      </c>
      <c r="F149" s="4"/>
      <c r="G149" s="4"/>
      <c r="H149" s="4"/>
      <c r="I149" s="4"/>
      <c r="J149" s="4"/>
      <c r="K149" s="4"/>
      <c r="L149" s="4"/>
      <c r="M149" s="4"/>
      <c r="N149" s="4"/>
      <c r="O149" s="4"/>
      <c r="P149" s="4"/>
      <c r="Q149" s="4"/>
      <c r="R149" s="4"/>
      <c r="S149" s="4"/>
      <c r="T149" s="4"/>
      <c r="U149" s="4"/>
      <c r="V149" s="4"/>
      <c r="W149" s="4"/>
      <c r="X149" s="4"/>
      <c r="Y149" s="4"/>
      <c r="Z149" s="4"/>
    </row>
    <row r="150" ht="15.75" customHeight="1">
      <c r="A150" s="34" t="s">
        <v>455</v>
      </c>
      <c r="B150" s="30" t="s">
        <v>456</v>
      </c>
      <c r="C150" s="30" t="s">
        <v>31</v>
      </c>
      <c r="D150" s="30" t="s">
        <v>411</v>
      </c>
      <c r="E150" s="35">
        <v>0.6</v>
      </c>
      <c r="F150" s="4"/>
      <c r="G150" s="4"/>
      <c r="H150" s="4"/>
      <c r="I150" s="4"/>
      <c r="J150" s="4"/>
      <c r="K150" s="4"/>
      <c r="L150" s="4"/>
      <c r="M150" s="4"/>
      <c r="N150" s="4"/>
      <c r="O150" s="4"/>
      <c r="P150" s="4"/>
      <c r="Q150" s="4"/>
      <c r="R150" s="4"/>
      <c r="S150" s="4"/>
      <c r="T150" s="4"/>
      <c r="U150" s="4"/>
      <c r="V150" s="4"/>
      <c r="W150" s="4"/>
      <c r="X150" s="4"/>
      <c r="Y150" s="4"/>
      <c r="Z150" s="4"/>
    </row>
    <row r="151" ht="15.75" customHeight="1">
      <c r="A151" s="34" t="s">
        <v>455</v>
      </c>
      <c r="B151" s="30" t="s">
        <v>456</v>
      </c>
      <c r="C151" s="30" t="s">
        <v>34</v>
      </c>
      <c r="D151" s="30" t="s">
        <v>413</v>
      </c>
      <c r="E151" s="35">
        <v>0.65</v>
      </c>
      <c r="F151" s="4"/>
      <c r="G151" s="4"/>
      <c r="H151" s="4"/>
      <c r="I151" s="4"/>
      <c r="J151" s="4"/>
      <c r="K151" s="4"/>
      <c r="L151" s="4"/>
      <c r="M151" s="4"/>
      <c r="N151" s="4"/>
      <c r="O151" s="4"/>
      <c r="P151" s="4"/>
      <c r="Q151" s="4"/>
      <c r="R151" s="4"/>
      <c r="S151" s="4"/>
      <c r="T151" s="4"/>
      <c r="U151" s="4"/>
      <c r="V151" s="4"/>
      <c r="W151" s="4"/>
      <c r="X151" s="4"/>
      <c r="Y151" s="4"/>
      <c r="Z151" s="4"/>
    </row>
    <row r="152" ht="15.75" customHeight="1">
      <c r="A152" s="34" t="s">
        <v>455</v>
      </c>
      <c r="B152" s="30" t="s">
        <v>456</v>
      </c>
      <c r="C152" s="30" t="s">
        <v>43</v>
      </c>
      <c r="D152" s="30" t="s">
        <v>415</v>
      </c>
      <c r="E152" s="35">
        <v>0.55</v>
      </c>
      <c r="F152" s="4"/>
      <c r="G152" s="4"/>
      <c r="H152" s="4"/>
      <c r="I152" s="4"/>
      <c r="J152" s="4"/>
      <c r="K152" s="4"/>
      <c r="L152" s="4"/>
      <c r="M152" s="4"/>
      <c r="N152" s="4"/>
      <c r="O152" s="4"/>
      <c r="P152" s="4"/>
      <c r="Q152" s="4"/>
      <c r="R152" s="4"/>
      <c r="S152" s="4"/>
      <c r="T152" s="4"/>
      <c r="U152" s="4"/>
      <c r="V152" s="4"/>
      <c r="W152" s="4"/>
      <c r="X152" s="4"/>
      <c r="Y152" s="4"/>
      <c r="Z152" s="4"/>
    </row>
    <row r="153" ht="15.75" customHeight="1">
      <c r="A153" s="34" t="s">
        <v>455</v>
      </c>
      <c r="B153" s="30" t="s">
        <v>456</v>
      </c>
      <c r="C153" s="30" t="s">
        <v>50</v>
      </c>
      <c r="D153" s="30" t="s">
        <v>416</v>
      </c>
      <c r="E153" s="35">
        <v>0.15</v>
      </c>
      <c r="F153" s="4"/>
      <c r="G153" s="4"/>
      <c r="H153" s="4"/>
      <c r="I153" s="4"/>
      <c r="J153" s="4"/>
      <c r="K153" s="4"/>
      <c r="L153" s="4"/>
      <c r="M153" s="4"/>
      <c r="N153" s="4"/>
      <c r="O153" s="4"/>
      <c r="P153" s="4"/>
      <c r="Q153" s="4"/>
      <c r="R153" s="4"/>
      <c r="S153" s="4"/>
      <c r="T153" s="4"/>
      <c r="U153" s="4"/>
      <c r="V153" s="4"/>
      <c r="W153" s="4"/>
      <c r="X153" s="4"/>
      <c r="Y153" s="4"/>
      <c r="Z153" s="4"/>
    </row>
    <row r="154" ht="15.75" customHeight="1">
      <c r="A154" s="34" t="s">
        <v>455</v>
      </c>
      <c r="B154" s="30" t="s">
        <v>456</v>
      </c>
      <c r="C154" s="30" t="s">
        <v>53</v>
      </c>
      <c r="D154" s="30" t="s">
        <v>417</v>
      </c>
      <c r="E154" s="35">
        <v>0.15</v>
      </c>
      <c r="F154" s="4"/>
      <c r="G154" s="4"/>
      <c r="H154" s="4"/>
      <c r="I154" s="4"/>
      <c r="J154" s="4"/>
      <c r="K154" s="4"/>
      <c r="L154" s="4"/>
      <c r="M154" s="4"/>
      <c r="N154" s="4"/>
      <c r="O154" s="4"/>
      <c r="P154" s="4"/>
      <c r="Q154" s="4"/>
      <c r="R154" s="4"/>
      <c r="S154" s="4"/>
      <c r="T154" s="4"/>
      <c r="U154" s="4"/>
      <c r="V154" s="4"/>
      <c r="W154" s="4"/>
      <c r="X154" s="4"/>
      <c r="Y154" s="4"/>
      <c r="Z154" s="4"/>
    </row>
    <row r="155" ht="15.75" customHeight="1">
      <c r="A155" s="34" t="s">
        <v>455</v>
      </c>
      <c r="B155" s="30" t="s">
        <v>456</v>
      </c>
      <c r="C155" s="30" t="s">
        <v>63</v>
      </c>
      <c r="D155" s="30" t="s">
        <v>418</v>
      </c>
      <c r="E155" s="35">
        <v>0.1</v>
      </c>
      <c r="F155" s="4"/>
      <c r="G155" s="4"/>
      <c r="H155" s="4"/>
      <c r="I155" s="4"/>
      <c r="J155" s="4"/>
      <c r="K155" s="4"/>
      <c r="L155" s="4"/>
      <c r="M155" s="4"/>
      <c r="N155" s="4"/>
      <c r="O155" s="4"/>
      <c r="P155" s="4"/>
      <c r="Q155" s="4"/>
      <c r="R155" s="4"/>
      <c r="S155" s="4"/>
      <c r="T155" s="4"/>
      <c r="U155" s="4"/>
      <c r="V155" s="4"/>
      <c r="W155" s="4"/>
      <c r="X155" s="4"/>
      <c r="Y155" s="4"/>
      <c r="Z155" s="4"/>
    </row>
    <row r="156" ht="15.75" customHeight="1">
      <c r="A156" s="34" t="s">
        <v>455</v>
      </c>
      <c r="B156" s="30" t="s">
        <v>456</v>
      </c>
      <c r="C156" s="30" t="s">
        <v>60</v>
      </c>
      <c r="D156" s="30" t="s">
        <v>420</v>
      </c>
      <c r="E156" s="35">
        <v>0.2</v>
      </c>
      <c r="F156" s="4"/>
      <c r="G156" s="4"/>
      <c r="H156" s="4"/>
      <c r="I156" s="4"/>
      <c r="J156" s="4"/>
      <c r="K156" s="4"/>
      <c r="L156" s="4"/>
      <c r="M156" s="4"/>
      <c r="N156" s="4"/>
      <c r="O156" s="4"/>
      <c r="P156" s="4"/>
      <c r="Q156" s="4"/>
      <c r="R156" s="4"/>
      <c r="S156" s="4"/>
      <c r="T156" s="4"/>
      <c r="U156" s="4"/>
      <c r="V156" s="4"/>
      <c r="W156" s="4"/>
      <c r="X156" s="4"/>
      <c r="Y156" s="4"/>
      <c r="Z156" s="4"/>
    </row>
    <row r="157" ht="15.75" customHeight="1">
      <c r="A157" s="34" t="s">
        <v>455</v>
      </c>
      <c r="B157" s="30" t="s">
        <v>456</v>
      </c>
      <c r="C157" s="30" t="s">
        <v>57</v>
      </c>
      <c r="D157" s="30" t="s">
        <v>422</v>
      </c>
      <c r="E157" s="35">
        <v>0.05</v>
      </c>
      <c r="F157" s="4"/>
      <c r="G157" s="4"/>
      <c r="H157" s="4"/>
      <c r="I157" s="4"/>
      <c r="J157" s="4"/>
      <c r="K157" s="4"/>
      <c r="L157" s="4"/>
      <c r="M157" s="4"/>
      <c r="N157" s="4"/>
      <c r="O157" s="4"/>
      <c r="P157" s="4"/>
      <c r="Q157" s="4"/>
      <c r="R157" s="4"/>
      <c r="S157" s="4"/>
      <c r="T157" s="4"/>
      <c r="U157" s="4"/>
      <c r="V157" s="4"/>
      <c r="W157" s="4"/>
      <c r="X157" s="4"/>
      <c r="Y157" s="4"/>
      <c r="Z157" s="4"/>
    </row>
    <row r="158" ht="15.75" customHeight="1">
      <c r="A158" s="34" t="s">
        <v>455</v>
      </c>
      <c r="B158" s="30" t="s">
        <v>456</v>
      </c>
      <c r="C158" s="30" t="s">
        <v>99</v>
      </c>
      <c r="D158" s="30" t="s">
        <v>424</v>
      </c>
      <c r="E158" s="35">
        <v>0.2</v>
      </c>
      <c r="F158" s="4"/>
      <c r="G158" s="4"/>
      <c r="H158" s="4"/>
      <c r="I158" s="4"/>
      <c r="J158" s="4"/>
      <c r="K158" s="4"/>
      <c r="L158" s="4"/>
      <c r="M158" s="4"/>
      <c r="N158" s="4"/>
      <c r="O158" s="4"/>
      <c r="P158" s="4"/>
      <c r="Q158" s="4"/>
      <c r="R158" s="4"/>
      <c r="S158" s="4"/>
      <c r="T158" s="4"/>
      <c r="U158" s="4"/>
      <c r="V158" s="4"/>
      <c r="W158" s="4"/>
      <c r="X158" s="4"/>
      <c r="Y158" s="4"/>
      <c r="Z158" s="4"/>
    </row>
    <row r="159" ht="15.75" customHeight="1">
      <c r="A159" s="34" t="s">
        <v>455</v>
      </c>
      <c r="B159" s="30" t="s">
        <v>456</v>
      </c>
      <c r="C159" s="30" t="s">
        <v>93</v>
      </c>
      <c r="D159" s="30" t="s">
        <v>425</v>
      </c>
      <c r="E159" s="35">
        <v>0.25</v>
      </c>
      <c r="F159" s="4"/>
      <c r="G159" s="4"/>
      <c r="H159" s="4"/>
      <c r="I159" s="4"/>
      <c r="J159" s="4"/>
      <c r="K159" s="4"/>
      <c r="L159" s="4"/>
      <c r="M159" s="4"/>
      <c r="N159" s="4"/>
      <c r="O159" s="4"/>
      <c r="P159" s="4"/>
      <c r="Q159" s="4"/>
      <c r="R159" s="4"/>
      <c r="S159" s="4"/>
      <c r="T159" s="4"/>
      <c r="U159" s="4"/>
      <c r="V159" s="4"/>
      <c r="W159" s="4"/>
      <c r="X159" s="4"/>
      <c r="Y159" s="4"/>
      <c r="Z159" s="4"/>
    </row>
    <row r="160" ht="15.75" customHeight="1">
      <c r="A160" s="34" t="s">
        <v>455</v>
      </c>
      <c r="B160" s="30" t="s">
        <v>456</v>
      </c>
      <c r="C160" s="30" t="s">
        <v>96</v>
      </c>
      <c r="D160" s="30" t="s">
        <v>426</v>
      </c>
      <c r="E160" s="35">
        <v>0.4</v>
      </c>
      <c r="F160" s="4"/>
      <c r="G160" s="4"/>
      <c r="H160" s="4"/>
      <c r="I160" s="4"/>
      <c r="J160" s="4"/>
      <c r="K160" s="4"/>
      <c r="L160" s="4"/>
      <c r="M160" s="4"/>
      <c r="N160" s="4"/>
      <c r="O160" s="4"/>
      <c r="P160" s="4"/>
      <c r="Q160" s="4"/>
      <c r="R160" s="4"/>
      <c r="S160" s="4"/>
      <c r="T160" s="4"/>
      <c r="U160" s="4"/>
      <c r="V160" s="4"/>
      <c r="W160" s="4"/>
      <c r="X160" s="4"/>
      <c r="Y160" s="4"/>
      <c r="Z160" s="4"/>
    </row>
    <row r="161" ht="15.75" customHeight="1">
      <c r="A161" s="34" t="s">
        <v>455</v>
      </c>
      <c r="B161" s="30" t="s">
        <v>456</v>
      </c>
      <c r="C161" s="30" t="s">
        <v>104</v>
      </c>
      <c r="D161" s="30" t="s">
        <v>427</v>
      </c>
      <c r="E161" s="35">
        <v>0.35</v>
      </c>
      <c r="F161" s="4"/>
      <c r="G161" s="4"/>
      <c r="H161" s="4"/>
      <c r="I161" s="4"/>
      <c r="J161" s="4"/>
      <c r="K161" s="4"/>
      <c r="L161" s="4"/>
      <c r="M161" s="4"/>
      <c r="N161" s="4"/>
      <c r="O161" s="4"/>
      <c r="P161" s="4"/>
      <c r="Q161" s="4"/>
      <c r="R161" s="4"/>
      <c r="S161" s="4"/>
      <c r="T161" s="4"/>
      <c r="U161" s="4"/>
      <c r="V161" s="4"/>
      <c r="W161" s="4"/>
      <c r="X161" s="4"/>
      <c r="Y161" s="4"/>
      <c r="Z161" s="4"/>
    </row>
    <row r="162" ht="15.75" customHeight="1">
      <c r="A162" s="34" t="s">
        <v>455</v>
      </c>
      <c r="B162" s="30" t="s">
        <v>456</v>
      </c>
      <c r="C162" s="30" t="s">
        <v>110</v>
      </c>
      <c r="D162" s="30" t="s">
        <v>428</v>
      </c>
      <c r="E162" s="35">
        <v>0.25</v>
      </c>
      <c r="F162" s="4"/>
      <c r="G162" s="4"/>
      <c r="H162" s="4"/>
      <c r="I162" s="4"/>
      <c r="J162" s="4"/>
      <c r="K162" s="4"/>
      <c r="L162" s="4"/>
      <c r="M162" s="4"/>
      <c r="N162" s="4"/>
      <c r="O162" s="4"/>
      <c r="P162" s="4"/>
      <c r="Q162" s="4"/>
      <c r="R162" s="4"/>
      <c r="S162" s="4"/>
      <c r="T162" s="4"/>
      <c r="U162" s="4"/>
      <c r="V162" s="4"/>
      <c r="W162" s="4"/>
      <c r="X162" s="4"/>
      <c r="Y162" s="4"/>
      <c r="Z162" s="4"/>
    </row>
    <row r="163" ht="15.75" customHeight="1">
      <c r="A163" s="34" t="s">
        <v>455</v>
      </c>
      <c r="B163" s="30" t="s">
        <v>456</v>
      </c>
      <c r="C163" s="30" t="s">
        <v>71</v>
      </c>
      <c r="D163" s="30" t="s">
        <v>430</v>
      </c>
      <c r="E163" s="35">
        <v>0.4</v>
      </c>
      <c r="F163" s="4"/>
      <c r="G163" s="4"/>
      <c r="H163" s="4"/>
      <c r="I163" s="4"/>
      <c r="J163" s="4"/>
      <c r="K163" s="4"/>
      <c r="L163" s="4"/>
      <c r="M163" s="4"/>
      <c r="N163" s="4"/>
      <c r="O163" s="4"/>
      <c r="P163" s="4"/>
      <c r="Q163" s="4"/>
      <c r="R163" s="4"/>
      <c r="S163" s="4"/>
      <c r="T163" s="4"/>
      <c r="U163" s="4"/>
      <c r="V163" s="4"/>
      <c r="W163" s="4"/>
      <c r="X163" s="4"/>
      <c r="Y163" s="4"/>
      <c r="Z163" s="4"/>
    </row>
    <row r="164" ht="15.75" customHeight="1">
      <c r="A164" s="34" t="s">
        <v>455</v>
      </c>
      <c r="B164" s="30" t="s">
        <v>456</v>
      </c>
      <c r="C164" s="30" t="s">
        <v>79</v>
      </c>
      <c r="D164" s="30" t="s">
        <v>432</v>
      </c>
      <c r="E164" s="35">
        <v>0.25</v>
      </c>
      <c r="F164" s="4"/>
      <c r="G164" s="4"/>
      <c r="H164" s="4"/>
      <c r="I164" s="4"/>
      <c r="J164" s="4"/>
      <c r="K164" s="4"/>
      <c r="L164" s="4"/>
      <c r="M164" s="4"/>
      <c r="N164" s="4"/>
      <c r="O164" s="4"/>
      <c r="P164" s="4"/>
      <c r="Q164" s="4"/>
      <c r="R164" s="4"/>
      <c r="S164" s="4"/>
      <c r="T164" s="4"/>
      <c r="U164" s="4"/>
      <c r="V164" s="4"/>
      <c r="W164" s="4"/>
      <c r="X164" s="4"/>
      <c r="Y164" s="4"/>
      <c r="Z164" s="4"/>
    </row>
    <row r="165" ht="15.75" customHeight="1">
      <c r="A165" s="34" t="s">
        <v>455</v>
      </c>
      <c r="B165" s="30" t="s">
        <v>456</v>
      </c>
      <c r="C165" s="30" t="s">
        <v>82</v>
      </c>
      <c r="D165" s="30" t="s">
        <v>433</v>
      </c>
      <c r="E165" s="35">
        <v>0.55</v>
      </c>
      <c r="F165" s="4"/>
      <c r="G165" s="4"/>
      <c r="H165" s="4"/>
      <c r="I165" s="4"/>
      <c r="J165" s="4"/>
      <c r="K165" s="4"/>
      <c r="L165" s="4"/>
      <c r="M165" s="4"/>
      <c r="N165" s="4"/>
      <c r="O165" s="4"/>
      <c r="P165" s="4"/>
      <c r="Q165" s="4"/>
      <c r="R165" s="4"/>
      <c r="S165" s="4"/>
      <c r="T165" s="4"/>
      <c r="U165" s="4"/>
      <c r="V165" s="4"/>
      <c r="W165" s="4"/>
      <c r="X165" s="4"/>
      <c r="Y165" s="4"/>
      <c r="Z165" s="4"/>
    </row>
    <row r="166" ht="15.75" customHeight="1">
      <c r="A166" s="34" t="s">
        <v>455</v>
      </c>
      <c r="B166" s="30" t="s">
        <v>456</v>
      </c>
      <c r="C166" s="30" t="s">
        <v>85</v>
      </c>
      <c r="D166" s="30" t="s">
        <v>434</v>
      </c>
      <c r="E166" s="35">
        <v>0.65</v>
      </c>
      <c r="F166" s="4"/>
      <c r="G166" s="4"/>
      <c r="H166" s="4"/>
      <c r="I166" s="4"/>
      <c r="J166" s="4"/>
      <c r="K166" s="4"/>
      <c r="L166" s="4"/>
      <c r="M166" s="4"/>
      <c r="N166" s="4"/>
      <c r="O166" s="4"/>
      <c r="P166" s="4"/>
      <c r="Q166" s="4"/>
      <c r="R166" s="4"/>
      <c r="S166" s="4"/>
      <c r="T166" s="4"/>
      <c r="U166" s="4"/>
      <c r="V166" s="4"/>
      <c r="W166" s="4"/>
      <c r="X166" s="4"/>
      <c r="Y166" s="4"/>
      <c r="Z166" s="4"/>
    </row>
    <row r="167" ht="15.75" customHeight="1">
      <c r="A167" s="34" t="s">
        <v>455</v>
      </c>
      <c r="B167" s="30" t="s">
        <v>456</v>
      </c>
      <c r="C167" s="30" t="s">
        <v>88</v>
      </c>
      <c r="D167" s="30" t="s">
        <v>435</v>
      </c>
      <c r="E167" s="35">
        <v>0.05</v>
      </c>
      <c r="F167" s="4"/>
      <c r="G167" s="4"/>
      <c r="H167" s="4"/>
      <c r="I167" s="4"/>
      <c r="J167" s="4"/>
      <c r="K167" s="4"/>
      <c r="L167" s="4"/>
      <c r="M167" s="4"/>
      <c r="N167" s="4"/>
      <c r="O167" s="4"/>
      <c r="P167" s="4"/>
      <c r="Q167" s="4"/>
      <c r="R167" s="4"/>
      <c r="S167" s="4"/>
      <c r="T167" s="4"/>
      <c r="U167" s="4"/>
      <c r="V167" s="4"/>
      <c r="W167" s="4"/>
      <c r="X167" s="4"/>
      <c r="Y167" s="4"/>
      <c r="Z167" s="4"/>
    </row>
    <row r="168" ht="15.75" customHeight="1">
      <c r="A168" s="34" t="s">
        <v>455</v>
      </c>
      <c r="B168" s="30" t="s">
        <v>456</v>
      </c>
      <c r="C168" s="30" t="s">
        <v>76</v>
      </c>
      <c r="D168" s="30" t="s">
        <v>437</v>
      </c>
      <c r="E168" s="35">
        <v>0.25</v>
      </c>
      <c r="F168" s="4"/>
      <c r="G168" s="4"/>
      <c r="H168" s="4"/>
      <c r="I168" s="4"/>
      <c r="J168" s="4"/>
      <c r="K168" s="4"/>
      <c r="L168" s="4"/>
      <c r="M168" s="4"/>
      <c r="N168" s="4"/>
      <c r="O168" s="4"/>
      <c r="P168" s="4"/>
      <c r="Q168" s="4"/>
      <c r="R168" s="4"/>
      <c r="S168" s="4"/>
      <c r="T168" s="4"/>
      <c r="U168" s="4"/>
      <c r="V168" s="4"/>
      <c r="W168" s="4"/>
      <c r="X168" s="4"/>
      <c r="Y168" s="4"/>
      <c r="Z168" s="4"/>
    </row>
    <row r="169" ht="15.75" customHeight="1">
      <c r="A169" s="34" t="s">
        <v>455</v>
      </c>
      <c r="B169" s="30" t="s">
        <v>456</v>
      </c>
      <c r="C169" s="30" t="s">
        <v>107</v>
      </c>
      <c r="D169" s="30" t="s">
        <v>438</v>
      </c>
      <c r="E169" s="35">
        <v>0.4</v>
      </c>
      <c r="F169" s="4"/>
      <c r="G169" s="4"/>
      <c r="H169" s="4"/>
      <c r="I169" s="4"/>
      <c r="J169" s="4"/>
      <c r="K169" s="4"/>
      <c r="L169" s="4"/>
      <c r="M169" s="4"/>
      <c r="N169" s="4"/>
      <c r="O169" s="4"/>
      <c r="P169" s="4"/>
      <c r="Q169" s="4"/>
      <c r="R169" s="4"/>
      <c r="S169" s="4"/>
      <c r="T169" s="4"/>
      <c r="U169" s="4"/>
      <c r="V169" s="4"/>
      <c r="W169" s="4"/>
      <c r="X169" s="4"/>
      <c r="Y169" s="4"/>
      <c r="Z169" s="4"/>
    </row>
    <row r="170" ht="15.75" customHeight="1">
      <c r="A170" s="34" t="s">
        <v>457</v>
      </c>
      <c r="B170" s="30" t="s">
        <v>458</v>
      </c>
      <c r="C170" s="30" t="s">
        <v>23</v>
      </c>
      <c r="D170" s="30" t="s">
        <v>408</v>
      </c>
      <c r="E170" s="35">
        <v>0.4</v>
      </c>
      <c r="F170" s="4"/>
      <c r="G170" s="4"/>
      <c r="H170" s="4"/>
      <c r="I170" s="4"/>
      <c r="J170" s="4"/>
      <c r="K170" s="4"/>
      <c r="L170" s="4"/>
      <c r="M170" s="4"/>
      <c r="N170" s="4"/>
      <c r="O170" s="4"/>
      <c r="P170" s="4"/>
      <c r="Q170" s="4"/>
      <c r="R170" s="4"/>
      <c r="S170" s="4"/>
      <c r="T170" s="4"/>
      <c r="U170" s="4"/>
      <c r="V170" s="4"/>
      <c r="W170" s="4"/>
      <c r="X170" s="4"/>
      <c r="Y170" s="4"/>
      <c r="Z170" s="4"/>
    </row>
    <row r="171" ht="15.75" customHeight="1">
      <c r="A171" s="34" t="s">
        <v>457</v>
      </c>
      <c r="B171" s="30" t="s">
        <v>458</v>
      </c>
      <c r="C171" s="30" t="s">
        <v>31</v>
      </c>
      <c r="D171" s="30" t="s">
        <v>411</v>
      </c>
      <c r="E171" s="35">
        <v>0.5</v>
      </c>
      <c r="F171" s="4"/>
      <c r="G171" s="4"/>
      <c r="H171" s="4"/>
      <c r="I171" s="4"/>
      <c r="J171" s="4"/>
      <c r="K171" s="4"/>
      <c r="L171" s="4"/>
      <c r="M171" s="4"/>
      <c r="N171" s="4"/>
      <c r="O171" s="4"/>
      <c r="P171" s="4"/>
      <c r="Q171" s="4"/>
      <c r="R171" s="4"/>
      <c r="S171" s="4"/>
      <c r="T171" s="4"/>
      <c r="U171" s="4"/>
      <c r="V171" s="4"/>
      <c r="W171" s="4"/>
      <c r="X171" s="4"/>
      <c r="Y171" s="4"/>
      <c r="Z171" s="4"/>
    </row>
    <row r="172" ht="15.75" customHeight="1">
      <c r="A172" s="34" t="s">
        <v>457</v>
      </c>
      <c r="B172" s="30" t="s">
        <v>458</v>
      </c>
      <c r="C172" s="30" t="s">
        <v>34</v>
      </c>
      <c r="D172" s="30" t="s">
        <v>413</v>
      </c>
      <c r="E172" s="35">
        <v>0.5</v>
      </c>
      <c r="F172" s="4"/>
      <c r="G172" s="4"/>
      <c r="H172" s="4"/>
      <c r="I172" s="4"/>
      <c r="J172" s="4"/>
      <c r="K172" s="4"/>
      <c r="L172" s="4"/>
      <c r="M172" s="4"/>
      <c r="N172" s="4"/>
      <c r="O172" s="4"/>
      <c r="P172" s="4"/>
      <c r="Q172" s="4"/>
      <c r="R172" s="4"/>
      <c r="S172" s="4"/>
      <c r="T172" s="4"/>
      <c r="U172" s="4"/>
      <c r="V172" s="4"/>
      <c r="W172" s="4"/>
      <c r="X172" s="4"/>
      <c r="Y172" s="4"/>
      <c r="Z172" s="4"/>
    </row>
    <row r="173" ht="15.75" customHeight="1">
      <c r="A173" s="34" t="s">
        <v>457</v>
      </c>
      <c r="B173" s="30" t="s">
        <v>458</v>
      </c>
      <c r="C173" s="30" t="s">
        <v>43</v>
      </c>
      <c r="D173" s="30" t="s">
        <v>415</v>
      </c>
      <c r="E173" s="35">
        <v>0.45</v>
      </c>
      <c r="F173" s="4"/>
      <c r="G173" s="4"/>
      <c r="H173" s="4"/>
      <c r="I173" s="4"/>
      <c r="J173" s="4"/>
      <c r="K173" s="4"/>
      <c r="L173" s="4"/>
      <c r="M173" s="4"/>
      <c r="N173" s="4"/>
      <c r="O173" s="4"/>
      <c r="P173" s="4"/>
      <c r="Q173" s="4"/>
      <c r="R173" s="4"/>
      <c r="S173" s="4"/>
      <c r="T173" s="4"/>
      <c r="U173" s="4"/>
      <c r="V173" s="4"/>
      <c r="W173" s="4"/>
      <c r="X173" s="4"/>
      <c r="Y173" s="4"/>
      <c r="Z173" s="4"/>
    </row>
    <row r="174" ht="15.75" customHeight="1">
      <c r="A174" s="34" t="s">
        <v>457</v>
      </c>
      <c r="B174" s="30" t="s">
        <v>458</v>
      </c>
      <c r="C174" s="30" t="s">
        <v>50</v>
      </c>
      <c r="D174" s="30" t="s">
        <v>416</v>
      </c>
      <c r="E174" s="35">
        <v>0.3</v>
      </c>
      <c r="F174" s="4"/>
      <c r="G174" s="4"/>
      <c r="H174" s="4"/>
      <c r="I174" s="4"/>
      <c r="J174" s="4"/>
      <c r="K174" s="4"/>
      <c r="L174" s="4"/>
      <c r="M174" s="4"/>
      <c r="N174" s="4"/>
      <c r="O174" s="4"/>
      <c r="P174" s="4"/>
      <c r="Q174" s="4"/>
      <c r="R174" s="4"/>
      <c r="S174" s="4"/>
      <c r="T174" s="4"/>
      <c r="U174" s="4"/>
      <c r="V174" s="4"/>
      <c r="W174" s="4"/>
      <c r="X174" s="4"/>
      <c r="Y174" s="4"/>
      <c r="Z174" s="4"/>
    </row>
    <row r="175" ht="15.75" customHeight="1">
      <c r="A175" s="34" t="s">
        <v>457</v>
      </c>
      <c r="B175" s="30" t="s">
        <v>458</v>
      </c>
      <c r="C175" s="30" t="s">
        <v>53</v>
      </c>
      <c r="D175" s="30" t="s">
        <v>417</v>
      </c>
      <c r="E175" s="35">
        <v>0.25</v>
      </c>
      <c r="F175" s="4"/>
      <c r="G175" s="4"/>
      <c r="H175" s="4"/>
      <c r="I175" s="4"/>
      <c r="J175" s="4"/>
      <c r="K175" s="4"/>
      <c r="L175" s="4"/>
      <c r="M175" s="4"/>
      <c r="N175" s="4"/>
      <c r="O175" s="4"/>
      <c r="P175" s="4"/>
      <c r="Q175" s="4"/>
      <c r="R175" s="4"/>
      <c r="S175" s="4"/>
      <c r="T175" s="4"/>
      <c r="U175" s="4"/>
      <c r="V175" s="4"/>
      <c r="W175" s="4"/>
      <c r="X175" s="4"/>
      <c r="Y175" s="4"/>
      <c r="Z175" s="4"/>
    </row>
    <row r="176" ht="15.75" customHeight="1">
      <c r="A176" s="34" t="s">
        <v>457</v>
      </c>
      <c r="B176" s="30" t="s">
        <v>458</v>
      </c>
      <c r="C176" s="30" t="s">
        <v>63</v>
      </c>
      <c r="D176" s="30" t="s">
        <v>418</v>
      </c>
      <c r="E176" s="35">
        <v>0.3</v>
      </c>
      <c r="F176" s="4"/>
      <c r="G176" s="4"/>
      <c r="H176" s="4"/>
      <c r="I176" s="4"/>
      <c r="J176" s="4"/>
      <c r="K176" s="4"/>
      <c r="L176" s="4"/>
      <c r="M176" s="4"/>
      <c r="N176" s="4"/>
      <c r="O176" s="4"/>
      <c r="P176" s="4"/>
      <c r="Q176" s="4"/>
      <c r="R176" s="4"/>
      <c r="S176" s="4"/>
      <c r="T176" s="4"/>
      <c r="U176" s="4"/>
      <c r="V176" s="4"/>
      <c r="W176" s="4"/>
      <c r="X176" s="4"/>
      <c r="Y176" s="4"/>
      <c r="Z176" s="4"/>
    </row>
    <row r="177" ht="15.75" customHeight="1">
      <c r="A177" s="34" t="s">
        <v>457</v>
      </c>
      <c r="B177" s="30" t="s">
        <v>458</v>
      </c>
      <c r="C177" s="30" t="s">
        <v>60</v>
      </c>
      <c r="D177" s="30" t="s">
        <v>420</v>
      </c>
      <c r="E177" s="35">
        <v>0.2</v>
      </c>
      <c r="F177" s="4"/>
      <c r="G177" s="4"/>
      <c r="H177" s="4"/>
      <c r="I177" s="4"/>
      <c r="J177" s="4"/>
      <c r="K177" s="4"/>
      <c r="L177" s="4"/>
      <c r="M177" s="4"/>
      <c r="N177" s="4"/>
      <c r="O177" s="4"/>
      <c r="P177" s="4"/>
      <c r="Q177" s="4"/>
      <c r="R177" s="4"/>
      <c r="S177" s="4"/>
      <c r="T177" s="4"/>
      <c r="U177" s="4"/>
      <c r="V177" s="4"/>
      <c r="W177" s="4"/>
      <c r="X177" s="4"/>
      <c r="Y177" s="4"/>
      <c r="Z177" s="4"/>
    </row>
    <row r="178" ht="15.75" customHeight="1">
      <c r="A178" s="34" t="s">
        <v>457</v>
      </c>
      <c r="B178" s="30" t="s">
        <v>458</v>
      </c>
      <c r="C178" s="30" t="s">
        <v>57</v>
      </c>
      <c r="D178" s="30" t="s">
        <v>422</v>
      </c>
      <c r="E178" s="35">
        <v>0.25</v>
      </c>
      <c r="F178" s="4"/>
      <c r="G178" s="4"/>
      <c r="H178" s="4"/>
      <c r="I178" s="4"/>
      <c r="J178" s="4"/>
      <c r="K178" s="4"/>
      <c r="L178" s="4"/>
      <c r="M178" s="4"/>
      <c r="N178" s="4"/>
      <c r="O178" s="4"/>
      <c r="P178" s="4"/>
      <c r="Q178" s="4"/>
      <c r="R178" s="4"/>
      <c r="S178" s="4"/>
      <c r="T178" s="4"/>
      <c r="U178" s="4"/>
      <c r="V178" s="4"/>
      <c r="W178" s="4"/>
      <c r="X178" s="4"/>
      <c r="Y178" s="4"/>
      <c r="Z178" s="4"/>
    </row>
    <row r="179" ht="15.75" customHeight="1">
      <c r="A179" s="34" t="s">
        <v>457</v>
      </c>
      <c r="B179" s="30" t="s">
        <v>458</v>
      </c>
      <c r="C179" s="30" t="s">
        <v>99</v>
      </c>
      <c r="D179" s="30" t="s">
        <v>424</v>
      </c>
      <c r="E179" s="35">
        <v>0.2</v>
      </c>
      <c r="F179" s="4"/>
      <c r="G179" s="4"/>
      <c r="H179" s="4"/>
      <c r="I179" s="4"/>
      <c r="J179" s="4"/>
      <c r="K179" s="4"/>
      <c r="L179" s="4"/>
      <c r="M179" s="4"/>
      <c r="N179" s="4"/>
      <c r="O179" s="4"/>
      <c r="P179" s="4"/>
      <c r="Q179" s="4"/>
      <c r="R179" s="4"/>
      <c r="S179" s="4"/>
      <c r="T179" s="4"/>
      <c r="U179" s="4"/>
      <c r="V179" s="4"/>
      <c r="W179" s="4"/>
      <c r="X179" s="4"/>
      <c r="Y179" s="4"/>
      <c r="Z179" s="4"/>
    </row>
    <row r="180" ht="15.75" customHeight="1">
      <c r="A180" s="34" t="s">
        <v>457</v>
      </c>
      <c r="B180" s="30" t="s">
        <v>458</v>
      </c>
      <c r="C180" s="30" t="s">
        <v>93</v>
      </c>
      <c r="D180" s="30" t="s">
        <v>425</v>
      </c>
      <c r="E180" s="35">
        <v>0.3</v>
      </c>
      <c r="F180" s="4"/>
      <c r="G180" s="4"/>
      <c r="H180" s="4"/>
      <c r="I180" s="4"/>
      <c r="J180" s="4"/>
      <c r="K180" s="4"/>
      <c r="L180" s="4"/>
      <c r="M180" s="4"/>
      <c r="N180" s="4"/>
      <c r="O180" s="4"/>
      <c r="P180" s="4"/>
      <c r="Q180" s="4"/>
      <c r="R180" s="4"/>
      <c r="S180" s="4"/>
      <c r="T180" s="4"/>
      <c r="U180" s="4"/>
      <c r="V180" s="4"/>
      <c r="W180" s="4"/>
      <c r="X180" s="4"/>
      <c r="Y180" s="4"/>
      <c r="Z180" s="4"/>
    </row>
    <row r="181" ht="15.75" customHeight="1">
      <c r="A181" s="34" t="s">
        <v>457</v>
      </c>
      <c r="B181" s="30" t="s">
        <v>458</v>
      </c>
      <c r="C181" s="30" t="s">
        <v>96</v>
      </c>
      <c r="D181" s="30" t="s">
        <v>426</v>
      </c>
      <c r="E181" s="35">
        <v>0.45</v>
      </c>
      <c r="F181" s="4"/>
      <c r="G181" s="4"/>
      <c r="H181" s="4"/>
      <c r="I181" s="4"/>
      <c r="J181" s="4"/>
      <c r="K181" s="4"/>
      <c r="L181" s="4"/>
      <c r="M181" s="4"/>
      <c r="N181" s="4"/>
      <c r="O181" s="4"/>
      <c r="P181" s="4"/>
      <c r="Q181" s="4"/>
      <c r="R181" s="4"/>
      <c r="S181" s="4"/>
      <c r="T181" s="4"/>
      <c r="U181" s="4"/>
      <c r="V181" s="4"/>
      <c r="W181" s="4"/>
      <c r="X181" s="4"/>
      <c r="Y181" s="4"/>
      <c r="Z181" s="4"/>
    </row>
    <row r="182" ht="15.75" customHeight="1">
      <c r="A182" s="34" t="s">
        <v>457</v>
      </c>
      <c r="B182" s="30" t="s">
        <v>458</v>
      </c>
      <c r="C182" s="30" t="s">
        <v>104</v>
      </c>
      <c r="D182" s="30" t="s">
        <v>427</v>
      </c>
      <c r="E182" s="35">
        <v>0.25</v>
      </c>
      <c r="F182" s="4"/>
      <c r="G182" s="4"/>
      <c r="H182" s="4"/>
      <c r="I182" s="4"/>
      <c r="J182" s="4"/>
      <c r="K182" s="4"/>
      <c r="L182" s="4"/>
      <c r="M182" s="4"/>
      <c r="N182" s="4"/>
      <c r="O182" s="4"/>
      <c r="P182" s="4"/>
      <c r="Q182" s="4"/>
      <c r="R182" s="4"/>
      <c r="S182" s="4"/>
      <c r="T182" s="4"/>
      <c r="U182" s="4"/>
      <c r="V182" s="4"/>
      <c r="W182" s="4"/>
      <c r="X182" s="4"/>
      <c r="Y182" s="4"/>
      <c r="Z182" s="4"/>
    </row>
    <row r="183" ht="15.75" customHeight="1">
      <c r="A183" s="34" t="s">
        <v>457</v>
      </c>
      <c r="B183" s="30" t="s">
        <v>458</v>
      </c>
      <c r="C183" s="30" t="s">
        <v>110</v>
      </c>
      <c r="D183" s="30" t="s">
        <v>428</v>
      </c>
      <c r="E183" s="35">
        <v>0.2</v>
      </c>
      <c r="F183" s="4"/>
      <c r="G183" s="4"/>
      <c r="H183" s="4"/>
      <c r="I183" s="4"/>
      <c r="J183" s="4"/>
      <c r="K183" s="4"/>
      <c r="L183" s="4"/>
      <c r="M183" s="4"/>
      <c r="N183" s="4"/>
      <c r="O183" s="4"/>
      <c r="P183" s="4"/>
      <c r="Q183" s="4"/>
      <c r="R183" s="4"/>
      <c r="S183" s="4"/>
      <c r="T183" s="4"/>
      <c r="U183" s="4"/>
      <c r="V183" s="4"/>
      <c r="W183" s="4"/>
      <c r="X183" s="4"/>
      <c r="Y183" s="4"/>
      <c r="Z183" s="4"/>
    </row>
    <row r="184" ht="15.75" customHeight="1">
      <c r="A184" s="34" t="s">
        <v>457</v>
      </c>
      <c r="B184" s="30" t="s">
        <v>458</v>
      </c>
      <c r="C184" s="30" t="s">
        <v>71</v>
      </c>
      <c r="D184" s="30" t="s">
        <v>430</v>
      </c>
      <c r="E184" s="35">
        <v>0.35</v>
      </c>
      <c r="F184" s="4"/>
      <c r="G184" s="4"/>
      <c r="H184" s="4"/>
      <c r="I184" s="4"/>
      <c r="J184" s="4"/>
      <c r="K184" s="4"/>
      <c r="L184" s="4"/>
      <c r="M184" s="4"/>
      <c r="N184" s="4"/>
      <c r="O184" s="4"/>
      <c r="P184" s="4"/>
      <c r="Q184" s="4"/>
      <c r="R184" s="4"/>
      <c r="S184" s="4"/>
      <c r="T184" s="4"/>
      <c r="U184" s="4"/>
      <c r="V184" s="4"/>
      <c r="W184" s="4"/>
      <c r="X184" s="4"/>
      <c r="Y184" s="4"/>
      <c r="Z184" s="4"/>
    </row>
    <row r="185" ht="15.75" customHeight="1">
      <c r="A185" s="34" t="s">
        <v>457</v>
      </c>
      <c r="B185" s="30" t="s">
        <v>458</v>
      </c>
      <c r="C185" s="30" t="s">
        <v>79</v>
      </c>
      <c r="D185" s="30" t="s">
        <v>432</v>
      </c>
      <c r="E185" s="35">
        <v>0.2</v>
      </c>
      <c r="F185" s="4"/>
      <c r="G185" s="4"/>
      <c r="H185" s="4"/>
      <c r="I185" s="4"/>
      <c r="J185" s="4"/>
      <c r="K185" s="4"/>
      <c r="L185" s="4"/>
      <c r="M185" s="4"/>
      <c r="N185" s="4"/>
      <c r="O185" s="4"/>
      <c r="P185" s="4"/>
      <c r="Q185" s="4"/>
      <c r="R185" s="4"/>
      <c r="S185" s="4"/>
      <c r="T185" s="4"/>
      <c r="U185" s="4"/>
      <c r="V185" s="4"/>
      <c r="W185" s="4"/>
      <c r="X185" s="4"/>
      <c r="Y185" s="4"/>
      <c r="Z185" s="4"/>
    </row>
    <row r="186" ht="15.75" customHeight="1">
      <c r="A186" s="34" t="s">
        <v>457</v>
      </c>
      <c r="B186" s="30" t="s">
        <v>458</v>
      </c>
      <c r="C186" s="30" t="s">
        <v>82</v>
      </c>
      <c r="D186" s="30" t="s">
        <v>433</v>
      </c>
      <c r="E186" s="35">
        <v>0.45</v>
      </c>
      <c r="F186" s="4"/>
      <c r="G186" s="4"/>
      <c r="H186" s="4"/>
      <c r="I186" s="4"/>
      <c r="J186" s="4"/>
      <c r="K186" s="4"/>
      <c r="L186" s="4"/>
      <c r="M186" s="4"/>
      <c r="N186" s="4"/>
      <c r="O186" s="4"/>
      <c r="P186" s="4"/>
      <c r="Q186" s="4"/>
      <c r="R186" s="4"/>
      <c r="S186" s="4"/>
      <c r="T186" s="4"/>
      <c r="U186" s="4"/>
      <c r="V186" s="4"/>
      <c r="W186" s="4"/>
      <c r="X186" s="4"/>
      <c r="Y186" s="4"/>
      <c r="Z186" s="4"/>
    </row>
    <row r="187" ht="15.75" customHeight="1">
      <c r="A187" s="34" t="s">
        <v>457</v>
      </c>
      <c r="B187" s="30" t="s">
        <v>458</v>
      </c>
      <c r="C187" s="30" t="s">
        <v>85</v>
      </c>
      <c r="D187" s="30" t="s">
        <v>434</v>
      </c>
      <c r="E187" s="36">
        <v>0.8</v>
      </c>
      <c r="F187" s="4"/>
      <c r="G187" s="4"/>
      <c r="H187" s="4"/>
      <c r="I187" s="4"/>
      <c r="J187" s="4"/>
      <c r="K187" s="4"/>
      <c r="L187" s="4"/>
      <c r="M187" s="4"/>
      <c r="N187" s="4"/>
      <c r="O187" s="4"/>
      <c r="P187" s="4"/>
      <c r="Q187" s="4"/>
      <c r="R187" s="4"/>
      <c r="S187" s="4"/>
      <c r="T187" s="4"/>
      <c r="U187" s="4"/>
      <c r="V187" s="4"/>
      <c r="W187" s="4"/>
      <c r="X187" s="4"/>
      <c r="Y187" s="4"/>
      <c r="Z187" s="4"/>
    </row>
    <row r="188" ht="15.75" customHeight="1">
      <c r="A188" s="34" t="s">
        <v>457</v>
      </c>
      <c r="B188" s="30" t="s">
        <v>458</v>
      </c>
      <c r="C188" s="30" t="s">
        <v>88</v>
      </c>
      <c r="D188" s="30" t="s">
        <v>435</v>
      </c>
      <c r="E188" s="35">
        <v>0.1</v>
      </c>
      <c r="F188" s="4"/>
      <c r="G188" s="4"/>
      <c r="H188" s="4"/>
      <c r="I188" s="4"/>
      <c r="J188" s="4"/>
      <c r="K188" s="4"/>
      <c r="L188" s="4"/>
      <c r="M188" s="4"/>
      <c r="N188" s="4"/>
      <c r="O188" s="4"/>
      <c r="P188" s="4"/>
      <c r="Q188" s="4"/>
      <c r="R188" s="4"/>
      <c r="S188" s="4"/>
      <c r="T188" s="4"/>
      <c r="U188" s="4"/>
      <c r="V188" s="4"/>
      <c r="W188" s="4"/>
      <c r="X188" s="4"/>
      <c r="Y188" s="4"/>
      <c r="Z188" s="4"/>
    </row>
    <row r="189" ht="15.75" customHeight="1">
      <c r="A189" s="34" t="s">
        <v>457</v>
      </c>
      <c r="B189" s="30" t="s">
        <v>458</v>
      </c>
      <c r="C189" s="30" t="s">
        <v>76</v>
      </c>
      <c r="D189" s="30" t="s">
        <v>437</v>
      </c>
      <c r="E189" s="35">
        <v>0.2</v>
      </c>
      <c r="F189" s="4"/>
      <c r="G189" s="4"/>
      <c r="H189" s="4"/>
      <c r="I189" s="4"/>
      <c r="J189" s="4"/>
      <c r="K189" s="4"/>
      <c r="L189" s="4"/>
      <c r="M189" s="4"/>
      <c r="N189" s="4"/>
      <c r="O189" s="4"/>
      <c r="P189" s="4"/>
      <c r="Q189" s="4"/>
      <c r="R189" s="4"/>
      <c r="S189" s="4"/>
      <c r="T189" s="4"/>
      <c r="U189" s="4"/>
      <c r="V189" s="4"/>
      <c r="W189" s="4"/>
      <c r="X189" s="4"/>
      <c r="Y189" s="4"/>
      <c r="Z189" s="4"/>
    </row>
    <row r="190" ht="15.75" customHeight="1">
      <c r="A190" s="34" t="s">
        <v>457</v>
      </c>
      <c r="B190" s="30" t="s">
        <v>458</v>
      </c>
      <c r="C190" s="30" t="s">
        <v>107</v>
      </c>
      <c r="D190" s="30" t="s">
        <v>438</v>
      </c>
      <c r="E190" s="35">
        <v>0.25</v>
      </c>
      <c r="F190" s="4"/>
      <c r="G190" s="4"/>
      <c r="H190" s="4"/>
      <c r="I190" s="4"/>
      <c r="J190" s="4"/>
      <c r="K190" s="4"/>
      <c r="L190" s="4"/>
      <c r="M190" s="4"/>
      <c r="N190" s="4"/>
      <c r="O190" s="4"/>
      <c r="P190" s="4"/>
      <c r="Q190" s="4"/>
      <c r="R190" s="4"/>
      <c r="S190" s="4"/>
      <c r="T190" s="4"/>
      <c r="U190" s="4"/>
      <c r="V190" s="4"/>
      <c r="W190" s="4"/>
      <c r="X190" s="4"/>
      <c r="Y190" s="4"/>
      <c r="Z190" s="4"/>
    </row>
    <row r="191" ht="15.75" customHeight="1">
      <c r="A191" s="34" t="s">
        <v>459</v>
      </c>
      <c r="B191" s="30" t="s">
        <v>460</v>
      </c>
      <c r="C191" s="30" t="s">
        <v>23</v>
      </c>
      <c r="D191" s="30" t="s">
        <v>408</v>
      </c>
      <c r="E191" s="35">
        <v>0.48</v>
      </c>
      <c r="F191" s="4"/>
      <c r="G191" s="4"/>
      <c r="H191" s="4"/>
      <c r="I191" s="4"/>
      <c r="J191" s="4"/>
      <c r="K191" s="4"/>
      <c r="L191" s="4"/>
      <c r="M191" s="4"/>
      <c r="N191" s="4"/>
      <c r="O191" s="4"/>
      <c r="P191" s="4"/>
      <c r="Q191" s="4"/>
      <c r="R191" s="4"/>
      <c r="S191" s="4"/>
      <c r="T191" s="4"/>
      <c r="U191" s="4"/>
      <c r="V191" s="4"/>
      <c r="W191" s="4"/>
      <c r="X191" s="4"/>
      <c r="Y191" s="4"/>
      <c r="Z191" s="4"/>
    </row>
    <row r="192" ht="15.75" customHeight="1">
      <c r="A192" s="34" t="s">
        <v>459</v>
      </c>
      <c r="B192" s="30" t="s">
        <v>460</v>
      </c>
      <c r="C192" s="30" t="s">
        <v>31</v>
      </c>
      <c r="D192" s="30" t="s">
        <v>411</v>
      </c>
      <c r="E192" s="35">
        <v>0.25</v>
      </c>
      <c r="F192" s="4"/>
      <c r="G192" s="4"/>
      <c r="H192" s="4"/>
      <c r="I192" s="4"/>
      <c r="J192" s="4"/>
      <c r="K192" s="4"/>
      <c r="L192" s="4"/>
      <c r="M192" s="4"/>
      <c r="N192" s="4"/>
      <c r="O192" s="4"/>
      <c r="P192" s="4"/>
      <c r="Q192" s="4"/>
      <c r="R192" s="4"/>
      <c r="S192" s="4"/>
      <c r="T192" s="4"/>
      <c r="U192" s="4"/>
      <c r="V192" s="4"/>
      <c r="W192" s="4"/>
      <c r="X192" s="4"/>
      <c r="Y192" s="4"/>
      <c r="Z192" s="4"/>
    </row>
    <row r="193" ht="15.75" customHeight="1">
      <c r="A193" s="34" t="s">
        <v>459</v>
      </c>
      <c r="B193" s="30" t="s">
        <v>460</v>
      </c>
      <c r="C193" s="30" t="s">
        <v>34</v>
      </c>
      <c r="D193" s="30" t="s">
        <v>413</v>
      </c>
      <c r="E193" s="35">
        <v>0.43</v>
      </c>
      <c r="F193" s="4"/>
      <c r="G193" s="4"/>
      <c r="H193" s="4"/>
      <c r="I193" s="4"/>
      <c r="J193" s="4"/>
      <c r="K193" s="4"/>
      <c r="L193" s="4"/>
      <c r="M193" s="4"/>
      <c r="N193" s="4"/>
      <c r="O193" s="4"/>
      <c r="P193" s="4"/>
      <c r="Q193" s="4"/>
      <c r="R193" s="4"/>
      <c r="S193" s="4"/>
      <c r="T193" s="4"/>
      <c r="U193" s="4"/>
      <c r="V193" s="4"/>
      <c r="W193" s="4"/>
      <c r="X193" s="4"/>
      <c r="Y193" s="4"/>
      <c r="Z193" s="4"/>
    </row>
    <row r="194" ht="15.75" customHeight="1">
      <c r="A194" s="34" t="s">
        <v>459</v>
      </c>
      <c r="B194" s="30" t="s">
        <v>460</v>
      </c>
      <c r="C194" s="30" t="s">
        <v>43</v>
      </c>
      <c r="D194" s="30" t="s">
        <v>415</v>
      </c>
      <c r="E194" s="35">
        <v>0.23</v>
      </c>
      <c r="F194" s="4"/>
      <c r="G194" s="4"/>
      <c r="H194" s="4"/>
      <c r="I194" s="4"/>
      <c r="J194" s="4"/>
      <c r="K194" s="4"/>
      <c r="L194" s="4"/>
      <c r="M194" s="4"/>
      <c r="N194" s="4"/>
      <c r="O194" s="4"/>
      <c r="P194" s="4"/>
      <c r="Q194" s="4"/>
      <c r="R194" s="4"/>
      <c r="S194" s="4"/>
      <c r="T194" s="4"/>
      <c r="U194" s="4"/>
      <c r="V194" s="4"/>
      <c r="W194" s="4"/>
      <c r="X194" s="4"/>
      <c r="Y194" s="4"/>
      <c r="Z194" s="4"/>
    </row>
    <row r="195" ht="15.75" customHeight="1">
      <c r="A195" s="34" t="s">
        <v>459</v>
      </c>
      <c r="B195" s="30" t="s">
        <v>460</v>
      </c>
      <c r="C195" s="30" t="s">
        <v>50</v>
      </c>
      <c r="D195" s="30" t="s">
        <v>416</v>
      </c>
      <c r="E195" s="35">
        <v>0.76</v>
      </c>
      <c r="F195" s="4"/>
      <c r="G195" s="4"/>
      <c r="H195" s="4"/>
      <c r="I195" s="4"/>
      <c r="J195" s="4"/>
      <c r="K195" s="4"/>
      <c r="L195" s="4"/>
      <c r="M195" s="4"/>
      <c r="N195" s="4"/>
      <c r="O195" s="4"/>
      <c r="P195" s="4"/>
      <c r="Q195" s="4"/>
      <c r="R195" s="4"/>
      <c r="S195" s="4"/>
      <c r="T195" s="4"/>
      <c r="U195" s="4"/>
      <c r="V195" s="4"/>
      <c r="W195" s="4"/>
      <c r="X195" s="4"/>
      <c r="Y195" s="4"/>
      <c r="Z195" s="4"/>
    </row>
    <row r="196" ht="15.75" customHeight="1">
      <c r="A196" s="34" t="s">
        <v>459</v>
      </c>
      <c r="B196" s="30" t="s">
        <v>460</v>
      </c>
      <c r="C196" s="30" t="s">
        <v>53</v>
      </c>
      <c r="D196" s="30" t="s">
        <v>417</v>
      </c>
      <c r="E196" s="35">
        <v>0.61</v>
      </c>
      <c r="F196" s="4"/>
      <c r="G196" s="4"/>
      <c r="H196" s="4"/>
      <c r="I196" s="4"/>
      <c r="J196" s="4"/>
      <c r="K196" s="4"/>
      <c r="L196" s="4"/>
      <c r="M196" s="4"/>
      <c r="N196" s="4"/>
      <c r="O196" s="4"/>
      <c r="P196" s="4"/>
      <c r="Q196" s="4"/>
      <c r="R196" s="4"/>
      <c r="S196" s="4"/>
      <c r="T196" s="4"/>
      <c r="U196" s="4"/>
      <c r="V196" s="4"/>
      <c r="W196" s="4"/>
      <c r="X196" s="4"/>
      <c r="Y196" s="4"/>
      <c r="Z196" s="4"/>
    </row>
    <row r="197" ht="15.75" customHeight="1">
      <c r="A197" s="34" t="s">
        <v>459</v>
      </c>
      <c r="B197" s="30" t="s">
        <v>460</v>
      </c>
      <c r="C197" s="30" t="s">
        <v>63</v>
      </c>
      <c r="D197" s="30" t="s">
        <v>418</v>
      </c>
      <c r="E197" s="35">
        <v>0.54</v>
      </c>
      <c r="F197" s="4"/>
      <c r="G197" s="4"/>
      <c r="H197" s="4"/>
      <c r="I197" s="4"/>
      <c r="J197" s="4"/>
      <c r="K197" s="4"/>
      <c r="L197" s="4"/>
      <c r="M197" s="4"/>
      <c r="N197" s="4"/>
      <c r="O197" s="4"/>
      <c r="P197" s="4"/>
      <c r="Q197" s="4"/>
      <c r="R197" s="4"/>
      <c r="S197" s="4"/>
      <c r="T197" s="4"/>
      <c r="U197" s="4"/>
      <c r="V197" s="4"/>
      <c r="W197" s="4"/>
      <c r="X197" s="4"/>
      <c r="Y197" s="4"/>
      <c r="Z197" s="4"/>
    </row>
    <row r="198" ht="15.75" customHeight="1">
      <c r="A198" s="34" t="s">
        <v>459</v>
      </c>
      <c r="B198" s="30" t="s">
        <v>460</v>
      </c>
      <c r="C198" s="30" t="s">
        <v>60</v>
      </c>
      <c r="D198" s="30" t="s">
        <v>420</v>
      </c>
      <c r="E198" s="35">
        <v>0.12</v>
      </c>
      <c r="F198" s="4"/>
      <c r="G198" s="4"/>
      <c r="H198" s="4"/>
      <c r="I198" s="4"/>
      <c r="J198" s="4"/>
      <c r="K198" s="4"/>
      <c r="L198" s="4"/>
      <c r="M198" s="4"/>
      <c r="N198" s="4"/>
      <c r="O198" s="4"/>
      <c r="P198" s="4"/>
      <c r="Q198" s="4"/>
      <c r="R198" s="4"/>
      <c r="S198" s="4"/>
      <c r="T198" s="4"/>
      <c r="U198" s="4"/>
      <c r="V198" s="4"/>
      <c r="W198" s="4"/>
      <c r="X198" s="4"/>
      <c r="Y198" s="4"/>
      <c r="Z198" s="4"/>
    </row>
    <row r="199" ht="15.75" customHeight="1">
      <c r="A199" s="34" t="s">
        <v>459</v>
      </c>
      <c r="B199" s="30" t="s">
        <v>460</v>
      </c>
      <c r="C199" s="30" t="s">
        <v>57</v>
      </c>
      <c r="D199" s="30" t="s">
        <v>422</v>
      </c>
      <c r="E199" s="35">
        <v>0.67</v>
      </c>
      <c r="F199" s="4"/>
      <c r="G199" s="4"/>
      <c r="H199" s="4"/>
      <c r="I199" s="4"/>
      <c r="J199" s="4"/>
      <c r="K199" s="4"/>
      <c r="L199" s="4"/>
      <c r="M199" s="4"/>
      <c r="N199" s="4"/>
      <c r="O199" s="4"/>
      <c r="P199" s="4"/>
      <c r="Q199" s="4"/>
      <c r="R199" s="4"/>
      <c r="S199" s="4"/>
      <c r="T199" s="4"/>
      <c r="U199" s="4"/>
      <c r="V199" s="4"/>
      <c r="W199" s="4"/>
      <c r="X199" s="4"/>
      <c r="Y199" s="4"/>
      <c r="Z199" s="4"/>
    </row>
    <row r="200" ht="15.75" customHeight="1">
      <c r="A200" s="34" t="s">
        <v>459</v>
      </c>
      <c r="B200" s="30" t="s">
        <v>460</v>
      </c>
      <c r="C200" s="30" t="s">
        <v>99</v>
      </c>
      <c r="D200" s="30" t="s">
        <v>424</v>
      </c>
      <c r="E200" s="35">
        <v>0.4</v>
      </c>
      <c r="F200" s="4"/>
      <c r="G200" s="4"/>
      <c r="H200" s="4"/>
      <c r="I200" s="4"/>
      <c r="J200" s="4"/>
      <c r="K200" s="4"/>
      <c r="L200" s="4"/>
      <c r="M200" s="4"/>
      <c r="N200" s="4"/>
      <c r="O200" s="4"/>
      <c r="P200" s="4"/>
      <c r="Q200" s="4"/>
      <c r="R200" s="4"/>
      <c r="S200" s="4"/>
      <c r="T200" s="4"/>
      <c r="U200" s="4"/>
      <c r="V200" s="4"/>
      <c r="W200" s="4"/>
      <c r="X200" s="4"/>
      <c r="Y200" s="4"/>
      <c r="Z200" s="4"/>
    </row>
    <row r="201" ht="15.75" customHeight="1">
      <c r="A201" s="34" t="s">
        <v>459</v>
      </c>
      <c r="B201" s="30" t="s">
        <v>460</v>
      </c>
      <c r="C201" s="30" t="s">
        <v>93</v>
      </c>
      <c r="D201" s="30" t="s">
        <v>425</v>
      </c>
      <c r="E201" s="35">
        <v>0.75</v>
      </c>
      <c r="F201" s="4"/>
      <c r="G201" s="4"/>
      <c r="H201" s="4"/>
      <c r="I201" s="4"/>
      <c r="J201" s="4"/>
      <c r="K201" s="4"/>
      <c r="L201" s="4"/>
      <c r="M201" s="4"/>
      <c r="N201" s="4"/>
      <c r="O201" s="4"/>
      <c r="P201" s="4"/>
      <c r="Q201" s="4"/>
      <c r="R201" s="4"/>
      <c r="S201" s="4"/>
      <c r="T201" s="4"/>
      <c r="U201" s="4"/>
      <c r="V201" s="4"/>
      <c r="W201" s="4"/>
      <c r="X201" s="4"/>
      <c r="Y201" s="4"/>
      <c r="Z201" s="4"/>
    </row>
    <row r="202" ht="15.75" customHeight="1">
      <c r="A202" s="34" t="s">
        <v>459</v>
      </c>
      <c r="B202" s="30" t="s">
        <v>460</v>
      </c>
      <c r="C202" s="30" t="s">
        <v>96</v>
      </c>
      <c r="D202" s="30" t="s">
        <v>426</v>
      </c>
      <c r="E202" s="35">
        <v>0.82</v>
      </c>
      <c r="F202" s="4"/>
      <c r="G202" s="4"/>
      <c r="H202" s="4"/>
      <c r="I202" s="4"/>
      <c r="J202" s="4"/>
      <c r="K202" s="4"/>
      <c r="L202" s="4"/>
      <c r="M202" s="4"/>
      <c r="N202" s="4"/>
      <c r="O202" s="4"/>
      <c r="P202" s="4"/>
      <c r="Q202" s="4"/>
      <c r="R202" s="4"/>
      <c r="S202" s="4"/>
      <c r="T202" s="4"/>
      <c r="U202" s="4"/>
      <c r="V202" s="4"/>
      <c r="W202" s="4"/>
      <c r="X202" s="4"/>
      <c r="Y202" s="4"/>
      <c r="Z202" s="4"/>
    </row>
    <row r="203" ht="15.75" customHeight="1">
      <c r="A203" s="34" t="s">
        <v>459</v>
      </c>
      <c r="B203" s="30" t="s">
        <v>460</v>
      </c>
      <c r="C203" s="30" t="s">
        <v>104</v>
      </c>
      <c r="D203" s="30" t="s">
        <v>427</v>
      </c>
      <c r="E203" s="35">
        <v>0.81</v>
      </c>
      <c r="F203" s="4"/>
      <c r="G203" s="4"/>
      <c r="H203" s="4"/>
      <c r="I203" s="4"/>
      <c r="J203" s="4"/>
      <c r="K203" s="4"/>
      <c r="L203" s="4"/>
      <c r="M203" s="4"/>
      <c r="N203" s="4"/>
      <c r="O203" s="4"/>
      <c r="P203" s="4"/>
      <c r="Q203" s="4"/>
      <c r="R203" s="4"/>
      <c r="S203" s="4"/>
      <c r="T203" s="4"/>
      <c r="U203" s="4"/>
      <c r="V203" s="4"/>
      <c r="W203" s="4"/>
      <c r="X203" s="4"/>
      <c r="Y203" s="4"/>
      <c r="Z203" s="4"/>
    </row>
    <row r="204" ht="15.75" customHeight="1">
      <c r="A204" s="34" t="s">
        <v>459</v>
      </c>
      <c r="B204" s="30" t="s">
        <v>460</v>
      </c>
      <c r="C204" s="30" t="s">
        <v>110</v>
      </c>
      <c r="D204" s="30" t="s">
        <v>428</v>
      </c>
      <c r="E204" s="35">
        <v>0.09</v>
      </c>
      <c r="F204" s="4"/>
      <c r="G204" s="4"/>
      <c r="H204" s="4"/>
      <c r="I204" s="4"/>
      <c r="J204" s="4"/>
      <c r="K204" s="4"/>
      <c r="L204" s="4"/>
      <c r="M204" s="4"/>
      <c r="N204" s="4"/>
      <c r="O204" s="4"/>
      <c r="P204" s="4"/>
      <c r="Q204" s="4"/>
      <c r="R204" s="4"/>
      <c r="S204" s="4"/>
      <c r="T204" s="4"/>
      <c r="U204" s="4"/>
      <c r="V204" s="4"/>
      <c r="W204" s="4"/>
      <c r="X204" s="4"/>
      <c r="Y204" s="4"/>
      <c r="Z204" s="4"/>
    </row>
    <row r="205" ht="15.75" customHeight="1">
      <c r="A205" s="34" t="s">
        <v>459</v>
      </c>
      <c r="B205" s="30" t="s">
        <v>460</v>
      </c>
      <c r="C205" s="30" t="s">
        <v>71</v>
      </c>
      <c r="D205" s="30" t="s">
        <v>430</v>
      </c>
      <c r="E205" s="35">
        <v>0.39</v>
      </c>
      <c r="F205" s="4"/>
      <c r="G205" s="4"/>
      <c r="H205" s="4"/>
      <c r="I205" s="4"/>
      <c r="J205" s="4"/>
      <c r="K205" s="4"/>
      <c r="L205" s="4"/>
      <c r="M205" s="4"/>
      <c r="N205" s="4"/>
      <c r="O205" s="4"/>
      <c r="P205" s="4"/>
      <c r="Q205" s="4"/>
      <c r="R205" s="4"/>
      <c r="S205" s="4"/>
      <c r="T205" s="4"/>
      <c r="U205" s="4"/>
      <c r="V205" s="4"/>
      <c r="W205" s="4"/>
      <c r="X205" s="4"/>
      <c r="Y205" s="4"/>
      <c r="Z205" s="4"/>
    </row>
    <row r="206" ht="15.75" customHeight="1">
      <c r="A206" s="34" t="s">
        <v>459</v>
      </c>
      <c r="B206" s="30" t="s">
        <v>460</v>
      </c>
      <c r="C206" s="30" t="s">
        <v>79</v>
      </c>
      <c r="D206" s="30" t="s">
        <v>432</v>
      </c>
      <c r="E206" s="35">
        <v>0.14</v>
      </c>
      <c r="F206" s="4"/>
      <c r="G206" s="4"/>
      <c r="H206" s="4"/>
      <c r="I206" s="4"/>
      <c r="J206" s="4"/>
      <c r="K206" s="4"/>
      <c r="L206" s="4"/>
      <c r="M206" s="4"/>
      <c r="N206" s="4"/>
      <c r="O206" s="4"/>
      <c r="P206" s="4"/>
      <c r="Q206" s="4"/>
      <c r="R206" s="4"/>
      <c r="S206" s="4"/>
      <c r="T206" s="4"/>
      <c r="U206" s="4"/>
      <c r="V206" s="4"/>
      <c r="W206" s="4"/>
      <c r="X206" s="4"/>
      <c r="Y206" s="4"/>
      <c r="Z206" s="4"/>
    </row>
    <row r="207" ht="15.75" customHeight="1">
      <c r="A207" s="34" t="s">
        <v>459</v>
      </c>
      <c r="B207" s="30" t="s">
        <v>460</v>
      </c>
      <c r="C207" s="30" t="s">
        <v>82</v>
      </c>
      <c r="D207" s="30" t="s">
        <v>433</v>
      </c>
      <c r="E207" s="35">
        <v>0.16</v>
      </c>
      <c r="F207" s="4"/>
      <c r="G207" s="4"/>
      <c r="H207" s="4"/>
      <c r="I207" s="4"/>
      <c r="J207" s="4"/>
      <c r="K207" s="4"/>
      <c r="L207" s="4"/>
      <c r="M207" s="4"/>
      <c r="N207" s="4"/>
      <c r="O207" s="4"/>
      <c r="P207" s="4"/>
      <c r="Q207" s="4"/>
      <c r="R207" s="4"/>
      <c r="S207" s="4"/>
      <c r="T207" s="4"/>
      <c r="U207" s="4"/>
      <c r="V207" s="4"/>
      <c r="W207" s="4"/>
      <c r="X207" s="4"/>
      <c r="Y207" s="4"/>
      <c r="Z207" s="4"/>
    </row>
    <row r="208" ht="15.75" customHeight="1">
      <c r="A208" s="34" t="s">
        <v>459</v>
      </c>
      <c r="B208" s="30" t="s">
        <v>460</v>
      </c>
      <c r="C208" s="30" t="s">
        <v>85</v>
      </c>
      <c r="D208" s="30" t="s">
        <v>434</v>
      </c>
      <c r="E208" s="35">
        <v>0.67</v>
      </c>
      <c r="F208" s="4"/>
      <c r="G208" s="4"/>
      <c r="H208" s="4"/>
      <c r="I208" s="4"/>
      <c r="J208" s="4"/>
      <c r="K208" s="4"/>
      <c r="L208" s="4"/>
      <c r="M208" s="4"/>
      <c r="N208" s="4"/>
      <c r="O208" s="4"/>
      <c r="P208" s="4"/>
      <c r="Q208" s="4"/>
      <c r="R208" s="4"/>
      <c r="S208" s="4"/>
      <c r="T208" s="4"/>
      <c r="U208" s="4"/>
      <c r="V208" s="4"/>
      <c r="W208" s="4"/>
      <c r="X208" s="4"/>
      <c r="Y208" s="4"/>
      <c r="Z208" s="4"/>
    </row>
    <row r="209" ht="15.75" customHeight="1">
      <c r="A209" s="34" t="s">
        <v>459</v>
      </c>
      <c r="B209" s="30" t="s">
        <v>460</v>
      </c>
      <c r="C209" s="30" t="s">
        <v>88</v>
      </c>
      <c r="D209" s="30" t="s">
        <v>435</v>
      </c>
      <c r="E209" s="35">
        <v>0.38</v>
      </c>
      <c r="F209" s="4"/>
      <c r="G209" s="4"/>
      <c r="H209" s="4"/>
      <c r="I209" s="4"/>
      <c r="J209" s="4"/>
      <c r="K209" s="4"/>
      <c r="L209" s="4"/>
      <c r="M209" s="4"/>
      <c r="N209" s="4"/>
      <c r="O209" s="4"/>
      <c r="P209" s="4"/>
      <c r="Q209" s="4"/>
      <c r="R209" s="4"/>
      <c r="S209" s="4"/>
      <c r="T209" s="4"/>
      <c r="U209" s="4"/>
      <c r="V209" s="4"/>
      <c r="W209" s="4"/>
      <c r="X209" s="4"/>
      <c r="Y209" s="4"/>
      <c r="Z209" s="4"/>
    </row>
    <row r="210" ht="15.75" customHeight="1">
      <c r="A210" s="34" t="s">
        <v>459</v>
      </c>
      <c r="B210" s="30" t="s">
        <v>460</v>
      </c>
      <c r="C210" s="30" t="s">
        <v>76</v>
      </c>
      <c r="D210" s="30" t="s">
        <v>437</v>
      </c>
      <c r="E210" s="35">
        <v>0.18</v>
      </c>
      <c r="F210" s="4"/>
      <c r="G210" s="4"/>
      <c r="H210" s="4"/>
      <c r="I210" s="4"/>
      <c r="J210" s="4"/>
      <c r="K210" s="4"/>
      <c r="L210" s="4"/>
      <c r="M210" s="4"/>
      <c r="N210" s="4"/>
      <c r="O210" s="4"/>
      <c r="P210" s="4"/>
      <c r="Q210" s="4"/>
      <c r="R210" s="4"/>
      <c r="S210" s="4"/>
      <c r="T210" s="4"/>
      <c r="U210" s="4"/>
      <c r="V210" s="4"/>
      <c r="W210" s="4"/>
      <c r="X210" s="4"/>
      <c r="Y210" s="4"/>
      <c r="Z210" s="4"/>
    </row>
    <row r="211" ht="15.75" customHeight="1">
      <c r="A211" s="34" t="s">
        <v>459</v>
      </c>
      <c r="B211" s="30" t="s">
        <v>460</v>
      </c>
      <c r="C211" s="30" t="s">
        <v>107</v>
      </c>
      <c r="D211" s="30" t="s">
        <v>438</v>
      </c>
      <c r="E211" s="35">
        <v>0.28</v>
      </c>
      <c r="F211" s="4"/>
      <c r="G211" s="4"/>
      <c r="H211" s="4"/>
      <c r="I211" s="4"/>
      <c r="J211" s="4"/>
      <c r="K211" s="4"/>
      <c r="L211" s="4"/>
      <c r="M211" s="4"/>
      <c r="N211" s="4"/>
      <c r="O211" s="4"/>
      <c r="P211" s="4"/>
      <c r="Q211" s="4"/>
      <c r="R211" s="4"/>
      <c r="S211" s="4"/>
      <c r="T211" s="4"/>
      <c r="U211" s="4"/>
      <c r="V211" s="4"/>
      <c r="W211" s="4"/>
      <c r="X211" s="4"/>
      <c r="Y211" s="4"/>
      <c r="Z211" s="4"/>
    </row>
    <row r="212" ht="15.75" customHeight="1">
      <c r="A212" s="34" t="s">
        <v>461</v>
      </c>
      <c r="B212" s="30" t="s">
        <v>462</v>
      </c>
      <c r="C212" s="30" t="s">
        <v>23</v>
      </c>
      <c r="D212" s="30" t="s">
        <v>408</v>
      </c>
      <c r="E212" s="35">
        <v>0.2</v>
      </c>
      <c r="F212" s="4"/>
      <c r="G212" s="4"/>
      <c r="H212" s="4"/>
      <c r="I212" s="4"/>
      <c r="J212" s="4"/>
      <c r="K212" s="4"/>
      <c r="L212" s="4"/>
      <c r="M212" s="4"/>
      <c r="N212" s="4"/>
      <c r="O212" s="4"/>
      <c r="P212" s="4"/>
      <c r="Q212" s="4"/>
      <c r="R212" s="4"/>
      <c r="S212" s="4"/>
      <c r="T212" s="4"/>
      <c r="U212" s="4"/>
      <c r="V212" s="4"/>
      <c r="W212" s="4"/>
      <c r="X212" s="4"/>
      <c r="Y212" s="4"/>
      <c r="Z212" s="4"/>
    </row>
    <row r="213" ht="15.75" customHeight="1">
      <c r="A213" s="34" t="s">
        <v>461</v>
      </c>
      <c r="B213" s="30" t="s">
        <v>462</v>
      </c>
      <c r="C213" s="30" t="s">
        <v>31</v>
      </c>
      <c r="D213" s="30" t="s">
        <v>411</v>
      </c>
      <c r="E213" s="35">
        <v>0.55</v>
      </c>
      <c r="F213" s="4"/>
      <c r="G213" s="4"/>
      <c r="H213" s="4"/>
      <c r="I213" s="4"/>
      <c r="J213" s="4"/>
      <c r="K213" s="4"/>
      <c r="L213" s="4"/>
      <c r="M213" s="4"/>
      <c r="N213" s="4"/>
      <c r="O213" s="4"/>
      <c r="P213" s="4"/>
      <c r="Q213" s="4"/>
      <c r="R213" s="4"/>
      <c r="S213" s="4"/>
      <c r="T213" s="4"/>
      <c r="U213" s="4"/>
      <c r="V213" s="4"/>
      <c r="W213" s="4"/>
      <c r="X213" s="4"/>
      <c r="Y213" s="4"/>
      <c r="Z213" s="4"/>
    </row>
    <row r="214" ht="15.75" customHeight="1">
      <c r="A214" s="34" t="s">
        <v>461</v>
      </c>
      <c r="B214" s="30" t="s">
        <v>462</v>
      </c>
      <c r="C214" s="30" t="s">
        <v>34</v>
      </c>
      <c r="D214" s="30" t="s">
        <v>413</v>
      </c>
      <c r="E214" s="35">
        <v>0.9</v>
      </c>
      <c r="F214" s="4"/>
      <c r="G214" s="4"/>
      <c r="H214" s="4"/>
      <c r="I214" s="4"/>
      <c r="J214" s="4"/>
      <c r="K214" s="4"/>
      <c r="L214" s="4"/>
      <c r="M214" s="4"/>
      <c r="N214" s="4"/>
      <c r="O214" s="4"/>
      <c r="P214" s="4"/>
      <c r="Q214" s="4"/>
      <c r="R214" s="4"/>
      <c r="S214" s="4"/>
      <c r="T214" s="4"/>
      <c r="U214" s="4"/>
      <c r="V214" s="4"/>
      <c r="W214" s="4"/>
      <c r="X214" s="4"/>
      <c r="Y214" s="4"/>
      <c r="Z214" s="4"/>
    </row>
    <row r="215" ht="15.75" customHeight="1">
      <c r="A215" s="34" t="s">
        <v>461</v>
      </c>
      <c r="B215" s="30" t="s">
        <v>462</v>
      </c>
      <c r="C215" s="30" t="s">
        <v>43</v>
      </c>
      <c r="D215" s="30" t="s">
        <v>415</v>
      </c>
      <c r="E215" s="35">
        <v>0.55</v>
      </c>
      <c r="F215" s="4"/>
      <c r="G215" s="4"/>
      <c r="H215" s="4"/>
      <c r="I215" s="4"/>
      <c r="J215" s="4"/>
      <c r="K215" s="4"/>
      <c r="L215" s="4"/>
      <c r="M215" s="4"/>
      <c r="N215" s="4"/>
      <c r="O215" s="4"/>
      <c r="P215" s="4"/>
      <c r="Q215" s="4"/>
      <c r="R215" s="4"/>
      <c r="S215" s="4"/>
      <c r="T215" s="4"/>
      <c r="U215" s="4"/>
      <c r="V215" s="4"/>
      <c r="W215" s="4"/>
      <c r="X215" s="4"/>
      <c r="Y215" s="4"/>
      <c r="Z215" s="4"/>
    </row>
    <row r="216" ht="15.75" customHeight="1">
      <c r="A216" s="34" t="s">
        <v>461</v>
      </c>
      <c r="B216" s="30" t="s">
        <v>462</v>
      </c>
      <c r="C216" s="30" t="s">
        <v>50</v>
      </c>
      <c r="D216" s="30" t="s">
        <v>416</v>
      </c>
      <c r="E216" s="35">
        <v>0.35</v>
      </c>
      <c r="F216" s="4"/>
      <c r="G216" s="4"/>
      <c r="H216" s="4"/>
      <c r="I216" s="4"/>
      <c r="J216" s="4"/>
      <c r="K216" s="4"/>
      <c r="L216" s="4"/>
      <c r="M216" s="4"/>
      <c r="N216" s="4"/>
      <c r="O216" s="4"/>
      <c r="P216" s="4"/>
      <c r="Q216" s="4"/>
      <c r="R216" s="4"/>
      <c r="S216" s="4"/>
      <c r="T216" s="4"/>
      <c r="U216" s="4"/>
      <c r="V216" s="4"/>
      <c r="W216" s="4"/>
      <c r="X216" s="4"/>
      <c r="Y216" s="4"/>
      <c r="Z216" s="4"/>
    </row>
    <row r="217" ht="15.75" customHeight="1">
      <c r="A217" s="34" t="s">
        <v>461</v>
      </c>
      <c r="B217" s="30" t="s">
        <v>462</v>
      </c>
      <c r="C217" s="30" t="s">
        <v>53</v>
      </c>
      <c r="D217" s="30" t="s">
        <v>417</v>
      </c>
      <c r="E217" s="35">
        <v>0.2</v>
      </c>
      <c r="F217" s="4"/>
      <c r="G217" s="4"/>
      <c r="H217" s="4"/>
      <c r="I217" s="4"/>
      <c r="J217" s="4"/>
      <c r="K217" s="4"/>
      <c r="L217" s="4"/>
      <c r="M217" s="4"/>
      <c r="N217" s="4"/>
      <c r="O217" s="4"/>
      <c r="P217" s="4"/>
      <c r="Q217" s="4"/>
      <c r="R217" s="4"/>
      <c r="S217" s="4"/>
      <c r="T217" s="4"/>
      <c r="U217" s="4"/>
      <c r="V217" s="4"/>
      <c r="W217" s="4"/>
      <c r="X217" s="4"/>
      <c r="Y217" s="4"/>
      <c r="Z217" s="4"/>
    </row>
    <row r="218" ht="15.75" customHeight="1">
      <c r="A218" s="34" t="s">
        <v>461</v>
      </c>
      <c r="B218" s="30" t="s">
        <v>462</v>
      </c>
      <c r="C218" s="30" t="s">
        <v>63</v>
      </c>
      <c r="D218" s="30" t="s">
        <v>418</v>
      </c>
      <c r="E218" s="35">
        <v>0.2</v>
      </c>
      <c r="F218" s="4"/>
      <c r="G218" s="4"/>
      <c r="H218" s="4"/>
      <c r="I218" s="4"/>
      <c r="J218" s="4"/>
      <c r="K218" s="4"/>
      <c r="L218" s="4"/>
      <c r="M218" s="4"/>
      <c r="N218" s="4"/>
      <c r="O218" s="4"/>
      <c r="P218" s="4"/>
      <c r="Q218" s="4"/>
      <c r="R218" s="4"/>
      <c r="S218" s="4"/>
      <c r="T218" s="4"/>
      <c r="U218" s="4"/>
      <c r="V218" s="4"/>
      <c r="W218" s="4"/>
      <c r="X218" s="4"/>
      <c r="Y218" s="4"/>
      <c r="Z218" s="4"/>
    </row>
    <row r="219" ht="15.75" customHeight="1">
      <c r="A219" s="34" t="s">
        <v>461</v>
      </c>
      <c r="B219" s="30" t="s">
        <v>462</v>
      </c>
      <c r="C219" s="30" t="s">
        <v>60</v>
      </c>
      <c r="D219" s="30" t="s">
        <v>420</v>
      </c>
      <c r="E219" s="35">
        <v>0.4</v>
      </c>
      <c r="F219" s="4"/>
      <c r="G219" s="4"/>
      <c r="H219" s="4"/>
      <c r="I219" s="4"/>
      <c r="J219" s="4"/>
      <c r="K219" s="4"/>
      <c r="L219" s="4"/>
      <c r="M219" s="4"/>
      <c r="N219" s="4"/>
      <c r="O219" s="4"/>
      <c r="P219" s="4"/>
      <c r="Q219" s="4"/>
      <c r="R219" s="4"/>
      <c r="S219" s="4"/>
      <c r="T219" s="4"/>
      <c r="U219" s="4"/>
      <c r="V219" s="4"/>
      <c r="W219" s="4"/>
      <c r="X219" s="4"/>
      <c r="Y219" s="4"/>
      <c r="Z219" s="4"/>
    </row>
    <row r="220" ht="15.75" customHeight="1">
      <c r="A220" s="34" t="s">
        <v>461</v>
      </c>
      <c r="B220" s="30" t="s">
        <v>462</v>
      </c>
      <c r="C220" s="30" t="s">
        <v>57</v>
      </c>
      <c r="D220" s="30" t="s">
        <v>422</v>
      </c>
      <c r="E220" s="35">
        <v>0.15</v>
      </c>
      <c r="F220" s="4"/>
      <c r="G220" s="4"/>
      <c r="H220" s="4"/>
      <c r="I220" s="4"/>
      <c r="J220" s="4"/>
      <c r="K220" s="4"/>
      <c r="L220" s="4"/>
      <c r="M220" s="4"/>
      <c r="N220" s="4"/>
      <c r="O220" s="4"/>
      <c r="P220" s="4"/>
      <c r="Q220" s="4"/>
      <c r="R220" s="4"/>
      <c r="S220" s="4"/>
      <c r="T220" s="4"/>
      <c r="U220" s="4"/>
      <c r="V220" s="4"/>
      <c r="W220" s="4"/>
      <c r="X220" s="4"/>
      <c r="Y220" s="4"/>
      <c r="Z220" s="4"/>
    </row>
    <row r="221" ht="15.75" customHeight="1">
      <c r="A221" s="34" t="s">
        <v>461</v>
      </c>
      <c r="B221" s="30" t="s">
        <v>462</v>
      </c>
      <c r="C221" s="30" t="s">
        <v>99</v>
      </c>
      <c r="D221" s="30" t="s">
        <v>424</v>
      </c>
      <c r="E221" s="35">
        <v>0.3</v>
      </c>
      <c r="F221" s="4"/>
      <c r="G221" s="4"/>
      <c r="H221" s="4"/>
      <c r="I221" s="4"/>
      <c r="J221" s="4"/>
      <c r="K221" s="4"/>
      <c r="L221" s="4"/>
      <c r="M221" s="4"/>
      <c r="N221" s="4"/>
      <c r="O221" s="4"/>
      <c r="P221" s="4"/>
      <c r="Q221" s="4"/>
      <c r="R221" s="4"/>
      <c r="S221" s="4"/>
      <c r="T221" s="4"/>
      <c r="U221" s="4"/>
      <c r="V221" s="4"/>
      <c r="W221" s="4"/>
      <c r="X221" s="4"/>
      <c r="Y221" s="4"/>
      <c r="Z221" s="4"/>
    </row>
    <row r="222" ht="15.75" customHeight="1">
      <c r="A222" s="34" t="s">
        <v>461</v>
      </c>
      <c r="B222" s="30" t="s">
        <v>462</v>
      </c>
      <c r="C222" s="30" t="s">
        <v>93</v>
      </c>
      <c r="D222" s="30" t="s">
        <v>425</v>
      </c>
      <c r="E222" s="35">
        <v>0.45</v>
      </c>
      <c r="F222" s="4"/>
      <c r="G222" s="4"/>
      <c r="H222" s="4"/>
      <c r="I222" s="4"/>
      <c r="J222" s="4"/>
      <c r="K222" s="4"/>
      <c r="L222" s="4"/>
      <c r="M222" s="4"/>
      <c r="N222" s="4"/>
      <c r="O222" s="4"/>
      <c r="P222" s="4"/>
      <c r="Q222" s="4"/>
      <c r="R222" s="4"/>
      <c r="S222" s="4"/>
      <c r="T222" s="4"/>
      <c r="U222" s="4"/>
      <c r="V222" s="4"/>
      <c r="W222" s="4"/>
      <c r="X222" s="4"/>
      <c r="Y222" s="4"/>
      <c r="Z222" s="4"/>
    </row>
    <row r="223" ht="15.75" customHeight="1">
      <c r="A223" s="34" t="s">
        <v>461</v>
      </c>
      <c r="B223" s="30" t="s">
        <v>462</v>
      </c>
      <c r="C223" s="30" t="s">
        <v>96</v>
      </c>
      <c r="D223" s="30" t="s">
        <v>426</v>
      </c>
      <c r="E223" s="35">
        <v>0.55</v>
      </c>
      <c r="F223" s="4"/>
      <c r="G223" s="4"/>
      <c r="H223" s="4"/>
      <c r="I223" s="4"/>
      <c r="J223" s="4"/>
      <c r="K223" s="4"/>
      <c r="L223" s="4"/>
      <c r="M223" s="4"/>
      <c r="N223" s="4"/>
      <c r="O223" s="4"/>
      <c r="P223" s="4"/>
      <c r="Q223" s="4"/>
      <c r="R223" s="4"/>
      <c r="S223" s="4"/>
      <c r="T223" s="4"/>
      <c r="U223" s="4"/>
      <c r="V223" s="4"/>
      <c r="W223" s="4"/>
      <c r="X223" s="4"/>
      <c r="Y223" s="4"/>
      <c r="Z223" s="4"/>
    </row>
    <row r="224" ht="15.75" customHeight="1">
      <c r="A224" s="34" t="s">
        <v>461</v>
      </c>
      <c r="B224" s="30" t="s">
        <v>462</v>
      </c>
      <c r="C224" s="30" t="s">
        <v>104</v>
      </c>
      <c r="D224" s="30" t="s">
        <v>427</v>
      </c>
      <c r="E224" s="35">
        <v>0.65</v>
      </c>
      <c r="F224" s="4"/>
      <c r="G224" s="4"/>
      <c r="H224" s="4"/>
      <c r="I224" s="4"/>
      <c r="J224" s="4"/>
      <c r="K224" s="4"/>
      <c r="L224" s="4"/>
      <c r="M224" s="4"/>
      <c r="N224" s="4"/>
      <c r="O224" s="4"/>
      <c r="P224" s="4"/>
      <c r="Q224" s="4"/>
      <c r="R224" s="4"/>
      <c r="S224" s="4"/>
      <c r="T224" s="4"/>
      <c r="U224" s="4"/>
      <c r="V224" s="4"/>
      <c r="W224" s="4"/>
      <c r="X224" s="4"/>
      <c r="Y224" s="4"/>
      <c r="Z224" s="4"/>
    </row>
    <row r="225" ht="15.75" customHeight="1">
      <c r="A225" s="34" t="s">
        <v>461</v>
      </c>
      <c r="B225" s="30" t="s">
        <v>462</v>
      </c>
      <c r="C225" s="30" t="s">
        <v>110</v>
      </c>
      <c r="D225" s="30" t="s">
        <v>428</v>
      </c>
      <c r="E225" s="35">
        <v>0.2</v>
      </c>
      <c r="F225" s="4"/>
      <c r="G225" s="4"/>
      <c r="H225" s="4"/>
      <c r="I225" s="4"/>
      <c r="J225" s="4"/>
      <c r="K225" s="4"/>
      <c r="L225" s="4"/>
      <c r="M225" s="4"/>
      <c r="N225" s="4"/>
      <c r="O225" s="4"/>
      <c r="P225" s="4"/>
      <c r="Q225" s="4"/>
      <c r="R225" s="4"/>
      <c r="S225" s="4"/>
      <c r="T225" s="4"/>
      <c r="U225" s="4"/>
      <c r="V225" s="4"/>
      <c r="W225" s="4"/>
      <c r="X225" s="4"/>
      <c r="Y225" s="4"/>
      <c r="Z225" s="4"/>
    </row>
    <row r="226" ht="15.75" customHeight="1">
      <c r="A226" s="34" t="s">
        <v>461</v>
      </c>
      <c r="B226" s="30" t="s">
        <v>462</v>
      </c>
      <c r="C226" s="30" t="s">
        <v>71</v>
      </c>
      <c r="D226" s="30" t="s">
        <v>430</v>
      </c>
      <c r="E226" s="35">
        <v>0.75</v>
      </c>
      <c r="F226" s="4"/>
      <c r="G226" s="4"/>
      <c r="H226" s="4"/>
      <c r="I226" s="4"/>
      <c r="J226" s="4"/>
      <c r="K226" s="4"/>
      <c r="L226" s="4"/>
      <c r="M226" s="4"/>
      <c r="N226" s="4"/>
      <c r="O226" s="4"/>
      <c r="P226" s="4"/>
      <c r="Q226" s="4"/>
      <c r="R226" s="4"/>
      <c r="S226" s="4"/>
      <c r="T226" s="4"/>
      <c r="U226" s="4"/>
      <c r="V226" s="4"/>
      <c r="W226" s="4"/>
      <c r="X226" s="4"/>
      <c r="Y226" s="4"/>
      <c r="Z226" s="4"/>
    </row>
    <row r="227" ht="15.75" customHeight="1">
      <c r="A227" s="34" t="s">
        <v>461</v>
      </c>
      <c r="B227" s="30" t="s">
        <v>462</v>
      </c>
      <c r="C227" s="30" t="s">
        <v>79</v>
      </c>
      <c r="D227" s="30" t="s">
        <v>432</v>
      </c>
      <c r="E227" s="35">
        <v>0.35</v>
      </c>
      <c r="F227" s="4"/>
      <c r="G227" s="4"/>
      <c r="H227" s="4"/>
      <c r="I227" s="4"/>
      <c r="J227" s="4"/>
      <c r="K227" s="4"/>
      <c r="L227" s="4"/>
      <c r="M227" s="4"/>
      <c r="N227" s="4"/>
      <c r="O227" s="4"/>
      <c r="P227" s="4"/>
      <c r="Q227" s="4"/>
      <c r="R227" s="4"/>
      <c r="S227" s="4"/>
      <c r="T227" s="4"/>
      <c r="U227" s="4"/>
      <c r="V227" s="4"/>
      <c r="W227" s="4"/>
      <c r="X227" s="4"/>
      <c r="Y227" s="4"/>
      <c r="Z227" s="4"/>
    </row>
    <row r="228" ht="15.75" customHeight="1">
      <c r="A228" s="34" t="s">
        <v>461</v>
      </c>
      <c r="B228" s="30" t="s">
        <v>462</v>
      </c>
      <c r="C228" s="30" t="s">
        <v>82</v>
      </c>
      <c r="D228" s="30" t="s">
        <v>433</v>
      </c>
      <c r="E228" s="35">
        <v>0.2</v>
      </c>
      <c r="F228" s="4"/>
      <c r="G228" s="4"/>
      <c r="H228" s="4"/>
      <c r="I228" s="4"/>
      <c r="J228" s="4"/>
      <c r="K228" s="4"/>
      <c r="L228" s="4"/>
      <c r="M228" s="4"/>
      <c r="N228" s="4"/>
      <c r="O228" s="4"/>
      <c r="P228" s="4"/>
      <c r="Q228" s="4"/>
      <c r="R228" s="4"/>
      <c r="S228" s="4"/>
      <c r="T228" s="4"/>
      <c r="U228" s="4"/>
      <c r="V228" s="4"/>
      <c r="W228" s="4"/>
      <c r="X228" s="4"/>
      <c r="Y228" s="4"/>
      <c r="Z228" s="4"/>
    </row>
    <row r="229" ht="15.75" customHeight="1">
      <c r="A229" s="34" t="s">
        <v>461</v>
      </c>
      <c r="B229" s="30" t="s">
        <v>462</v>
      </c>
      <c r="C229" s="30" t="s">
        <v>85</v>
      </c>
      <c r="D229" s="30" t="s">
        <v>434</v>
      </c>
      <c r="E229" s="35">
        <v>0.25</v>
      </c>
      <c r="F229" s="4"/>
      <c r="G229" s="4"/>
      <c r="H229" s="4"/>
      <c r="I229" s="4"/>
      <c r="J229" s="4"/>
      <c r="K229" s="4"/>
      <c r="L229" s="4"/>
      <c r="M229" s="4"/>
      <c r="N229" s="4"/>
      <c r="O229" s="4"/>
      <c r="P229" s="4"/>
      <c r="Q229" s="4"/>
      <c r="R229" s="4"/>
      <c r="S229" s="4"/>
      <c r="T229" s="4"/>
      <c r="U229" s="4"/>
      <c r="V229" s="4"/>
      <c r="W229" s="4"/>
      <c r="X229" s="4"/>
      <c r="Y229" s="4"/>
      <c r="Z229" s="4"/>
    </row>
    <row r="230" ht="15.75" customHeight="1">
      <c r="A230" s="34" t="s">
        <v>461</v>
      </c>
      <c r="B230" s="30" t="s">
        <v>462</v>
      </c>
      <c r="C230" s="30" t="s">
        <v>88</v>
      </c>
      <c r="D230" s="30" t="s">
        <v>435</v>
      </c>
      <c r="E230" s="35">
        <v>0.05</v>
      </c>
      <c r="F230" s="4"/>
      <c r="G230" s="4"/>
      <c r="H230" s="4"/>
      <c r="I230" s="4"/>
      <c r="J230" s="4"/>
      <c r="K230" s="4"/>
      <c r="L230" s="4"/>
      <c r="M230" s="4"/>
      <c r="N230" s="4"/>
      <c r="O230" s="4"/>
      <c r="P230" s="4"/>
      <c r="Q230" s="4"/>
      <c r="R230" s="4"/>
      <c r="S230" s="4"/>
      <c r="T230" s="4"/>
      <c r="U230" s="4"/>
      <c r="V230" s="4"/>
      <c r="W230" s="4"/>
      <c r="X230" s="4"/>
      <c r="Y230" s="4"/>
      <c r="Z230" s="4"/>
    </row>
    <row r="231" ht="15.75" customHeight="1">
      <c r="A231" s="34" t="s">
        <v>461</v>
      </c>
      <c r="B231" s="30" t="s">
        <v>462</v>
      </c>
      <c r="C231" s="30" t="s">
        <v>76</v>
      </c>
      <c r="D231" s="30" t="s">
        <v>437</v>
      </c>
      <c r="E231" s="35">
        <v>0.6</v>
      </c>
      <c r="F231" s="4"/>
      <c r="G231" s="4"/>
      <c r="H231" s="4"/>
      <c r="I231" s="4"/>
      <c r="J231" s="4"/>
      <c r="K231" s="4"/>
      <c r="L231" s="4"/>
      <c r="M231" s="4"/>
      <c r="N231" s="4"/>
      <c r="O231" s="4"/>
      <c r="P231" s="4"/>
      <c r="Q231" s="4"/>
      <c r="R231" s="4"/>
      <c r="S231" s="4"/>
      <c r="T231" s="4"/>
      <c r="U231" s="4"/>
      <c r="V231" s="4"/>
      <c r="W231" s="4"/>
      <c r="X231" s="4"/>
      <c r="Y231" s="4"/>
      <c r="Z231" s="4"/>
    </row>
    <row r="232" ht="15.75" customHeight="1">
      <c r="A232" s="34" t="s">
        <v>461</v>
      </c>
      <c r="B232" s="30" t="s">
        <v>462</v>
      </c>
      <c r="C232" s="30" t="s">
        <v>107</v>
      </c>
      <c r="D232" s="30" t="s">
        <v>438</v>
      </c>
      <c r="E232" s="35">
        <v>0.55</v>
      </c>
      <c r="F232" s="4"/>
      <c r="G232" s="4"/>
      <c r="H232" s="4"/>
      <c r="I232" s="4"/>
      <c r="J232" s="4"/>
      <c r="K232" s="4"/>
      <c r="L232" s="4"/>
      <c r="M232" s="4"/>
      <c r="N232" s="4"/>
      <c r="O232" s="4"/>
      <c r="P232" s="4"/>
      <c r="Q232" s="4"/>
      <c r="R232" s="4"/>
      <c r="S232" s="4"/>
      <c r="T232" s="4"/>
      <c r="U232" s="4"/>
      <c r="V232" s="4"/>
      <c r="W232" s="4"/>
      <c r="X232" s="4"/>
      <c r="Y232" s="4"/>
      <c r="Z232" s="4"/>
    </row>
    <row r="233" ht="15.75" customHeight="1">
      <c r="A233" s="34" t="s">
        <v>463</v>
      </c>
      <c r="B233" s="30" t="s">
        <v>464</v>
      </c>
      <c r="C233" s="30" t="s">
        <v>23</v>
      </c>
      <c r="D233" s="30" t="s">
        <v>408</v>
      </c>
      <c r="E233" s="35">
        <v>0.25</v>
      </c>
      <c r="F233" s="4"/>
      <c r="G233" s="4"/>
      <c r="H233" s="4"/>
      <c r="I233" s="4"/>
      <c r="J233" s="4"/>
      <c r="K233" s="4"/>
      <c r="L233" s="4"/>
      <c r="M233" s="4"/>
      <c r="N233" s="4"/>
      <c r="O233" s="4"/>
      <c r="P233" s="4"/>
      <c r="Q233" s="4"/>
      <c r="R233" s="4"/>
      <c r="S233" s="4"/>
      <c r="T233" s="4"/>
      <c r="U233" s="4"/>
      <c r="V233" s="4"/>
      <c r="W233" s="4"/>
      <c r="X233" s="4"/>
      <c r="Y233" s="4"/>
      <c r="Z233" s="4"/>
    </row>
    <row r="234" ht="15.75" customHeight="1">
      <c r="A234" s="34" t="s">
        <v>463</v>
      </c>
      <c r="B234" s="30" t="s">
        <v>464</v>
      </c>
      <c r="C234" s="30" t="s">
        <v>31</v>
      </c>
      <c r="D234" s="30" t="s">
        <v>411</v>
      </c>
      <c r="E234" s="35">
        <v>0.75</v>
      </c>
      <c r="F234" s="4"/>
      <c r="G234" s="4"/>
      <c r="H234" s="4"/>
      <c r="I234" s="4"/>
      <c r="J234" s="4"/>
      <c r="K234" s="4"/>
      <c r="L234" s="4"/>
      <c r="M234" s="4"/>
      <c r="N234" s="4"/>
      <c r="O234" s="4"/>
      <c r="P234" s="4"/>
      <c r="Q234" s="4"/>
      <c r="R234" s="4"/>
      <c r="S234" s="4"/>
      <c r="T234" s="4"/>
      <c r="U234" s="4"/>
      <c r="V234" s="4"/>
      <c r="W234" s="4"/>
      <c r="X234" s="4"/>
      <c r="Y234" s="4"/>
      <c r="Z234" s="4"/>
    </row>
    <row r="235" ht="15.75" customHeight="1">
      <c r="A235" s="34" t="s">
        <v>463</v>
      </c>
      <c r="B235" s="30" t="s">
        <v>464</v>
      </c>
      <c r="C235" s="30" t="s">
        <v>34</v>
      </c>
      <c r="D235" s="30" t="s">
        <v>413</v>
      </c>
      <c r="E235" s="35">
        <v>0.4</v>
      </c>
      <c r="F235" s="4"/>
      <c r="G235" s="4"/>
      <c r="H235" s="4"/>
      <c r="I235" s="4"/>
      <c r="J235" s="4"/>
      <c r="K235" s="4"/>
      <c r="L235" s="4"/>
      <c r="M235" s="4"/>
      <c r="N235" s="4"/>
      <c r="O235" s="4"/>
      <c r="P235" s="4"/>
      <c r="Q235" s="4"/>
      <c r="R235" s="4"/>
      <c r="S235" s="4"/>
      <c r="T235" s="4"/>
      <c r="U235" s="4"/>
      <c r="V235" s="4"/>
      <c r="W235" s="4"/>
      <c r="X235" s="4"/>
      <c r="Y235" s="4"/>
      <c r="Z235" s="4"/>
    </row>
    <row r="236" ht="15.75" customHeight="1">
      <c r="A236" s="34" t="s">
        <v>463</v>
      </c>
      <c r="B236" s="30" t="s">
        <v>464</v>
      </c>
      <c r="C236" s="30" t="s">
        <v>43</v>
      </c>
      <c r="D236" s="30" t="s">
        <v>415</v>
      </c>
      <c r="E236" s="35">
        <v>0.7</v>
      </c>
      <c r="F236" s="4"/>
      <c r="G236" s="4"/>
      <c r="H236" s="4"/>
      <c r="I236" s="4"/>
      <c r="J236" s="4"/>
      <c r="K236" s="4"/>
      <c r="L236" s="4"/>
      <c r="M236" s="4"/>
      <c r="N236" s="4"/>
      <c r="O236" s="4"/>
      <c r="P236" s="4"/>
      <c r="Q236" s="4"/>
      <c r="R236" s="4"/>
      <c r="S236" s="4"/>
      <c r="T236" s="4"/>
      <c r="U236" s="4"/>
      <c r="V236" s="4"/>
      <c r="W236" s="4"/>
      <c r="X236" s="4"/>
      <c r="Y236" s="4"/>
      <c r="Z236" s="4"/>
    </row>
    <row r="237" ht="15.75" customHeight="1">
      <c r="A237" s="34" t="s">
        <v>463</v>
      </c>
      <c r="B237" s="30" t="s">
        <v>464</v>
      </c>
      <c r="C237" s="30" t="s">
        <v>50</v>
      </c>
      <c r="D237" s="30" t="s">
        <v>416</v>
      </c>
      <c r="E237" s="35">
        <v>0.3</v>
      </c>
      <c r="F237" s="4"/>
      <c r="G237" s="4"/>
      <c r="H237" s="4"/>
      <c r="I237" s="4"/>
      <c r="J237" s="4"/>
      <c r="K237" s="4"/>
      <c r="L237" s="4"/>
      <c r="M237" s="4"/>
      <c r="N237" s="4"/>
      <c r="O237" s="4"/>
      <c r="P237" s="4"/>
      <c r="Q237" s="4"/>
      <c r="R237" s="4"/>
      <c r="S237" s="4"/>
      <c r="T237" s="4"/>
      <c r="U237" s="4"/>
      <c r="V237" s="4"/>
      <c r="W237" s="4"/>
      <c r="X237" s="4"/>
      <c r="Y237" s="4"/>
      <c r="Z237" s="4"/>
    </row>
    <row r="238" ht="15.75" customHeight="1">
      <c r="A238" s="34" t="s">
        <v>463</v>
      </c>
      <c r="B238" s="30" t="s">
        <v>464</v>
      </c>
      <c r="C238" s="30" t="s">
        <v>53</v>
      </c>
      <c r="D238" s="30" t="s">
        <v>417</v>
      </c>
      <c r="E238" s="35">
        <v>0.25</v>
      </c>
      <c r="F238" s="4"/>
      <c r="G238" s="4"/>
      <c r="H238" s="4"/>
      <c r="I238" s="4"/>
      <c r="J238" s="4"/>
      <c r="K238" s="4"/>
      <c r="L238" s="4"/>
      <c r="M238" s="4"/>
      <c r="N238" s="4"/>
      <c r="O238" s="4"/>
      <c r="P238" s="4"/>
      <c r="Q238" s="4"/>
      <c r="R238" s="4"/>
      <c r="S238" s="4"/>
      <c r="T238" s="4"/>
      <c r="U238" s="4"/>
      <c r="V238" s="4"/>
      <c r="W238" s="4"/>
      <c r="X238" s="4"/>
      <c r="Y238" s="4"/>
      <c r="Z238" s="4"/>
    </row>
    <row r="239" ht="15.75" customHeight="1">
      <c r="A239" s="34" t="s">
        <v>463</v>
      </c>
      <c r="B239" s="30" t="s">
        <v>464</v>
      </c>
      <c r="C239" s="30" t="s">
        <v>63</v>
      </c>
      <c r="D239" s="30" t="s">
        <v>418</v>
      </c>
      <c r="E239" s="35">
        <v>0.2</v>
      </c>
      <c r="F239" s="4"/>
      <c r="G239" s="4"/>
      <c r="H239" s="4"/>
      <c r="I239" s="4"/>
      <c r="J239" s="4"/>
      <c r="K239" s="4"/>
      <c r="L239" s="4"/>
      <c r="M239" s="4"/>
      <c r="N239" s="4"/>
      <c r="O239" s="4"/>
      <c r="P239" s="4"/>
      <c r="Q239" s="4"/>
      <c r="R239" s="4"/>
      <c r="S239" s="4"/>
      <c r="T239" s="4"/>
      <c r="U239" s="4"/>
      <c r="V239" s="4"/>
      <c r="W239" s="4"/>
      <c r="X239" s="4"/>
      <c r="Y239" s="4"/>
      <c r="Z239" s="4"/>
    </row>
    <row r="240" ht="15.75" customHeight="1">
      <c r="A240" s="34" t="s">
        <v>463</v>
      </c>
      <c r="B240" s="30" t="s">
        <v>464</v>
      </c>
      <c r="C240" s="30" t="s">
        <v>60</v>
      </c>
      <c r="D240" s="30" t="s">
        <v>420</v>
      </c>
      <c r="E240" s="35">
        <v>0.25</v>
      </c>
      <c r="F240" s="4"/>
      <c r="G240" s="4"/>
      <c r="H240" s="4"/>
      <c r="I240" s="4"/>
      <c r="J240" s="4"/>
      <c r="K240" s="4"/>
      <c r="L240" s="4"/>
      <c r="M240" s="4"/>
      <c r="N240" s="4"/>
      <c r="O240" s="4"/>
      <c r="P240" s="4"/>
      <c r="Q240" s="4"/>
      <c r="R240" s="4"/>
      <c r="S240" s="4"/>
      <c r="T240" s="4"/>
      <c r="U240" s="4"/>
      <c r="V240" s="4"/>
      <c r="W240" s="4"/>
      <c r="X240" s="4"/>
      <c r="Y240" s="4"/>
      <c r="Z240" s="4"/>
    </row>
    <row r="241" ht="15.75" customHeight="1">
      <c r="A241" s="34" t="s">
        <v>463</v>
      </c>
      <c r="B241" s="30" t="s">
        <v>464</v>
      </c>
      <c r="C241" s="30" t="s">
        <v>57</v>
      </c>
      <c r="D241" s="30" t="s">
        <v>422</v>
      </c>
      <c r="E241" s="35">
        <v>0.15</v>
      </c>
      <c r="F241" s="4"/>
      <c r="G241" s="4"/>
      <c r="H241" s="4"/>
      <c r="I241" s="4"/>
      <c r="J241" s="4"/>
      <c r="K241" s="4"/>
      <c r="L241" s="4"/>
      <c r="M241" s="4"/>
      <c r="N241" s="4"/>
      <c r="O241" s="4"/>
      <c r="P241" s="4"/>
      <c r="Q241" s="4"/>
      <c r="R241" s="4"/>
      <c r="S241" s="4"/>
      <c r="T241" s="4"/>
      <c r="U241" s="4"/>
      <c r="V241" s="4"/>
      <c r="W241" s="4"/>
      <c r="X241" s="4"/>
      <c r="Y241" s="4"/>
      <c r="Z241" s="4"/>
    </row>
    <row r="242" ht="15.75" customHeight="1">
      <c r="A242" s="34" t="s">
        <v>463</v>
      </c>
      <c r="B242" s="30" t="s">
        <v>464</v>
      </c>
      <c r="C242" s="30" t="s">
        <v>99</v>
      </c>
      <c r="D242" s="30" t="s">
        <v>424</v>
      </c>
      <c r="E242" s="35">
        <v>0.85</v>
      </c>
      <c r="F242" s="4"/>
      <c r="G242" s="4"/>
      <c r="H242" s="4"/>
      <c r="I242" s="4"/>
      <c r="J242" s="4"/>
      <c r="K242" s="4"/>
      <c r="L242" s="4"/>
      <c r="M242" s="4"/>
      <c r="N242" s="4"/>
      <c r="O242" s="4"/>
      <c r="P242" s="4"/>
      <c r="Q242" s="4"/>
      <c r="R242" s="4"/>
      <c r="S242" s="4"/>
      <c r="T242" s="4"/>
      <c r="U242" s="4"/>
      <c r="V242" s="4"/>
      <c r="W242" s="4"/>
      <c r="X242" s="4"/>
      <c r="Y242" s="4"/>
      <c r="Z242" s="4"/>
    </row>
    <row r="243" ht="15.75" customHeight="1">
      <c r="A243" s="34" t="s">
        <v>463</v>
      </c>
      <c r="B243" s="30" t="s">
        <v>464</v>
      </c>
      <c r="C243" s="30" t="s">
        <v>93</v>
      </c>
      <c r="D243" s="30" t="s">
        <v>425</v>
      </c>
      <c r="E243" s="35">
        <v>0.45</v>
      </c>
      <c r="F243" s="4"/>
      <c r="G243" s="4"/>
      <c r="H243" s="4"/>
      <c r="I243" s="4"/>
      <c r="J243" s="4"/>
      <c r="K243" s="4"/>
      <c r="L243" s="4"/>
      <c r="M243" s="4"/>
      <c r="N243" s="4"/>
      <c r="O243" s="4"/>
      <c r="P243" s="4"/>
      <c r="Q243" s="4"/>
      <c r="R243" s="4"/>
      <c r="S243" s="4"/>
      <c r="T243" s="4"/>
      <c r="U243" s="4"/>
      <c r="V243" s="4"/>
      <c r="W243" s="4"/>
      <c r="X243" s="4"/>
      <c r="Y243" s="4"/>
      <c r="Z243" s="4"/>
    </row>
    <row r="244" ht="15.75" customHeight="1">
      <c r="A244" s="34" t="s">
        <v>463</v>
      </c>
      <c r="B244" s="30" t="s">
        <v>464</v>
      </c>
      <c r="C244" s="30" t="s">
        <v>96</v>
      </c>
      <c r="D244" s="30" t="s">
        <v>426</v>
      </c>
      <c r="E244" s="35">
        <v>0.2</v>
      </c>
      <c r="F244" s="4"/>
      <c r="G244" s="4"/>
      <c r="H244" s="4"/>
      <c r="I244" s="4"/>
      <c r="J244" s="4"/>
      <c r="K244" s="4"/>
      <c r="L244" s="4"/>
      <c r="M244" s="4"/>
      <c r="N244" s="4"/>
      <c r="O244" s="4"/>
      <c r="P244" s="4"/>
      <c r="Q244" s="4"/>
      <c r="R244" s="4"/>
      <c r="S244" s="4"/>
      <c r="T244" s="4"/>
      <c r="U244" s="4"/>
      <c r="V244" s="4"/>
      <c r="W244" s="4"/>
      <c r="X244" s="4"/>
      <c r="Y244" s="4"/>
      <c r="Z244" s="4"/>
    </row>
    <row r="245" ht="15.75" customHeight="1">
      <c r="A245" s="34" t="s">
        <v>463</v>
      </c>
      <c r="B245" s="30" t="s">
        <v>464</v>
      </c>
      <c r="C245" s="30" t="s">
        <v>104</v>
      </c>
      <c r="D245" s="30" t="s">
        <v>427</v>
      </c>
      <c r="E245" s="35">
        <v>0.2</v>
      </c>
      <c r="F245" s="4"/>
      <c r="G245" s="4"/>
      <c r="H245" s="4"/>
      <c r="I245" s="4"/>
      <c r="J245" s="4"/>
      <c r="K245" s="4"/>
      <c r="L245" s="4"/>
      <c r="M245" s="4"/>
      <c r="N245" s="4"/>
      <c r="O245" s="4"/>
      <c r="P245" s="4"/>
      <c r="Q245" s="4"/>
      <c r="R245" s="4"/>
      <c r="S245" s="4"/>
      <c r="T245" s="4"/>
      <c r="U245" s="4"/>
      <c r="V245" s="4"/>
      <c r="W245" s="4"/>
      <c r="X245" s="4"/>
      <c r="Y245" s="4"/>
      <c r="Z245" s="4"/>
    </row>
    <row r="246" ht="15.75" customHeight="1">
      <c r="A246" s="34" t="s">
        <v>463</v>
      </c>
      <c r="B246" s="30" t="s">
        <v>464</v>
      </c>
      <c r="C246" s="30" t="s">
        <v>110</v>
      </c>
      <c r="D246" s="30" t="s">
        <v>428</v>
      </c>
      <c r="E246" s="35">
        <v>0.35</v>
      </c>
      <c r="F246" s="4"/>
      <c r="G246" s="4"/>
      <c r="H246" s="4"/>
      <c r="I246" s="4"/>
      <c r="J246" s="4"/>
      <c r="K246" s="4"/>
      <c r="L246" s="4"/>
      <c r="M246" s="4"/>
      <c r="N246" s="4"/>
      <c r="O246" s="4"/>
      <c r="P246" s="4"/>
      <c r="Q246" s="4"/>
      <c r="R246" s="4"/>
      <c r="S246" s="4"/>
      <c r="T246" s="4"/>
      <c r="U246" s="4"/>
      <c r="V246" s="4"/>
      <c r="W246" s="4"/>
      <c r="X246" s="4"/>
      <c r="Y246" s="4"/>
      <c r="Z246" s="4"/>
    </row>
    <row r="247" ht="15.75" customHeight="1">
      <c r="A247" s="34" t="s">
        <v>463</v>
      </c>
      <c r="B247" s="30" t="s">
        <v>464</v>
      </c>
      <c r="C247" s="30" t="s">
        <v>71</v>
      </c>
      <c r="D247" s="30" t="s">
        <v>430</v>
      </c>
      <c r="E247" s="35">
        <v>0.25</v>
      </c>
      <c r="F247" s="4"/>
      <c r="G247" s="4"/>
      <c r="H247" s="4"/>
      <c r="I247" s="4"/>
      <c r="J247" s="4"/>
      <c r="K247" s="4"/>
      <c r="L247" s="4"/>
      <c r="M247" s="4"/>
      <c r="N247" s="4"/>
      <c r="O247" s="4"/>
      <c r="P247" s="4"/>
      <c r="Q247" s="4"/>
      <c r="R247" s="4"/>
      <c r="S247" s="4"/>
      <c r="T247" s="4"/>
      <c r="U247" s="4"/>
      <c r="V247" s="4"/>
      <c r="W247" s="4"/>
      <c r="X247" s="4"/>
      <c r="Y247" s="4"/>
      <c r="Z247" s="4"/>
    </row>
    <row r="248" ht="15.75" customHeight="1">
      <c r="A248" s="34" t="s">
        <v>463</v>
      </c>
      <c r="B248" s="30" t="s">
        <v>464</v>
      </c>
      <c r="C248" s="30" t="s">
        <v>79</v>
      </c>
      <c r="D248" s="30" t="s">
        <v>432</v>
      </c>
      <c r="E248" s="35">
        <v>0.45</v>
      </c>
      <c r="F248" s="4"/>
      <c r="G248" s="4"/>
      <c r="H248" s="4"/>
      <c r="I248" s="4"/>
      <c r="J248" s="4"/>
      <c r="K248" s="4"/>
      <c r="L248" s="4"/>
      <c r="M248" s="4"/>
      <c r="N248" s="4"/>
      <c r="O248" s="4"/>
      <c r="P248" s="4"/>
      <c r="Q248" s="4"/>
      <c r="R248" s="4"/>
      <c r="S248" s="4"/>
      <c r="T248" s="4"/>
      <c r="U248" s="4"/>
      <c r="V248" s="4"/>
      <c r="W248" s="4"/>
      <c r="X248" s="4"/>
      <c r="Y248" s="4"/>
      <c r="Z248" s="4"/>
    </row>
    <row r="249" ht="15.75" customHeight="1">
      <c r="A249" s="34" t="s">
        <v>463</v>
      </c>
      <c r="B249" s="30" t="s">
        <v>464</v>
      </c>
      <c r="C249" s="30" t="s">
        <v>82</v>
      </c>
      <c r="D249" s="30" t="s">
        <v>433</v>
      </c>
      <c r="E249" s="35">
        <v>0.5</v>
      </c>
      <c r="F249" s="4"/>
      <c r="G249" s="4"/>
      <c r="H249" s="4"/>
      <c r="I249" s="4"/>
      <c r="J249" s="4"/>
      <c r="K249" s="4"/>
      <c r="L249" s="4"/>
      <c r="M249" s="4"/>
      <c r="N249" s="4"/>
      <c r="O249" s="4"/>
      <c r="P249" s="4"/>
      <c r="Q249" s="4"/>
      <c r="R249" s="4"/>
      <c r="S249" s="4"/>
      <c r="T249" s="4"/>
      <c r="U249" s="4"/>
      <c r="V249" s="4"/>
      <c r="W249" s="4"/>
      <c r="X249" s="4"/>
      <c r="Y249" s="4"/>
      <c r="Z249" s="4"/>
    </row>
    <row r="250" ht="15.75" customHeight="1">
      <c r="A250" s="34" t="s">
        <v>463</v>
      </c>
      <c r="B250" s="30" t="s">
        <v>464</v>
      </c>
      <c r="C250" s="30" t="s">
        <v>85</v>
      </c>
      <c r="D250" s="30" t="s">
        <v>434</v>
      </c>
      <c r="E250" s="35">
        <v>0.1</v>
      </c>
      <c r="F250" s="4"/>
      <c r="G250" s="4"/>
      <c r="H250" s="4"/>
      <c r="I250" s="4"/>
      <c r="J250" s="4"/>
      <c r="K250" s="4"/>
      <c r="L250" s="4"/>
      <c r="M250" s="4"/>
      <c r="N250" s="4"/>
      <c r="O250" s="4"/>
      <c r="P250" s="4"/>
      <c r="Q250" s="4"/>
      <c r="R250" s="4"/>
      <c r="S250" s="4"/>
      <c r="T250" s="4"/>
      <c r="U250" s="4"/>
      <c r="V250" s="4"/>
      <c r="W250" s="4"/>
      <c r="X250" s="4"/>
      <c r="Y250" s="4"/>
      <c r="Z250" s="4"/>
    </row>
    <row r="251" ht="15.75" customHeight="1">
      <c r="A251" s="34" t="s">
        <v>463</v>
      </c>
      <c r="B251" s="30" t="s">
        <v>464</v>
      </c>
      <c r="C251" s="30" t="s">
        <v>88</v>
      </c>
      <c r="D251" s="30" t="s">
        <v>435</v>
      </c>
      <c r="E251" s="35">
        <v>0.15</v>
      </c>
      <c r="F251" s="4"/>
      <c r="G251" s="4"/>
      <c r="H251" s="4"/>
      <c r="I251" s="4"/>
      <c r="J251" s="4"/>
      <c r="K251" s="4"/>
      <c r="L251" s="4"/>
      <c r="M251" s="4"/>
      <c r="N251" s="4"/>
      <c r="O251" s="4"/>
      <c r="P251" s="4"/>
      <c r="Q251" s="4"/>
      <c r="R251" s="4"/>
      <c r="S251" s="4"/>
      <c r="T251" s="4"/>
      <c r="U251" s="4"/>
      <c r="V251" s="4"/>
      <c r="W251" s="4"/>
      <c r="X251" s="4"/>
      <c r="Y251" s="4"/>
      <c r="Z251" s="4"/>
    </row>
    <row r="252" ht="15.75" customHeight="1">
      <c r="A252" s="34" t="s">
        <v>463</v>
      </c>
      <c r="B252" s="30" t="s">
        <v>464</v>
      </c>
      <c r="C252" s="30" t="s">
        <v>76</v>
      </c>
      <c r="D252" s="30" t="s">
        <v>437</v>
      </c>
      <c r="E252" s="35">
        <v>0.92</v>
      </c>
      <c r="F252" s="4"/>
      <c r="G252" s="4"/>
      <c r="H252" s="4"/>
      <c r="I252" s="4"/>
      <c r="J252" s="4"/>
      <c r="K252" s="4"/>
      <c r="L252" s="4"/>
      <c r="M252" s="4"/>
      <c r="N252" s="4"/>
      <c r="O252" s="4"/>
      <c r="P252" s="4"/>
      <c r="Q252" s="4"/>
      <c r="R252" s="4"/>
      <c r="S252" s="4"/>
      <c r="T252" s="4"/>
      <c r="U252" s="4"/>
      <c r="V252" s="4"/>
      <c r="W252" s="4"/>
      <c r="X252" s="4"/>
      <c r="Y252" s="4"/>
      <c r="Z252" s="4"/>
    </row>
    <row r="253" ht="15.75" customHeight="1">
      <c r="A253" s="34" t="s">
        <v>463</v>
      </c>
      <c r="B253" s="30" t="s">
        <v>464</v>
      </c>
      <c r="C253" s="30" t="s">
        <v>107</v>
      </c>
      <c r="D253" s="30" t="s">
        <v>438</v>
      </c>
      <c r="E253" s="35">
        <v>0.82</v>
      </c>
      <c r="F253" s="4"/>
      <c r="G253" s="4"/>
      <c r="H253" s="4"/>
      <c r="I253" s="4"/>
      <c r="J253" s="4"/>
      <c r="K253" s="4"/>
      <c r="L253" s="4"/>
      <c r="M253" s="4"/>
      <c r="N253" s="4"/>
      <c r="O253" s="4"/>
      <c r="P253" s="4"/>
      <c r="Q253" s="4"/>
      <c r="R253" s="4"/>
      <c r="S253" s="4"/>
      <c r="T253" s="4"/>
      <c r="U253" s="4"/>
      <c r="V253" s="4"/>
      <c r="W253" s="4"/>
      <c r="X253" s="4"/>
      <c r="Y253" s="4"/>
      <c r="Z253" s="4"/>
    </row>
    <row r="254" ht="15.75" customHeight="1">
      <c r="A254" s="34" t="s">
        <v>465</v>
      </c>
      <c r="B254" s="30" t="s">
        <v>466</v>
      </c>
      <c r="C254" s="30" t="s">
        <v>23</v>
      </c>
      <c r="D254" s="30" t="s">
        <v>408</v>
      </c>
      <c r="E254" s="35">
        <v>0.45</v>
      </c>
      <c r="F254" s="4"/>
      <c r="G254" s="4"/>
      <c r="H254" s="4"/>
      <c r="I254" s="4"/>
      <c r="J254" s="4"/>
      <c r="K254" s="4"/>
      <c r="L254" s="4"/>
      <c r="M254" s="4"/>
      <c r="N254" s="4"/>
      <c r="O254" s="4"/>
      <c r="P254" s="4"/>
      <c r="Q254" s="4"/>
      <c r="R254" s="4"/>
      <c r="S254" s="4"/>
      <c r="T254" s="4"/>
      <c r="U254" s="4"/>
      <c r="V254" s="4"/>
      <c r="W254" s="4"/>
      <c r="X254" s="4"/>
      <c r="Y254" s="4"/>
      <c r="Z254" s="4"/>
    </row>
    <row r="255" ht="15.75" customHeight="1">
      <c r="A255" s="34" t="s">
        <v>465</v>
      </c>
      <c r="B255" s="30" t="s">
        <v>466</v>
      </c>
      <c r="C255" s="30" t="s">
        <v>31</v>
      </c>
      <c r="D255" s="30" t="s">
        <v>411</v>
      </c>
      <c r="E255" s="35">
        <v>0.45</v>
      </c>
      <c r="F255" s="4"/>
      <c r="G255" s="4"/>
      <c r="H255" s="4"/>
      <c r="I255" s="4"/>
      <c r="J255" s="4"/>
      <c r="K255" s="4"/>
      <c r="L255" s="4"/>
      <c r="M255" s="4"/>
      <c r="N255" s="4"/>
      <c r="O255" s="4"/>
      <c r="P255" s="4"/>
      <c r="Q255" s="4"/>
      <c r="R255" s="4"/>
      <c r="S255" s="4"/>
      <c r="T255" s="4"/>
      <c r="U255" s="4"/>
      <c r="V255" s="4"/>
      <c r="W255" s="4"/>
      <c r="X255" s="4"/>
      <c r="Y255" s="4"/>
      <c r="Z255" s="4"/>
    </row>
    <row r="256" ht="15.75" customHeight="1">
      <c r="A256" s="34" t="s">
        <v>465</v>
      </c>
      <c r="B256" s="30" t="s">
        <v>466</v>
      </c>
      <c r="C256" s="30" t="s">
        <v>34</v>
      </c>
      <c r="D256" s="30" t="s">
        <v>413</v>
      </c>
      <c r="E256" s="35">
        <v>0.75</v>
      </c>
      <c r="F256" s="4"/>
      <c r="G256" s="4"/>
      <c r="H256" s="4"/>
      <c r="I256" s="4"/>
      <c r="J256" s="4"/>
      <c r="K256" s="4"/>
      <c r="L256" s="4"/>
      <c r="M256" s="4"/>
      <c r="N256" s="4"/>
      <c r="O256" s="4"/>
      <c r="P256" s="4"/>
      <c r="Q256" s="4"/>
      <c r="R256" s="4"/>
      <c r="S256" s="4"/>
      <c r="T256" s="4"/>
      <c r="U256" s="4"/>
      <c r="V256" s="4"/>
      <c r="W256" s="4"/>
      <c r="X256" s="4"/>
      <c r="Y256" s="4"/>
      <c r="Z256" s="4"/>
    </row>
    <row r="257" ht="15.75" customHeight="1">
      <c r="A257" s="34" t="s">
        <v>465</v>
      </c>
      <c r="B257" s="30" t="s">
        <v>466</v>
      </c>
      <c r="C257" s="30" t="s">
        <v>43</v>
      </c>
      <c r="D257" s="30" t="s">
        <v>415</v>
      </c>
      <c r="E257" s="35">
        <v>0.35</v>
      </c>
      <c r="F257" s="4"/>
      <c r="G257" s="4"/>
      <c r="H257" s="4"/>
      <c r="I257" s="4"/>
      <c r="J257" s="4"/>
      <c r="K257" s="4"/>
      <c r="L257" s="4"/>
      <c r="M257" s="4"/>
      <c r="N257" s="4"/>
      <c r="O257" s="4"/>
      <c r="P257" s="4"/>
      <c r="Q257" s="4"/>
      <c r="R257" s="4"/>
      <c r="S257" s="4"/>
      <c r="T257" s="4"/>
      <c r="U257" s="4"/>
      <c r="V257" s="4"/>
      <c r="W257" s="4"/>
      <c r="X257" s="4"/>
      <c r="Y257" s="4"/>
      <c r="Z257" s="4"/>
    </row>
    <row r="258" ht="15.75" customHeight="1">
      <c r="A258" s="34" t="s">
        <v>465</v>
      </c>
      <c r="B258" s="30" t="s">
        <v>466</v>
      </c>
      <c r="C258" s="30" t="s">
        <v>50</v>
      </c>
      <c r="D258" s="30" t="s">
        <v>416</v>
      </c>
      <c r="E258" s="35">
        <v>0.5</v>
      </c>
      <c r="F258" s="4"/>
      <c r="G258" s="4"/>
      <c r="H258" s="4"/>
      <c r="I258" s="4"/>
      <c r="J258" s="4"/>
      <c r="K258" s="4"/>
      <c r="L258" s="4"/>
      <c r="M258" s="4"/>
      <c r="N258" s="4"/>
      <c r="O258" s="4"/>
      <c r="P258" s="4"/>
      <c r="Q258" s="4"/>
      <c r="R258" s="4"/>
      <c r="S258" s="4"/>
      <c r="T258" s="4"/>
      <c r="U258" s="4"/>
      <c r="V258" s="4"/>
      <c r="W258" s="4"/>
      <c r="X258" s="4"/>
      <c r="Y258" s="4"/>
      <c r="Z258" s="4"/>
    </row>
    <row r="259" ht="15.75" customHeight="1">
      <c r="A259" s="34" t="s">
        <v>465</v>
      </c>
      <c r="B259" s="30" t="s">
        <v>466</v>
      </c>
      <c r="C259" s="30" t="s">
        <v>53</v>
      </c>
      <c r="D259" s="30" t="s">
        <v>417</v>
      </c>
      <c r="E259" s="35">
        <v>0.3</v>
      </c>
      <c r="F259" s="4"/>
      <c r="G259" s="4"/>
      <c r="H259" s="4"/>
      <c r="I259" s="4"/>
      <c r="J259" s="4"/>
      <c r="K259" s="4"/>
      <c r="L259" s="4"/>
      <c r="M259" s="4"/>
      <c r="N259" s="4"/>
      <c r="O259" s="4"/>
      <c r="P259" s="4"/>
      <c r="Q259" s="4"/>
      <c r="R259" s="4"/>
      <c r="S259" s="4"/>
      <c r="T259" s="4"/>
      <c r="U259" s="4"/>
      <c r="V259" s="4"/>
      <c r="W259" s="4"/>
      <c r="X259" s="4"/>
      <c r="Y259" s="4"/>
      <c r="Z259" s="4"/>
    </row>
    <row r="260" ht="15.75" customHeight="1">
      <c r="A260" s="34" t="s">
        <v>465</v>
      </c>
      <c r="B260" s="30" t="s">
        <v>466</v>
      </c>
      <c r="C260" s="30" t="s">
        <v>63</v>
      </c>
      <c r="D260" s="30" t="s">
        <v>418</v>
      </c>
      <c r="E260" s="35">
        <v>0.3</v>
      </c>
      <c r="F260" s="4"/>
      <c r="G260" s="4"/>
      <c r="H260" s="4"/>
      <c r="I260" s="4"/>
      <c r="J260" s="4"/>
      <c r="K260" s="4"/>
      <c r="L260" s="4"/>
      <c r="M260" s="4"/>
      <c r="N260" s="4"/>
      <c r="O260" s="4"/>
      <c r="P260" s="4"/>
      <c r="Q260" s="4"/>
      <c r="R260" s="4"/>
      <c r="S260" s="4"/>
      <c r="T260" s="4"/>
      <c r="U260" s="4"/>
      <c r="V260" s="4"/>
      <c r="W260" s="4"/>
      <c r="X260" s="4"/>
      <c r="Y260" s="4"/>
      <c r="Z260" s="4"/>
    </row>
    <row r="261" ht="15.75" customHeight="1">
      <c r="A261" s="34" t="s">
        <v>465</v>
      </c>
      <c r="B261" s="30" t="s">
        <v>466</v>
      </c>
      <c r="C261" s="30" t="s">
        <v>60</v>
      </c>
      <c r="D261" s="30" t="s">
        <v>420</v>
      </c>
      <c r="E261" s="35">
        <v>0.15</v>
      </c>
      <c r="F261" s="4"/>
      <c r="G261" s="4"/>
      <c r="H261" s="4"/>
      <c r="I261" s="4"/>
      <c r="J261" s="4"/>
      <c r="K261" s="4"/>
      <c r="L261" s="4"/>
      <c r="M261" s="4"/>
      <c r="N261" s="4"/>
      <c r="O261" s="4"/>
      <c r="P261" s="4"/>
      <c r="Q261" s="4"/>
      <c r="R261" s="4"/>
      <c r="S261" s="4"/>
      <c r="T261" s="4"/>
      <c r="U261" s="4"/>
      <c r="V261" s="4"/>
      <c r="W261" s="4"/>
      <c r="X261" s="4"/>
      <c r="Y261" s="4"/>
      <c r="Z261" s="4"/>
    </row>
    <row r="262" ht="15.75" customHeight="1">
      <c r="A262" s="34" t="s">
        <v>465</v>
      </c>
      <c r="B262" s="30" t="s">
        <v>466</v>
      </c>
      <c r="C262" s="30" t="s">
        <v>57</v>
      </c>
      <c r="D262" s="30" t="s">
        <v>422</v>
      </c>
      <c r="E262" s="35">
        <v>0.35</v>
      </c>
      <c r="F262" s="4"/>
      <c r="G262" s="4"/>
      <c r="H262" s="4"/>
      <c r="I262" s="4"/>
      <c r="J262" s="4"/>
      <c r="K262" s="4"/>
      <c r="L262" s="4"/>
      <c r="M262" s="4"/>
      <c r="N262" s="4"/>
      <c r="O262" s="4"/>
      <c r="P262" s="4"/>
      <c r="Q262" s="4"/>
      <c r="R262" s="4"/>
      <c r="S262" s="4"/>
      <c r="T262" s="4"/>
      <c r="U262" s="4"/>
      <c r="V262" s="4"/>
      <c r="W262" s="4"/>
      <c r="X262" s="4"/>
      <c r="Y262" s="4"/>
      <c r="Z262" s="4"/>
    </row>
    <row r="263" ht="15.75" customHeight="1">
      <c r="A263" s="34" t="s">
        <v>465</v>
      </c>
      <c r="B263" s="30" t="s">
        <v>466</v>
      </c>
      <c r="C263" s="30" t="s">
        <v>99</v>
      </c>
      <c r="D263" s="30" t="s">
        <v>424</v>
      </c>
      <c r="E263" s="35">
        <v>0.3</v>
      </c>
      <c r="F263" s="4"/>
      <c r="G263" s="4"/>
      <c r="H263" s="4"/>
      <c r="I263" s="4"/>
      <c r="J263" s="4"/>
      <c r="K263" s="4"/>
      <c r="L263" s="4"/>
      <c r="M263" s="4"/>
      <c r="N263" s="4"/>
      <c r="O263" s="4"/>
      <c r="P263" s="4"/>
      <c r="Q263" s="4"/>
      <c r="R263" s="4"/>
      <c r="S263" s="4"/>
      <c r="T263" s="4"/>
      <c r="U263" s="4"/>
      <c r="V263" s="4"/>
      <c r="W263" s="4"/>
      <c r="X263" s="4"/>
      <c r="Y263" s="4"/>
      <c r="Z263" s="4"/>
    </row>
    <row r="264" ht="15.75" customHeight="1">
      <c r="A264" s="34" t="s">
        <v>465</v>
      </c>
      <c r="B264" s="30" t="s">
        <v>466</v>
      </c>
      <c r="C264" s="30" t="s">
        <v>93</v>
      </c>
      <c r="D264" s="30" t="s">
        <v>425</v>
      </c>
      <c r="E264" s="35">
        <v>0.55</v>
      </c>
      <c r="F264" s="4"/>
      <c r="G264" s="4"/>
      <c r="H264" s="4"/>
      <c r="I264" s="4"/>
      <c r="J264" s="4"/>
      <c r="K264" s="4"/>
      <c r="L264" s="4"/>
      <c r="M264" s="4"/>
      <c r="N264" s="4"/>
      <c r="O264" s="4"/>
      <c r="P264" s="4"/>
      <c r="Q264" s="4"/>
      <c r="R264" s="4"/>
      <c r="S264" s="4"/>
      <c r="T264" s="4"/>
      <c r="U264" s="4"/>
      <c r="V264" s="4"/>
      <c r="W264" s="4"/>
      <c r="X264" s="4"/>
      <c r="Y264" s="4"/>
      <c r="Z264" s="4"/>
    </row>
    <row r="265" ht="15.75" customHeight="1">
      <c r="A265" s="34" t="s">
        <v>465</v>
      </c>
      <c r="B265" s="30" t="s">
        <v>466</v>
      </c>
      <c r="C265" s="30" t="s">
        <v>96</v>
      </c>
      <c r="D265" s="30" t="s">
        <v>426</v>
      </c>
      <c r="E265" s="35">
        <v>0.75</v>
      </c>
      <c r="F265" s="4"/>
      <c r="G265" s="4"/>
      <c r="H265" s="4"/>
      <c r="I265" s="4"/>
      <c r="J265" s="4"/>
      <c r="K265" s="4"/>
      <c r="L265" s="4"/>
      <c r="M265" s="4"/>
      <c r="N265" s="4"/>
      <c r="O265" s="4"/>
      <c r="P265" s="4"/>
      <c r="Q265" s="4"/>
      <c r="R265" s="4"/>
      <c r="S265" s="4"/>
      <c r="T265" s="4"/>
      <c r="U265" s="4"/>
      <c r="V265" s="4"/>
      <c r="W265" s="4"/>
      <c r="X265" s="4"/>
      <c r="Y265" s="4"/>
      <c r="Z265" s="4"/>
    </row>
    <row r="266" ht="15.75" customHeight="1">
      <c r="A266" s="34" t="s">
        <v>465</v>
      </c>
      <c r="B266" s="30" t="s">
        <v>466</v>
      </c>
      <c r="C266" s="30" t="s">
        <v>104</v>
      </c>
      <c r="D266" s="30" t="s">
        <v>427</v>
      </c>
      <c r="E266" s="35">
        <v>0.4</v>
      </c>
      <c r="F266" s="4"/>
      <c r="G266" s="4"/>
      <c r="H266" s="4"/>
      <c r="I266" s="4"/>
      <c r="J266" s="4"/>
      <c r="K266" s="4"/>
      <c r="L266" s="4"/>
      <c r="M266" s="4"/>
      <c r="N266" s="4"/>
      <c r="O266" s="4"/>
      <c r="P266" s="4"/>
      <c r="Q266" s="4"/>
      <c r="R266" s="4"/>
      <c r="S266" s="4"/>
      <c r="T266" s="4"/>
      <c r="U266" s="4"/>
      <c r="V266" s="4"/>
      <c r="W266" s="4"/>
      <c r="X266" s="4"/>
      <c r="Y266" s="4"/>
      <c r="Z266" s="4"/>
    </row>
    <row r="267" ht="15.75" customHeight="1">
      <c r="A267" s="34" t="s">
        <v>465</v>
      </c>
      <c r="B267" s="30" t="s">
        <v>466</v>
      </c>
      <c r="C267" s="30" t="s">
        <v>110</v>
      </c>
      <c r="D267" s="30" t="s">
        <v>428</v>
      </c>
      <c r="E267" s="35">
        <v>0.15</v>
      </c>
      <c r="F267" s="4"/>
      <c r="G267" s="4"/>
      <c r="H267" s="4"/>
      <c r="I267" s="4"/>
      <c r="J267" s="4"/>
      <c r="K267" s="4"/>
      <c r="L267" s="4"/>
      <c r="M267" s="4"/>
      <c r="N267" s="4"/>
      <c r="O267" s="4"/>
      <c r="P267" s="4"/>
      <c r="Q267" s="4"/>
      <c r="R267" s="4"/>
      <c r="S267" s="4"/>
      <c r="T267" s="4"/>
      <c r="U267" s="4"/>
      <c r="V267" s="4"/>
      <c r="W267" s="4"/>
      <c r="X267" s="4"/>
      <c r="Y267" s="4"/>
      <c r="Z267" s="4"/>
    </row>
    <row r="268" ht="15.75" customHeight="1">
      <c r="A268" s="34" t="s">
        <v>465</v>
      </c>
      <c r="B268" s="30" t="s">
        <v>466</v>
      </c>
      <c r="C268" s="30" t="s">
        <v>71</v>
      </c>
      <c r="D268" s="30" t="s">
        <v>430</v>
      </c>
      <c r="E268" s="35">
        <v>0.55</v>
      </c>
      <c r="F268" s="4"/>
      <c r="G268" s="4"/>
      <c r="H268" s="4"/>
      <c r="I268" s="4"/>
      <c r="J268" s="4"/>
      <c r="K268" s="4"/>
      <c r="L268" s="4"/>
      <c r="M268" s="4"/>
      <c r="N268" s="4"/>
      <c r="O268" s="4"/>
      <c r="P268" s="4"/>
      <c r="Q268" s="4"/>
      <c r="R268" s="4"/>
      <c r="S268" s="4"/>
      <c r="T268" s="4"/>
      <c r="U268" s="4"/>
      <c r="V268" s="4"/>
      <c r="W268" s="4"/>
      <c r="X268" s="4"/>
      <c r="Y268" s="4"/>
      <c r="Z268" s="4"/>
    </row>
    <row r="269" ht="15.75" customHeight="1">
      <c r="A269" s="34" t="s">
        <v>465</v>
      </c>
      <c r="B269" s="30" t="s">
        <v>466</v>
      </c>
      <c r="C269" s="30" t="s">
        <v>79</v>
      </c>
      <c r="D269" s="30" t="s">
        <v>432</v>
      </c>
      <c r="E269" s="35">
        <v>0.25</v>
      </c>
      <c r="F269" s="4"/>
      <c r="G269" s="4"/>
      <c r="H269" s="4"/>
      <c r="I269" s="4"/>
      <c r="J269" s="4"/>
      <c r="K269" s="4"/>
      <c r="L269" s="4"/>
      <c r="M269" s="4"/>
      <c r="N269" s="4"/>
      <c r="O269" s="4"/>
      <c r="P269" s="4"/>
      <c r="Q269" s="4"/>
      <c r="R269" s="4"/>
      <c r="S269" s="4"/>
      <c r="T269" s="4"/>
      <c r="U269" s="4"/>
      <c r="V269" s="4"/>
      <c r="W269" s="4"/>
      <c r="X269" s="4"/>
      <c r="Y269" s="4"/>
      <c r="Z269" s="4"/>
    </row>
    <row r="270" ht="15.75" customHeight="1">
      <c r="A270" s="34" t="s">
        <v>465</v>
      </c>
      <c r="B270" s="30" t="s">
        <v>466</v>
      </c>
      <c r="C270" s="30" t="s">
        <v>82</v>
      </c>
      <c r="D270" s="30" t="s">
        <v>433</v>
      </c>
      <c r="E270" s="35">
        <v>0.25</v>
      </c>
      <c r="F270" s="4"/>
      <c r="G270" s="4"/>
      <c r="H270" s="4"/>
      <c r="I270" s="4"/>
      <c r="J270" s="4"/>
      <c r="K270" s="4"/>
      <c r="L270" s="4"/>
      <c r="M270" s="4"/>
      <c r="N270" s="4"/>
      <c r="O270" s="4"/>
      <c r="P270" s="4"/>
      <c r="Q270" s="4"/>
      <c r="R270" s="4"/>
      <c r="S270" s="4"/>
      <c r="T270" s="4"/>
      <c r="U270" s="4"/>
      <c r="V270" s="4"/>
      <c r="W270" s="4"/>
      <c r="X270" s="4"/>
      <c r="Y270" s="4"/>
      <c r="Z270" s="4"/>
    </row>
    <row r="271" ht="15.75" customHeight="1">
      <c r="A271" s="34" t="s">
        <v>465</v>
      </c>
      <c r="B271" s="30" t="s">
        <v>466</v>
      </c>
      <c r="C271" s="30" t="s">
        <v>85</v>
      </c>
      <c r="D271" s="30" t="s">
        <v>434</v>
      </c>
      <c r="E271" s="35">
        <v>0.55</v>
      </c>
      <c r="F271" s="4"/>
      <c r="G271" s="4"/>
      <c r="H271" s="4"/>
      <c r="I271" s="4"/>
      <c r="J271" s="4"/>
      <c r="K271" s="4"/>
      <c r="L271" s="4"/>
      <c r="M271" s="4"/>
      <c r="N271" s="4"/>
      <c r="O271" s="4"/>
      <c r="P271" s="4"/>
      <c r="Q271" s="4"/>
      <c r="R271" s="4"/>
      <c r="S271" s="4"/>
      <c r="T271" s="4"/>
      <c r="U271" s="4"/>
      <c r="V271" s="4"/>
      <c r="W271" s="4"/>
      <c r="X271" s="4"/>
      <c r="Y271" s="4"/>
      <c r="Z271" s="4"/>
    </row>
    <row r="272" ht="15.75" customHeight="1">
      <c r="A272" s="34" t="s">
        <v>465</v>
      </c>
      <c r="B272" s="30" t="s">
        <v>466</v>
      </c>
      <c r="C272" s="30" t="s">
        <v>88</v>
      </c>
      <c r="D272" s="30" t="s">
        <v>435</v>
      </c>
      <c r="E272" s="35">
        <v>0.1</v>
      </c>
      <c r="F272" s="4"/>
      <c r="G272" s="4"/>
      <c r="H272" s="4"/>
      <c r="I272" s="4"/>
      <c r="J272" s="4"/>
      <c r="K272" s="4"/>
      <c r="L272" s="4"/>
      <c r="M272" s="4"/>
      <c r="N272" s="4"/>
      <c r="O272" s="4"/>
      <c r="P272" s="4"/>
      <c r="Q272" s="4"/>
      <c r="R272" s="4"/>
      <c r="S272" s="4"/>
      <c r="T272" s="4"/>
      <c r="U272" s="4"/>
      <c r="V272" s="4"/>
      <c r="W272" s="4"/>
      <c r="X272" s="4"/>
      <c r="Y272" s="4"/>
      <c r="Z272" s="4"/>
    </row>
    <row r="273" ht="15.75" customHeight="1">
      <c r="A273" s="34" t="s">
        <v>465</v>
      </c>
      <c r="B273" s="30" t="s">
        <v>466</v>
      </c>
      <c r="C273" s="30" t="s">
        <v>76</v>
      </c>
      <c r="D273" s="30" t="s">
        <v>437</v>
      </c>
      <c r="E273" s="35">
        <v>0.35</v>
      </c>
      <c r="F273" s="4"/>
      <c r="G273" s="4"/>
      <c r="H273" s="4"/>
      <c r="I273" s="4"/>
      <c r="J273" s="4"/>
      <c r="K273" s="4"/>
      <c r="L273" s="4"/>
      <c r="M273" s="4"/>
      <c r="N273" s="4"/>
      <c r="O273" s="4"/>
      <c r="P273" s="4"/>
      <c r="Q273" s="4"/>
      <c r="R273" s="4"/>
      <c r="S273" s="4"/>
      <c r="T273" s="4"/>
      <c r="U273" s="4"/>
      <c r="V273" s="4"/>
      <c r="W273" s="4"/>
      <c r="X273" s="4"/>
      <c r="Y273" s="4"/>
      <c r="Z273" s="4"/>
    </row>
    <row r="274" ht="15.75" customHeight="1">
      <c r="A274" s="34" t="s">
        <v>465</v>
      </c>
      <c r="B274" s="30" t="s">
        <v>466</v>
      </c>
      <c r="C274" s="30" t="s">
        <v>107</v>
      </c>
      <c r="D274" s="30" t="s">
        <v>438</v>
      </c>
      <c r="E274" s="35">
        <v>0.4</v>
      </c>
      <c r="F274" s="4"/>
      <c r="G274" s="4"/>
      <c r="H274" s="4"/>
      <c r="I274" s="4"/>
      <c r="J274" s="4"/>
      <c r="K274" s="4"/>
      <c r="L274" s="4"/>
      <c r="M274" s="4"/>
      <c r="N274" s="4"/>
      <c r="O274" s="4"/>
      <c r="P274" s="4"/>
      <c r="Q274" s="4"/>
      <c r="R274" s="4"/>
      <c r="S274" s="4"/>
      <c r="T274" s="4"/>
      <c r="U274" s="4"/>
      <c r="V274" s="4"/>
      <c r="W274" s="4"/>
      <c r="X274" s="4"/>
      <c r="Y274" s="4"/>
      <c r="Z274" s="4"/>
    </row>
    <row r="275" ht="15.75" customHeight="1">
      <c r="A275" s="34" t="s">
        <v>467</v>
      </c>
      <c r="B275" s="30" t="s">
        <v>468</v>
      </c>
      <c r="C275" s="30" t="s">
        <v>23</v>
      </c>
      <c r="D275" s="30" t="s">
        <v>408</v>
      </c>
      <c r="E275" s="35">
        <v>0.1</v>
      </c>
      <c r="F275" s="4"/>
      <c r="G275" s="4"/>
      <c r="H275" s="4"/>
      <c r="I275" s="4"/>
      <c r="J275" s="4"/>
      <c r="K275" s="4"/>
      <c r="L275" s="4"/>
      <c r="M275" s="4"/>
      <c r="N275" s="4"/>
      <c r="O275" s="4"/>
      <c r="P275" s="4"/>
      <c r="Q275" s="4"/>
      <c r="R275" s="4"/>
      <c r="S275" s="4"/>
      <c r="T275" s="4"/>
      <c r="U275" s="4"/>
      <c r="V275" s="4"/>
      <c r="W275" s="4"/>
      <c r="X275" s="4"/>
      <c r="Y275" s="4"/>
      <c r="Z275" s="4"/>
    </row>
    <row r="276" ht="15.75" customHeight="1">
      <c r="A276" s="34" t="s">
        <v>467</v>
      </c>
      <c r="B276" s="30" t="s">
        <v>468</v>
      </c>
      <c r="C276" s="30" t="s">
        <v>31</v>
      </c>
      <c r="D276" s="30" t="s">
        <v>411</v>
      </c>
      <c r="E276" s="35">
        <v>0.55</v>
      </c>
      <c r="F276" s="4"/>
      <c r="G276" s="4"/>
      <c r="H276" s="4"/>
      <c r="I276" s="4"/>
      <c r="J276" s="4"/>
      <c r="K276" s="4"/>
      <c r="L276" s="4"/>
      <c r="M276" s="4"/>
      <c r="N276" s="4"/>
      <c r="O276" s="4"/>
      <c r="P276" s="4"/>
      <c r="Q276" s="4"/>
      <c r="R276" s="4"/>
      <c r="S276" s="4"/>
      <c r="T276" s="4"/>
      <c r="U276" s="4"/>
      <c r="V276" s="4"/>
      <c r="W276" s="4"/>
      <c r="X276" s="4"/>
      <c r="Y276" s="4"/>
      <c r="Z276" s="4"/>
    </row>
    <row r="277" ht="15.75" customHeight="1">
      <c r="A277" s="34" t="s">
        <v>467</v>
      </c>
      <c r="B277" s="30" t="s">
        <v>468</v>
      </c>
      <c r="C277" s="30" t="s">
        <v>34</v>
      </c>
      <c r="D277" s="30" t="s">
        <v>413</v>
      </c>
      <c r="E277" s="35">
        <v>0.5</v>
      </c>
      <c r="F277" s="4"/>
      <c r="G277" s="4"/>
      <c r="H277" s="4"/>
      <c r="I277" s="4"/>
      <c r="J277" s="4"/>
      <c r="K277" s="4"/>
      <c r="L277" s="4"/>
      <c r="M277" s="4"/>
      <c r="N277" s="4"/>
      <c r="O277" s="4"/>
      <c r="P277" s="4"/>
      <c r="Q277" s="4"/>
      <c r="R277" s="4"/>
      <c r="S277" s="4"/>
      <c r="T277" s="4"/>
      <c r="U277" s="4"/>
      <c r="V277" s="4"/>
      <c r="W277" s="4"/>
      <c r="X277" s="4"/>
      <c r="Y277" s="4"/>
      <c r="Z277" s="4"/>
    </row>
    <row r="278" ht="15.75" customHeight="1">
      <c r="A278" s="34" t="s">
        <v>467</v>
      </c>
      <c r="B278" s="30" t="s">
        <v>468</v>
      </c>
      <c r="C278" s="30" t="s">
        <v>43</v>
      </c>
      <c r="D278" s="30" t="s">
        <v>415</v>
      </c>
      <c r="E278" s="35">
        <v>0.55</v>
      </c>
      <c r="F278" s="4"/>
      <c r="G278" s="4"/>
      <c r="H278" s="4"/>
      <c r="I278" s="4"/>
      <c r="J278" s="4"/>
      <c r="K278" s="4"/>
      <c r="L278" s="4"/>
      <c r="M278" s="4"/>
      <c r="N278" s="4"/>
      <c r="O278" s="4"/>
      <c r="P278" s="4"/>
      <c r="Q278" s="4"/>
      <c r="R278" s="4"/>
      <c r="S278" s="4"/>
      <c r="T278" s="4"/>
      <c r="U278" s="4"/>
      <c r="V278" s="4"/>
      <c r="W278" s="4"/>
      <c r="X278" s="4"/>
      <c r="Y278" s="4"/>
      <c r="Z278" s="4"/>
    </row>
    <row r="279" ht="15.75" customHeight="1">
      <c r="A279" s="34" t="s">
        <v>467</v>
      </c>
      <c r="B279" s="30" t="s">
        <v>468</v>
      </c>
      <c r="C279" s="30" t="s">
        <v>50</v>
      </c>
      <c r="D279" s="30" t="s">
        <v>416</v>
      </c>
      <c r="E279" s="35">
        <v>0.1</v>
      </c>
      <c r="F279" s="4"/>
      <c r="G279" s="4"/>
      <c r="H279" s="4"/>
      <c r="I279" s="4"/>
      <c r="J279" s="4"/>
      <c r="K279" s="4"/>
      <c r="L279" s="4"/>
      <c r="M279" s="4"/>
      <c r="N279" s="4"/>
      <c r="O279" s="4"/>
      <c r="P279" s="4"/>
      <c r="Q279" s="4"/>
      <c r="R279" s="4"/>
      <c r="S279" s="4"/>
      <c r="T279" s="4"/>
      <c r="U279" s="4"/>
      <c r="V279" s="4"/>
      <c r="W279" s="4"/>
      <c r="X279" s="4"/>
      <c r="Y279" s="4"/>
      <c r="Z279" s="4"/>
    </row>
    <row r="280" ht="15.75" customHeight="1">
      <c r="A280" s="34" t="s">
        <v>467</v>
      </c>
      <c r="B280" s="30" t="s">
        <v>468</v>
      </c>
      <c r="C280" s="30" t="s">
        <v>53</v>
      </c>
      <c r="D280" s="30" t="s">
        <v>417</v>
      </c>
      <c r="E280" s="35">
        <v>0.1</v>
      </c>
      <c r="F280" s="4"/>
      <c r="G280" s="4"/>
      <c r="H280" s="4"/>
      <c r="I280" s="4"/>
      <c r="J280" s="4"/>
      <c r="K280" s="4"/>
      <c r="L280" s="4"/>
      <c r="M280" s="4"/>
      <c r="N280" s="4"/>
      <c r="O280" s="4"/>
      <c r="P280" s="4"/>
      <c r="Q280" s="4"/>
      <c r="R280" s="4"/>
      <c r="S280" s="4"/>
      <c r="T280" s="4"/>
      <c r="U280" s="4"/>
      <c r="V280" s="4"/>
      <c r="W280" s="4"/>
      <c r="X280" s="4"/>
      <c r="Y280" s="4"/>
      <c r="Z280" s="4"/>
    </row>
    <row r="281" ht="15.75" customHeight="1">
      <c r="A281" s="34" t="s">
        <v>467</v>
      </c>
      <c r="B281" s="30" t="s">
        <v>468</v>
      </c>
      <c r="C281" s="30" t="s">
        <v>63</v>
      </c>
      <c r="D281" s="30" t="s">
        <v>418</v>
      </c>
      <c r="E281" s="35">
        <v>0.1</v>
      </c>
      <c r="F281" s="4"/>
      <c r="G281" s="4"/>
      <c r="H281" s="4"/>
      <c r="I281" s="4"/>
      <c r="J281" s="4"/>
      <c r="K281" s="4"/>
      <c r="L281" s="4"/>
      <c r="M281" s="4"/>
      <c r="N281" s="4"/>
      <c r="O281" s="4"/>
      <c r="P281" s="4"/>
      <c r="Q281" s="4"/>
      <c r="R281" s="4"/>
      <c r="S281" s="4"/>
      <c r="T281" s="4"/>
      <c r="U281" s="4"/>
      <c r="V281" s="4"/>
      <c r="W281" s="4"/>
      <c r="X281" s="4"/>
      <c r="Y281" s="4"/>
      <c r="Z281" s="4"/>
    </row>
    <row r="282" ht="15.75" customHeight="1">
      <c r="A282" s="34" t="s">
        <v>467</v>
      </c>
      <c r="B282" s="30" t="s">
        <v>468</v>
      </c>
      <c r="C282" s="30" t="s">
        <v>60</v>
      </c>
      <c r="D282" s="30" t="s">
        <v>420</v>
      </c>
      <c r="E282" s="35">
        <v>0.2</v>
      </c>
      <c r="F282" s="4"/>
      <c r="G282" s="4"/>
      <c r="H282" s="4"/>
      <c r="I282" s="4"/>
      <c r="J282" s="4"/>
      <c r="K282" s="4"/>
      <c r="L282" s="4"/>
      <c r="M282" s="4"/>
      <c r="N282" s="4"/>
      <c r="O282" s="4"/>
      <c r="P282" s="4"/>
      <c r="Q282" s="4"/>
      <c r="R282" s="4"/>
      <c r="S282" s="4"/>
      <c r="T282" s="4"/>
      <c r="U282" s="4"/>
      <c r="V282" s="4"/>
      <c r="W282" s="4"/>
      <c r="X282" s="4"/>
      <c r="Y282" s="4"/>
      <c r="Z282" s="4"/>
    </row>
    <row r="283" ht="15.75" customHeight="1">
      <c r="A283" s="34" t="s">
        <v>467</v>
      </c>
      <c r="B283" s="30" t="s">
        <v>468</v>
      </c>
      <c r="C283" s="30" t="s">
        <v>57</v>
      </c>
      <c r="D283" s="30" t="s">
        <v>422</v>
      </c>
      <c r="E283" s="35">
        <v>0.05</v>
      </c>
      <c r="F283" s="4"/>
      <c r="G283" s="4"/>
      <c r="H283" s="4"/>
      <c r="I283" s="4"/>
      <c r="J283" s="4"/>
      <c r="K283" s="4"/>
      <c r="L283" s="4"/>
      <c r="M283" s="4"/>
      <c r="N283" s="4"/>
      <c r="O283" s="4"/>
      <c r="P283" s="4"/>
      <c r="Q283" s="4"/>
      <c r="R283" s="4"/>
      <c r="S283" s="4"/>
      <c r="T283" s="4"/>
      <c r="U283" s="4"/>
      <c r="V283" s="4"/>
      <c r="W283" s="4"/>
      <c r="X283" s="4"/>
      <c r="Y283" s="4"/>
      <c r="Z283" s="4"/>
    </row>
    <row r="284" ht="15.75" customHeight="1">
      <c r="A284" s="34" t="s">
        <v>467</v>
      </c>
      <c r="B284" s="30" t="s">
        <v>468</v>
      </c>
      <c r="C284" s="30" t="s">
        <v>99</v>
      </c>
      <c r="D284" s="30" t="s">
        <v>424</v>
      </c>
      <c r="E284" s="35">
        <v>0.2</v>
      </c>
      <c r="F284" s="4"/>
      <c r="G284" s="4"/>
      <c r="H284" s="4"/>
      <c r="I284" s="4"/>
      <c r="J284" s="4"/>
      <c r="K284" s="4"/>
      <c r="L284" s="4"/>
      <c r="M284" s="4"/>
      <c r="N284" s="4"/>
      <c r="O284" s="4"/>
      <c r="P284" s="4"/>
      <c r="Q284" s="4"/>
      <c r="R284" s="4"/>
      <c r="S284" s="4"/>
      <c r="T284" s="4"/>
      <c r="U284" s="4"/>
      <c r="V284" s="4"/>
      <c r="W284" s="4"/>
      <c r="X284" s="4"/>
      <c r="Y284" s="4"/>
      <c r="Z284" s="4"/>
    </row>
    <row r="285" ht="15.75" customHeight="1">
      <c r="A285" s="34" t="s">
        <v>467</v>
      </c>
      <c r="B285" s="30" t="s">
        <v>468</v>
      </c>
      <c r="C285" s="30" t="s">
        <v>93</v>
      </c>
      <c r="D285" s="30" t="s">
        <v>425</v>
      </c>
      <c r="E285" s="35">
        <v>0.15</v>
      </c>
      <c r="F285" s="4"/>
      <c r="G285" s="4"/>
      <c r="H285" s="4"/>
      <c r="I285" s="4"/>
      <c r="J285" s="4"/>
      <c r="K285" s="4"/>
      <c r="L285" s="4"/>
      <c r="M285" s="4"/>
      <c r="N285" s="4"/>
      <c r="O285" s="4"/>
      <c r="P285" s="4"/>
      <c r="Q285" s="4"/>
      <c r="R285" s="4"/>
      <c r="S285" s="4"/>
      <c r="T285" s="4"/>
      <c r="U285" s="4"/>
      <c r="V285" s="4"/>
      <c r="W285" s="4"/>
      <c r="X285" s="4"/>
      <c r="Y285" s="4"/>
      <c r="Z285" s="4"/>
    </row>
    <row r="286" ht="15.75" customHeight="1">
      <c r="A286" s="34" t="s">
        <v>467</v>
      </c>
      <c r="B286" s="30" t="s">
        <v>468</v>
      </c>
      <c r="C286" s="30" t="s">
        <v>96</v>
      </c>
      <c r="D286" s="30" t="s">
        <v>426</v>
      </c>
      <c r="E286" s="35">
        <v>0.35</v>
      </c>
      <c r="F286" s="4"/>
      <c r="G286" s="4"/>
      <c r="H286" s="4"/>
      <c r="I286" s="4"/>
      <c r="J286" s="4"/>
      <c r="K286" s="4"/>
      <c r="L286" s="4"/>
      <c r="M286" s="4"/>
      <c r="N286" s="4"/>
      <c r="O286" s="4"/>
      <c r="P286" s="4"/>
      <c r="Q286" s="4"/>
      <c r="R286" s="4"/>
      <c r="S286" s="4"/>
      <c r="T286" s="4"/>
      <c r="U286" s="4"/>
      <c r="V286" s="4"/>
      <c r="W286" s="4"/>
      <c r="X286" s="4"/>
      <c r="Y286" s="4"/>
      <c r="Z286" s="4"/>
    </row>
    <row r="287" ht="15.75" customHeight="1">
      <c r="A287" s="34" t="s">
        <v>467</v>
      </c>
      <c r="B287" s="30" t="s">
        <v>468</v>
      </c>
      <c r="C287" s="30" t="s">
        <v>104</v>
      </c>
      <c r="D287" s="30" t="s">
        <v>427</v>
      </c>
      <c r="E287" s="35">
        <v>0.15</v>
      </c>
      <c r="F287" s="4"/>
      <c r="G287" s="4"/>
      <c r="H287" s="4"/>
      <c r="I287" s="4"/>
      <c r="J287" s="4"/>
      <c r="K287" s="4"/>
      <c r="L287" s="4"/>
      <c r="M287" s="4"/>
      <c r="N287" s="4"/>
      <c r="O287" s="4"/>
      <c r="P287" s="4"/>
      <c r="Q287" s="4"/>
      <c r="R287" s="4"/>
      <c r="S287" s="4"/>
      <c r="T287" s="4"/>
      <c r="U287" s="4"/>
      <c r="V287" s="4"/>
      <c r="W287" s="4"/>
      <c r="X287" s="4"/>
      <c r="Y287" s="4"/>
      <c r="Z287" s="4"/>
    </row>
    <row r="288" ht="15.75" customHeight="1">
      <c r="A288" s="34" t="s">
        <v>467</v>
      </c>
      <c r="B288" s="30" t="s">
        <v>468</v>
      </c>
      <c r="C288" s="30" t="s">
        <v>110</v>
      </c>
      <c r="D288" s="30" t="s">
        <v>428</v>
      </c>
      <c r="E288" s="35">
        <v>0.2</v>
      </c>
      <c r="F288" s="4"/>
      <c r="G288" s="4"/>
      <c r="H288" s="4"/>
      <c r="I288" s="4"/>
      <c r="J288" s="4"/>
      <c r="K288" s="4"/>
      <c r="L288" s="4"/>
      <c r="M288" s="4"/>
      <c r="N288" s="4"/>
      <c r="O288" s="4"/>
      <c r="P288" s="4"/>
      <c r="Q288" s="4"/>
      <c r="R288" s="4"/>
      <c r="S288" s="4"/>
      <c r="T288" s="4"/>
      <c r="U288" s="4"/>
      <c r="V288" s="4"/>
      <c r="W288" s="4"/>
      <c r="X288" s="4"/>
      <c r="Y288" s="4"/>
      <c r="Z288" s="4"/>
    </row>
    <row r="289" ht="15.75" customHeight="1">
      <c r="A289" s="34" t="s">
        <v>467</v>
      </c>
      <c r="B289" s="30" t="s">
        <v>468</v>
      </c>
      <c r="C289" s="30" t="s">
        <v>71</v>
      </c>
      <c r="D289" s="30" t="s">
        <v>430</v>
      </c>
      <c r="E289" s="35">
        <v>0.2</v>
      </c>
      <c r="F289" s="4"/>
      <c r="G289" s="4"/>
      <c r="H289" s="4"/>
      <c r="I289" s="4"/>
      <c r="J289" s="4"/>
      <c r="K289" s="4"/>
      <c r="L289" s="4"/>
      <c r="M289" s="4"/>
      <c r="N289" s="4"/>
      <c r="O289" s="4"/>
      <c r="P289" s="4"/>
      <c r="Q289" s="4"/>
      <c r="R289" s="4"/>
      <c r="S289" s="4"/>
      <c r="T289" s="4"/>
      <c r="U289" s="4"/>
      <c r="V289" s="4"/>
      <c r="W289" s="4"/>
      <c r="X289" s="4"/>
      <c r="Y289" s="4"/>
      <c r="Z289" s="4"/>
    </row>
    <row r="290" ht="15.75" customHeight="1">
      <c r="A290" s="34" t="s">
        <v>467</v>
      </c>
      <c r="B290" s="30" t="s">
        <v>468</v>
      </c>
      <c r="C290" s="30" t="s">
        <v>79</v>
      </c>
      <c r="D290" s="30" t="s">
        <v>432</v>
      </c>
      <c r="E290" s="35">
        <v>0.2</v>
      </c>
      <c r="F290" s="4"/>
      <c r="G290" s="4"/>
      <c r="H290" s="4"/>
      <c r="I290" s="4"/>
      <c r="J290" s="4"/>
      <c r="K290" s="4"/>
      <c r="L290" s="4"/>
      <c r="M290" s="4"/>
      <c r="N290" s="4"/>
      <c r="O290" s="4"/>
      <c r="P290" s="4"/>
      <c r="Q290" s="4"/>
      <c r="R290" s="4"/>
      <c r="S290" s="4"/>
      <c r="T290" s="4"/>
      <c r="U290" s="4"/>
      <c r="V290" s="4"/>
      <c r="W290" s="4"/>
      <c r="X290" s="4"/>
      <c r="Y290" s="4"/>
      <c r="Z290" s="4"/>
    </row>
    <row r="291" ht="15.75" customHeight="1">
      <c r="A291" s="34" t="s">
        <v>467</v>
      </c>
      <c r="B291" s="30" t="s">
        <v>468</v>
      </c>
      <c r="C291" s="30" t="s">
        <v>82</v>
      </c>
      <c r="D291" s="30" t="s">
        <v>433</v>
      </c>
      <c r="E291" s="35">
        <v>0.95</v>
      </c>
      <c r="F291" s="4"/>
      <c r="G291" s="4"/>
      <c r="H291" s="4"/>
      <c r="I291" s="4"/>
      <c r="J291" s="4"/>
      <c r="K291" s="4"/>
      <c r="L291" s="4"/>
      <c r="M291" s="4"/>
      <c r="N291" s="4"/>
      <c r="O291" s="4"/>
      <c r="P291" s="4"/>
      <c r="Q291" s="4"/>
      <c r="R291" s="4"/>
      <c r="S291" s="4"/>
      <c r="T291" s="4"/>
      <c r="U291" s="4"/>
      <c r="V291" s="4"/>
      <c r="W291" s="4"/>
      <c r="X291" s="4"/>
      <c r="Y291" s="4"/>
      <c r="Z291" s="4"/>
    </row>
    <row r="292" ht="15.75" customHeight="1">
      <c r="A292" s="34" t="s">
        <v>467</v>
      </c>
      <c r="B292" s="30" t="s">
        <v>468</v>
      </c>
      <c r="C292" s="30" t="s">
        <v>85</v>
      </c>
      <c r="D292" s="30" t="s">
        <v>434</v>
      </c>
      <c r="E292" s="35">
        <v>0.75</v>
      </c>
      <c r="F292" s="4"/>
      <c r="G292" s="4"/>
      <c r="H292" s="4"/>
      <c r="I292" s="4"/>
      <c r="J292" s="4"/>
      <c r="K292" s="4"/>
      <c r="L292" s="4"/>
      <c r="M292" s="4"/>
      <c r="N292" s="4"/>
      <c r="O292" s="4"/>
      <c r="P292" s="4"/>
      <c r="Q292" s="4"/>
      <c r="R292" s="4"/>
      <c r="S292" s="4"/>
      <c r="T292" s="4"/>
      <c r="U292" s="4"/>
      <c r="V292" s="4"/>
      <c r="W292" s="4"/>
      <c r="X292" s="4"/>
      <c r="Y292" s="4"/>
      <c r="Z292" s="4"/>
    </row>
    <row r="293" ht="15.75" customHeight="1">
      <c r="A293" s="34" t="s">
        <v>467</v>
      </c>
      <c r="B293" s="30" t="s">
        <v>468</v>
      </c>
      <c r="C293" s="30" t="s">
        <v>88</v>
      </c>
      <c r="D293" s="30" t="s">
        <v>435</v>
      </c>
      <c r="E293" s="35">
        <v>0.05</v>
      </c>
      <c r="F293" s="4"/>
      <c r="G293" s="4"/>
      <c r="H293" s="4"/>
      <c r="I293" s="4"/>
      <c r="J293" s="4"/>
      <c r="K293" s="4"/>
      <c r="L293" s="4"/>
      <c r="M293" s="4"/>
      <c r="N293" s="4"/>
      <c r="O293" s="4"/>
      <c r="P293" s="4"/>
      <c r="Q293" s="4"/>
      <c r="R293" s="4"/>
      <c r="S293" s="4"/>
      <c r="T293" s="4"/>
      <c r="U293" s="4"/>
      <c r="V293" s="4"/>
      <c r="W293" s="4"/>
      <c r="X293" s="4"/>
      <c r="Y293" s="4"/>
      <c r="Z293" s="4"/>
    </row>
    <row r="294" ht="15.75" customHeight="1">
      <c r="A294" s="34" t="s">
        <v>467</v>
      </c>
      <c r="B294" s="30" t="s">
        <v>468</v>
      </c>
      <c r="C294" s="30" t="s">
        <v>76</v>
      </c>
      <c r="D294" s="30" t="s">
        <v>437</v>
      </c>
      <c r="E294" s="35">
        <v>0.15</v>
      </c>
      <c r="F294" s="4"/>
      <c r="G294" s="4"/>
      <c r="H294" s="4"/>
      <c r="I294" s="4"/>
      <c r="J294" s="4"/>
      <c r="K294" s="4"/>
      <c r="L294" s="4"/>
      <c r="M294" s="4"/>
      <c r="N294" s="4"/>
      <c r="O294" s="4"/>
      <c r="P294" s="4"/>
      <c r="Q294" s="4"/>
      <c r="R294" s="4"/>
      <c r="S294" s="4"/>
      <c r="T294" s="4"/>
      <c r="U294" s="4"/>
      <c r="V294" s="4"/>
      <c r="W294" s="4"/>
      <c r="X294" s="4"/>
      <c r="Y294" s="4"/>
      <c r="Z294" s="4"/>
    </row>
    <row r="295" ht="15.75" customHeight="1">
      <c r="A295" s="34" t="s">
        <v>467</v>
      </c>
      <c r="B295" s="30" t="s">
        <v>468</v>
      </c>
      <c r="C295" s="30" t="s">
        <v>107</v>
      </c>
      <c r="D295" s="30" t="s">
        <v>438</v>
      </c>
      <c r="E295" s="35">
        <v>0.3</v>
      </c>
      <c r="F295" s="4"/>
      <c r="G295" s="4"/>
      <c r="H295" s="4"/>
      <c r="I295" s="4"/>
      <c r="J295" s="4"/>
      <c r="K295" s="4"/>
      <c r="L295" s="4"/>
      <c r="M295" s="4"/>
      <c r="N295" s="4"/>
      <c r="O295" s="4"/>
      <c r="P295" s="4"/>
      <c r="Q295" s="4"/>
      <c r="R295" s="4"/>
      <c r="S295" s="4"/>
      <c r="T295" s="4"/>
      <c r="U295" s="4"/>
      <c r="V295" s="4"/>
      <c r="W295" s="4"/>
      <c r="X295" s="4"/>
      <c r="Y295" s="4"/>
      <c r="Z295" s="4"/>
    </row>
  </sheetData>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0"/>
    <col customWidth="1" min="2" max="2" width="26.0"/>
    <col customWidth="1" min="3" max="3" width="24.0"/>
    <col customWidth="1" min="4" max="5" width="14.0"/>
    <col customWidth="1" min="6" max="6" width="20.0"/>
    <col customWidth="1" min="7" max="8" width="12.0"/>
    <col customWidth="1" min="9" max="9" width="18.0"/>
    <col customWidth="1" min="10" max="10" width="21.88"/>
    <col customWidth="1" min="11" max="11" width="18.0"/>
  </cols>
  <sheetData>
    <row r="1" ht="30.0" customHeight="1">
      <c r="A1" s="37" t="s">
        <v>439</v>
      </c>
      <c r="B1" s="38" t="s">
        <v>440</v>
      </c>
      <c r="C1" s="38" t="s">
        <v>403</v>
      </c>
      <c r="D1" s="38" t="s">
        <v>441</v>
      </c>
      <c r="E1" s="38" t="s">
        <v>469</v>
      </c>
      <c r="F1" s="38" t="s">
        <v>470</v>
      </c>
      <c r="G1" s="38" t="s">
        <v>471</v>
      </c>
      <c r="H1" s="39" t="s">
        <v>472</v>
      </c>
      <c r="I1" s="38" t="s">
        <v>473</v>
      </c>
      <c r="J1" s="38" t="s">
        <v>474</v>
      </c>
      <c r="K1" s="38" t="s">
        <v>475</v>
      </c>
      <c r="L1" s="4"/>
      <c r="M1" s="4"/>
      <c r="N1" s="4"/>
      <c r="O1" s="4"/>
      <c r="P1" s="4"/>
      <c r="Q1" s="4"/>
      <c r="R1" s="4"/>
      <c r="S1" s="4"/>
      <c r="T1" s="4"/>
      <c r="U1" s="4"/>
      <c r="V1" s="4"/>
      <c r="W1" s="4"/>
      <c r="X1" s="4"/>
      <c r="Y1" s="4"/>
      <c r="Z1" s="4"/>
    </row>
    <row r="2">
      <c r="A2" s="40" t="str">
        <f>archetype_prototypes!A2</f>
        <v>1</v>
      </c>
      <c r="B2" s="9" t="str">
        <f>archetype_prototypes!B2</f>
        <v>Sensual Connector</v>
      </c>
      <c r="C2" s="9" t="str">
        <f>archetype_prototypes!C2</f>
        <v>DIM_NOVELTY</v>
      </c>
      <c r="D2" s="41">
        <f>archetype_prototypes!E2</f>
        <v>0.3</v>
      </c>
      <c r="E2" s="41">
        <f t="shared" ref="E2:E295" si="1">MIN(D2,1-D2)</f>
        <v>0.3</v>
      </c>
      <c r="F2" s="41">
        <f t="shared" ref="F2:F295" si="2">0.5+D2-D2^2</f>
        <v>0.71</v>
      </c>
      <c r="G2" s="41">
        <f t="shared" ref="G2:G295" si="3">1</f>
        <v>1</v>
      </c>
      <c r="H2" s="42" t="str">
        <f t="array" ref="H2">XLOOKUP(C2,dimensions!$A$2:$A$22,dimensions!$E$2:$E$22,0)</f>
        <v>1.4</v>
      </c>
      <c r="I2" s="41">
        <f t="shared" ref="I2:I295" si="4">H2*E2</f>
        <v>0.42</v>
      </c>
      <c r="J2" s="41">
        <f t="shared" ref="J2:J295" si="5">H2*F2</f>
        <v>0.994</v>
      </c>
      <c r="K2" s="41">
        <f t="shared" ref="K2:K295" si="6">H2*G2</f>
        <v>1.4</v>
      </c>
      <c r="L2" s="4"/>
      <c r="M2" s="4"/>
      <c r="N2" s="4"/>
      <c r="O2" s="4"/>
      <c r="P2" s="4"/>
      <c r="Q2" s="4"/>
      <c r="R2" s="4"/>
      <c r="S2" s="4"/>
      <c r="T2" s="4"/>
      <c r="U2" s="4"/>
      <c r="V2" s="4"/>
      <c r="W2" s="4"/>
      <c r="X2" s="4"/>
      <c r="Y2" s="4"/>
      <c r="Z2" s="4"/>
    </row>
    <row r="3">
      <c r="A3" s="40" t="str">
        <f>archetype_prototypes!A3</f>
        <v>1</v>
      </c>
      <c r="B3" s="9" t="str">
        <f>archetype_prototypes!B3</f>
        <v>Sensual Connector</v>
      </c>
      <c r="C3" s="9" t="str">
        <f>archetype_prototypes!C3</f>
        <v>DIM_RESPONSIVE</v>
      </c>
      <c r="D3" s="41">
        <f>archetype_prototypes!E3</f>
        <v>0.8</v>
      </c>
      <c r="E3" s="41">
        <f t="shared" si="1"/>
        <v>0.2</v>
      </c>
      <c r="F3" s="41">
        <f t="shared" si="2"/>
        <v>0.66</v>
      </c>
      <c r="G3" s="41">
        <f t="shared" si="3"/>
        <v>1</v>
      </c>
      <c r="H3" s="42" t="str">
        <f t="array" ref="H3">XLOOKUP(C3,dimensions!$A$2:$A$22,dimensions!$E$2:$E$22,0)</f>
        <v>1.6</v>
      </c>
      <c r="I3" s="41">
        <f t="shared" si="4"/>
        <v>0.32</v>
      </c>
      <c r="J3" s="41">
        <f t="shared" si="5"/>
        <v>1.056</v>
      </c>
      <c r="K3" s="41">
        <f t="shared" si="6"/>
        <v>1.6</v>
      </c>
      <c r="L3" s="4"/>
      <c r="M3" s="4"/>
      <c r="N3" s="4"/>
      <c r="O3" s="4"/>
      <c r="P3" s="4"/>
      <c r="Q3" s="4"/>
      <c r="R3" s="4"/>
      <c r="S3" s="4"/>
      <c r="T3" s="4"/>
      <c r="U3" s="4"/>
      <c r="V3" s="4"/>
      <c r="W3" s="4"/>
      <c r="X3" s="4"/>
      <c r="Y3" s="4"/>
      <c r="Z3" s="4"/>
    </row>
    <row r="4">
      <c r="A4" s="40" t="str">
        <f>archetype_prototypes!A4</f>
        <v>1</v>
      </c>
      <c r="B4" s="9" t="str">
        <f>archetype_prototypes!B4</f>
        <v>Sensual Connector</v>
      </c>
      <c r="C4" s="9" t="str">
        <f>archetype_prototypes!C4</f>
        <v>DIM_PLANNED</v>
      </c>
      <c r="D4" s="41">
        <f>archetype_prototypes!E4</f>
        <v>0.45</v>
      </c>
      <c r="E4" s="41">
        <f t="shared" si="1"/>
        <v>0.45</v>
      </c>
      <c r="F4" s="41">
        <f t="shared" si="2"/>
        <v>0.7475</v>
      </c>
      <c r="G4" s="41">
        <f t="shared" si="3"/>
        <v>1</v>
      </c>
      <c r="H4" s="42" t="str">
        <f t="array" ref="H4">XLOOKUP(C4,dimensions!$A$2:$A$22,dimensions!$E$2:$E$22,0)</f>
        <v>1.3</v>
      </c>
      <c r="I4" s="41">
        <f t="shared" si="4"/>
        <v>0.585</v>
      </c>
      <c r="J4" s="41">
        <f t="shared" si="5"/>
        <v>0.97175</v>
      </c>
      <c r="K4" s="41">
        <f t="shared" si="6"/>
        <v>1.3</v>
      </c>
      <c r="L4" s="4"/>
      <c r="M4" s="4"/>
      <c r="N4" s="4"/>
      <c r="O4" s="4"/>
      <c r="P4" s="4"/>
      <c r="Q4" s="4"/>
      <c r="R4" s="4"/>
      <c r="S4" s="4"/>
      <c r="T4" s="4"/>
      <c r="U4" s="4"/>
      <c r="V4" s="4"/>
      <c r="W4" s="4"/>
      <c r="X4" s="4"/>
      <c r="Y4" s="4"/>
      <c r="Z4" s="4"/>
    </row>
    <row r="5">
      <c r="A5" s="40" t="str">
        <f>archetype_prototypes!A5</f>
        <v>1</v>
      </c>
      <c r="B5" s="9" t="str">
        <f>archetype_prototypes!B5</f>
        <v>Sensual Connector</v>
      </c>
      <c r="C5" s="9" t="str">
        <f>archetype_prototypes!C5</f>
        <v>DIM_EMO_CONNECTION</v>
      </c>
      <c r="D5" s="41">
        <f>archetype_prototypes!E5</f>
        <v>0.85</v>
      </c>
      <c r="E5" s="41">
        <f t="shared" si="1"/>
        <v>0.15</v>
      </c>
      <c r="F5" s="41">
        <f t="shared" si="2"/>
        <v>0.6275</v>
      </c>
      <c r="G5" s="41">
        <f t="shared" si="3"/>
        <v>1</v>
      </c>
      <c r="H5" s="42" t="str">
        <f t="array" ref="H5">XLOOKUP(C5,dimensions!$A$2:$A$22,dimensions!$E$2:$E$22,0)</f>
        <v>1.4</v>
      </c>
      <c r="I5" s="41">
        <f t="shared" si="4"/>
        <v>0.21</v>
      </c>
      <c r="J5" s="41">
        <f t="shared" si="5"/>
        <v>0.8785</v>
      </c>
      <c r="K5" s="41">
        <f t="shared" si="6"/>
        <v>1.4</v>
      </c>
      <c r="L5" s="4"/>
      <c r="M5" s="4"/>
      <c r="N5" s="4"/>
      <c r="O5" s="4"/>
      <c r="P5" s="4"/>
      <c r="Q5" s="4"/>
      <c r="R5" s="4"/>
      <c r="S5" s="4"/>
      <c r="T5" s="4"/>
      <c r="U5" s="4"/>
      <c r="V5" s="4"/>
      <c r="W5" s="4"/>
      <c r="X5" s="4"/>
      <c r="Y5" s="4"/>
      <c r="Z5" s="4"/>
    </row>
    <row r="6">
      <c r="A6" s="40" t="str">
        <f>archetype_prototypes!A6</f>
        <v>1</v>
      </c>
      <c r="B6" s="9" t="str">
        <f>archetype_prototypes!B6</f>
        <v>Sensual Connector</v>
      </c>
      <c r="C6" s="9" t="str">
        <f>archetype_prototypes!C6</f>
        <v>DIM_INTENSITY</v>
      </c>
      <c r="D6" s="41">
        <f>archetype_prototypes!E6</f>
        <v>0.4</v>
      </c>
      <c r="E6" s="41">
        <f t="shared" si="1"/>
        <v>0.4</v>
      </c>
      <c r="F6" s="41">
        <f t="shared" si="2"/>
        <v>0.74</v>
      </c>
      <c r="G6" s="41">
        <f t="shared" si="3"/>
        <v>1</v>
      </c>
      <c r="H6" s="42" t="str">
        <f t="array" ref="H6">XLOOKUP(C6,dimensions!$A$2:$A$22,dimensions!$E$2:$E$22,0)</f>
        <v>1.4</v>
      </c>
      <c r="I6" s="41">
        <f t="shared" si="4"/>
        <v>0.56</v>
      </c>
      <c r="J6" s="41">
        <f t="shared" si="5"/>
        <v>1.036</v>
      </c>
      <c r="K6" s="41">
        <f t="shared" si="6"/>
        <v>1.4</v>
      </c>
      <c r="L6" s="4"/>
      <c r="M6" s="4"/>
      <c r="N6" s="4"/>
      <c r="O6" s="4"/>
      <c r="P6" s="4"/>
      <c r="Q6" s="4"/>
      <c r="R6" s="4"/>
      <c r="S6" s="4"/>
      <c r="T6" s="4"/>
      <c r="U6" s="4"/>
      <c r="V6" s="4"/>
      <c r="W6" s="4"/>
      <c r="X6" s="4"/>
      <c r="Y6" s="4"/>
      <c r="Z6" s="4"/>
    </row>
    <row r="7">
      <c r="A7" s="40" t="str">
        <f>archetype_prototypes!A7</f>
        <v>1</v>
      </c>
      <c r="B7" s="9" t="str">
        <f>archetype_prototypes!B7</f>
        <v>Sensual Connector</v>
      </c>
      <c r="C7" s="9" t="str">
        <f>archetype_prototypes!C7</f>
        <v>DIM_PURSUIT</v>
      </c>
      <c r="D7" s="41">
        <f>archetype_prototypes!E7</f>
        <v>0.25</v>
      </c>
      <c r="E7" s="41">
        <f t="shared" si="1"/>
        <v>0.25</v>
      </c>
      <c r="F7" s="41">
        <f t="shared" si="2"/>
        <v>0.6875</v>
      </c>
      <c r="G7" s="41">
        <f t="shared" si="3"/>
        <v>1</v>
      </c>
      <c r="H7" s="42" t="str">
        <f t="array" ref="H7">XLOOKUP(C7,dimensions!$A$2:$A$22,dimensions!$E$2:$E$22,0)</f>
        <v>1.4</v>
      </c>
      <c r="I7" s="41">
        <f t="shared" si="4"/>
        <v>0.35</v>
      </c>
      <c r="J7" s="41">
        <f t="shared" si="5"/>
        <v>0.9625</v>
      </c>
      <c r="K7" s="41">
        <f t="shared" si="6"/>
        <v>1.4</v>
      </c>
      <c r="L7" s="4"/>
      <c r="M7" s="4"/>
      <c r="N7" s="4"/>
      <c r="O7" s="4"/>
      <c r="P7" s="4"/>
      <c r="Q7" s="4"/>
      <c r="R7" s="4"/>
      <c r="S7" s="4"/>
      <c r="T7" s="4"/>
      <c r="U7" s="4"/>
      <c r="V7" s="4"/>
      <c r="W7" s="4"/>
      <c r="X7" s="4"/>
      <c r="Y7" s="4"/>
      <c r="Z7" s="4"/>
    </row>
    <row r="8">
      <c r="A8" s="40" t="str">
        <f>archetype_prototypes!A8</f>
        <v>1</v>
      </c>
      <c r="B8" s="9" t="str">
        <f>archetype_prototypes!B8</f>
        <v>Sensual Connector</v>
      </c>
      <c r="C8" s="9" t="str">
        <f>archetype_prototypes!C8</f>
        <v>DIM_EDGE_NEED</v>
      </c>
      <c r="D8" s="41">
        <f>archetype_prototypes!E8</f>
        <v>0.2</v>
      </c>
      <c r="E8" s="41">
        <f t="shared" si="1"/>
        <v>0.2</v>
      </c>
      <c r="F8" s="41">
        <f t="shared" si="2"/>
        <v>0.66</v>
      </c>
      <c r="G8" s="41">
        <f t="shared" si="3"/>
        <v>1</v>
      </c>
      <c r="H8" s="42" t="str">
        <f t="array" ref="H8">XLOOKUP(C8,dimensions!$A$2:$A$22,dimensions!$E$2:$E$22,0)</f>
        <v>1.8</v>
      </c>
      <c r="I8" s="41">
        <f t="shared" si="4"/>
        <v>0.36</v>
      </c>
      <c r="J8" s="41">
        <f t="shared" si="5"/>
        <v>1.188</v>
      </c>
      <c r="K8" s="41">
        <f t="shared" si="6"/>
        <v>1.8</v>
      </c>
      <c r="L8" s="4"/>
      <c r="M8" s="4"/>
      <c r="N8" s="4"/>
      <c r="O8" s="4"/>
      <c r="P8" s="4"/>
      <c r="Q8" s="4"/>
      <c r="R8" s="4"/>
      <c r="S8" s="4"/>
      <c r="T8" s="4"/>
      <c r="U8" s="4"/>
      <c r="V8" s="4"/>
      <c r="W8" s="4"/>
      <c r="X8" s="4"/>
      <c r="Y8" s="4"/>
      <c r="Z8" s="4"/>
    </row>
    <row r="9">
      <c r="A9" s="40" t="str">
        <f>archetype_prototypes!A9</f>
        <v>1</v>
      </c>
      <c r="B9" s="9" t="str">
        <f>archetype_prototypes!B9</f>
        <v>Sensual Connector</v>
      </c>
      <c r="C9" s="9" t="str">
        <f>archetype_prototypes!C9</f>
        <v>DIM_SACRED</v>
      </c>
      <c r="D9" s="41">
        <f>archetype_prototypes!E9</f>
        <v>0.55</v>
      </c>
      <c r="E9" s="41">
        <f t="shared" si="1"/>
        <v>0.45</v>
      </c>
      <c r="F9" s="41">
        <f t="shared" si="2"/>
        <v>0.7475</v>
      </c>
      <c r="G9" s="41">
        <f t="shared" si="3"/>
        <v>1</v>
      </c>
      <c r="H9" s="42" t="str">
        <f t="array" ref="H9">XLOOKUP(C9,dimensions!$A$2:$A$22,dimensions!$E$2:$E$22,0)</f>
        <v>2.0</v>
      </c>
      <c r="I9" s="41">
        <f t="shared" si="4"/>
        <v>0.9</v>
      </c>
      <c r="J9" s="41">
        <f t="shared" si="5"/>
        <v>1.495</v>
      </c>
      <c r="K9" s="41">
        <f t="shared" si="6"/>
        <v>2</v>
      </c>
      <c r="L9" s="4"/>
      <c r="M9" s="4"/>
      <c r="N9" s="4"/>
      <c r="O9" s="4"/>
      <c r="P9" s="4"/>
      <c r="Q9" s="4"/>
      <c r="R9" s="4"/>
      <c r="S9" s="4"/>
      <c r="T9" s="4"/>
      <c r="U9" s="4"/>
      <c r="V9" s="4"/>
      <c r="W9" s="4"/>
      <c r="X9" s="4"/>
      <c r="Y9" s="4"/>
      <c r="Z9" s="4"/>
    </row>
    <row r="10">
      <c r="A10" s="40" t="str">
        <f>archetype_prototypes!A10</f>
        <v>1</v>
      </c>
      <c r="B10" s="9" t="str">
        <f>archetype_prototypes!B10</f>
        <v>Sensual Connector</v>
      </c>
      <c r="C10" s="9" t="str">
        <f>archetype_prototypes!C10</f>
        <v>DIM_RISK_PREF</v>
      </c>
      <c r="D10" s="41">
        <f>archetype_prototypes!E10</f>
        <v>0.2</v>
      </c>
      <c r="E10" s="41">
        <f t="shared" si="1"/>
        <v>0.2</v>
      </c>
      <c r="F10" s="41">
        <f t="shared" si="2"/>
        <v>0.66</v>
      </c>
      <c r="G10" s="41">
        <f t="shared" si="3"/>
        <v>1</v>
      </c>
      <c r="H10" s="42" t="str">
        <f t="array" ref="H10">XLOOKUP(C10,dimensions!$A$2:$A$22,dimensions!$E$2:$E$22,0)</f>
        <v>1.6</v>
      </c>
      <c r="I10" s="41">
        <f t="shared" si="4"/>
        <v>0.32</v>
      </c>
      <c r="J10" s="41">
        <f t="shared" si="5"/>
        <v>1.056</v>
      </c>
      <c r="K10" s="41">
        <f t="shared" si="6"/>
        <v>1.6</v>
      </c>
      <c r="L10" s="4"/>
      <c r="M10" s="4"/>
      <c r="N10" s="4"/>
      <c r="O10" s="4"/>
      <c r="P10" s="4"/>
      <c r="Q10" s="4"/>
      <c r="R10" s="4"/>
      <c r="S10" s="4"/>
      <c r="T10" s="4"/>
      <c r="U10" s="4"/>
      <c r="V10" s="4"/>
      <c r="W10" s="4"/>
      <c r="X10" s="4"/>
      <c r="Y10" s="4"/>
      <c r="Z10" s="4"/>
    </row>
    <row r="11">
      <c r="A11" s="40" t="str">
        <f>archetype_prototypes!A11</f>
        <v>1</v>
      </c>
      <c r="B11" s="9" t="str">
        <f>archetype_prototypes!B11</f>
        <v>Sensual Connector</v>
      </c>
      <c r="C11" s="9" t="str">
        <f>archetype_prototypes!C11</f>
        <v>DIM_FEEDBACK_DEP</v>
      </c>
      <c r="D11" s="41">
        <f>archetype_prototypes!E11</f>
        <v>0.3</v>
      </c>
      <c r="E11" s="41">
        <f t="shared" si="1"/>
        <v>0.3</v>
      </c>
      <c r="F11" s="41">
        <f t="shared" si="2"/>
        <v>0.71</v>
      </c>
      <c r="G11" s="41">
        <f t="shared" si="3"/>
        <v>1</v>
      </c>
      <c r="H11" s="42" t="str">
        <f t="array" ref="H11">XLOOKUP(C11,dimensions!$A$2:$A$22,dimensions!$E$2:$E$22,0)</f>
        <v>2.0</v>
      </c>
      <c r="I11" s="41">
        <f t="shared" si="4"/>
        <v>0.6</v>
      </c>
      <c r="J11" s="41">
        <f t="shared" si="5"/>
        <v>1.42</v>
      </c>
      <c r="K11" s="41">
        <f t="shared" si="6"/>
        <v>2</v>
      </c>
      <c r="L11" s="4"/>
      <c r="M11" s="4"/>
      <c r="N11" s="4"/>
      <c r="O11" s="4"/>
      <c r="P11" s="4"/>
      <c r="Q11" s="4"/>
      <c r="R11" s="4"/>
      <c r="S11" s="4"/>
      <c r="T11" s="4"/>
      <c r="U11" s="4"/>
      <c r="V11" s="4"/>
      <c r="W11" s="4"/>
      <c r="X11" s="4"/>
      <c r="Y11" s="4"/>
      <c r="Z11" s="4"/>
    </row>
    <row r="12">
      <c r="A12" s="40" t="str">
        <f>archetype_prototypes!A12</f>
        <v>1</v>
      </c>
      <c r="B12" s="9" t="str">
        <f>archetype_prototypes!B12</f>
        <v>Sensual Connector</v>
      </c>
      <c r="C12" s="9" t="str">
        <f>archetype_prototypes!C12</f>
        <v>DIM_TURNON_EXPRESS</v>
      </c>
      <c r="D12" s="41">
        <f>archetype_prototypes!E12</f>
        <v>0.45</v>
      </c>
      <c r="E12" s="41">
        <f t="shared" si="1"/>
        <v>0.45</v>
      </c>
      <c r="F12" s="41">
        <f t="shared" si="2"/>
        <v>0.7475</v>
      </c>
      <c r="G12" s="41">
        <f t="shared" si="3"/>
        <v>1</v>
      </c>
      <c r="H12" s="42" t="str">
        <f t="array" ref="H12">XLOOKUP(C12,dimensions!$A$2:$A$22,dimensions!$E$2:$E$22,0)</f>
        <v>1.3</v>
      </c>
      <c r="I12" s="41">
        <f t="shared" si="4"/>
        <v>0.585</v>
      </c>
      <c r="J12" s="41">
        <f t="shared" si="5"/>
        <v>0.97175</v>
      </c>
      <c r="K12" s="41">
        <f t="shared" si="6"/>
        <v>1.3</v>
      </c>
      <c r="L12" s="4"/>
      <c r="M12" s="4"/>
      <c r="N12" s="4"/>
      <c r="O12" s="4"/>
      <c r="P12" s="4"/>
      <c r="Q12" s="4"/>
      <c r="R12" s="4"/>
      <c r="S12" s="4"/>
      <c r="T12" s="4"/>
      <c r="U12" s="4"/>
      <c r="V12" s="4"/>
      <c r="W12" s="4"/>
      <c r="X12" s="4"/>
      <c r="Y12" s="4"/>
      <c r="Z12" s="4"/>
    </row>
    <row r="13">
      <c r="A13" s="40" t="str">
        <f>archetype_prototypes!A13</f>
        <v>1</v>
      </c>
      <c r="B13" s="9" t="str">
        <f>archetype_prototypes!B13</f>
        <v>Sensual Connector</v>
      </c>
      <c r="C13" s="9" t="str">
        <f>archetype_prototypes!C13</f>
        <v>DIM_BOUNDARY_EXPRESS</v>
      </c>
      <c r="D13" s="41">
        <f>archetype_prototypes!E13</f>
        <v>0.55</v>
      </c>
      <c r="E13" s="41">
        <f t="shared" si="1"/>
        <v>0.45</v>
      </c>
      <c r="F13" s="41">
        <f t="shared" si="2"/>
        <v>0.7475</v>
      </c>
      <c r="G13" s="41">
        <f t="shared" si="3"/>
        <v>1</v>
      </c>
      <c r="H13" s="42" t="str">
        <f t="array" ref="H13">XLOOKUP(C13,dimensions!$A$2:$A$22,dimensions!$E$2:$E$22,0)</f>
        <v>1.3</v>
      </c>
      <c r="I13" s="41">
        <f t="shared" si="4"/>
        <v>0.585</v>
      </c>
      <c r="J13" s="41">
        <f t="shared" si="5"/>
        <v>0.97175</v>
      </c>
      <c r="K13" s="41">
        <f t="shared" si="6"/>
        <v>1.3</v>
      </c>
      <c r="L13" s="4"/>
      <c r="M13" s="4"/>
      <c r="N13" s="4"/>
      <c r="O13" s="4"/>
      <c r="P13" s="4"/>
      <c r="Q13" s="4"/>
      <c r="R13" s="4"/>
      <c r="S13" s="4"/>
      <c r="T13" s="4"/>
      <c r="U13" s="4"/>
      <c r="V13" s="4"/>
      <c r="W13" s="4"/>
      <c r="X13" s="4"/>
      <c r="Y13" s="4"/>
      <c r="Z13" s="4"/>
    </row>
    <row r="14">
      <c r="A14" s="40" t="str">
        <f>archetype_prototypes!A14</f>
        <v>1</v>
      </c>
      <c r="B14" s="9" t="str">
        <f>archetype_prototypes!B14</f>
        <v>Sensual Connector</v>
      </c>
      <c r="C14" s="9" t="str">
        <f>archetype_prototypes!C14</f>
        <v>DIM_PROTOCOL</v>
      </c>
      <c r="D14" s="41">
        <f>archetype_prototypes!E14</f>
        <v>0.2</v>
      </c>
      <c r="E14" s="41">
        <f t="shared" si="1"/>
        <v>0.2</v>
      </c>
      <c r="F14" s="41">
        <f t="shared" si="2"/>
        <v>0.66</v>
      </c>
      <c r="G14" s="41">
        <f t="shared" si="3"/>
        <v>1</v>
      </c>
      <c r="H14" s="42" t="str">
        <f t="array" ref="H14">XLOOKUP(C14,dimensions!$A$2:$A$22,dimensions!$E$2:$E$22,0)</f>
        <v>1.6</v>
      </c>
      <c r="I14" s="41">
        <f t="shared" si="4"/>
        <v>0.32</v>
      </c>
      <c r="J14" s="41">
        <f t="shared" si="5"/>
        <v>1.056</v>
      </c>
      <c r="K14" s="41">
        <f t="shared" si="6"/>
        <v>1.6</v>
      </c>
      <c r="L14" s="4"/>
      <c r="M14" s="4"/>
      <c r="N14" s="4"/>
      <c r="O14" s="4"/>
      <c r="P14" s="4"/>
      <c r="Q14" s="4"/>
      <c r="R14" s="4"/>
      <c r="S14" s="4"/>
      <c r="T14" s="4"/>
      <c r="U14" s="4"/>
      <c r="V14" s="4"/>
      <c r="W14" s="4"/>
      <c r="X14" s="4"/>
      <c r="Y14" s="4"/>
      <c r="Z14" s="4"/>
    </row>
    <row r="15">
      <c r="A15" s="40" t="str">
        <f>archetype_prototypes!A15</f>
        <v>1</v>
      </c>
      <c r="B15" s="9" t="str">
        <f>archetype_prototypes!B15</f>
        <v>Sensual Connector</v>
      </c>
      <c r="C15" s="9" t="str">
        <f>archetype_prototypes!C15</f>
        <v>DIM_SOOTHING</v>
      </c>
      <c r="D15" s="41">
        <f>archetype_prototypes!E15</f>
        <v>0.5</v>
      </c>
      <c r="E15" s="41">
        <f t="shared" si="1"/>
        <v>0.5</v>
      </c>
      <c r="F15" s="41">
        <f t="shared" si="2"/>
        <v>0.75</v>
      </c>
      <c r="G15" s="41">
        <f t="shared" si="3"/>
        <v>1</v>
      </c>
      <c r="H15" s="42" t="str">
        <f t="array" ref="H15">XLOOKUP(C15,dimensions!$A$2:$A$22,dimensions!$E$2:$E$22,0)</f>
        <v>1.9</v>
      </c>
      <c r="I15" s="41">
        <f t="shared" si="4"/>
        <v>0.95</v>
      </c>
      <c r="J15" s="41">
        <f t="shared" si="5"/>
        <v>1.425</v>
      </c>
      <c r="K15" s="41">
        <f t="shared" si="6"/>
        <v>1.9</v>
      </c>
      <c r="L15" s="4"/>
      <c r="M15" s="4"/>
      <c r="N15" s="4"/>
      <c r="O15" s="4"/>
      <c r="P15" s="4"/>
      <c r="Q15" s="4"/>
      <c r="R15" s="4"/>
      <c r="S15" s="4"/>
      <c r="T15" s="4"/>
      <c r="U15" s="4"/>
      <c r="V15" s="4"/>
      <c r="W15" s="4"/>
      <c r="X15" s="4"/>
      <c r="Y15" s="4"/>
      <c r="Z15" s="4"/>
    </row>
    <row r="16">
      <c r="A16" s="40" t="str">
        <f>archetype_prototypes!A16</f>
        <v>1</v>
      </c>
      <c r="B16" s="9" t="str">
        <f>archetype_prototypes!B16</f>
        <v>Sensual Connector</v>
      </c>
      <c r="C16" s="9" t="str">
        <f>archetype_prototypes!C16</f>
        <v>DIM_SECURE</v>
      </c>
      <c r="D16" s="41">
        <f>archetype_prototypes!E16</f>
        <v>0.75</v>
      </c>
      <c r="E16" s="41">
        <f t="shared" si="1"/>
        <v>0.25</v>
      </c>
      <c r="F16" s="41">
        <f t="shared" si="2"/>
        <v>0.6875</v>
      </c>
      <c r="G16" s="41">
        <f t="shared" si="3"/>
        <v>1</v>
      </c>
      <c r="H16" s="42" t="str">
        <f t="array" ref="H16">XLOOKUP(C16,dimensions!$A$2:$A$22,dimensions!$E$2:$E$22,0)</f>
        <v>1</v>
      </c>
      <c r="I16" s="41">
        <f t="shared" si="4"/>
        <v>0.25</v>
      </c>
      <c r="J16" s="41">
        <f t="shared" si="5"/>
        <v>0.6875</v>
      </c>
      <c r="K16" s="41">
        <f t="shared" si="6"/>
        <v>1</v>
      </c>
      <c r="L16" s="4"/>
      <c r="M16" s="4"/>
      <c r="N16" s="4"/>
      <c r="O16" s="4"/>
      <c r="P16" s="4"/>
      <c r="Q16" s="4"/>
      <c r="R16" s="4"/>
      <c r="S16" s="4"/>
      <c r="T16" s="4"/>
      <c r="U16" s="4"/>
      <c r="V16" s="4"/>
      <c r="W16" s="4"/>
      <c r="X16" s="4"/>
      <c r="Y16" s="4"/>
      <c r="Z16" s="4"/>
    </row>
    <row r="17">
      <c r="A17" s="40" t="str">
        <f>archetype_prototypes!A17</f>
        <v>1</v>
      </c>
      <c r="B17" s="9" t="str">
        <f>archetype_prototypes!B17</f>
        <v>Sensual Connector</v>
      </c>
      <c r="C17" s="9" t="str">
        <f>archetype_prototypes!C17</f>
        <v>DIM_REPAIR_EROTICISM</v>
      </c>
      <c r="D17" s="41">
        <f>archetype_prototypes!E17</f>
        <v>0.65</v>
      </c>
      <c r="E17" s="41">
        <f t="shared" si="1"/>
        <v>0.35</v>
      </c>
      <c r="F17" s="41">
        <f t="shared" si="2"/>
        <v>0.7275</v>
      </c>
      <c r="G17" s="41">
        <f t="shared" si="3"/>
        <v>1</v>
      </c>
      <c r="H17" s="42" t="str">
        <f t="array" ref="H17">XLOOKUP(C17,dimensions!$A$2:$A$22,dimensions!$E$2:$E$22,0)</f>
        <v>1.6</v>
      </c>
      <c r="I17" s="41">
        <f t="shared" si="4"/>
        <v>0.56</v>
      </c>
      <c r="J17" s="41">
        <f t="shared" si="5"/>
        <v>1.164</v>
      </c>
      <c r="K17" s="41">
        <f t="shared" si="6"/>
        <v>1.6</v>
      </c>
      <c r="L17" s="4"/>
      <c r="M17" s="4"/>
      <c r="N17" s="4"/>
      <c r="O17" s="4"/>
      <c r="P17" s="4"/>
      <c r="Q17" s="4"/>
      <c r="R17" s="4"/>
      <c r="S17" s="4"/>
      <c r="T17" s="4"/>
      <c r="U17" s="4"/>
      <c r="V17" s="4"/>
      <c r="W17" s="4"/>
      <c r="X17" s="4"/>
      <c r="Y17" s="4"/>
      <c r="Z17" s="4"/>
    </row>
    <row r="18">
      <c r="A18" s="40" t="str">
        <f>archetype_prototypes!A18</f>
        <v>1</v>
      </c>
      <c r="B18" s="9" t="str">
        <f>archetype_prototypes!B18</f>
        <v>Sensual Connector</v>
      </c>
      <c r="C18" s="9" t="str">
        <f>archetype_prototypes!C18</f>
        <v>DIM_PRESSURE_SHUTDOWN</v>
      </c>
      <c r="D18" s="41">
        <f>archetype_prototypes!E18</f>
        <v>0.45</v>
      </c>
      <c r="E18" s="41">
        <f t="shared" si="1"/>
        <v>0.45</v>
      </c>
      <c r="F18" s="41">
        <f t="shared" si="2"/>
        <v>0.7475</v>
      </c>
      <c r="G18" s="41">
        <f t="shared" si="3"/>
        <v>1</v>
      </c>
      <c r="H18" s="42" t="str">
        <f t="array" ref="H18">XLOOKUP(C18,dimensions!$A$2:$A$22,dimensions!$E$2:$E$22,0)</f>
        <v>2.0</v>
      </c>
      <c r="I18" s="41">
        <f t="shared" si="4"/>
        <v>0.9</v>
      </c>
      <c r="J18" s="41">
        <f t="shared" si="5"/>
        <v>1.495</v>
      </c>
      <c r="K18" s="41">
        <f t="shared" si="6"/>
        <v>2</v>
      </c>
      <c r="L18" s="4"/>
      <c r="M18" s="4"/>
      <c r="N18" s="4"/>
      <c r="O18" s="4"/>
      <c r="P18" s="4"/>
      <c r="Q18" s="4"/>
      <c r="R18" s="4"/>
      <c r="S18" s="4"/>
      <c r="T18" s="4"/>
      <c r="U18" s="4"/>
      <c r="V18" s="4"/>
      <c r="W18" s="4"/>
      <c r="X18" s="4"/>
      <c r="Y18" s="4"/>
      <c r="Z18" s="4"/>
    </row>
    <row r="19">
      <c r="A19" s="40" t="str">
        <f>archetype_prototypes!A19</f>
        <v>1</v>
      </c>
      <c r="B19" s="9" t="str">
        <f>archetype_prototypes!B19</f>
        <v>Sensual Connector</v>
      </c>
      <c r="C19" s="9" t="str">
        <f>archetype_prototypes!C19</f>
        <v>DIM_AVOIDANT</v>
      </c>
      <c r="D19" s="41">
        <f>archetype_prototypes!E19</f>
        <v>0.2</v>
      </c>
      <c r="E19" s="41">
        <f t="shared" si="1"/>
        <v>0.2</v>
      </c>
      <c r="F19" s="41">
        <f t="shared" si="2"/>
        <v>0.66</v>
      </c>
      <c r="G19" s="41">
        <f t="shared" si="3"/>
        <v>1</v>
      </c>
      <c r="H19" s="42" t="str">
        <f t="array" ref="H19">XLOOKUP(C19,dimensions!$A$2:$A$22,dimensions!$E$2:$E$22,0)</f>
        <v>1.3</v>
      </c>
      <c r="I19" s="41">
        <f t="shared" si="4"/>
        <v>0.26</v>
      </c>
      <c r="J19" s="41">
        <f t="shared" si="5"/>
        <v>0.858</v>
      </c>
      <c r="K19" s="41">
        <f t="shared" si="6"/>
        <v>1.3</v>
      </c>
      <c r="L19" s="4"/>
      <c r="M19" s="4"/>
      <c r="N19" s="4"/>
      <c r="O19" s="4"/>
      <c r="P19" s="4"/>
      <c r="Q19" s="4"/>
      <c r="R19" s="4"/>
      <c r="S19" s="4"/>
      <c r="T19" s="4"/>
      <c r="U19" s="4"/>
      <c r="V19" s="4"/>
      <c r="W19" s="4"/>
      <c r="X19" s="4"/>
      <c r="Y19" s="4"/>
      <c r="Z19" s="4"/>
    </row>
    <row r="20">
      <c r="A20" s="40" t="str">
        <f>archetype_prototypes!A20</f>
        <v>1</v>
      </c>
      <c r="B20" s="9" t="str">
        <f>archetype_prototypes!B20</f>
        <v>Sensual Connector</v>
      </c>
      <c r="C20" s="9" t="str">
        <f>archetype_prototypes!C20</f>
        <v>DIM_STRATEGY</v>
      </c>
      <c r="D20" s="41">
        <f>archetype_prototypes!E20</f>
        <v>0.1</v>
      </c>
      <c r="E20" s="41">
        <f t="shared" si="1"/>
        <v>0.1</v>
      </c>
      <c r="F20" s="41">
        <f t="shared" si="2"/>
        <v>0.59</v>
      </c>
      <c r="G20" s="41">
        <f t="shared" si="3"/>
        <v>1</v>
      </c>
      <c r="H20" s="42" t="str">
        <f t="array" ref="H20">XLOOKUP(C20,dimensions!$A$2:$A$22,dimensions!$E$2:$E$22,0)</f>
        <v>1.2</v>
      </c>
      <c r="I20" s="41">
        <f t="shared" si="4"/>
        <v>0.12</v>
      </c>
      <c r="J20" s="41">
        <f t="shared" si="5"/>
        <v>0.708</v>
      </c>
      <c r="K20" s="41">
        <f t="shared" si="6"/>
        <v>1.2</v>
      </c>
      <c r="L20" s="4"/>
      <c r="M20" s="4"/>
      <c r="N20" s="4"/>
      <c r="O20" s="4"/>
      <c r="P20" s="4"/>
      <c r="Q20" s="4"/>
      <c r="R20" s="4"/>
      <c r="S20" s="4"/>
      <c r="T20" s="4"/>
      <c r="U20" s="4"/>
      <c r="V20" s="4"/>
      <c r="W20" s="4"/>
      <c r="X20" s="4"/>
      <c r="Y20" s="4"/>
      <c r="Z20" s="4"/>
    </row>
    <row r="21" ht="15.75" customHeight="1">
      <c r="A21" s="40" t="str">
        <f>archetype_prototypes!A21</f>
        <v>1</v>
      </c>
      <c r="B21" s="9" t="str">
        <f>archetype_prototypes!B21</f>
        <v>Sensual Connector</v>
      </c>
      <c r="C21" s="9" t="str">
        <f>archetype_prototypes!C21</f>
        <v>DIM_CLOSENESS_ORIENTATION</v>
      </c>
      <c r="D21" s="41">
        <f>archetype_prototypes!E21</f>
        <v>0.75</v>
      </c>
      <c r="E21" s="41">
        <f t="shared" si="1"/>
        <v>0.25</v>
      </c>
      <c r="F21" s="41">
        <f t="shared" si="2"/>
        <v>0.6875</v>
      </c>
      <c r="G21" s="41">
        <f t="shared" si="3"/>
        <v>1</v>
      </c>
      <c r="H21" s="42">
        <f t="array" ref="H21">XLOOKUP(C21,dimensions!$A$2:$A$22,dimensions!$E$2:$E$22,0)</f>
        <v>1</v>
      </c>
      <c r="I21" s="41">
        <f t="shared" si="4"/>
        <v>0.25</v>
      </c>
      <c r="J21" s="41">
        <f t="shared" si="5"/>
        <v>0.6875</v>
      </c>
      <c r="K21" s="41">
        <f t="shared" si="6"/>
        <v>1</v>
      </c>
      <c r="L21" s="4"/>
      <c r="M21" s="4"/>
      <c r="N21" s="4"/>
      <c r="O21" s="4"/>
      <c r="P21" s="4"/>
      <c r="Q21" s="4"/>
      <c r="R21" s="4"/>
      <c r="S21" s="4"/>
      <c r="T21" s="4"/>
      <c r="U21" s="4"/>
      <c r="V21" s="4"/>
      <c r="W21" s="4"/>
      <c r="X21" s="4"/>
      <c r="Y21" s="4"/>
      <c r="Z21" s="4"/>
    </row>
    <row r="22" ht="15.75" customHeight="1">
      <c r="A22" s="40" t="str">
        <f>archetype_prototypes!A22</f>
        <v>1</v>
      </c>
      <c r="B22" s="9" t="str">
        <f>archetype_prototypes!B22</f>
        <v>Sensual Connector</v>
      </c>
      <c r="C22" s="9" t="str">
        <f>archetype_prototypes!C22</f>
        <v>DIM_PARTNER_FOCUS</v>
      </c>
      <c r="D22" s="41">
        <f>archetype_prototypes!E22</f>
        <v>0.7</v>
      </c>
      <c r="E22" s="41">
        <f t="shared" si="1"/>
        <v>0.3</v>
      </c>
      <c r="F22" s="41">
        <f t="shared" si="2"/>
        <v>0.71</v>
      </c>
      <c r="G22" s="41">
        <f t="shared" si="3"/>
        <v>1</v>
      </c>
      <c r="H22" s="42">
        <f t="array" ref="H22">XLOOKUP(C22,dimensions!$A$2:$A$22,dimensions!$E$2:$E$22,0)</f>
        <v>1.2</v>
      </c>
      <c r="I22" s="41">
        <f t="shared" si="4"/>
        <v>0.36</v>
      </c>
      <c r="J22" s="41">
        <f t="shared" si="5"/>
        <v>0.852</v>
      </c>
      <c r="K22" s="41">
        <f t="shared" si="6"/>
        <v>1.2</v>
      </c>
      <c r="L22" s="4"/>
      <c r="M22" s="4"/>
      <c r="N22" s="4"/>
      <c r="O22" s="4"/>
      <c r="P22" s="4"/>
      <c r="Q22" s="4"/>
      <c r="R22" s="4"/>
      <c r="S22" s="4"/>
      <c r="T22" s="4"/>
      <c r="U22" s="4"/>
      <c r="V22" s="4"/>
      <c r="W22" s="4"/>
      <c r="X22" s="4"/>
      <c r="Y22" s="4"/>
      <c r="Z22" s="4"/>
    </row>
    <row r="23" ht="15.75" customHeight="1">
      <c r="A23" s="40" t="str">
        <f>archetype_prototypes!A23</f>
        <v>2</v>
      </c>
      <c r="B23" s="9" t="str">
        <f>archetype_prototypes!B23</f>
        <v>Spark Seeker</v>
      </c>
      <c r="C23" s="9" t="str">
        <f>archetype_prototypes!C23</f>
        <v>DIM_NOVELTY</v>
      </c>
      <c r="D23" s="41">
        <f>archetype_prototypes!E23</f>
        <v>0.83</v>
      </c>
      <c r="E23" s="41">
        <f t="shared" si="1"/>
        <v>0.17</v>
      </c>
      <c r="F23" s="41">
        <f t="shared" si="2"/>
        <v>0.6411</v>
      </c>
      <c r="G23" s="41">
        <f t="shared" si="3"/>
        <v>1</v>
      </c>
      <c r="H23" s="42" t="str">
        <f t="array" ref="H23">XLOOKUP(C23,dimensions!$A$2:$A$22,dimensions!$E$2:$E$22,0)</f>
        <v>1.4</v>
      </c>
      <c r="I23" s="41">
        <f t="shared" si="4"/>
        <v>0.238</v>
      </c>
      <c r="J23" s="41">
        <f t="shared" si="5"/>
        <v>0.89754</v>
      </c>
      <c r="K23" s="41">
        <f t="shared" si="6"/>
        <v>1.4</v>
      </c>
      <c r="L23" s="4"/>
      <c r="M23" s="4"/>
      <c r="N23" s="4"/>
      <c r="O23" s="4"/>
      <c r="P23" s="4"/>
      <c r="Q23" s="4"/>
      <c r="R23" s="4"/>
      <c r="S23" s="4"/>
      <c r="T23" s="4"/>
      <c r="U23" s="4"/>
      <c r="V23" s="4"/>
      <c r="W23" s="4"/>
      <c r="X23" s="4"/>
      <c r="Y23" s="4"/>
      <c r="Z23" s="4"/>
    </row>
    <row r="24" ht="15.75" customHeight="1">
      <c r="A24" s="40" t="str">
        <f>archetype_prototypes!A24</f>
        <v>2</v>
      </c>
      <c r="B24" s="9" t="str">
        <f>archetype_prototypes!B24</f>
        <v>Spark Seeker</v>
      </c>
      <c r="C24" s="9" t="str">
        <f>archetype_prototypes!C24</f>
        <v>DIM_RESPONSIVE</v>
      </c>
      <c r="D24" s="41">
        <f>archetype_prototypes!E24</f>
        <v>0.26</v>
      </c>
      <c r="E24" s="41">
        <f t="shared" si="1"/>
        <v>0.26</v>
      </c>
      <c r="F24" s="41">
        <f t="shared" si="2"/>
        <v>0.6924</v>
      </c>
      <c r="G24" s="41">
        <f t="shared" si="3"/>
        <v>1</v>
      </c>
      <c r="H24" s="42" t="str">
        <f t="array" ref="H24">XLOOKUP(C24,dimensions!$A$2:$A$22,dimensions!$E$2:$E$22,0)</f>
        <v>1.6</v>
      </c>
      <c r="I24" s="41">
        <f t="shared" si="4"/>
        <v>0.416</v>
      </c>
      <c r="J24" s="41">
        <f t="shared" si="5"/>
        <v>1.10784</v>
      </c>
      <c r="K24" s="41">
        <f t="shared" si="6"/>
        <v>1.6</v>
      </c>
      <c r="L24" s="4"/>
      <c r="M24" s="4"/>
      <c r="N24" s="4"/>
      <c r="O24" s="4"/>
      <c r="P24" s="4"/>
      <c r="Q24" s="4"/>
      <c r="R24" s="4"/>
      <c r="S24" s="4"/>
      <c r="T24" s="4"/>
      <c r="U24" s="4"/>
      <c r="V24" s="4"/>
      <c r="W24" s="4"/>
      <c r="X24" s="4"/>
      <c r="Y24" s="4"/>
      <c r="Z24" s="4"/>
    </row>
    <row r="25" ht="15.75" customHeight="1">
      <c r="A25" s="40" t="str">
        <f>archetype_prototypes!A25</f>
        <v>2</v>
      </c>
      <c r="B25" s="9" t="str">
        <f>archetype_prototypes!B25</f>
        <v>Spark Seeker</v>
      </c>
      <c r="C25" s="9" t="str">
        <f>archetype_prototypes!C25</f>
        <v>DIM_PLANNED</v>
      </c>
      <c r="D25" s="41">
        <f>archetype_prototypes!E25</f>
        <v>0.17</v>
      </c>
      <c r="E25" s="41">
        <f t="shared" si="1"/>
        <v>0.17</v>
      </c>
      <c r="F25" s="41">
        <f t="shared" si="2"/>
        <v>0.6411</v>
      </c>
      <c r="G25" s="41">
        <f t="shared" si="3"/>
        <v>1</v>
      </c>
      <c r="H25" s="42" t="str">
        <f t="array" ref="H25">XLOOKUP(C25,dimensions!$A$2:$A$22,dimensions!$E$2:$E$22,0)</f>
        <v>1.3</v>
      </c>
      <c r="I25" s="41">
        <f t="shared" si="4"/>
        <v>0.221</v>
      </c>
      <c r="J25" s="41">
        <f t="shared" si="5"/>
        <v>0.83343</v>
      </c>
      <c r="K25" s="41">
        <f t="shared" si="6"/>
        <v>1.3</v>
      </c>
      <c r="L25" s="4"/>
      <c r="M25" s="4"/>
      <c r="N25" s="4"/>
      <c r="O25" s="4"/>
      <c r="P25" s="4"/>
      <c r="Q25" s="4"/>
      <c r="R25" s="4"/>
      <c r="S25" s="4"/>
      <c r="T25" s="4"/>
      <c r="U25" s="4"/>
      <c r="V25" s="4"/>
      <c r="W25" s="4"/>
      <c r="X25" s="4"/>
      <c r="Y25" s="4"/>
      <c r="Z25" s="4"/>
    </row>
    <row r="26" ht="15.75" customHeight="1">
      <c r="A26" s="40" t="str">
        <f>archetype_prototypes!A26</f>
        <v>2</v>
      </c>
      <c r="B26" s="9" t="str">
        <f>archetype_prototypes!B26</f>
        <v>Spark Seeker</v>
      </c>
      <c r="C26" s="9" t="str">
        <f>archetype_prototypes!C26</f>
        <v>DIM_EMO_CONNECTION</v>
      </c>
      <c r="D26" s="41">
        <f>archetype_prototypes!E26</f>
        <v>0.37</v>
      </c>
      <c r="E26" s="41">
        <f t="shared" si="1"/>
        <v>0.37</v>
      </c>
      <c r="F26" s="41">
        <f t="shared" si="2"/>
        <v>0.7331</v>
      </c>
      <c r="G26" s="41">
        <f t="shared" si="3"/>
        <v>1</v>
      </c>
      <c r="H26" s="42" t="str">
        <f t="array" ref="H26">XLOOKUP(C26,dimensions!$A$2:$A$22,dimensions!$E$2:$E$22,0)</f>
        <v>1.4</v>
      </c>
      <c r="I26" s="41">
        <f t="shared" si="4"/>
        <v>0.518</v>
      </c>
      <c r="J26" s="41">
        <f t="shared" si="5"/>
        <v>1.02634</v>
      </c>
      <c r="K26" s="41">
        <f t="shared" si="6"/>
        <v>1.4</v>
      </c>
      <c r="L26" s="4"/>
      <c r="M26" s="4"/>
      <c r="N26" s="4"/>
      <c r="O26" s="4"/>
      <c r="P26" s="4"/>
      <c r="Q26" s="4"/>
      <c r="R26" s="4"/>
      <c r="S26" s="4"/>
      <c r="T26" s="4"/>
      <c r="U26" s="4"/>
      <c r="V26" s="4"/>
      <c r="W26" s="4"/>
      <c r="X26" s="4"/>
      <c r="Y26" s="4"/>
      <c r="Z26" s="4"/>
    </row>
    <row r="27" ht="15.75" customHeight="1">
      <c r="A27" s="40" t="str">
        <f>archetype_prototypes!A27</f>
        <v>2</v>
      </c>
      <c r="B27" s="9" t="str">
        <f>archetype_prototypes!B27</f>
        <v>Spark Seeker</v>
      </c>
      <c r="C27" s="9" t="str">
        <f>archetype_prototypes!C27</f>
        <v>DIM_INTENSITY</v>
      </c>
      <c r="D27" s="41">
        <f>archetype_prototypes!E27</f>
        <v>0.84</v>
      </c>
      <c r="E27" s="41">
        <f t="shared" si="1"/>
        <v>0.16</v>
      </c>
      <c r="F27" s="41">
        <f t="shared" si="2"/>
        <v>0.6344</v>
      </c>
      <c r="G27" s="41">
        <f t="shared" si="3"/>
        <v>1</v>
      </c>
      <c r="H27" s="42" t="str">
        <f t="array" ref="H27">XLOOKUP(C27,dimensions!$A$2:$A$22,dimensions!$E$2:$E$22,0)</f>
        <v>1.4</v>
      </c>
      <c r="I27" s="41">
        <f t="shared" si="4"/>
        <v>0.224</v>
      </c>
      <c r="J27" s="41">
        <f t="shared" si="5"/>
        <v>0.88816</v>
      </c>
      <c r="K27" s="41">
        <f t="shared" si="6"/>
        <v>1.4</v>
      </c>
      <c r="L27" s="4"/>
      <c r="M27" s="4"/>
      <c r="N27" s="4"/>
      <c r="O27" s="4"/>
      <c r="P27" s="4"/>
      <c r="Q27" s="4"/>
      <c r="R27" s="4"/>
      <c r="S27" s="4"/>
      <c r="T27" s="4"/>
      <c r="U27" s="4"/>
      <c r="V27" s="4"/>
      <c r="W27" s="4"/>
      <c r="X27" s="4"/>
      <c r="Y27" s="4"/>
      <c r="Z27" s="4"/>
    </row>
    <row r="28" ht="15.75" customHeight="1">
      <c r="A28" s="40" t="str">
        <f>archetype_prototypes!A28</f>
        <v>2</v>
      </c>
      <c r="B28" s="9" t="str">
        <f>archetype_prototypes!B28</f>
        <v>Spark Seeker</v>
      </c>
      <c r="C28" s="9" t="str">
        <f>archetype_prototypes!C28</f>
        <v>DIM_PURSUIT</v>
      </c>
      <c r="D28" s="41">
        <f>archetype_prototypes!E28</f>
        <v>0.79</v>
      </c>
      <c r="E28" s="41">
        <f t="shared" si="1"/>
        <v>0.21</v>
      </c>
      <c r="F28" s="41">
        <f t="shared" si="2"/>
        <v>0.6659</v>
      </c>
      <c r="G28" s="41">
        <f t="shared" si="3"/>
        <v>1</v>
      </c>
      <c r="H28" s="42" t="str">
        <f t="array" ref="H28">XLOOKUP(C28,dimensions!$A$2:$A$22,dimensions!$E$2:$E$22,0)</f>
        <v>1.4</v>
      </c>
      <c r="I28" s="41">
        <f t="shared" si="4"/>
        <v>0.294</v>
      </c>
      <c r="J28" s="41">
        <f t="shared" si="5"/>
        <v>0.93226</v>
      </c>
      <c r="K28" s="41">
        <f t="shared" si="6"/>
        <v>1.4</v>
      </c>
      <c r="L28" s="4"/>
      <c r="M28" s="4"/>
      <c r="N28" s="4"/>
      <c r="O28" s="4"/>
      <c r="P28" s="4"/>
      <c r="Q28" s="4"/>
      <c r="R28" s="4"/>
      <c r="S28" s="4"/>
      <c r="T28" s="4"/>
      <c r="U28" s="4"/>
      <c r="V28" s="4"/>
      <c r="W28" s="4"/>
      <c r="X28" s="4"/>
      <c r="Y28" s="4"/>
      <c r="Z28" s="4"/>
    </row>
    <row r="29" ht="15.75" customHeight="1">
      <c r="A29" s="40" t="str">
        <f>archetype_prototypes!A29</f>
        <v>2</v>
      </c>
      <c r="B29" s="9" t="str">
        <f>archetype_prototypes!B29</f>
        <v>Spark Seeker</v>
      </c>
      <c r="C29" s="9" t="str">
        <f>archetype_prototypes!C29</f>
        <v>DIM_EDGE_NEED</v>
      </c>
      <c r="D29" s="41">
        <f>archetype_prototypes!E29</f>
        <v>0.6</v>
      </c>
      <c r="E29" s="41">
        <f t="shared" si="1"/>
        <v>0.4</v>
      </c>
      <c r="F29" s="41">
        <f t="shared" si="2"/>
        <v>0.74</v>
      </c>
      <c r="G29" s="41">
        <f t="shared" si="3"/>
        <v>1</v>
      </c>
      <c r="H29" s="42" t="str">
        <f t="array" ref="H29">XLOOKUP(C29,dimensions!$A$2:$A$22,dimensions!$E$2:$E$22,0)</f>
        <v>1.8</v>
      </c>
      <c r="I29" s="41">
        <f t="shared" si="4"/>
        <v>0.72</v>
      </c>
      <c r="J29" s="41">
        <f t="shared" si="5"/>
        <v>1.332</v>
      </c>
      <c r="K29" s="41">
        <f t="shared" si="6"/>
        <v>1.8</v>
      </c>
      <c r="L29" s="4"/>
      <c r="M29" s="4"/>
      <c r="N29" s="4"/>
      <c r="O29" s="4"/>
      <c r="P29" s="4"/>
      <c r="Q29" s="4"/>
      <c r="R29" s="4"/>
      <c r="S29" s="4"/>
      <c r="T29" s="4"/>
      <c r="U29" s="4"/>
      <c r="V29" s="4"/>
      <c r="W29" s="4"/>
      <c r="X29" s="4"/>
      <c r="Y29" s="4"/>
      <c r="Z29" s="4"/>
    </row>
    <row r="30" ht="15.75" customHeight="1">
      <c r="A30" s="40" t="str">
        <f>archetype_prototypes!A30</f>
        <v>2</v>
      </c>
      <c r="B30" s="9" t="str">
        <f>archetype_prototypes!B30</f>
        <v>Spark Seeker</v>
      </c>
      <c r="C30" s="9" t="str">
        <f>archetype_prototypes!C30</f>
        <v>DIM_SACRED</v>
      </c>
      <c r="D30" s="41">
        <f>archetype_prototypes!E30</f>
        <v>0.1</v>
      </c>
      <c r="E30" s="41">
        <f t="shared" si="1"/>
        <v>0.1</v>
      </c>
      <c r="F30" s="41">
        <f t="shared" si="2"/>
        <v>0.59</v>
      </c>
      <c r="G30" s="41">
        <f t="shared" si="3"/>
        <v>1</v>
      </c>
      <c r="H30" s="42" t="str">
        <f t="array" ref="H30">XLOOKUP(C30,dimensions!$A$2:$A$22,dimensions!$E$2:$E$22,0)</f>
        <v>2.0</v>
      </c>
      <c r="I30" s="41">
        <f t="shared" si="4"/>
        <v>0.2</v>
      </c>
      <c r="J30" s="41">
        <f t="shared" si="5"/>
        <v>1.18</v>
      </c>
      <c r="K30" s="41">
        <f t="shared" si="6"/>
        <v>2</v>
      </c>
      <c r="L30" s="4"/>
      <c r="M30" s="4"/>
      <c r="N30" s="4"/>
      <c r="O30" s="4"/>
      <c r="P30" s="4"/>
      <c r="Q30" s="4"/>
      <c r="R30" s="4"/>
      <c r="S30" s="4"/>
      <c r="T30" s="4"/>
      <c r="U30" s="4"/>
      <c r="V30" s="4"/>
      <c r="W30" s="4"/>
      <c r="X30" s="4"/>
      <c r="Y30" s="4"/>
      <c r="Z30" s="4"/>
    </row>
    <row r="31" ht="15.75" customHeight="1">
      <c r="A31" s="40" t="str">
        <f>archetype_prototypes!A31</f>
        <v>2</v>
      </c>
      <c r="B31" s="9" t="str">
        <f>archetype_prototypes!B31</f>
        <v>Spark Seeker</v>
      </c>
      <c r="C31" s="9" t="str">
        <f>archetype_prototypes!C31</f>
        <v>DIM_RISK_PREF</v>
      </c>
      <c r="D31" s="41">
        <f>archetype_prototypes!E31</f>
        <v>0.69</v>
      </c>
      <c r="E31" s="41">
        <f t="shared" si="1"/>
        <v>0.31</v>
      </c>
      <c r="F31" s="41">
        <f t="shared" si="2"/>
        <v>0.7139</v>
      </c>
      <c r="G31" s="41">
        <f t="shared" si="3"/>
        <v>1</v>
      </c>
      <c r="H31" s="42" t="str">
        <f t="array" ref="H31">XLOOKUP(C31,dimensions!$A$2:$A$22,dimensions!$E$2:$E$22,0)</f>
        <v>1.6</v>
      </c>
      <c r="I31" s="41">
        <f t="shared" si="4"/>
        <v>0.496</v>
      </c>
      <c r="J31" s="41">
        <f t="shared" si="5"/>
        <v>1.14224</v>
      </c>
      <c r="K31" s="41">
        <f t="shared" si="6"/>
        <v>1.6</v>
      </c>
      <c r="L31" s="4"/>
      <c r="M31" s="4"/>
      <c r="N31" s="4"/>
      <c r="O31" s="4"/>
      <c r="P31" s="4"/>
      <c r="Q31" s="4"/>
      <c r="R31" s="4"/>
      <c r="S31" s="4"/>
      <c r="T31" s="4"/>
      <c r="U31" s="4"/>
      <c r="V31" s="4"/>
      <c r="W31" s="4"/>
      <c r="X31" s="4"/>
      <c r="Y31" s="4"/>
      <c r="Z31" s="4"/>
    </row>
    <row r="32" ht="15.75" customHeight="1">
      <c r="A32" s="40" t="str">
        <f>archetype_prototypes!A32</f>
        <v>2</v>
      </c>
      <c r="B32" s="9" t="str">
        <f>archetype_prototypes!B32</f>
        <v>Spark Seeker</v>
      </c>
      <c r="C32" s="9" t="str">
        <f>archetype_prototypes!C32</f>
        <v>DIM_FEEDBACK_DEP</v>
      </c>
      <c r="D32" s="41">
        <f>archetype_prototypes!E32</f>
        <v>0.48</v>
      </c>
      <c r="E32" s="41">
        <f t="shared" si="1"/>
        <v>0.48</v>
      </c>
      <c r="F32" s="41">
        <f t="shared" si="2"/>
        <v>0.7496</v>
      </c>
      <c r="G32" s="41">
        <f t="shared" si="3"/>
        <v>1</v>
      </c>
      <c r="H32" s="42" t="str">
        <f t="array" ref="H32">XLOOKUP(C32,dimensions!$A$2:$A$22,dimensions!$E$2:$E$22,0)</f>
        <v>2.0</v>
      </c>
      <c r="I32" s="41">
        <f t="shared" si="4"/>
        <v>0.96</v>
      </c>
      <c r="J32" s="41">
        <f t="shared" si="5"/>
        <v>1.4992</v>
      </c>
      <c r="K32" s="41">
        <f t="shared" si="6"/>
        <v>2</v>
      </c>
      <c r="L32" s="4"/>
      <c r="M32" s="4"/>
      <c r="N32" s="4"/>
      <c r="O32" s="4"/>
      <c r="P32" s="4"/>
      <c r="Q32" s="4"/>
      <c r="R32" s="4"/>
      <c r="S32" s="4"/>
      <c r="T32" s="4"/>
      <c r="U32" s="4"/>
      <c r="V32" s="4"/>
      <c r="W32" s="4"/>
      <c r="X32" s="4"/>
      <c r="Y32" s="4"/>
      <c r="Z32" s="4"/>
    </row>
    <row r="33" ht="15.75" customHeight="1">
      <c r="A33" s="40" t="str">
        <f>archetype_prototypes!A33</f>
        <v>2</v>
      </c>
      <c r="B33" s="9" t="str">
        <f>archetype_prototypes!B33</f>
        <v>Spark Seeker</v>
      </c>
      <c r="C33" s="9" t="str">
        <f>archetype_prototypes!C33</f>
        <v>DIM_TURNON_EXPRESS</v>
      </c>
      <c r="D33" s="41">
        <f>archetype_prototypes!E33</f>
        <v>0.75</v>
      </c>
      <c r="E33" s="41">
        <f t="shared" si="1"/>
        <v>0.25</v>
      </c>
      <c r="F33" s="41">
        <f t="shared" si="2"/>
        <v>0.6875</v>
      </c>
      <c r="G33" s="41">
        <f t="shared" si="3"/>
        <v>1</v>
      </c>
      <c r="H33" s="42" t="str">
        <f t="array" ref="H33">XLOOKUP(C33,dimensions!$A$2:$A$22,dimensions!$E$2:$E$22,0)</f>
        <v>1.3</v>
      </c>
      <c r="I33" s="41">
        <f t="shared" si="4"/>
        <v>0.325</v>
      </c>
      <c r="J33" s="41">
        <f t="shared" si="5"/>
        <v>0.89375</v>
      </c>
      <c r="K33" s="41">
        <f t="shared" si="6"/>
        <v>1.3</v>
      </c>
      <c r="L33" s="4"/>
      <c r="M33" s="4"/>
      <c r="N33" s="4"/>
      <c r="O33" s="4"/>
      <c r="P33" s="4"/>
      <c r="Q33" s="4"/>
      <c r="R33" s="4"/>
      <c r="S33" s="4"/>
      <c r="T33" s="4"/>
      <c r="U33" s="4"/>
      <c r="V33" s="4"/>
      <c r="W33" s="4"/>
      <c r="X33" s="4"/>
      <c r="Y33" s="4"/>
      <c r="Z33" s="4"/>
    </row>
    <row r="34" ht="15.75" customHeight="1">
      <c r="A34" s="40" t="str">
        <f>archetype_prototypes!A34</f>
        <v>2</v>
      </c>
      <c r="B34" s="9" t="str">
        <f>archetype_prototypes!B34</f>
        <v>Spark Seeker</v>
      </c>
      <c r="C34" s="9" t="str">
        <f>archetype_prototypes!C34</f>
        <v>DIM_BOUNDARY_EXPRESS</v>
      </c>
      <c r="D34" s="41">
        <f>archetype_prototypes!E34</f>
        <v>0.61</v>
      </c>
      <c r="E34" s="41">
        <f t="shared" si="1"/>
        <v>0.39</v>
      </c>
      <c r="F34" s="41">
        <f t="shared" si="2"/>
        <v>0.7379</v>
      </c>
      <c r="G34" s="41">
        <f t="shared" si="3"/>
        <v>1</v>
      </c>
      <c r="H34" s="42" t="str">
        <f t="array" ref="H34">XLOOKUP(C34,dimensions!$A$2:$A$22,dimensions!$E$2:$E$22,0)</f>
        <v>1.3</v>
      </c>
      <c r="I34" s="41">
        <f t="shared" si="4"/>
        <v>0.507</v>
      </c>
      <c r="J34" s="41">
        <f t="shared" si="5"/>
        <v>0.95927</v>
      </c>
      <c r="K34" s="41">
        <f t="shared" si="6"/>
        <v>1.3</v>
      </c>
      <c r="L34" s="4"/>
      <c r="M34" s="4"/>
      <c r="N34" s="4"/>
      <c r="O34" s="4"/>
      <c r="P34" s="4"/>
      <c r="Q34" s="4"/>
      <c r="R34" s="4"/>
      <c r="S34" s="4"/>
      <c r="T34" s="4"/>
      <c r="U34" s="4"/>
      <c r="V34" s="4"/>
      <c r="W34" s="4"/>
      <c r="X34" s="4"/>
      <c r="Y34" s="4"/>
      <c r="Z34" s="4"/>
    </row>
    <row r="35" ht="15.75" customHeight="1">
      <c r="A35" s="40" t="str">
        <f>archetype_prototypes!A35</f>
        <v>2</v>
      </c>
      <c r="B35" s="9" t="str">
        <f>archetype_prototypes!B35</f>
        <v>Spark Seeker</v>
      </c>
      <c r="C35" s="9" t="str">
        <f>archetype_prototypes!C35</f>
        <v>DIM_PROTOCOL</v>
      </c>
      <c r="D35" s="41">
        <f>archetype_prototypes!E35</f>
        <v>0.23</v>
      </c>
      <c r="E35" s="41">
        <f t="shared" si="1"/>
        <v>0.23</v>
      </c>
      <c r="F35" s="41">
        <f t="shared" si="2"/>
        <v>0.6771</v>
      </c>
      <c r="G35" s="41">
        <f t="shared" si="3"/>
        <v>1</v>
      </c>
      <c r="H35" s="42" t="str">
        <f t="array" ref="H35">XLOOKUP(C35,dimensions!$A$2:$A$22,dimensions!$E$2:$E$22,0)</f>
        <v>1.6</v>
      </c>
      <c r="I35" s="41">
        <f t="shared" si="4"/>
        <v>0.368</v>
      </c>
      <c r="J35" s="41">
        <f t="shared" si="5"/>
        <v>1.08336</v>
      </c>
      <c r="K35" s="41">
        <f t="shared" si="6"/>
        <v>1.6</v>
      </c>
      <c r="L35" s="4"/>
      <c r="M35" s="4"/>
      <c r="N35" s="4"/>
      <c r="O35" s="4"/>
      <c r="P35" s="4"/>
      <c r="Q35" s="4"/>
      <c r="R35" s="4"/>
      <c r="S35" s="4"/>
      <c r="T35" s="4"/>
      <c r="U35" s="4"/>
      <c r="V35" s="4"/>
      <c r="W35" s="4"/>
      <c r="X35" s="4"/>
      <c r="Y35" s="4"/>
      <c r="Z35" s="4"/>
    </row>
    <row r="36" ht="15.75" customHeight="1">
      <c r="A36" s="40" t="str">
        <f>archetype_prototypes!A36</f>
        <v>2</v>
      </c>
      <c r="B36" s="9" t="str">
        <f>archetype_prototypes!B36</f>
        <v>Spark Seeker</v>
      </c>
      <c r="C36" s="9" t="str">
        <f>archetype_prototypes!C36</f>
        <v>DIM_SOOTHING</v>
      </c>
      <c r="D36" s="41">
        <f>archetype_prototypes!E36</f>
        <v>0.15</v>
      </c>
      <c r="E36" s="41">
        <f t="shared" si="1"/>
        <v>0.15</v>
      </c>
      <c r="F36" s="41">
        <f t="shared" si="2"/>
        <v>0.6275</v>
      </c>
      <c r="G36" s="41">
        <f t="shared" si="3"/>
        <v>1</v>
      </c>
      <c r="H36" s="42" t="str">
        <f t="array" ref="H36">XLOOKUP(C36,dimensions!$A$2:$A$22,dimensions!$E$2:$E$22,0)</f>
        <v>1.9</v>
      </c>
      <c r="I36" s="41">
        <f t="shared" si="4"/>
        <v>0.285</v>
      </c>
      <c r="J36" s="41">
        <f t="shared" si="5"/>
        <v>1.19225</v>
      </c>
      <c r="K36" s="41">
        <f t="shared" si="6"/>
        <v>1.9</v>
      </c>
      <c r="L36" s="4"/>
      <c r="M36" s="4"/>
      <c r="N36" s="4"/>
      <c r="O36" s="4"/>
      <c r="P36" s="4"/>
      <c r="Q36" s="4"/>
      <c r="R36" s="4"/>
      <c r="S36" s="4"/>
      <c r="T36" s="4"/>
      <c r="U36" s="4"/>
      <c r="V36" s="4"/>
      <c r="W36" s="4"/>
      <c r="X36" s="4"/>
      <c r="Y36" s="4"/>
      <c r="Z36" s="4"/>
    </row>
    <row r="37" ht="15.75" customHeight="1">
      <c r="A37" s="40" t="str">
        <f>archetype_prototypes!A37</f>
        <v>2</v>
      </c>
      <c r="B37" s="9" t="str">
        <f>archetype_prototypes!B37</f>
        <v>Spark Seeker</v>
      </c>
      <c r="C37" s="9" t="str">
        <f>archetype_prototypes!C37</f>
        <v>DIM_SECURE</v>
      </c>
      <c r="D37" s="41">
        <f>archetype_prototypes!E37</f>
        <v>0.55</v>
      </c>
      <c r="E37" s="41">
        <f t="shared" si="1"/>
        <v>0.45</v>
      </c>
      <c r="F37" s="41">
        <f t="shared" si="2"/>
        <v>0.7475</v>
      </c>
      <c r="G37" s="41">
        <f t="shared" si="3"/>
        <v>1</v>
      </c>
      <c r="H37" s="42" t="str">
        <f t="array" ref="H37">XLOOKUP(C37,dimensions!$A$2:$A$22,dimensions!$E$2:$E$22,0)</f>
        <v>1</v>
      </c>
      <c r="I37" s="41">
        <f t="shared" si="4"/>
        <v>0.45</v>
      </c>
      <c r="J37" s="41">
        <f t="shared" si="5"/>
        <v>0.7475</v>
      </c>
      <c r="K37" s="41">
        <f t="shared" si="6"/>
        <v>1</v>
      </c>
      <c r="L37" s="4"/>
      <c r="M37" s="4"/>
      <c r="N37" s="4"/>
      <c r="O37" s="4"/>
      <c r="P37" s="4"/>
      <c r="Q37" s="4"/>
      <c r="R37" s="4"/>
      <c r="S37" s="4"/>
      <c r="T37" s="4"/>
      <c r="U37" s="4"/>
      <c r="V37" s="4"/>
      <c r="W37" s="4"/>
      <c r="X37" s="4"/>
      <c r="Y37" s="4"/>
      <c r="Z37" s="4"/>
    </row>
    <row r="38" ht="15.75" customHeight="1">
      <c r="A38" s="40" t="str">
        <f>archetype_prototypes!A38</f>
        <v>2</v>
      </c>
      <c r="B38" s="9" t="str">
        <f>archetype_prototypes!B38</f>
        <v>Spark Seeker</v>
      </c>
      <c r="C38" s="9" t="str">
        <f>archetype_prototypes!C38</f>
        <v>DIM_REPAIR_EROTICISM</v>
      </c>
      <c r="D38" s="41">
        <f>archetype_prototypes!E38</f>
        <v>0.23</v>
      </c>
      <c r="E38" s="41">
        <f t="shared" si="1"/>
        <v>0.23</v>
      </c>
      <c r="F38" s="41">
        <f t="shared" si="2"/>
        <v>0.6771</v>
      </c>
      <c r="G38" s="41">
        <f t="shared" si="3"/>
        <v>1</v>
      </c>
      <c r="H38" s="42" t="str">
        <f t="array" ref="H38">XLOOKUP(C38,dimensions!$A$2:$A$22,dimensions!$E$2:$E$22,0)</f>
        <v>1.6</v>
      </c>
      <c r="I38" s="41">
        <f t="shared" si="4"/>
        <v>0.368</v>
      </c>
      <c r="J38" s="41">
        <f t="shared" si="5"/>
        <v>1.08336</v>
      </c>
      <c r="K38" s="41">
        <f t="shared" si="6"/>
        <v>1.6</v>
      </c>
      <c r="L38" s="4"/>
      <c r="M38" s="4"/>
      <c r="N38" s="4"/>
      <c r="O38" s="4"/>
      <c r="P38" s="4"/>
      <c r="Q38" s="4"/>
      <c r="R38" s="4"/>
      <c r="S38" s="4"/>
      <c r="T38" s="4"/>
      <c r="U38" s="4"/>
      <c r="V38" s="4"/>
      <c r="W38" s="4"/>
      <c r="X38" s="4"/>
      <c r="Y38" s="4"/>
      <c r="Z38" s="4"/>
    </row>
    <row r="39" ht="15.75" customHeight="1">
      <c r="A39" s="40" t="str">
        <f>archetype_prototypes!A39</f>
        <v>2</v>
      </c>
      <c r="B39" s="9" t="str">
        <f>archetype_prototypes!B39</f>
        <v>Spark Seeker</v>
      </c>
      <c r="C39" s="9" t="str">
        <f>archetype_prototypes!C39</f>
        <v>DIM_PRESSURE_SHUTDOWN</v>
      </c>
      <c r="D39" s="41">
        <f>archetype_prototypes!E39</f>
        <v>0.2</v>
      </c>
      <c r="E39" s="41">
        <f t="shared" si="1"/>
        <v>0.2</v>
      </c>
      <c r="F39" s="41">
        <f t="shared" si="2"/>
        <v>0.66</v>
      </c>
      <c r="G39" s="41">
        <f t="shared" si="3"/>
        <v>1</v>
      </c>
      <c r="H39" s="42" t="str">
        <f t="array" ref="H39">XLOOKUP(C39,dimensions!$A$2:$A$22,dimensions!$E$2:$E$22,0)</f>
        <v>2.0</v>
      </c>
      <c r="I39" s="41">
        <f t="shared" si="4"/>
        <v>0.4</v>
      </c>
      <c r="J39" s="41">
        <f t="shared" si="5"/>
        <v>1.32</v>
      </c>
      <c r="K39" s="41">
        <f t="shared" si="6"/>
        <v>2</v>
      </c>
      <c r="L39" s="4"/>
      <c r="M39" s="4"/>
      <c r="N39" s="4"/>
      <c r="O39" s="4"/>
      <c r="P39" s="4"/>
      <c r="Q39" s="4"/>
      <c r="R39" s="4"/>
      <c r="S39" s="4"/>
      <c r="T39" s="4"/>
      <c r="U39" s="4"/>
      <c r="V39" s="4"/>
      <c r="W39" s="4"/>
      <c r="X39" s="4"/>
      <c r="Y39" s="4"/>
      <c r="Z39" s="4"/>
    </row>
    <row r="40" ht="15.75" customHeight="1">
      <c r="A40" s="40" t="str">
        <f>archetype_prototypes!A40</f>
        <v>2</v>
      </c>
      <c r="B40" s="9" t="str">
        <f>archetype_prototypes!B40</f>
        <v>Spark Seeker</v>
      </c>
      <c r="C40" s="9" t="str">
        <f>archetype_prototypes!C40</f>
        <v>DIM_AVOIDANT</v>
      </c>
      <c r="D40" s="41">
        <f>archetype_prototypes!E40</f>
        <v>0.47</v>
      </c>
      <c r="E40" s="41">
        <f t="shared" si="1"/>
        <v>0.47</v>
      </c>
      <c r="F40" s="41">
        <f t="shared" si="2"/>
        <v>0.7491</v>
      </c>
      <c r="G40" s="41">
        <f t="shared" si="3"/>
        <v>1</v>
      </c>
      <c r="H40" s="42" t="str">
        <f t="array" ref="H40">XLOOKUP(C40,dimensions!$A$2:$A$22,dimensions!$E$2:$E$22,0)</f>
        <v>1.3</v>
      </c>
      <c r="I40" s="41">
        <f t="shared" si="4"/>
        <v>0.611</v>
      </c>
      <c r="J40" s="41">
        <f t="shared" si="5"/>
        <v>0.97383</v>
      </c>
      <c r="K40" s="41">
        <f t="shared" si="6"/>
        <v>1.3</v>
      </c>
      <c r="L40" s="4"/>
      <c r="M40" s="4"/>
      <c r="N40" s="4"/>
      <c r="O40" s="4"/>
      <c r="P40" s="4"/>
      <c r="Q40" s="4"/>
      <c r="R40" s="4"/>
      <c r="S40" s="4"/>
      <c r="T40" s="4"/>
      <c r="U40" s="4"/>
      <c r="V40" s="4"/>
      <c r="W40" s="4"/>
      <c r="X40" s="4"/>
      <c r="Y40" s="4"/>
      <c r="Z40" s="4"/>
    </row>
    <row r="41" ht="15.75" customHeight="1">
      <c r="A41" s="40" t="str">
        <f>archetype_prototypes!A41</f>
        <v>2</v>
      </c>
      <c r="B41" s="9" t="str">
        <f>archetype_prototypes!B41</f>
        <v>Spark Seeker</v>
      </c>
      <c r="C41" s="9" t="str">
        <f>archetype_prototypes!C41</f>
        <v>DIM_STRATEGY</v>
      </c>
      <c r="D41" s="41">
        <f>archetype_prototypes!E41</f>
        <v>0.23</v>
      </c>
      <c r="E41" s="41">
        <f t="shared" si="1"/>
        <v>0.23</v>
      </c>
      <c r="F41" s="41">
        <f t="shared" si="2"/>
        <v>0.6771</v>
      </c>
      <c r="G41" s="41">
        <f t="shared" si="3"/>
        <v>1</v>
      </c>
      <c r="H41" s="42" t="str">
        <f t="array" ref="H41">XLOOKUP(C41,dimensions!$A$2:$A$22,dimensions!$E$2:$E$22,0)</f>
        <v>1.2</v>
      </c>
      <c r="I41" s="41">
        <f t="shared" si="4"/>
        <v>0.276</v>
      </c>
      <c r="J41" s="41">
        <f t="shared" si="5"/>
        <v>0.81252</v>
      </c>
      <c r="K41" s="41">
        <f t="shared" si="6"/>
        <v>1.2</v>
      </c>
      <c r="L41" s="4"/>
      <c r="M41" s="4"/>
      <c r="N41" s="4"/>
      <c r="O41" s="4"/>
      <c r="P41" s="4"/>
      <c r="Q41" s="4"/>
      <c r="R41" s="4"/>
      <c r="S41" s="4"/>
      <c r="T41" s="4"/>
      <c r="U41" s="4"/>
      <c r="V41" s="4"/>
      <c r="W41" s="4"/>
      <c r="X41" s="4"/>
      <c r="Y41" s="4"/>
      <c r="Z41" s="4"/>
    </row>
    <row r="42" ht="15.75" customHeight="1">
      <c r="A42" s="40" t="str">
        <f>archetype_prototypes!A42</f>
        <v>2</v>
      </c>
      <c r="B42" s="9" t="str">
        <f>archetype_prototypes!B42</f>
        <v>Spark Seeker</v>
      </c>
      <c r="C42" s="9" t="str">
        <f>archetype_prototypes!C42</f>
        <v>DIM_CLOSENESS_ORIENTATION</v>
      </c>
      <c r="D42" s="41">
        <f>archetype_prototypes!E42</f>
        <v>0.35</v>
      </c>
      <c r="E42" s="41">
        <f t="shared" si="1"/>
        <v>0.35</v>
      </c>
      <c r="F42" s="41">
        <f t="shared" si="2"/>
        <v>0.7275</v>
      </c>
      <c r="G42" s="41">
        <f t="shared" si="3"/>
        <v>1</v>
      </c>
      <c r="H42" s="42">
        <f t="array" ref="H42">XLOOKUP(C42,dimensions!$A$2:$A$22,dimensions!$E$2:$E$22,0)</f>
        <v>1</v>
      </c>
      <c r="I42" s="41">
        <f t="shared" si="4"/>
        <v>0.35</v>
      </c>
      <c r="J42" s="41">
        <f t="shared" si="5"/>
        <v>0.7275</v>
      </c>
      <c r="K42" s="41">
        <f t="shared" si="6"/>
        <v>1</v>
      </c>
      <c r="L42" s="4"/>
      <c r="M42" s="4"/>
      <c r="N42" s="4"/>
      <c r="O42" s="4"/>
      <c r="P42" s="4"/>
      <c r="Q42" s="4"/>
      <c r="R42" s="4"/>
      <c r="S42" s="4"/>
      <c r="T42" s="4"/>
      <c r="U42" s="4"/>
      <c r="V42" s="4"/>
      <c r="W42" s="4"/>
      <c r="X42" s="4"/>
      <c r="Y42" s="4"/>
      <c r="Z42" s="4"/>
    </row>
    <row r="43" ht="15.75" customHeight="1">
      <c r="A43" s="40" t="str">
        <f>archetype_prototypes!A43</f>
        <v>2</v>
      </c>
      <c r="B43" s="9" t="str">
        <f>archetype_prototypes!B43</f>
        <v>Spark Seeker</v>
      </c>
      <c r="C43" s="9" t="str">
        <f>archetype_prototypes!C43</f>
        <v>DIM_PARTNER_FOCUS</v>
      </c>
      <c r="D43" s="41">
        <f>archetype_prototypes!E43</f>
        <v>0.3</v>
      </c>
      <c r="E43" s="41">
        <f t="shared" si="1"/>
        <v>0.3</v>
      </c>
      <c r="F43" s="41">
        <f t="shared" si="2"/>
        <v>0.71</v>
      </c>
      <c r="G43" s="41">
        <f t="shared" si="3"/>
        <v>1</v>
      </c>
      <c r="H43" s="42">
        <f t="array" ref="H43">XLOOKUP(C43,dimensions!$A$2:$A$22,dimensions!$E$2:$E$22,0)</f>
        <v>1.2</v>
      </c>
      <c r="I43" s="41">
        <f t="shared" si="4"/>
        <v>0.36</v>
      </c>
      <c r="J43" s="41">
        <f t="shared" si="5"/>
        <v>0.852</v>
      </c>
      <c r="K43" s="41">
        <f t="shared" si="6"/>
        <v>1.2</v>
      </c>
      <c r="L43" s="4"/>
      <c r="M43" s="4"/>
      <c r="N43" s="4"/>
      <c r="O43" s="4"/>
      <c r="P43" s="4"/>
      <c r="Q43" s="4"/>
      <c r="R43" s="4"/>
      <c r="S43" s="4"/>
      <c r="T43" s="4"/>
      <c r="U43" s="4"/>
      <c r="V43" s="4"/>
      <c r="W43" s="4"/>
      <c r="X43" s="4"/>
      <c r="Y43" s="4"/>
      <c r="Z43" s="4"/>
    </row>
    <row r="44" ht="15.75" customHeight="1">
      <c r="A44" s="40" t="str">
        <f>archetype_prototypes!A44</f>
        <v>3</v>
      </c>
      <c r="B44" s="9" t="str">
        <f>archetype_prototypes!B44</f>
        <v>Relational Nurturer</v>
      </c>
      <c r="C44" s="9" t="str">
        <f>archetype_prototypes!C44</f>
        <v>DIM_NOVELTY</v>
      </c>
      <c r="D44" s="41">
        <f>archetype_prototypes!E44</f>
        <v>0.27</v>
      </c>
      <c r="E44" s="41">
        <f t="shared" si="1"/>
        <v>0.27</v>
      </c>
      <c r="F44" s="41">
        <f t="shared" si="2"/>
        <v>0.6971</v>
      </c>
      <c r="G44" s="41">
        <f t="shared" si="3"/>
        <v>1</v>
      </c>
      <c r="H44" s="42" t="str">
        <f t="array" ref="H44">XLOOKUP(C44,dimensions!$A$2:$A$22,dimensions!$E$2:$E$22,0)</f>
        <v>1.4</v>
      </c>
      <c r="I44" s="41">
        <f t="shared" si="4"/>
        <v>0.378</v>
      </c>
      <c r="J44" s="41">
        <f t="shared" si="5"/>
        <v>0.97594</v>
      </c>
      <c r="K44" s="41">
        <f t="shared" si="6"/>
        <v>1.4</v>
      </c>
      <c r="L44" s="4"/>
      <c r="M44" s="4"/>
      <c r="N44" s="4"/>
      <c r="O44" s="4"/>
      <c r="P44" s="4"/>
      <c r="Q44" s="4"/>
      <c r="R44" s="4"/>
      <c r="S44" s="4"/>
      <c r="T44" s="4"/>
      <c r="U44" s="4"/>
      <c r="V44" s="4"/>
      <c r="W44" s="4"/>
      <c r="X44" s="4"/>
      <c r="Y44" s="4"/>
      <c r="Z44" s="4"/>
    </row>
    <row r="45" ht="15.75" customHeight="1">
      <c r="A45" s="40" t="str">
        <f>archetype_prototypes!A45</f>
        <v>3</v>
      </c>
      <c r="B45" s="9" t="str">
        <f>archetype_prototypes!B45</f>
        <v>Relational Nurturer</v>
      </c>
      <c r="C45" s="9" t="str">
        <f>archetype_prototypes!C45</f>
        <v>DIM_RESPONSIVE</v>
      </c>
      <c r="D45" s="41">
        <f>archetype_prototypes!E45</f>
        <v>0.8</v>
      </c>
      <c r="E45" s="41">
        <f t="shared" si="1"/>
        <v>0.2</v>
      </c>
      <c r="F45" s="41">
        <f t="shared" si="2"/>
        <v>0.66</v>
      </c>
      <c r="G45" s="41">
        <f t="shared" si="3"/>
        <v>1</v>
      </c>
      <c r="H45" s="42" t="str">
        <f t="array" ref="H45">XLOOKUP(C45,dimensions!$A$2:$A$22,dimensions!$E$2:$E$22,0)</f>
        <v>1.6</v>
      </c>
      <c r="I45" s="41">
        <f t="shared" si="4"/>
        <v>0.32</v>
      </c>
      <c r="J45" s="41">
        <f t="shared" si="5"/>
        <v>1.056</v>
      </c>
      <c r="K45" s="41">
        <f t="shared" si="6"/>
        <v>1.6</v>
      </c>
      <c r="L45" s="4"/>
      <c r="M45" s="4"/>
      <c r="N45" s="4"/>
      <c r="O45" s="4"/>
      <c r="P45" s="4"/>
      <c r="Q45" s="4"/>
      <c r="R45" s="4"/>
      <c r="S45" s="4"/>
      <c r="T45" s="4"/>
      <c r="U45" s="4"/>
      <c r="V45" s="4"/>
      <c r="W45" s="4"/>
      <c r="X45" s="4"/>
      <c r="Y45" s="4"/>
      <c r="Z45" s="4"/>
    </row>
    <row r="46" ht="15.75" customHeight="1">
      <c r="A46" s="40" t="str">
        <f>archetype_prototypes!A46</f>
        <v>3</v>
      </c>
      <c r="B46" s="9" t="str">
        <f>archetype_prototypes!B46</f>
        <v>Relational Nurturer</v>
      </c>
      <c r="C46" s="9" t="str">
        <f>archetype_prototypes!C46</f>
        <v>DIM_PLANNED</v>
      </c>
      <c r="D46" s="41">
        <f>archetype_prototypes!E46</f>
        <v>0.42</v>
      </c>
      <c r="E46" s="41">
        <f t="shared" si="1"/>
        <v>0.42</v>
      </c>
      <c r="F46" s="41">
        <f t="shared" si="2"/>
        <v>0.7436</v>
      </c>
      <c r="G46" s="41">
        <f t="shared" si="3"/>
        <v>1</v>
      </c>
      <c r="H46" s="42" t="str">
        <f t="array" ref="H46">XLOOKUP(C46,dimensions!$A$2:$A$22,dimensions!$E$2:$E$22,0)</f>
        <v>1.3</v>
      </c>
      <c r="I46" s="41">
        <f t="shared" si="4"/>
        <v>0.546</v>
      </c>
      <c r="J46" s="41">
        <f t="shared" si="5"/>
        <v>0.96668</v>
      </c>
      <c r="K46" s="41">
        <f t="shared" si="6"/>
        <v>1.3</v>
      </c>
      <c r="L46" s="4"/>
      <c r="M46" s="4"/>
      <c r="N46" s="4"/>
      <c r="O46" s="4"/>
      <c r="P46" s="4"/>
      <c r="Q46" s="4"/>
      <c r="R46" s="4"/>
      <c r="S46" s="4"/>
      <c r="T46" s="4"/>
      <c r="U46" s="4"/>
      <c r="V46" s="4"/>
      <c r="W46" s="4"/>
      <c r="X46" s="4"/>
      <c r="Y46" s="4"/>
      <c r="Z46" s="4"/>
    </row>
    <row r="47" ht="15.75" customHeight="1">
      <c r="A47" s="40" t="str">
        <f>archetype_prototypes!A47</f>
        <v>3</v>
      </c>
      <c r="B47" s="9" t="str">
        <f>archetype_prototypes!B47</f>
        <v>Relational Nurturer</v>
      </c>
      <c r="C47" s="9" t="str">
        <f>archetype_prototypes!C47</f>
        <v>DIM_EMO_CONNECTION</v>
      </c>
      <c r="D47" s="41">
        <f>archetype_prototypes!E47</f>
        <v>0.81</v>
      </c>
      <c r="E47" s="41">
        <f t="shared" si="1"/>
        <v>0.19</v>
      </c>
      <c r="F47" s="41">
        <f t="shared" si="2"/>
        <v>0.6539</v>
      </c>
      <c r="G47" s="41">
        <f t="shared" si="3"/>
        <v>1</v>
      </c>
      <c r="H47" s="42" t="str">
        <f t="array" ref="H47">XLOOKUP(C47,dimensions!$A$2:$A$22,dimensions!$E$2:$E$22,0)</f>
        <v>1.4</v>
      </c>
      <c r="I47" s="41">
        <f t="shared" si="4"/>
        <v>0.266</v>
      </c>
      <c r="J47" s="41">
        <f t="shared" si="5"/>
        <v>0.91546</v>
      </c>
      <c r="K47" s="41">
        <f t="shared" si="6"/>
        <v>1.4</v>
      </c>
      <c r="L47" s="4"/>
      <c r="M47" s="4"/>
      <c r="N47" s="4"/>
      <c r="O47" s="4"/>
      <c r="P47" s="4"/>
      <c r="Q47" s="4"/>
      <c r="R47" s="4"/>
      <c r="S47" s="4"/>
      <c r="T47" s="4"/>
      <c r="U47" s="4"/>
      <c r="V47" s="4"/>
      <c r="W47" s="4"/>
      <c r="X47" s="4"/>
      <c r="Y47" s="4"/>
      <c r="Z47" s="4"/>
    </row>
    <row r="48" ht="15.75" customHeight="1">
      <c r="A48" s="40" t="str">
        <f>archetype_prototypes!A48</f>
        <v>3</v>
      </c>
      <c r="B48" s="9" t="str">
        <f>archetype_prototypes!B48</f>
        <v>Relational Nurturer</v>
      </c>
      <c r="C48" s="9" t="str">
        <f>archetype_prototypes!C48</f>
        <v>DIM_INTENSITY</v>
      </c>
      <c r="D48" s="41">
        <f>archetype_prototypes!E48</f>
        <v>0.37</v>
      </c>
      <c r="E48" s="41">
        <f t="shared" si="1"/>
        <v>0.37</v>
      </c>
      <c r="F48" s="41">
        <f t="shared" si="2"/>
        <v>0.7331</v>
      </c>
      <c r="G48" s="41">
        <f t="shared" si="3"/>
        <v>1</v>
      </c>
      <c r="H48" s="42" t="str">
        <f t="array" ref="H48">XLOOKUP(C48,dimensions!$A$2:$A$22,dimensions!$E$2:$E$22,0)</f>
        <v>1.4</v>
      </c>
      <c r="I48" s="41">
        <f t="shared" si="4"/>
        <v>0.518</v>
      </c>
      <c r="J48" s="41">
        <f t="shared" si="5"/>
        <v>1.02634</v>
      </c>
      <c r="K48" s="41">
        <f t="shared" si="6"/>
        <v>1.4</v>
      </c>
      <c r="L48" s="4"/>
      <c r="M48" s="4"/>
      <c r="N48" s="4"/>
      <c r="O48" s="4"/>
      <c r="P48" s="4"/>
      <c r="Q48" s="4"/>
      <c r="R48" s="4"/>
      <c r="S48" s="4"/>
      <c r="T48" s="4"/>
      <c r="U48" s="4"/>
      <c r="V48" s="4"/>
      <c r="W48" s="4"/>
      <c r="X48" s="4"/>
      <c r="Y48" s="4"/>
      <c r="Z48" s="4"/>
    </row>
    <row r="49" ht="15.75" customHeight="1">
      <c r="A49" s="40" t="str">
        <f>archetype_prototypes!A49</f>
        <v>3</v>
      </c>
      <c r="B49" s="9" t="str">
        <f>archetype_prototypes!B49</f>
        <v>Relational Nurturer</v>
      </c>
      <c r="C49" s="9" t="str">
        <f>archetype_prototypes!C49</f>
        <v>DIM_PURSUIT</v>
      </c>
      <c r="D49" s="41">
        <f>archetype_prototypes!E49</f>
        <v>0.22</v>
      </c>
      <c r="E49" s="41">
        <f t="shared" si="1"/>
        <v>0.22</v>
      </c>
      <c r="F49" s="41">
        <f t="shared" si="2"/>
        <v>0.6716</v>
      </c>
      <c r="G49" s="41">
        <f t="shared" si="3"/>
        <v>1</v>
      </c>
      <c r="H49" s="42" t="str">
        <f t="array" ref="H49">XLOOKUP(C49,dimensions!$A$2:$A$22,dimensions!$E$2:$E$22,0)</f>
        <v>1.4</v>
      </c>
      <c r="I49" s="41">
        <f t="shared" si="4"/>
        <v>0.308</v>
      </c>
      <c r="J49" s="41">
        <f t="shared" si="5"/>
        <v>0.94024</v>
      </c>
      <c r="K49" s="41">
        <f t="shared" si="6"/>
        <v>1.4</v>
      </c>
      <c r="L49" s="4"/>
      <c r="M49" s="4"/>
      <c r="N49" s="4"/>
      <c r="O49" s="4"/>
      <c r="P49" s="4"/>
      <c r="Q49" s="4"/>
      <c r="R49" s="4"/>
      <c r="S49" s="4"/>
      <c r="T49" s="4"/>
      <c r="U49" s="4"/>
      <c r="V49" s="4"/>
      <c r="W49" s="4"/>
      <c r="X49" s="4"/>
      <c r="Y49" s="4"/>
      <c r="Z49" s="4"/>
    </row>
    <row r="50" ht="15.75" customHeight="1">
      <c r="A50" s="40" t="str">
        <f>archetype_prototypes!A50</f>
        <v>3</v>
      </c>
      <c r="B50" s="9" t="str">
        <f>archetype_prototypes!B50</f>
        <v>Relational Nurturer</v>
      </c>
      <c r="C50" s="9" t="str">
        <f>archetype_prototypes!C50</f>
        <v>DIM_EDGE_NEED</v>
      </c>
      <c r="D50" s="41">
        <f>archetype_prototypes!E50</f>
        <v>0.2</v>
      </c>
      <c r="E50" s="41">
        <f t="shared" si="1"/>
        <v>0.2</v>
      </c>
      <c r="F50" s="41">
        <f t="shared" si="2"/>
        <v>0.66</v>
      </c>
      <c r="G50" s="41">
        <f t="shared" si="3"/>
        <v>1</v>
      </c>
      <c r="H50" s="42" t="str">
        <f t="array" ref="H50">XLOOKUP(C50,dimensions!$A$2:$A$22,dimensions!$E$2:$E$22,0)</f>
        <v>1.8</v>
      </c>
      <c r="I50" s="41">
        <f t="shared" si="4"/>
        <v>0.36</v>
      </c>
      <c r="J50" s="41">
        <f t="shared" si="5"/>
        <v>1.188</v>
      </c>
      <c r="K50" s="41">
        <f t="shared" si="6"/>
        <v>1.8</v>
      </c>
      <c r="L50" s="4"/>
      <c r="M50" s="4"/>
      <c r="N50" s="4"/>
      <c r="O50" s="4"/>
      <c r="P50" s="4"/>
      <c r="Q50" s="4"/>
      <c r="R50" s="4"/>
      <c r="S50" s="4"/>
      <c r="T50" s="4"/>
      <c r="U50" s="4"/>
      <c r="V50" s="4"/>
      <c r="W50" s="4"/>
      <c r="X50" s="4"/>
      <c r="Y50" s="4"/>
      <c r="Z50" s="4"/>
    </row>
    <row r="51" ht="15.75" customHeight="1">
      <c r="A51" s="40" t="str">
        <f>archetype_prototypes!A51</f>
        <v>3</v>
      </c>
      <c r="B51" s="9" t="str">
        <f>archetype_prototypes!B51</f>
        <v>Relational Nurturer</v>
      </c>
      <c r="C51" s="9" t="str">
        <f>archetype_prototypes!C51</f>
        <v>DIM_SACRED</v>
      </c>
      <c r="D51" s="41">
        <f>archetype_prototypes!E51</f>
        <v>0.41</v>
      </c>
      <c r="E51" s="41">
        <f t="shared" si="1"/>
        <v>0.41</v>
      </c>
      <c r="F51" s="41">
        <f t="shared" si="2"/>
        <v>0.7419</v>
      </c>
      <c r="G51" s="41">
        <f t="shared" si="3"/>
        <v>1</v>
      </c>
      <c r="H51" s="42" t="str">
        <f t="array" ref="H51">XLOOKUP(C51,dimensions!$A$2:$A$22,dimensions!$E$2:$E$22,0)</f>
        <v>2.0</v>
      </c>
      <c r="I51" s="41">
        <f t="shared" si="4"/>
        <v>0.82</v>
      </c>
      <c r="J51" s="41">
        <f t="shared" si="5"/>
        <v>1.4838</v>
      </c>
      <c r="K51" s="41">
        <f t="shared" si="6"/>
        <v>2</v>
      </c>
      <c r="L51" s="4"/>
      <c r="M51" s="4"/>
      <c r="N51" s="4"/>
      <c r="O51" s="4"/>
      <c r="P51" s="4"/>
      <c r="Q51" s="4"/>
      <c r="R51" s="4"/>
      <c r="S51" s="4"/>
      <c r="T51" s="4"/>
      <c r="U51" s="4"/>
      <c r="V51" s="4"/>
      <c r="W51" s="4"/>
      <c r="X51" s="4"/>
      <c r="Y51" s="4"/>
      <c r="Z51" s="4"/>
    </row>
    <row r="52" ht="15.75" customHeight="1">
      <c r="A52" s="40" t="str">
        <f>archetype_prototypes!A52</f>
        <v>3</v>
      </c>
      <c r="B52" s="9" t="str">
        <f>archetype_prototypes!B52</f>
        <v>Relational Nurturer</v>
      </c>
      <c r="C52" s="9" t="str">
        <f>archetype_prototypes!C52</f>
        <v>DIM_RISK_PREF</v>
      </c>
      <c r="D52" s="41">
        <f>archetype_prototypes!E52</f>
        <v>0.17</v>
      </c>
      <c r="E52" s="41">
        <f t="shared" si="1"/>
        <v>0.17</v>
      </c>
      <c r="F52" s="41">
        <f t="shared" si="2"/>
        <v>0.6411</v>
      </c>
      <c r="G52" s="41">
        <f t="shared" si="3"/>
        <v>1</v>
      </c>
      <c r="H52" s="42" t="str">
        <f t="array" ref="H52">XLOOKUP(C52,dimensions!$A$2:$A$22,dimensions!$E$2:$E$22,0)</f>
        <v>1.6</v>
      </c>
      <c r="I52" s="41">
        <f t="shared" si="4"/>
        <v>0.272</v>
      </c>
      <c r="J52" s="41">
        <f t="shared" si="5"/>
        <v>1.02576</v>
      </c>
      <c r="K52" s="41">
        <f t="shared" si="6"/>
        <v>1.6</v>
      </c>
      <c r="L52" s="4"/>
      <c r="M52" s="4"/>
      <c r="N52" s="4"/>
      <c r="O52" s="4"/>
      <c r="P52" s="4"/>
      <c r="Q52" s="4"/>
      <c r="R52" s="4"/>
      <c r="S52" s="4"/>
      <c r="T52" s="4"/>
      <c r="U52" s="4"/>
      <c r="V52" s="4"/>
      <c r="W52" s="4"/>
      <c r="X52" s="4"/>
      <c r="Y52" s="4"/>
      <c r="Z52" s="4"/>
    </row>
    <row r="53" ht="15.75" customHeight="1">
      <c r="A53" s="40" t="str">
        <f>archetype_prototypes!A53</f>
        <v>3</v>
      </c>
      <c r="B53" s="9" t="str">
        <f>archetype_prototypes!B53</f>
        <v>Relational Nurturer</v>
      </c>
      <c r="C53" s="9" t="str">
        <f>archetype_prototypes!C53</f>
        <v>DIM_FEEDBACK_DEP</v>
      </c>
      <c r="D53" s="41">
        <f>archetype_prototypes!E53</f>
        <v>0.32</v>
      </c>
      <c r="E53" s="41">
        <f t="shared" si="1"/>
        <v>0.32</v>
      </c>
      <c r="F53" s="41">
        <f t="shared" si="2"/>
        <v>0.7176</v>
      </c>
      <c r="G53" s="41">
        <f t="shared" si="3"/>
        <v>1</v>
      </c>
      <c r="H53" s="42" t="str">
        <f t="array" ref="H53">XLOOKUP(C53,dimensions!$A$2:$A$22,dimensions!$E$2:$E$22,0)</f>
        <v>2.0</v>
      </c>
      <c r="I53" s="41">
        <f t="shared" si="4"/>
        <v>0.64</v>
      </c>
      <c r="J53" s="41">
        <f t="shared" si="5"/>
        <v>1.4352</v>
      </c>
      <c r="K53" s="41">
        <f t="shared" si="6"/>
        <v>2</v>
      </c>
      <c r="L53" s="4"/>
      <c r="M53" s="4"/>
      <c r="N53" s="4"/>
      <c r="O53" s="4"/>
      <c r="P53" s="4"/>
      <c r="Q53" s="4"/>
      <c r="R53" s="4"/>
      <c r="S53" s="4"/>
      <c r="T53" s="4"/>
      <c r="U53" s="4"/>
      <c r="V53" s="4"/>
      <c r="W53" s="4"/>
      <c r="X53" s="4"/>
      <c r="Y53" s="4"/>
      <c r="Z53" s="4"/>
    </row>
    <row r="54" ht="15.75" customHeight="1">
      <c r="A54" s="40" t="str">
        <f>archetype_prototypes!A54</f>
        <v>3</v>
      </c>
      <c r="B54" s="9" t="str">
        <f>archetype_prototypes!B54</f>
        <v>Relational Nurturer</v>
      </c>
      <c r="C54" s="9" t="str">
        <f>archetype_prototypes!C54</f>
        <v>DIM_TURNON_EXPRESS</v>
      </c>
      <c r="D54" s="41">
        <f>archetype_prototypes!E54</f>
        <v>0.43</v>
      </c>
      <c r="E54" s="41">
        <f t="shared" si="1"/>
        <v>0.43</v>
      </c>
      <c r="F54" s="41">
        <f t="shared" si="2"/>
        <v>0.7451</v>
      </c>
      <c r="G54" s="41">
        <f t="shared" si="3"/>
        <v>1</v>
      </c>
      <c r="H54" s="42" t="str">
        <f t="array" ref="H54">XLOOKUP(C54,dimensions!$A$2:$A$22,dimensions!$E$2:$E$22,0)</f>
        <v>1.3</v>
      </c>
      <c r="I54" s="41">
        <f t="shared" si="4"/>
        <v>0.559</v>
      </c>
      <c r="J54" s="41">
        <f t="shared" si="5"/>
        <v>0.96863</v>
      </c>
      <c r="K54" s="41">
        <f t="shared" si="6"/>
        <v>1.3</v>
      </c>
      <c r="L54" s="4"/>
      <c r="M54" s="4"/>
      <c r="N54" s="4"/>
      <c r="O54" s="4"/>
      <c r="P54" s="4"/>
      <c r="Q54" s="4"/>
      <c r="R54" s="4"/>
      <c r="S54" s="4"/>
      <c r="T54" s="4"/>
      <c r="U54" s="4"/>
      <c r="V54" s="4"/>
      <c r="W54" s="4"/>
      <c r="X54" s="4"/>
      <c r="Y54" s="4"/>
      <c r="Z54" s="4"/>
    </row>
    <row r="55" ht="15.75" customHeight="1">
      <c r="A55" s="40" t="str">
        <f>archetype_prototypes!A55</f>
        <v>3</v>
      </c>
      <c r="B55" s="9" t="str">
        <f>archetype_prototypes!B55</f>
        <v>Relational Nurturer</v>
      </c>
      <c r="C55" s="9" t="str">
        <f>archetype_prototypes!C55</f>
        <v>DIM_BOUNDARY_EXPRESS</v>
      </c>
      <c r="D55" s="41">
        <f>archetype_prototypes!E55</f>
        <v>0.45</v>
      </c>
      <c r="E55" s="41">
        <f t="shared" si="1"/>
        <v>0.45</v>
      </c>
      <c r="F55" s="41">
        <f t="shared" si="2"/>
        <v>0.7475</v>
      </c>
      <c r="G55" s="41">
        <f t="shared" si="3"/>
        <v>1</v>
      </c>
      <c r="H55" s="42" t="str">
        <f t="array" ref="H55">XLOOKUP(C55,dimensions!$A$2:$A$22,dimensions!$E$2:$E$22,0)</f>
        <v>1.3</v>
      </c>
      <c r="I55" s="41">
        <f t="shared" si="4"/>
        <v>0.585</v>
      </c>
      <c r="J55" s="41">
        <f t="shared" si="5"/>
        <v>0.97175</v>
      </c>
      <c r="K55" s="41">
        <f t="shared" si="6"/>
        <v>1.3</v>
      </c>
      <c r="L55" s="4"/>
      <c r="M55" s="4"/>
      <c r="N55" s="4"/>
      <c r="O55" s="4"/>
      <c r="P55" s="4"/>
      <c r="Q55" s="4"/>
      <c r="R55" s="4"/>
      <c r="S55" s="4"/>
      <c r="T55" s="4"/>
      <c r="U55" s="4"/>
      <c r="V55" s="4"/>
      <c r="W55" s="4"/>
      <c r="X55" s="4"/>
      <c r="Y55" s="4"/>
      <c r="Z55" s="4"/>
    </row>
    <row r="56" ht="15.75" customHeight="1">
      <c r="A56" s="40" t="str">
        <f>archetype_prototypes!A56</f>
        <v>3</v>
      </c>
      <c r="B56" s="9" t="str">
        <f>archetype_prototypes!B56</f>
        <v>Relational Nurturer</v>
      </c>
      <c r="C56" s="9" t="str">
        <f>archetype_prototypes!C56</f>
        <v>DIM_PROTOCOL</v>
      </c>
      <c r="D56" s="41">
        <f>archetype_prototypes!E56</f>
        <v>0.2</v>
      </c>
      <c r="E56" s="41">
        <f t="shared" si="1"/>
        <v>0.2</v>
      </c>
      <c r="F56" s="41">
        <f t="shared" si="2"/>
        <v>0.66</v>
      </c>
      <c r="G56" s="41">
        <f t="shared" si="3"/>
        <v>1</v>
      </c>
      <c r="H56" s="42" t="str">
        <f t="array" ref="H56">XLOOKUP(C56,dimensions!$A$2:$A$22,dimensions!$E$2:$E$22,0)</f>
        <v>1.6</v>
      </c>
      <c r="I56" s="41">
        <f t="shared" si="4"/>
        <v>0.32</v>
      </c>
      <c r="J56" s="41">
        <f t="shared" si="5"/>
        <v>1.056</v>
      </c>
      <c r="K56" s="41">
        <f t="shared" si="6"/>
        <v>1.6</v>
      </c>
      <c r="L56" s="4"/>
      <c r="M56" s="4"/>
      <c r="N56" s="4"/>
      <c r="O56" s="4"/>
      <c r="P56" s="4"/>
      <c r="Q56" s="4"/>
      <c r="R56" s="4"/>
      <c r="S56" s="4"/>
      <c r="T56" s="4"/>
      <c r="U56" s="4"/>
      <c r="V56" s="4"/>
      <c r="W56" s="4"/>
      <c r="X56" s="4"/>
      <c r="Y56" s="4"/>
      <c r="Z56" s="4"/>
    </row>
    <row r="57" ht="15.75" customHeight="1">
      <c r="A57" s="40" t="str">
        <f>archetype_prototypes!A57</f>
        <v>3</v>
      </c>
      <c r="B57" s="9" t="str">
        <f>archetype_prototypes!B57</f>
        <v>Relational Nurturer</v>
      </c>
      <c r="C57" s="9" t="str">
        <f>archetype_prototypes!C57</f>
        <v>DIM_SOOTHING</v>
      </c>
      <c r="D57" s="41">
        <f>archetype_prototypes!E57</f>
        <v>0.83</v>
      </c>
      <c r="E57" s="41">
        <f t="shared" si="1"/>
        <v>0.17</v>
      </c>
      <c r="F57" s="41">
        <f t="shared" si="2"/>
        <v>0.6411</v>
      </c>
      <c r="G57" s="41">
        <f t="shared" si="3"/>
        <v>1</v>
      </c>
      <c r="H57" s="42" t="str">
        <f t="array" ref="H57">XLOOKUP(C57,dimensions!$A$2:$A$22,dimensions!$E$2:$E$22,0)</f>
        <v>1.9</v>
      </c>
      <c r="I57" s="41">
        <f t="shared" si="4"/>
        <v>0.323</v>
      </c>
      <c r="J57" s="41">
        <f t="shared" si="5"/>
        <v>1.21809</v>
      </c>
      <c r="K57" s="41">
        <f t="shared" si="6"/>
        <v>1.9</v>
      </c>
      <c r="L57" s="4"/>
      <c r="M57" s="4"/>
      <c r="N57" s="4"/>
      <c r="O57" s="4"/>
      <c r="P57" s="4"/>
      <c r="Q57" s="4"/>
      <c r="R57" s="4"/>
      <c r="S57" s="4"/>
      <c r="T57" s="4"/>
      <c r="U57" s="4"/>
      <c r="V57" s="4"/>
      <c r="W57" s="4"/>
      <c r="X57" s="4"/>
      <c r="Y57" s="4"/>
      <c r="Z57" s="4"/>
    </row>
    <row r="58" ht="15.75" customHeight="1">
      <c r="A58" s="40" t="str">
        <f>archetype_prototypes!A58</f>
        <v>3</v>
      </c>
      <c r="B58" s="9" t="str">
        <f>archetype_prototypes!B58</f>
        <v>Relational Nurturer</v>
      </c>
      <c r="C58" s="9" t="str">
        <f>archetype_prototypes!C58</f>
        <v>DIM_SECURE</v>
      </c>
      <c r="D58" s="41">
        <f>archetype_prototypes!E58</f>
        <v>0.58</v>
      </c>
      <c r="E58" s="41">
        <f t="shared" si="1"/>
        <v>0.42</v>
      </c>
      <c r="F58" s="41">
        <f t="shared" si="2"/>
        <v>0.7436</v>
      </c>
      <c r="G58" s="41">
        <f t="shared" si="3"/>
        <v>1</v>
      </c>
      <c r="H58" s="42" t="str">
        <f t="array" ref="H58">XLOOKUP(C58,dimensions!$A$2:$A$22,dimensions!$E$2:$E$22,0)</f>
        <v>1</v>
      </c>
      <c r="I58" s="41">
        <f t="shared" si="4"/>
        <v>0.42</v>
      </c>
      <c r="J58" s="41">
        <f t="shared" si="5"/>
        <v>0.7436</v>
      </c>
      <c r="K58" s="41">
        <f t="shared" si="6"/>
        <v>1</v>
      </c>
      <c r="L58" s="4"/>
      <c r="M58" s="4"/>
      <c r="N58" s="4"/>
      <c r="O58" s="4"/>
      <c r="P58" s="4"/>
      <c r="Q58" s="4"/>
      <c r="R58" s="4"/>
      <c r="S58" s="4"/>
      <c r="T58" s="4"/>
      <c r="U58" s="4"/>
      <c r="V58" s="4"/>
      <c r="W58" s="4"/>
      <c r="X58" s="4"/>
      <c r="Y58" s="4"/>
      <c r="Z58" s="4"/>
    </row>
    <row r="59" ht="15.75" customHeight="1">
      <c r="A59" s="40" t="str">
        <f>archetype_prototypes!A59</f>
        <v>3</v>
      </c>
      <c r="B59" s="9" t="str">
        <f>archetype_prototypes!B59</f>
        <v>Relational Nurturer</v>
      </c>
      <c r="C59" s="9" t="str">
        <f>archetype_prototypes!C59</f>
        <v>DIM_REPAIR_EROTICISM</v>
      </c>
      <c r="D59" s="41">
        <f>archetype_prototypes!E59</f>
        <v>0.73</v>
      </c>
      <c r="E59" s="41">
        <f t="shared" si="1"/>
        <v>0.27</v>
      </c>
      <c r="F59" s="41">
        <f t="shared" si="2"/>
        <v>0.6971</v>
      </c>
      <c r="G59" s="41">
        <f t="shared" si="3"/>
        <v>1</v>
      </c>
      <c r="H59" s="42" t="str">
        <f t="array" ref="H59">XLOOKUP(C59,dimensions!$A$2:$A$22,dimensions!$E$2:$E$22,0)</f>
        <v>1.6</v>
      </c>
      <c r="I59" s="41">
        <f t="shared" si="4"/>
        <v>0.432</v>
      </c>
      <c r="J59" s="41">
        <f t="shared" si="5"/>
        <v>1.11536</v>
      </c>
      <c r="K59" s="41">
        <f t="shared" si="6"/>
        <v>1.6</v>
      </c>
      <c r="L59" s="4"/>
      <c r="M59" s="4"/>
      <c r="N59" s="4"/>
      <c r="O59" s="4"/>
      <c r="P59" s="4"/>
      <c r="Q59" s="4"/>
      <c r="R59" s="4"/>
      <c r="S59" s="4"/>
      <c r="T59" s="4"/>
      <c r="U59" s="4"/>
      <c r="V59" s="4"/>
      <c r="W59" s="4"/>
      <c r="X59" s="4"/>
      <c r="Y59" s="4"/>
      <c r="Z59" s="4"/>
    </row>
    <row r="60" ht="15.75" customHeight="1">
      <c r="A60" s="40" t="str">
        <f>archetype_prototypes!A60</f>
        <v>3</v>
      </c>
      <c r="B60" s="9" t="str">
        <f>archetype_prototypes!B60</f>
        <v>Relational Nurturer</v>
      </c>
      <c r="C60" s="9" t="str">
        <f>archetype_prototypes!C60</f>
        <v>DIM_PRESSURE_SHUTDOWN</v>
      </c>
      <c r="D60" s="41">
        <f>archetype_prototypes!E60</f>
        <v>0.39</v>
      </c>
      <c r="E60" s="41">
        <f t="shared" si="1"/>
        <v>0.39</v>
      </c>
      <c r="F60" s="41">
        <f t="shared" si="2"/>
        <v>0.7379</v>
      </c>
      <c r="G60" s="41">
        <f t="shared" si="3"/>
        <v>1</v>
      </c>
      <c r="H60" s="42" t="str">
        <f t="array" ref="H60">XLOOKUP(C60,dimensions!$A$2:$A$22,dimensions!$E$2:$E$22,0)</f>
        <v>2.0</v>
      </c>
      <c r="I60" s="41">
        <f t="shared" si="4"/>
        <v>0.78</v>
      </c>
      <c r="J60" s="41">
        <f t="shared" si="5"/>
        <v>1.4758</v>
      </c>
      <c r="K60" s="41">
        <f t="shared" si="6"/>
        <v>2</v>
      </c>
      <c r="L60" s="4"/>
      <c r="M60" s="4"/>
      <c r="N60" s="4"/>
      <c r="O60" s="4"/>
      <c r="P60" s="4"/>
      <c r="Q60" s="4"/>
      <c r="R60" s="4"/>
      <c r="S60" s="4"/>
      <c r="T60" s="4"/>
      <c r="U60" s="4"/>
      <c r="V60" s="4"/>
      <c r="W60" s="4"/>
      <c r="X60" s="4"/>
      <c r="Y60" s="4"/>
      <c r="Z60" s="4"/>
    </row>
    <row r="61" ht="15.75" customHeight="1">
      <c r="A61" s="40" t="str">
        <f>archetype_prototypes!A61</f>
        <v>3</v>
      </c>
      <c r="B61" s="9" t="str">
        <f>archetype_prototypes!B61</f>
        <v>Relational Nurturer</v>
      </c>
      <c r="C61" s="9" t="str">
        <f>archetype_prototypes!C61</f>
        <v>DIM_AVOIDANT</v>
      </c>
      <c r="D61" s="41">
        <f>archetype_prototypes!E61</f>
        <v>0.2</v>
      </c>
      <c r="E61" s="41">
        <f t="shared" si="1"/>
        <v>0.2</v>
      </c>
      <c r="F61" s="41">
        <f t="shared" si="2"/>
        <v>0.66</v>
      </c>
      <c r="G61" s="41">
        <f t="shared" si="3"/>
        <v>1</v>
      </c>
      <c r="H61" s="42" t="str">
        <f t="array" ref="H61">XLOOKUP(C61,dimensions!$A$2:$A$22,dimensions!$E$2:$E$22,0)</f>
        <v>1.3</v>
      </c>
      <c r="I61" s="41">
        <f t="shared" si="4"/>
        <v>0.26</v>
      </c>
      <c r="J61" s="41">
        <f t="shared" si="5"/>
        <v>0.858</v>
      </c>
      <c r="K61" s="41">
        <f t="shared" si="6"/>
        <v>1.3</v>
      </c>
      <c r="L61" s="4"/>
      <c r="M61" s="4"/>
      <c r="N61" s="4"/>
      <c r="O61" s="4"/>
      <c r="P61" s="4"/>
      <c r="Q61" s="4"/>
      <c r="R61" s="4"/>
      <c r="S61" s="4"/>
      <c r="T61" s="4"/>
      <c r="U61" s="4"/>
      <c r="V61" s="4"/>
      <c r="W61" s="4"/>
      <c r="X61" s="4"/>
      <c r="Y61" s="4"/>
      <c r="Z61" s="4"/>
    </row>
    <row r="62" ht="15.75" customHeight="1">
      <c r="A62" s="40" t="str">
        <f>archetype_prototypes!A62</f>
        <v>3</v>
      </c>
      <c r="B62" s="9" t="str">
        <f>archetype_prototypes!B62</f>
        <v>Relational Nurturer</v>
      </c>
      <c r="C62" s="9" t="str">
        <f>archetype_prototypes!C62</f>
        <v>DIM_STRATEGY</v>
      </c>
      <c r="D62" s="41">
        <f>archetype_prototypes!E62</f>
        <v>0.07</v>
      </c>
      <c r="E62" s="41">
        <f t="shared" si="1"/>
        <v>0.07</v>
      </c>
      <c r="F62" s="41">
        <f t="shared" si="2"/>
        <v>0.5651</v>
      </c>
      <c r="G62" s="41">
        <f t="shared" si="3"/>
        <v>1</v>
      </c>
      <c r="H62" s="42" t="str">
        <f t="array" ref="H62">XLOOKUP(C62,dimensions!$A$2:$A$22,dimensions!$E$2:$E$22,0)</f>
        <v>1.2</v>
      </c>
      <c r="I62" s="41">
        <f t="shared" si="4"/>
        <v>0.084</v>
      </c>
      <c r="J62" s="41">
        <f t="shared" si="5"/>
        <v>0.67812</v>
      </c>
      <c r="K62" s="41">
        <f t="shared" si="6"/>
        <v>1.2</v>
      </c>
      <c r="L62" s="4"/>
      <c r="M62" s="4"/>
      <c r="N62" s="4"/>
      <c r="O62" s="4"/>
      <c r="P62" s="4"/>
      <c r="Q62" s="4"/>
      <c r="R62" s="4"/>
      <c r="S62" s="4"/>
      <c r="T62" s="4"/>
      <c r="U62" s="4"/>
      <c r="V62" s="4"/>
      <c r="W62" s="4"/>
      <c r="X62" s="4"/>
      <c r="Y62" s="4"/>
      <c r="Z62" s="4"/>
    </row>
    <row r="63" ht="15.75" customHeight="1">
      <c r="A63" s="40" t="str">
        <f>archetype_prototypes!A63</f>
        <v>3</v>
      </c>
      <c r="B63" s="9" t="str">
        <f>archetype_prototypes!B63</f>
        <v>Relational Nurturer</v>
      </c>
      <c r="C63" s="9" t="str">
        <f>archetype_prototypes!C63</f>
        <v>DIM_CLOSENESS_ORIENTATION</v>
      </c>
      <c r="D63" s="41">
        <f>archetype_prototypes!E63</f>
        <v>0.88</v>
      </c>
      <c r="E63" s="41">
        <f t="shared" si="1"/>
        <v>0.12</v>
      </c>
      <c r="F63" s="41">
        <f t="shared" si="2"/>
        <v>0.6056</v>
      </c>
      <c r="G63" s="41">
        <f t="shared" si="3"/>
        <v>1</v>
      </c>
      <c r="H63" s="42">
        <f t="array" ref="H63">XLOOKUP(C63,dimensions!$A$2:$A$22,dimensions!$E$2:$E$22,0)</f>
        <v>1</v>
      </c>
      <c r="I63" s="41">
        <f t="shared" si="4"/>
        <v>0.12</v>
      </c>
      <c r="J63" s="41">
        <f t="shared" si="5"/>
        <v>0.6056</v>
      </c>
      <c r="K63" s="41">
        <f t="shared" si="6"/>
        <v>1</v>
      </c>
      <c r="L63" s="4"/>
      <c r="M63" s="4"/>
      <c r="N63" s="4"/>
      <c r="O63" s="4"/>
      <c r="P63" s="4"/>
      <c r="Q63" s="4"/>
      <c r="R63" s="4"/>
      <c r="S63" s="4"/>
      <c r="T63" s="4"/>
      <c r="U63" s="4"/>
      <c r="V63" s="4"/>
      <c r="W63" s="4"/>
      <c r="X63" s="4"/>
      <c r="Y63" s="4"/>
      <c r="Z63" s="4"/>
    </row>
    <row r="64" ht="15.75" customHeight="1">
      <c r="A64" s="40" t="str">
        <f>archetype_prototypes!A64</f>
        <v>3</v>
      </c>
      <c r="B64" s="9" t="str">
        <f>archetype_prototypes!B64</f>
        <v>Relational Nurturer</v>
      </c>
      <c r="C64" s="9" t="str">
        <f>archetype_prototypes!C64</f>
        <v>DIM_PARTNER_FOCUS</v>
      </c>
      <c r="D64" s="41">
        <f>archetype_prototypes!E64</f>
        <v>0.92</v>
      </c>
      <c r="E64" s="41">
        <f t="shared" si="1"/>
        <v>0.08</v>
      </c>
      <c r="F64" s="41">
        <f t="shared" si="2"/>
        <v>0.5736</v>
      </c>
      <c r="G64" s="41">
        <f t="shared" si="3"/>
        <v>1</v>
      </c>
      <c r="H64" s="42">
        <f t="array" ref="H64">XLOOKUP(C64,dimensions!$A$2:$A$22,dimensions!$E$2:$E$22,0)</f>
        <v>1.2</v>
      </c>
      <c r="I64" s="41">
        <f t="shared" si="4"/>
        <v>0.096</v>
      </c>
      <c r="J64" s="41">
        <f t="shared" si="5"/>
        <v>0.68832</v>
      </c>
      <c r="K64" s="41">
        <f t="shared" si="6"/>
        <v>1.2</v>
      </c>
      <c r="L64" s="4"/>
      <c r="M64" s="4"/>
      <c r="N64" s="4"/>
      <c r="O64" s="4"/>
      <c r="P64" s="4"/>
      <c r="Q64" s="4"/>
      <c r="R64" s="4"/>
      <c r="S64" s="4"/>
      <c r="T64" s="4"/>
      <c r="U64" s="4"/>
      <c r="V64" s="4"/>
      <c r="W64" s="4"/>
      <c r="X64" s="4"/>
      <c r="Y64" s="4"/>
      <c r="Z64" s="4"/>
    </row>
    <row r="65" ht="15.75" customHeight="1">
      <c r="A65" s="40" t="str">
        <f>archetype_prototypes!A65</f>
        <v>4</v>
      </c>
      <c r="B65" s="9" t="str">
        <f>archetype_prototypes!B65</f>
        <v>Exhibitionist Performer</v>
      </c>
      <c r="C65" s="9" t="str">
        <f>archetype_prototypes!C65</f>
        <v>DIM_NOVELTY</v>
      </c>
      <c r="D65" s="41">
        <f>archetype_prototypes!E65</f>
        <v>0.7</v>
      </c>
      <c r="E65" s="41">
        <f t="shared" si="1"/>
        <v>0.3</v>
      </c>
      <c r="F65" s="41">
        <f t="shared" si="2"/>
        <v>0.71</v>
      </c>
      <c r="G65" s="41">
        <f t="shared" si="3"/>
        <v>1</v>
      </c>
      <c r="H65" s="42" t="str">
        <f t="array" ref="H65">XLOOKUP(C65,dimensions!$A$2:$A$22,dimensions!$E$2:$E$22,0)</f>
        <v>1.4</v>
      </c>
      <c r="I65" s="41">
        <f t="shared" si="4"/>
        <v>0.42</v>
      </c>
      <c r="J65" s="41">
        <f t="shared" si="5"/>
        <v>0.994</v>
      </c>
      <c r="K65" s="41">
        <f t="shared" si="6"/>
        <v>1.4</v>
      </c>
      <c r="L65" s="4"/>
      <c r="M65" s="4"/>
      <c r="N65" s="4"/>
      <c r="O65" s="4"/>
      <c r="P65" s="4"/>
      <c r="Q65" s="4"/>
      <c r="R65" s="4"/>
      <c r="S65" s="4"/>
      <c r="T65" s="4"/>
      <c r="U65" s="4"/>
      <c r="V65" s="4"/>
      <c r="W65" s="4"/>
      <c r="X65" s="4"/>
      <c r="Y65" s="4"/>
      <c r="Z65" s="4"/>
    </row>
    <row r="66" ht="15.75" customHeight="1">
      <c r="A66" s="40" t="str">
        <f>archetype_prototypes!A66</f>
        <v>4</v>
      </c>
      <c r="B66" s="9" t="str">
        <f>archetype_prototypes!B66</f>
        <v>Exhibitionist Performer</v>
      </c>
      <c r="C66" s="9" t="str">
        <f>archetype_prototypes!C66</f>
        <v>DIM_RESPONSIVE</v>
      </c>
      <c r="D66" s="41">
        <f>archetype_prototypes!E66</f>
        <v>0.35</v>
      </c>
      <c r="E66" s="41">
        <f t="shared" si="1"/>
        <v>0.35</v>
      </c>
      <c r="F66" s="41">
        <f t="shared" si="2"/>
        <v>0.7275</v>
      </c>
      <c r="G66" s="41">
        <f t="shared" si="3"/>
        <v>1</v>
      </c>
      <c r="H66" s="42" t="str">
        <f t="array" ref="H66">XLOOKUP(C66,dimensions!$A$2:$A$22,dimensions!$E$2:$E$22,0)</f>
        <v>1.6</v>
      </c>
      <c r="I66" s="41">
        <f t="shared" si="4"/>
        <v>0.56</v>
      </c>
      <c r="J66" s="41">
        <f t="shared" si="5"/>
        <v>1.164</v>
      </c>
      <c r="K66" s="41">
        <f t="shared" si="6"/>
        <v>1.6</v>
      </c>
      <c r="L66" s="4"/>
      <c r="M66" s="4"/>
      <c r="N66" s="4"/>
      <c r="O66" s="4"/>
      <c r="P66" s="4"/>
      <c r="Q66" s="4"/>
      <c r="R66" s="4"/>
      <c r="S66" s="4"/>
      <c r="T66" s="4"/>
      <c r="U66" s="4"/>
      <c r="V66" s="4"/>
      <c r="W66" s="4"/>
      <c r="X66" s="4"/>
      <c r="Y66" s="4"/>
      <c r="Z66" s="4"/>
    </row>
    <row r="67" ht="15.75" customHeight="1">
      <c r="A67" s="40" t="str">
        <f>archetype_prototypes!A67</f>
        <v>4</v>
      </c>
      <c r="B67" s="9" t="str">
        <f>archetype_prototypes!B67</f>
        <v>Exhibitionist Performer</v>
      </c>
      <c r="C67" s="9" t="str">
        <f>archetype_prototypes!C67</f>
        <v>DIM_PLANNED</v>
      </c>
      <c r="D67" s="41">
        <f>archetype_prototypes!E67</f>
        <v>0.25</v>
      </c>
      <c r="E67" s="41">
        <f t="shared" si="1"/>
        <v>0.25</v>
      </c>
      <c r="F67" s="41">
        <f t="shared" si="2"/>
        <v>0.6875</v>
      </c>
      <c r="G67" s="41">
        <f t="shared" si="3"/>
        <v>1</v>
      </c>
      <c r="H67" s="42" t="str">
        <f t="array" ref="H67">XLOOKUP(C67,dimensions!$A$2:$A$22,dimensions!$E$2:$E$22,0)</f>
        <v>1.3</v>
      </c>
      <c r="I67" s="41">
        <f t="shared" si="4"/>
        <v>0.325</v>
      </c>
      <c r="J67" s="41">
        <f t="shared" si="5"/>
        <v>0.89375</v>
      </c>
      <c r="K67" s="41">
        <f t="shared" si="6"/>
        <v>1.3</v>
      </c>
      <c r="L67" s="4"/>
      <c r="M67" s="4"/>
      <c r="N67" s="4"/>
      <c r="O67" s="4"/>
      <c r="P67" s="4"/>
      <c r="Q67" s="4"/>
      <c r="R67" s="4"/>
      <c r="S67" s="4"/>
      <c r="T67" s="4"/>
      <c r="U67" s="4"/>
      <c r="V67" s="4"/>
      <c r="W67" s="4"/>
      <c r="X67" s="4"/>
      <c r="Y67" s="4"/>
      <c r="Z67" s="4"/>
    </row>
    <row r="68" ht="15.75" customHeight="1">
      <c r="A68" s="40" t="str">
        <f>archetype_prototypes!A68</f>
        <v>4</v>
      </c>
      <c r="B68" s="9" t="str">
        <f>archetype_prototypes!B68</f>
        <v>Exhibitionist Performer</v>
      </c>
      <c r="C68" s="9" t="str">
        <f>archetype_prototypes!C68</f>
        <v>DIM_EMO_CONNECTION</v>
      </c>
      <c r="D68" s="41">
        <f>archetype_prototypes!E68</f>
        <v>0.35</v>
      </c>
      <c r="E68" s="41">
        <f t="shared" si="1"/>
        <v>0.35</v>
      </c>
      <c r="F68" s="41">
        <f t="shared" si="2"/>
        <v>0.7275</v>
      </c>
      <c r="G68" s="41">
        <f t="shared" si="3"/>
        <v>1</v>
      </c>
      <c r="H68" s="42" t="str">
        <f t="array" ref="H68">XLOOKUP(C68,dimensions!$A$2:$A$22,dimensions!$E$2:$E$22,0)</f>
        <v>1.4</v>
      </c>
      <c r="I68" s="41">
        <f t="shared" si="4"/>
        <v>0.49</v>
      </c>
      <c r="J68" s="41">
        <f t="shared" si="5"/>
        <v>1.0185</v>
      </c>
      <c r="K68" s="41">
        <f t="shared" si="6"/>
        <v>1.4</v>
      </c>
      <c r="L68" s="4"/>
      <c r="M68" s="4"/>
      <c r="N68" s="4"/>
      <c r="O68" s="4"/>
      <c r="P68" s="4"/>
      <c r="Q68" s="4"/>
      <c r="R68" s="4"/>
      <c r="S68" s="4"/>
      <c r="T68" s="4"/>
      <c r="U68" s="4"/>
      <c r="V68" s="4"/>
      <c r="W68" s="4"/>
      <c r="X68" s="4"/>
      <c r="Y68" s="4"/>
      <c r="Z68" s="4"/>
    </row>
    <row r="69" ht="15.75" customHeight="1">
      <c r="A69" s="40" t="str">
        <f>archetype_prototypes!A69</f>
        <v>4</v>
      </c>
      <c r="B69" s="9" t="str">
        <f>archetype_prototypes!B69</f>
        <v>Exhibitionist Performer</v>
      </c>
      <c r="C69" s="9" t="str">
        <f>archetype_prototypes!C69</f>
        <v>DIM_INTENSITY</v>
      </c>
      <c r="D69" s="41">
        <f>archetype_prototypes!E69</f>
        <v>0.8</v>
      </c>
      <c r="E69" s="41">
        <f t="shared" si="1"/>
        <v>0.2</v>
      </c>
      <c r="F69" s="41">
        <f t="shared" si="2"/>
        <v>0.66</v>
      </c>
      <c r="G69" s="41">
        <f t="shared" si="3"/>
        <v>1</v>
      </c>
      <c r="H69" s="42" t="str">
        <f t="array" ref="H69">XLOOKUP(C69,dimensions!$A$2:$A$22,dimensions!$E$2:$E$22,0)</f>
        <v>1.4</v>
      </c>
      <c r="I69" s="41">
        <f t="shared" si="4"/>
        <v>0.28</v>
      </c>
      <c r="J69" s="41">
        <f t="shared" si="5"/>
        <v>0.924</v>
      </c>
      <c r="K69" s="41">
        <f t="shared" si="6"/>
        <v>1.4</v>
      </c>
      <c r="L69" s="4"/>
      <c r="M69" s="4"/>
      <c r="N69" s="4"/>
      <c r="O69" s="4"/>
      <c r="P69" s="4"/>
      <c r="Q69" s="4"/>
      <c r="R69" s="4"/>
      <c r="S69" s="4"/>
      <c r="T69" s="4"/>
      <c r="U69" s="4"/>
      <c r="V69" s="4"/>
      <c r="W69" s="4"/>
      <c r="X69" s="4"/>
      <c r="Y69" s="4"/>
      <c r="Z69" s="4"/>
    </row>
    <row r="70" ht="15.75" customHeight="1">
      <c r="A70" s="40" t="str">
        <f>archetype_prototypes!A70</f>
        <v>4</v>
      </c>
      <c r="B70" s="9" t="str">
        <f>archetype_prototypes!B70</f>
        <v>Exhibitionist Performer</v>
      </c>
      <c r="C70" s="9" t="str">
        <f>archetype_prototypes!C70</f>
        <v>DIM_PURSUIT</v>
      </c>
      <c r="D70" s="41">
        <f>archetype_prototypes!E70</f>
        <v>0.6</v>
      </c>
      <c r="E70" s="41">
        <f t="shared" si="1"/>
        <v>0.4</v>
      </c>
      <c r="F70" s="41">
        <f t="shared" si="2"/>
        <v>0.74</v>
      </c>
      <c r="G70" s="41">
        <f t="shared" si="3"/>
        <v>1</v>
      </c>
      <c r="H70" s="42" t="str">
        <f t="array" ref="H70">XLOOKUP(C70,dimensions!$A$2:$A$22,dimensions!$E$2:$E$22,0)</f>
        <v>1.4</v>
      </c>
      <c r="I70" s="41">
        <f t="shared" si="4"/>
        <v>0.56</v>
      </c>
      <c r="J70" s="41">
        <f t="shared" si="5"/>
        <v>1.036</v>
      </c>
      <c r="K70" s="41">
        <f t="shared" si="6"/>
        <v>1.4</v>
      </c>
      <c r="L70" s="4"/>
      <c r="M70" s="4"/>
      <c r="N70" s="4"/>
      <c r="O70" s="4"/>
      <c r="P70" s="4"/>
      <c r="Q70" s="4"/>
      <c r="R70" s="4"/>
      <c r="S70" s="4"/>
      <c r="T70" s="4"/>
      <c r="U70" s="4"/>
      <c r="V70" s="4"/>
      <c r="W70" s="4"/>
      <c r="X70" s="4"/>
      <c r="Y70" s="4"/>
      <c r="Z70" s="4"/>
    </row>
    <row r="71" ht="15.75" customHeight="1">
      <c r="A71" s="40" t="str">
        <f>archetype_prototypes!A71</f>
        <v>4</v>
      </c>
      <c r="B71" s="9" t="str">
        <f>archetype_prototypes!B71</f>
        <v>Exhibitionist Performer</v>
      </c>
      <c r="C71" s="9" t="str">
        <f>archetype_prototypes!C71</f>
        <v>DIM_EDGE_NEED</v>
      </c>
      <c r="D71" s="41">
        <f>archetype_prototypes!E71</f>
        <v>0.55</v>
      </c>
      <c r="E71" s="41">
        <f t="shared" si="1"/>
        <v>0.45</v>
      </c>
      <c r="F71" s="41">
        <f t="shared" si="2"/>
        <v>0.7475</v>
      </c>
      <c r="G71" s="41">
        <f t="shared" si="3"/>
        <v>1</v>
      </c>
      <c r="H71" s="42" t="str">
        <f t="array" ref="H71">XLOOKUP(C71,dimensions!$A$2:$A$22,dimensions!$E$2:$E$22,0)</f>
        <v>1.8</v>
      </c>
      <c r="I71" s="41">
        <f t="shared" si="4"/>
        <v>0.81</v>
      </c>
      <c r="J71" s="41">
        <f t="shared" si="5"/>
        <v>1.3455</v>
      </c>
      <c r="K71" s="41">
        <f t="shared" si="6"/>
        <v>1.8</v>
      </c>
      <c r="L71" s="4"/>
      <c r="M71" s="4"/>
      <c r="N71" s="4"/>
      <c r="O71" s="4"/>
      <c r="P71" s="4"/>
      <c r="Q71" s="4"/>
      <c r="R71" s="4"/>
      <c r="S71" s="4"/>
      <c r="T71" s="4"/>
      <c r="U71" s="4"/>
      <c r="V71" s="4"/>
      <c r="W71" s="4"/>
      <c r="X71" s="4"/>
      <c r="Y71" s="4"/>
      <c r="Z71" s="4"/>
    </row>
    <row r="72" ht="15.75" customHeight="1">
      <c r="A72" s="40" t="str">
        <f>archetype_prototypes!A72</f>
        <v>4</v>
      </c>
      <c r="B72" s="9" t="str">
        <f>archetype_prototypes!B72</f>
        <v>Exhibitionist Performer</v>
      </c>
      <c r="C72" s="9" t="str">
        <f>archetype_prototypes!C72</f>
        <v>DIM_SACRED</v>
      </c>
      <c r="D72" s="41">
        <f>archetype_prototypes!E72</f>
        <v>0.15</v>
      </c>
      <c r="E72" s="41">
        <f t="shared" si="1"/>
        <v>0.15</v>
      </c>
      <c r="F72" s="41">
        <f t="shared" si="2"/>
        <v>0.6275</v>
      </c>
      <c r="G72" s="41">
        <f t="shared" si="3"/>
        <v>1</v>
      </c>
      <c r="H72" s="42" t="str">
        <f t="array" ref="H72">XLOOKUP(C72,dimensions!$A$2:$A$22,dimensions!$E$2:$E$22,0)</f>
        <v>2.0</v>
      </c>
      <c r="I72" s="41">
        <f t="shared" si="4"/>
        <v>0.3</v>
      </c>
      <c r="J72" s="41">
        <f t="shared" si="5"/>
        <v>1.255</v>
      </c>
      <c r="K72" s="41">
        <f t="shared" si="6"/>
        <v>2</v>
      </c>
      <c r="L72" s="4"/>
      <c r="M72" s="4"/>
      <c r="N72" s="4"/>
      <c r="O72" s="4"/>
      <c r="P72" s="4"/>
      <c r="Q72" s="4"/>
      <c r="R72" s="4"/>
      <c r="S72" s="4"/>
      <c r="T72" s="4"/>
      <c r="U72" s="4"/>
      <c r="V72" s="4"/>
      <c r="W72" s="4"/>
      <c r="X72" s="4"/>
      <c r="Y72" s="4"/>
      <c r="Z72" s="4"/>
    </row>
    <row r="73" ht="15.75" customHeight="1">
      <c r="A73" s="40" t="str">
        <f>archetype_prototypes!A73</f>
        <v>4</v>
      </c>
      <c r="B73" s="9" t="str">
        <f>archetype_prototypes!B73</f>
        <v>Exhibitionist Performer</v>
      </c>
      <c r="C73" s="9" t="str">
        <f>archetype_prototypes!C73</f>
        <v>DIM_RISK_PREF</v>
      </c>
      <c r="D73" s="41">
        <f>archetype_prototypes!E73</f>
        <v>0.7</v>
      </c>
      <c r="E73" s="41">
        <f t="shared" si="1"/>
        <v>0.3</v>
      </c>
      <c r="F73" s="41">
        <f t="shared" si="2"/>
        <v>0.71</v>
      </c>
      <c r="G73" s="41">
        <f t="shared" si="3"/>
        <v>1</v>
      </c>
      <c r="H73" s="42" t="str">
        <f t="array" ref="H73">XLOOKUP(C73,dimensions!$A$2:$A$22,dimensions!$E$2:$E$22,0)</f>
        <v>1.6</v>
      </c>
      <c r="I73" s="41">
        <f t="shared" si="4"/>
        <v>0.48</v>
      </c>
      <c r="J73" s="41">
        <f t="shared" si="5"/>
        <v>1.136</v>
      </c>
      <c r="K73" s="41">
        <f t="shared" si="6"/>
        <v>1.6</v>
      </c>
      <c r="L73" s="4"/>
      <c r="M73" s="4"/>
      <c r="N73" s="4"/>
      <c r="O73" s="4"/>
      <c r="P73" s="4"/>
      <c r="Q73" s="4"/>
      <c r="R73" s="4"/>
      <c r="S73" s="4"/>
      <c r="T73" s="4"/>
      <c r="U73" s="4"/>
      <c r="V73" s="4"/>
      <c r="W73" s="4"/>
      <c r="X73" s="4"/>
      <c r="Y73" s="4"/>
      <c r="Z73" s="4"/>
    </row>
    <row r="74" ht="15.75" customHeight="1">
      <c r="A74" s="40" t="str">
        <f>archetype_prototypes!A74</f>
        <v>4</v>
      </c>
      <c r="B74" s="9" t="str">
        <f>archetype_prototypes!B74</f>
        <v>Exhibitionist Performer</v>
      </c>
      <c r="C74" s="9" t="str">
        <f>archetype_prototypes!C74</f>
        <v>DIM_FEEDBACK_DEP</v>
      </c>
      <c r="D74" s="41">
        <f>archetype_prototypes!E74</f>
        <v>0.9</v>
      </c>
      <c r="E74" s="41">
        <f t="shared" si="1"/>
        <v>0.1</v>
      </c>
      <c r="F74" s="41">
        <f t="shared" si="2"/>
        <v>0.59</v>
      </c>
      <c r="G74" s="41">
        <f t="shared" si="3"/>
        <v>1</v>
      </c>
      <c r="H74" s="42" t="str">
        <f t="array" ref="H74">XLOOKUP(C74,dimensions!$A$2:$A$22,dimensions!$E$2:$E$22,0)</f>
        <v>2.0</v>
      </c>
      <c r="I74" s="41">
        <f t="shared" si="4"/>
        <v>0.2</v>
      </c>
      <c r="J74" s="41">
        <f t="shared" si="5"/>
        <v>1.18</v>
      </c>
      <c r="K74" s="41">
        <f t="shared" si="6"/>
        <v>2</v>
      </c>
      <c r="L74" s="4"/>
      <c r="M74" s="4"/>
      <c r="N74" s="4"/>
      <c r="O74" s="4"/>
      <c r="P74" s="4"/>
      <c r="Q74" s="4"/>
      <c r="R74" s="4"/>
      <c r="S74" s="4"/>
      <c r="T74" s="4"/>
      <c r="U74" s="4"/>
      <c r="V74" s="4"/>
      <c r="W74" s="4"/>
      <c r="X74" s="4"/>
      <c r="Y74" s="4"/>
      <c r="Z74" s="4"/>
    </row>
    <row r="75" ht="15.75" customHeight="1">
      <c r="A75" s="40" t="str">
        <f>archetype_prototypes!A75</f>
        <v>4</v>
      </c>
      <c r="B75" s="9" t="str">
        <f>archetype_prototypes!B75</f>
        <v>Exhibitionist Performer</v>
      </c>
      <c r="C75" s="9" t="str">
        <f>archetype_prototypes!C75</f>
        <v>DIM_TURNON_EXPRESS</v>
      </c>
      <c r="D75" s="41">
        <f>archetype_prototypes!E75</f>
        <v>0.85</v>
      </c>
      <c r="E75" s="41">
        <f t="shared" si="1"/>
        <v>0.15</v>
      </c>
      <c r="F75" s="41">
        <f t="shared" si="2"/>
        <v>0.6275</v>
      </c>
      <c r="G75" s="41">
        <f t="shared" si="3"/>
        <v>1</v>
      </c>
      <c r="H75" s="42" t="str">
        <f t="array" ref="H75">XLOOKUP(C75,dimensions!$A$2:$A$22,dimensions!$E$2:$E$22,0)</f>
        <v>1.3</v>
      </c>
      <c r="I75" s="41">
        <f t="shared" si="4"/>
        <v>0.195</v>
      </c>
      <c r="J75" s="41">
        <f t="shared" si="5"/>
        <v>0.81575</v>
      </c>
      <c r="K75" s="41">
        <f t="shared" si="6"/>
        <v>1.3</v>
      </c>
      <c r="L75" s="4"/>
      <c r="M75" s="4"/>
      <c r="N75" s="4"/>
      <c r="O75" s="4"/>
      <c r="P75" s="4"/>
      <c r="Q75" s="4"/>
      <c r="R75" s="4"/>
      <c r="S75" s="4"/>
      <c r="T75" s="4"/>
      <c r="U75" s="4"/>
      <c r="V75" s="4"/>
      <c r="W75" s="4"/>
      <c r="X75" s="4"/>
      <c r="Y75" s="4"/>
      <c r="Z75" s="4"/>
    </row>
    <row r="76" ht="15.75" customHeight="1">
      <c r="A76" s="40" t="str">
        <f>archetype_prototypes!A76</f>
        <v>4</v>
      </c>
      <c r="B76" s="9" t="str">
        <f>archetype_prototypes!B76</f>
        <v>Exhibitionist Performer</v>
      </c>
      <c r="C76" s="9" t="str">
        <f>archetype_prototypes!C76</f>
        <v>DIM_BOUNDARY_EXPRESS</v>
      </c>
      <c r="D76" s="41">
        <f>archetype_prototypes!E76</f>
        <v>0.55</v>
      </c>
      <c r="E76" s="41">
        <f t="shared" si="1"/>
        <v>0.45</v>
      </c>
      <c r="F76" s="41">
        <f t="shared" si="2"/>
        <v>0.7475</v>
      </c>
      <c r="G76" s="41">
        <f t="shared" si="3"/>
        <v>1</v>
      </c>
      <c r="H76" s="42" t="str">
        <f t="array" ref="H76">XLOOKUP(C76,dimensions!$A$2:$A$22,dimensions!$E$2:$E$22,0)</f>
        <v>1.3</v>
      </c>
      <c r="I76" s="41">
        <f t="shared" si="4"/>
        <v>0.585</v>
      </c>
      <c r="J76" s="41">
        <f t="shared" si="5"/>
        <v>0.97175</v>
      </c>
      <c r="K76" s="41">
        <f t="shared" si="6"/>
        <v>1.3</v>
      </c>
      <c r="L76" s="4"/>
      <c r="M76" s="4"/>
      <c r="N76" s="4"/>
      <c r="O76" s="4"/>
      <c r="P76" s="4"/>
      <c r="Q76" s="4"/>
      <c r="R76" s="4"/>
      <c r="S76" s="4"/>
      <c r="T76" s="4"/>
      <c r="U76" s="4"/>
      <c r="V76" s="4"/>
      <c r="W76" s="4"/>
      <c r="X76" s="4"/>
      <c r="Y76" s="4"/>
      <c r="Z76" s="4"/>
    </row>
    <row r="77" ht="15.75" customHeight="1">
      <c r="A77" s="40" t="str">
        <f>archetype_prototypes!A77</f>
        <v>4</v>
      </c>
      <c r="B77" s="9" t="str">
        <f>archetype_prototypes!B77</f>
        <v>Exhibitionist Performer</v>
      </c>
      <c r="C77" s="9" t="str">
        <f>archetype_prototypes!C77</f>
        <v>DIM_PROTOCOL</v>
      </c>
      <c r="D77" s="41">
        <f>archetype_prototypes!E77</f>
        <v>0.3</v>
      </c>
      <c r="E77" s="41">
        <f t="shared" si="1"/>
        <v>0.3</v>
      </c>
      <c r="F77" s="41">
        <f t="shared" si="2"/>
        <v>0.71</v>
      </c>
      <c r="G77" s="41">
        <f t="shared" si="3"/>
        <v>1</v>
      </c>
      <c r="H77" s="42" t="str">
        <f t="array" ref="H77">XLOOKUP(C77,dimensions!$A$2:$A$22,dimensions!$E$2:$E$22,0)</f>
        <v>1.6</v>
      </c>
      <c r="I77" s="41">
        <f t="shared" si="4"/>
        <v>0.48</v>
      </c>
      <c r="J77" s="41">
        <f t="shared" si="5"/>
        <v>1.136</v>
      </c>
      <c r="K77" s="41">
        <f t="shared" si="6"/>
        <v>1.6</v>
      </c>
      <c r="L77" s="4"/>
      <c r="M77" s="4"/>
      <c r="N77" s="4"/>
      <c r="O77" s="4"/>
      <c r="P77" s="4"/>
      <c r="Q77" s="4"/>
      <c r="R77" s="4"/>
      <c r="S77" s="4"/>
      <c r="T77" s="4"/>
      <c r="U77" s="4"/>
      <c r="V77" s="4"/>
      <c r="W77" s="4"/>
      <c r="X77" s="4"/>
      <c r="Y77" s="4"/>
      <c r="Z77" s="4"/>
    </row>
    <row r="78" ht="15.75" customHeight="1">
      <c r="A78" s="40" t="str">
        <f>archetype_prototypes!A78</f>
        <v>4</v>
      </c>
      <c r="B78" s="9" t="str">
        <f>archetype_prototypes!B78</f>
        <v>Exhibitionist Performer</v>
      </c>
      <c r="C78" s="9" t="str">
        <f>archetype_prototypes!C78</f>
        <v>DIM_SOOTHING</v>
      </c>
      <c r="D78" s="41">
        <f>archetype_prototypes!E78</f>
        <v>0.15</v>
      </c>
      <c r="E78" s="41">
        <f t="shared" si="1"/>
        <v>0.15</v>
      </c>
      <c r="F78" s="41">
        <f t="shared" si="2"/>
        <v>0.6275</v>
      </c>
      <c r="G78" s="41">
        <f t="shared" si="3"/>
        <v>1</v>
      </c>
      <c r="H78" s="42" t="str">
        <f t="array" ref="H78">XLOOKUP(C78,dimensions!$A$2:$A$22,dimensions!$E$2:$E$22,0)</f>
        <v>1.9</v>
      </c>
      <c r="I78" s="41">
        <f t="shared" si="4"/>
        <v>0.285</v>
      </c>
      <c r="J78" s="41">
        <f t="shared" si="5"/>
        <v>1.19225</v>
      </c>
      <c r="K78" s="41">
        <f t="shared" si="6"/>
        <v>1.9</v>
      </c>
      <c r="L78" s="4"/>
      <c r="M78" s="4"/>
      <c r="N78" s="4"/>
      <c r="O78" s="4"/>
      <c r="P78" s="4"/>
      <c r="Q78" s="4"/>
      <c r="R78" s="4"/>
      <c r="S78" s="4"/>
      <c r="T78" s="4"/>
      <c r="U78" s="4"/>
      <c r="V78" s="4"/>
      <c r="W78" s="4"/>
      <c r="X78" s="4"/>
      <c r="Y78" s="4"/>
      <c r="Z78" s="4"/>
    </row>
    <row r="79" ht="15.75" customHeight="1">
      <c r="A79" s="40" t="str">
        <f>archetype_prototypes!A79</f>
        <v>4</v>
      </c>
      <c r="B79" s="9" t="str">
        <f>archetype_prototypes!B79</f>
        <v>Exhibitionist Performer</v>
      </c>
      <c r="C79" s="9" t="str">
        <f>archetype_prototypes!C79</f>
        <v>DIM_SECURE</v>
      </c>
      <c r="D79" s="41">
        <f>archetype_prototypes!E79</f>
        <v>0.45</v>
      </c>
      <c r="E79" s="41">
        <f t="shared" si="1"/>
        <v>0.45</v>
      </c>
      <c r="F79" s="41">
        <f t="shared" si="2"/>
        <v>0.7475</v>
      </c>
      <c r="G79" s="41">
        <f t="shared" si="3"/>
        <v>1</v>
      </c>
      <c r="H79" s="42" t="str">
        <f t="array" ref="H79">XLOOKUP(C79,dimensions!$A$2:$A$22,dimensions!$E$2:$E$22,0)</f>
        <v>1</v>
      </c>
      <c r="I79" s="41">
        <f t="shared" si="4"/>
        <v>0.45</v>
      </c>
      <c r="J79" s="41">
        <f t="shared" si="5"/>
        <v>0.7475</v>
      </c>
      <c r="K79" s="41">
        <f t="shared" si="6"/>
        <v>1</v>
      </c>
      <c r="L79" s="4"/>
      <c r="M79" s="4"/>
      <c r="N79" s="4"/>
      <c r="O79" s="4"/>
      <c r="P79" s="4"/>
      <c r="Q79" s="4"/>
      <c r="R79" s="4"/>
      <c r="S79" s="4"/>
      <c r="T79" s="4"/>
      <c r="U79" s="4"/>
      <c r="V79" s="4"/>
      <c r="W79" s="4"/>
      <c r="X79" s="4"/>
      <c r="Y79" s="4"/>
      <c r="Z79" s="4"/>
    </row>
    <row r="80" ht="15.75" customHeight="1">
      <c r="A80" s="40" t="str">
        <f>archetype_prototypes!A80</f>
        <v>4</v>
      </c>
      <c r="B80" s="9" t="str">
        <f>archetype_prototypes!B80</f>
        <v>Exhibitionist Performer</v>
      </c>
      <c r="C80" s="9" t="str">
        <f>archetype_prototypes!C80</f>
        <v>DIM_REPAIR_EROTICISM</v>
      </c>
      <c r="D80" s="41">
        <f>archetype_prototypes!E80</f>
        <v>0.2</v>
      </c>
      <c r="E80" s="41">
        <f t="shared" si="1"/>
        <v>0.2</v>
      </c>
      <c r="F80" s="41">
        <f t="shared" si="2"/>
        <v>0.66</v>
      </c>
      <c r="G80" s="41">
        <f t="shared" si="3"/>
        <v>1</v>
      </c>
      <c r="H80" s="42" t="str">
        <f t="array" ref="H80">XLOOKUP(C80,dimensions!$A$2:$A$22,dimensions!$E$2:$E$22,0)</f>
        <v>1.6</v>
      </c>
      <c r="I80" s="41">
        <f t="shared" si="4"/>
        <v>0.32</v>
      </c>
      <c r="J80" s="41">
        <f t="shared" si="5"/>
        <v>1.056</v>
      </c>
      <c r="K80" s="41">
        <f t="shared" si="6"/>
        <v>1.6</v>
      </c>
      <c r="L80" s="4"/>
      <c r="M80" s="4"/>
      <c r="N80" s="4"/>
      <c r="O80" s="4"/>
      <c r="P80" s="4"/>
      <c r="Q80" s="4"/>
      <c r="R80" s="4"/>
      <c r="S80" s="4"/>
      <c r="T80" s="4"/>
      <c r="U80" s="4"/>
      <c r="V80" s="4"/>
      <c r="W80" s="4"/>
      <c r="X80" s="4"/>
      <c r="Y80" s="4"/>
      <c r="Z80" s="4"/>
    </row>
    <row r="81" ht="15.75" customHeight="1">
      <c r="A81" s="40" t="str">
        <f>archetype_prototypes!A81</f>
        <v>4</v>
      </c>
      <c r="B81" s="9" t="str">
        <f>archetype_prototypes!B81</f>
        <v>Exhibitionist Performer</v>
      </c>
      <c r="C81" s="9" t="str">
        <f>archetype_prototypes!C81</f>
        <v>DIM_PRESSURE_SHUTDOWN</v>
      </c>
      <c r="D81" s="41">
        <f>archetype_prototypes!E81</f>
        <v>0.25</v>
      </c>
      <c r="E81" s="41">
        <f t="shared" si="1"/>
        <v>0.25</v>
      </c>
      <c r="F81" s="41">
        <f t="shared" si="2"/>
        <v>0.6875</v>
      </c>
      <c r="G81" s="41">
        <f t="shared" si="3"/>
        <v>1</v>
      </c>
      <c r="H81" s="42" t="str">
        <f t="array" ref="H81">XLOOKUP(C81,dimensions!$A$2:$A$22,dimensions!$E$2:$E$22,0)</f>
        <v>2.0</v>
      </c>
      <c r="I81" s="41">
        <f t="shared" si="4"/>
        <v>0.5</v>
      </c>
      <c r="J81" s="41">
        <f t="shared" si="5"/>
        <v>1.375</v>
      </c>
      <c r="K81" s="41">
        <f t="shared" si="6"/>
        <v>2</v>
      </c>
      <c r="L81" s="4"/>
      <c r="M81" s="4"/>
      <c r="N81" s="4"/>
      <c r="O81" s="4"/>
      <c r="P81" s="4"/>
      <c r="Q81" s="4"/>
      <c r="R81" s="4"/>
      <c r="S81" s="4"/>
      <c r="T81" s="4"/>
      <c r="U81" s="4"/>
      <c r="V81" s="4"/>
      <c r="W81" s="4"/>
      <c r="X81" s="4"/>
      <c r="Y81" s="4"/>
      <c r="Z81" s="4"/>
    </row>
    <row r="82" ht="15.75" customHeight="1">
      <c r="A82" s="40" t="str">
        <f>archetype_prototypes!A82</f>
        <v>4</v>
      </c>
      <c r="B82" s="9" t="str">
        <f>archetype_prototypes!B82</f>
        <v>Exhibitionist Performer</v>
      </c>
      <c r="C82" s="9" t="str">
        <f>archetype_prototypes!C82</f>
        <v>DIM_AVOIDANT</v>
      </c>
      <c r="D82" s="41">
        <f>archetype_prototypes!E82</f>
        <v>0.45</v>
      </c>
      <c r="E82" s="41">
        <f t="shared" si="1"/>
        <v>0.45</v>
      </c>
      <c r="F82" s="41">
        <f t="shared" si="2"/>
        <v>0.7475</v>
      </c>
      <c r="G82" s="41">
        <f t="shared" si="3"/>
        <v>1</v>
      </c>
      <c r="H82" s="42" t="str">
        <f t="array" ref="H82">XLOOKUP(C82,dimensions!$A$2:$A$22,dimensions!$E$2:$E$22,0)</f>
        <v>1.3</v>
      </c>
      <c r="I82" s="41">
        <f t="shared" si="4"/>
        <v>0.585</v>
      </c>
      <c r="J82" s="41">
        <f t="shared" si="5"/>
        <v>0.97175</v>
      </c>
      <c r="K82" s="41">
        <f t="shared" si="6"/>
        <v>1.3</v>
      </c>
      <c r="L82" s="4"/>
      <c r="M82" s="4"/>
      <c r="N82" s="4"/>
      <c r="O82" s="4"/>
      <c r="P82" s="4"/>
      <c r="Q82" s="4"/>
      <c r="R82" s="4"/>
      <c r="S82" s="4"/>
      <c r="T82" s="4"/>
      <c r="U82" s="4"/>
      <c r="V82" s="4"/>
      <c r="W82" s="4"/>
      <c r="X82" s="4"/>
      <c r="Y82" s="4"/>
      <c r="Z82" s="4"/>
    </row>
    <row r="83" ht="15.75" customHeight="1">
      <c r="A83" s="40" t="str">
        <f>archetype_prototypes!A83</f>
        <v>4</v>
      </c>
      <c r="B83" s="9" t="str">
        <f>archetype_prototypes!B83</f>
        <v>Exhibitionist Performer</v>
      </c>
      <c r="C83" s="9" t="str">
        <f>archetype_prototypes!C83</f>
        <v>DIM_STRATEGY</v>
      </c>
      <c r="D83" s="41">
        <f>archetype_prototypes!E83</f>
        <v>0.3</v>
      </c>
      <c r="E83" s="41">
        <f t="shared" si="1"/>
        <v>0.3</v>
      </c>
      <c r="F83" s="41">
        <f t="shared" si="2"/>
        <v>0.71</v>
      </c>
      <c r="G83" s="41">
        <f t="shared" si="3"/>
        <v>1</v>
      </c>
      <c r="H83" s="42" t="str">
        <f t="array" ref="H83">XLOOKUP(C83,dimensions!$A$2:$A$22,dimensions!$E$2:$E$22,0)</f>
        <v>1.2</v>
      </c>
      <c r="I83" s="41">
        <f t="shared" si="4"/>
        <v>0.36</v>
      </c>
      <c r="J83" s="41">
        <f t="shared" si="5"/>
        <v>0.852</v>
      </c>
      <c r="K83" s="41">
        <f t="shared" si="6"/>
        <v>1.2</v>
      </c>
      <c r="L83" s="4"/>
      <c r="M83" s="4"/>
      <c r="N83" s="4"/>
      <c r="O83" s="4"/>
      <c r="P83" s="4"/>
      <c r="Q83" s="4"/>
      <c r="R83" s="4"/>
      <c r="S83" s="4"/>
      <c r="T83" s="4"/>
      <c r="U83" s="4"/>
      <c r="V83" s="4"/>
      <c r="W83" s="4"/>
      <c r="X83" s="4"/>
      <c r="Y83" s="4"/>
      <c r="Z83" s="4"/>
    </row>
    <row r="84" ht="15.75" customHeight="1">
      <c r="A84" s="40" t="str">
        <f>archetype_prototypes!A84</f>
        <v>4</v>
      </c>
      <c r="B84" s="9" t="str">
        <f>archetype_prototypes!B84</f>
        <v>Exhibitionist Performer</v>
      </c>
      <c r="C84" s="9" t="str">
        <f>archetype_prototypes!C84</f>
        <v>DIM_CLOSENESS_ORIENTATION</v>
      </c>
      <c r="D84" s="41">
        <f>archetype_prototypes!E84</f>
        <v>0.45</v>
      </c>
      <c r="E84" s="41">
        <f t="shared" si="1"/>
        <v>0.45</v>
      </c>
      <c r="F84" s="41">
        <f t="shared" si="2"/>
        <v>0.7475</v>
      </c>
      <c r="G84" s="41">
        <f t="shared" si="3"/>
        <v>1</v>
      </c>
      <c r="H84" s="42">
        <f t="array" ref="H84">XLOOKUP(C84,dimensions!$A$2:$A$22,dimensions!$E$2:$E$22,0)</f>
        <v>1</v>
      </c>
      <c r="I84" s="41">
        <f t="shared" si="4"/>
        <v>0.45</v>
      </c>
      <c r="J84" s="41">
        <f t="shared" si="5"/>
        <v>0.7475</v>
      </c>
      <c r="K84" s="41">
        <f t="shared" si="6"/>
        <v>1</v>
      </c>
      <c r="L84" s="4"/>
      <c r="M84" s="4"/>
      <c r="N84" s="4"/>
      <c r="O84" s="4"/>
      <c r="P84" s="4"/>
      <c r="Q84" s="4"/>
      <c r="R84" s="4"/>
      <c r="S84" s="4"/>
      <c r="T84" s="4"/>
      <c r="U84" s="4"/>
      <c r="V84" s="4"/>
      <c r="W84" s="4"/>
      <c r="X84" s="4"/>
      <c r="Y84" s="4"/>
      <c r="Z84" s="4"/>
    </row>
    <row r="85" ht="15.75" customHeight="1">
      <c r="A85" s="40" t="str">
        <f>archetype_prototypes!A85</f>
        <v>4</v>
      </c>
      <c r="B85" s="9" t="str">
        <f>archetype_prototypes!B85</f>
        <v>Exhibitionist Performer</v>
      </c>
      <c r="C85" s="9" t="str">
        <f>archetype_prototypes!C85</f>
        <v>DIM_PARTNER_FOCUS</v>
      </c>
      <c r="D85" s="41">
        <f>archetype_prototypes!E85</f>
        <v>0.18</v>
      </c>
      <c r="E85" s="41">
        <f t="shared" si="1"/>
        <v>0.18</v>
      </c>
      <c r="F85" s="41">
        <f t="shared" si="2"/>
        <v>0.6476</v>
      </c>
      <c r="G85" s="41">
        <f t="shared" si="3"/>
        <v>1</v>
      </c>
      <c r="H85" s="42">
        <f t="array" ref="H85">XLOOKUP(C85,dimensions!$A$2:$A$22,dimensions!$E$2:$E$22,0)</f>
        <v>1.2</v>
      </c>
      <c r="I85" s="41">
        <f t="shared" si="4"/>
        <v>0.216</v>
      </c>
      <c r="J85" s="41">
        <f t="shared" si="5"/>
        <v>0.77712</v>
      </c>
      <c r="K85" s="41">
        <f t="shared" si="6"/>
        <v>1.2</v>
      </c>
      <c r="L85" s="4"/>
      <c r="M85" s="4"/>
      <c r="N85" s="4"/>
      <c r="O85" s="4"/>
      <c r="P85" s="4"/>
      <c r="Q85" s="4"/>
      <c r="R85" s="4"/>
      <c r="S85" s="4"/>
      <c r="T85" s="4"/>
      <c r="U85" s="4"/>
      <c r="V85" s="4"/>
      <c r="W85" s="4"/>
      <c r="X85" s="4"/>
      <c r="Y85" s="4"/>
      <c r="Z85" s="4"/>
    </row>
    <row r="86" ht="15.75" customHeight="1">
      <c r="A86" s="40" t="str">
        <f>archetype_prototypes!A86</f>
        <v>5</v>
      </c>
      <c r="B86" s="9" t="str">
        <f>archetype_prototypes!B86</f>
        <v>Explorer of Edges</v>
      </c>
      <c r="C86" s="9" t="str">
        <f>archetype_prototypes!C86</f>
        <v>DIM_NOVELTY</v>
      </c>
      <c r="D86" s="41">
        <f>archetype_prototypes!E86</f>
        <v>0.85</v>
      </c>
      <c r="E86" s="41">
        <f t="shared" si="1"/>
        <v>0.15</v>
      </c>
      <c r="F86" s="41">
        <f t="shared" si="2"/>
        <v>0.6275</v>
      </c>
      <c r="G86" s="41">
        <f t="shared" si="3"/>
        <v>1</v>
      </c>
      <c r="H86" s="42" t="str">
        <f t="array" ref="H86">XLOOKUP(C86,dimensions!$A$2:$A$22,dimensions!$E$2:$E$22,0)</f>
        <v>1.4</v>
      </c>
      <c r="I86" s="41">
        <f t="shared" si="4"/>
        <v>0.21</v>
      </c>
      <c r="J86" s="41">
        <f t="shared" si="5"/>
        <v>0.8785</v>
      </c>
      <c r="K86" s="41">
        <f t="shared" si="6"/>
        <v>1.4</v>
      </c>
      <c r="L86" s="4"/>
      <c r="M86" s="4"/>
      <c r="N86" s="4"/>
      <c r="O86" s="4"/>
      <c r="P86" s="4"/>
      <c r="Q86" s="4"/>
      <c r="R86" s="4"/>
      <c r="S86" s="4"/>
      <c r="T86" s="4"/>
      <c r="U86" s="4"/>
      <c r="V86" s="4"/>
      <c r="W86" s="4"/>
      <c r="X86" s="4"/>
      <c r="Y86" s="4"/>
      <c r="Z86" s="4"/>
    </row>
    <row r="87" ht="15.75" customHeight="1">
      <c r="A87" s="40" t="str">
        <f>archetype_prototypes!A87</f>
        <v>5</v>
      </c>
      <c r="B87" s="9" t="str">
        <f>archetype_prototypes!B87</f>
        <v>Explorer of Edges</v>
      </c>
      <c r="C87" s="9" t="str">
        <f>archetype_prototypes!C87</f>
        <v>DIM_RESPONSIVE</v>
      </c>
      <c r="D87" s="41">
        <f>archetype_prototypes!E87</f>
        <v>0.25</v>
      </c>
      <c r="E87" s="41">
        <f t="shared" si="1"/>
        <v>0.25</v>
      </c>
      <c r="F87" s="41">
        <f t="shared" si="2"/>
        <v>0.6875</v>
      </c>
      <c r="G87" s="41">
        <f t="shared" si="3"/>
        <v>1</v>
      </c>
      <c r="H87" s="42" t="str">
        <f t="array" ref="H87">XLOOKUP(C87,dimensions!$A$2:$A$22,dimensions!$E$2:$E$22,0)</f>
        <v>1.6</v>
      </c>
      <c r="I87" s="41">
        <f t="shared" si="4"/>
        <v>0.4</v>
      </c>
      <c r="J87" s="41">
        <f t="shared" si="5"/>
        <v>1.1</v>
      </c>
      <c r="K87" s="41">
        <f t="shared" si="6"/>
        <v>1.6</v>
      </c>
      <c r="L87" s="4"/>
      <c r="M87" s="4"/>
      <c r="N87" s="4"/>
      <c r="O87" s="4"/>
      <c r="P87" s="4"/>
      <c r="Q87" s="4"/>
      <c r="R87" s="4"/>
      <c r="S87" s="4"/>
      <c r="T87" s="4"/>
      <c r="U87" s="4"/>
      <c r="V87" s="4"/>
      <c r="W87" s="4"/>
      <c r="X87" s="4"/>
      <c r="Y87" s="4"/>
      <c r="Z87" s="4"/>
    </row>
    <row r="88" ht="15.75" customHeight="1">
      <c r="A88" s="40" t="str">
        <f>archetype_prototypes!A88</f>
        <v>5</v>
      </c>
      <c r="B88" s="9" t="str">
        <f>archetype_prototypes!B88</f>
        <v>Explorer of Edges</v>
      </c>
      <c r="C88" s="9" t="str">
        <f>archetype_prototypes!C88</f>
        <v>DIM_PLANNED</v>
      </c>
      <c r="D88" s="41">
        <f>archetype_prototypes!E88</f>
        <v>0.25</v>
      </c>
      <c r="E88" s="41">
        <f t="shared" si="1"/>
        <v>0.25</v>
      </c>
      <c r="F88" s="41">
        <f t="shared" si="2"/>
        <v>0.6875</v>
      </c>
      <c r="G88" s="41">
        <f t="shared" si="3"/>
        <v>1</v>
      </c>
      <c r="H88" s="42" t="str">
        <f t="array" ref="H88">XLOOKUP(C88,dimensions!$A$2:$A$22,dimensions!$E$2:$E$22,0)</f>
        <v>1.3</v>
      </c>
      <c r="I88" s="41">
        <f t="shared" si="4"/>
        <v>0.325</v>
      </c>
      <c r="J88" s="41">
        <f t="shared" si="5"/>
        <v>0.89375</v>
      </c>
      <c r="K88" s="41">
        <f t="shared" si="6"/>
        <v>1.3</v>
      </c>
      <c r="L88" s="4"/>
      <c r="M88" s="4"/>
      <c r="N88" s="4"/>
      <c r="O88" s="4"/>
      <c r="P88" s="4"/>
      <c r="Q88" s="4"/>
      <c r="R88" s="4"/>
      <c r="S88" s="4"/>
      <c r="T88" s="4"/>
      <c r="U88" s="4"/>
      <c r="V88" s="4"/>
      <c r="W88" s="4"/>
      <c r="X88" s="4"/>
      <c r="Y88" s="4"/>
      <c r="Z88" s="4"/>
    </row>
    <row r="89" ht="15.75" customHeight="1">
      <c r="A89" s="40" t="str">
        <f>archetype_prototypes!A89</f>
        <v>5</v>
      </c>
      <c r="B89" s="9" t="str">
        <f>archetype_prototypes!B89</f>
        <v>Explorer of Edges</v>
      </c>
      <c r="C89" s="9" t="str">
        <f>archetype_prototypes!C89</f>
        <v>DIM_EMO_CONNECTION</v>
      </c>
      <c r="D89" s="41">
        <f>archetype_prototypes!E89</f>
        <v>0.4</v>
      </c>
      <c r="E89" s="41">
        <f t="shared" si="1"/>
        <v>0.4</v>
      </c>
      <c r="F89" s="41">
        <f t="shared" si="2"/>
        <v>0.74</v>
      </c>
      <c r="G89" s="41">
        <f t="shared" si="3"/>
        <v>1</v>
      </c>
      <c r="H89" s="42" t="str">
        <f t="array" ref="H89">XLOOKUP(C89,dimensions!$A$2:$A$22,dimensions!$E$2:$E$22,0)</f>
        <v>1.4</v>
      </c>
      <c r="I89" s="41">
        <f t="shared" si="4"/>
        <v>0.56</v>
      </c>
      <c r="J89" s="41">
        <f t="shared" si="5"/>
        <v>1.036</v>
      </c>
      <c r="K89" s="41">
        <f t="shared" si="6"/>
        <v>1.4</v>
      </c>
      <c r="L89" s="4"/>
      <c r="M89" s="4"/>
      <c r="N89" s="4"/>
      <c r="O89" s="4"/>
      <c r="P89" s="4"/>
      <c r="Q89" s="4"/>
      <c r="R89" s="4"/>
      <c r="S89" s="4"/>
      <c r="T89" s="4"/>
      <c r="U89" s="4"/>
      <c r="V89" s="4"/>
      <c r="W89" s="4"/>
      <c r="X89" s="4"/>
      <c r="Y89" s="4"/>
      <c r="Z89" s="4"/>
    </row>
    <row r="90" ht="15.75" customHeight="1">
      <c r="A90" s="40" t="str">
        <f>archetype_prototypes!A90</f>
        <v>5</v>
      </c>
      <c r="B90" s="9" t="str">
        <f>archetype_prototypes!B90</f>
        <v>Explorer of Edges</v>
      </c>
      <c r="C90" s="9" t="str">
        <f>archetype_prototypes!C90</f>
        <v>DIM_INTENSITY</v>
      </c>
      <c r="D90" s="41">
        <f>archetype_prototypes!E90</f>
        <v>0.9</v>
      </c>
      <c r="E90" s="41">
        <f t="shared" si="1"/>
        <v>0.1</v>
      </c>
      <c r="F90" s="41">
        <f t="shared" si="2"/>
        <v>0.59</v>
      </c>
      <c r="G90" s="41">
        <f t="shared" si="3"/>
        <v>1</v>
      </c>
      <c r="H90" s="42" t="str">
        <f t="array" ref="H90">XLOOKUP(C90,dimensions!$A$2:$A$22,dimensions!$E$2:$E$22,0)</f>
        <v>1.4</v>
      </c>
      <c r="I90" s="41">
        <f t="shared" si="4"/>
        <v>0.14</v>
      </c>
      <c r="J90" s="41">
        <f t="shared" si="5"/>
        <v>0.826</v>
      </c>
      <c r="K90" s="41">
        <f t="shared" si="6"/>
        <v>1.4</v>
      </c>
      <c r="L90" s="4"/>
      <c r="M90" s="4"/>
      <c r="N90" s="4"/>
      <c r="O90" s="4"/>
      <c r="P90" s="4"/>
      <c r="Q90" s="4"/>
      <c r="R90" s="4"/>
      <c r="S90" s="4"/>
      <c r="T90" s="4"/>
      <c r="U90" s="4"/>
      <c r="V90" s="4"/>
      <c r="W90" s="4"/>
      <c r="X90" s="4"/>
      <c r="Y90" s="4"/>
      <c r="Z90" s="4"/>
    </row>
    <row r="91" ht="15.75" customHeight="1">
      <c r="A91" s="40" t="str">
        <f>archetype_prototypes!A91</f>
        <v>5</v>
      </c>
      <c r="B91" s="9" t="str">
        <f>archetype_prototypes!B91</f>
        <v>Explorer of Edges</v>
      </c>
      <c r="C91" s="9" t="str">
        <f>archetype_prototypes!C91</f>
        <v>DIM_PURSUIT</v>
      </c>
      <c r="D91" s="41">
        <f>archetype_prototypes!E91</f>
        <v>0.7</v>
      </c>
      <c r="E91" s="41">
        <f t="shared" si="1"/>
        <v>0.3</v>
      </c>
      <c r="F91" s="41">
        <f t="shared" si="2"/>
        <v>0.71</v>
      </c>
      <c r="G91" s="41">
        <f t="shared" si="3"/>
        <v>1</v>
      </c>
      <c r="H91" s="42" t="str">
        <f t="array" ref="H91">XLOOKUP(C91,dimensions!$A$2:$A$22,dimensions!$E$2:$E$22,0)</f>
        <v>1.4</v>
      </c>
      <c r="I91" s="41">
        <f t="shared" si="4"/>
        <v>0.42</v>
      </c>
      <c r="J91" s="41">
        <f t="shared" si="5"/>
        <v>0.994</v>
      </c>
      <c r="K91" s="41">
        <f t="shared" si="6"/>
        <v>1.4</v>
      </c>
      <c r="L91" s="4"/>
      <c r="M91" s="4"/>
      <c r="N91" s="4"/>
      <c r="O91" s="4"/>
      <c r="P91" s="4"/>
      <c r="Q91" s="4"/>
      <c r="R91" s="4"/>
      <c r="S91" s="4"/>
      <c r="T91" s="4"/>
      <c r="U91" s="4"/>
      <c r="V91" s="4"/>
      <c r="W91" s="4"/>
      <c r="X91" s="4"/>
      <c r="Y91" s="4"/>
      <c r="Z91" s="4"/>
    </row>
    <row r="92" ht="15.75" customHeight="1">
      <c r="A92" s="40" t="str">
        <f>archetype_prototypes!A92</f>
        <v>5</v>
      </c>
      <c r="B92" s="9" t="str">
        <f>archetype_prototypes!B92</f>
        <v>Explorer of Edges</v>
      </c>
      <c r="C92" s="9" t="str">
        <f>archetype_prototypes!C92</f>
        <v>DIM_EDGE_NEED</v>
      </c>
      <c r="D92" s="41">
        <f>archetype_prototypes!E92</f>
        <v>0.9</v>
      </c>
      <c r="E92" s="41">
        <f t="shared" si="1"/>
        <v>0.1</v>
      </c>
      <c r="F92" s="41">
        <f t="shared" si="2"/>
        <v>0.59</v>
      </c>
      <c r="G92" s="41">
        <f t="shared" si="3"/>
        <v>1</v>
      </c>
      <c r="H92" s="42" t="str">
        <f t="array" ref="H92">XLOOKUP(C92,dimensions!$A$2:$A$22,dimensions!$E$2:$E$22,0)</f>
        <v>1.8</v>
      </c>
      <c r="I92" s="41">
        <f t="shared" si="4"/>
        <v>0.18</v>
      </c>
      <c r="J92" s="41">
        <f t="shared" si="5"/>
        <v>1.062</v>
      </c>
      <c r="K92" s="41">
        <f t="shared" si="6"/>
        <v>1.8</v>
      </c>
      <c r="L92" s="4"/>
      <c r="M92" s="4"/>
      <c r="N92" s="4"/>
      <c r="O92" s="4"/>
      <c r="P92" s="4"/>
      <c r="Q92" s="4"/>
      <c r="R92" s="4"/>
      <c r="S92" s="4"/>
      <c r="T92" s="4"/>
      <c r="U92" s="4"/>
      <c r="V92" s="4"/>
      <c r="W92" s="4"/>
      <c r="X92" s="4"/>
      <c r="Y92" s="4"/>
      <c r="Z92" s="4"/>
    </row>
    <row r="93" ht="15.75" customHeight="1">
      <c r="A93" s="40" t="str">
        <f>archetype_prototypes!A93</f>
        <v>5</v>
      </c>
      <c r="B93" s="9" t="str">
        <f>archetype_prototypes!B93</f>
        <v>Explorer of Edges</v>
      </c>
      <c r="C93" s="9" t="str">
        <f>archetype_prototypes!C93</f>
        <v>DIM_SACRED</v>
      </c>
      <c r="D93" s="41">
        <f>archetype_prototypes!E93</f>
        <v>0.2</v>
      </c>
      <c r="E93" s="41">
        <f t="shared" si="1"/>
        <v>0.2</v>
      </c>
      <c r="F93" s="41">
        <f t="shared" si="2"/>
        <v>0.66</v>
      </c>
      <c r="G93" s="41">
        <f t="shared" si="3"/>
        <v>1</v>
      </c>
      <c r="H93" s="42" t="str">
        <f t="array" ref="H93">XLOOKUP(C93,dimensions!$A$2:$A$22,dimensions!$E$2:$E$22,0)</f>
        <v>2.0</v>
      </c>
      <c r="I93" s="41">
        <f t="shared" si="4"/>
        <v>0.4</v>
      </c>
      <c r="J93" s="41">
        <f t="shared" si="5"/>
        <v>1.32</v>
      </c>
      <c r="K93" s="41">
        <f t="shared" si="6"/>
        <v>2</v>
      </c>
      <c r="L93" s="4"/>
      <c r="M93" s="4"/>
      <c r="N93" s="4"/>
      <c r="O93" s="4"/>
      <c r="P93" s="4"/>
      <c r="Q93" s="4"/>
      <c r="R93" s="4"/>
      <c r="S93" s="4"/>
      <c r="T93" s="4"/>
      <c r="U93" s="4"/>
      <c r="V93" s="4"/>
      <c r="W93" s="4"/>
      <c r="X93" s="4"/>
      <c r="Y93" s="4"/>
      <c r="Z93" s="4"/>
    </row>
    <row r="94" ht="15.75" customHeight="1">
      <c r="A94" s="40" t="str">
        <f>archetype_prototypes!A94</f>
        <v>5</v>
      </c>
      <c r="B94" s="9" t="str">
        <f>archetype_prototypes!B94</f>
        <v>Explorer of Edges</v>
      </c>
      <c r="C94" s="9" t="str">
        <f>archetype_prototypes!C94</f>
        <v>DIM_RISK_PREF</v>
      </c>
      <c r="D94" s="41">
        <f>archetype_prototypes!E94</f>
        <v>0.9</v>
      </c>
      <c r="E94" s="41">
        <f t="shared" si="1"/>
        <v>0.1</v>
      </c>
      <c r="F94" s="41">
        <f t="shared" si="2"/>
        <v>0.59</v>
      </c>
      <c r="G94" s="41">
        <f t="shared" si="3"/>
        <v>1</v>
      </c>
      <c r="H94" s="42" t="str">
        <f t="array" ref="H94">XLOOKUP(C94,dimensions!$A$2:$A$22,dimensions!$E$2:$E$22,0)</f>
        <v>1.6</v>
      </c>
      <c r="I94" s="41">
        <f t="shared" si="4"/>
        <v>0.16</v>
      </c>
      <c r="J94" s="41">
        <f t="shared" si="5"/>
        <v>0.944</v>
      </c>
      <c r="K94" s="41">
        <f t="shared" si="6"/>
        <v>1.6</v>
      </c>
      <c r="L94" s="4"/>
      <c r="M94" s="4"/>
      <c r="N94" s="4"/>
      <c r="O94" s="4"/>
      <c r="P94" s="4"/>
      <c r="Q94" s="4"/>
      <c r="R94" s="4"/>
      <c r="S94" s="4"/>
      <c r="T94" s="4"/>
      <c r="U94" s="4"/>
      <c r="V94" s="4"/>
      <c r="W94" s="4"/>
      <c r="X94" s="4"/>
      <c r="Y94" s="4"/>
      <c r="Z94" s="4"/>
    </row>
    <row r="95" ht="15.75" customHeight="1">
      <c r="A95" s="40" t="str">
        <f>archetype_prototypes!A95</f>
        <v>5</v>
      </c>
      <c r="B95" s="9" t="str">
        <f>archetype_prototypes!B95</f>
        <v>Explorer of Edges</v>
      </c>
      <c r="C95" s="9" t="str">
        <f>archetype_prototypes!C95</f>
        <v>DIM_FEEDBACK_DEP</v>
      </c>
      <c r="D95" s="41">
        <f>archetype_prototypes!E95</f>
        <v>0.45</v>
      </c>
      <c r="E95" s="41">
        <f t="shared" si="1"/>
        <v>0.45</v>
      </c>
      <c r="F95" s="41">
        <f t="shared" si="2"/>
        <v>0.7475</v>
      </c>
      <c r="G95" s="41">
        <f t="shared" si="3"/>
        <v>1</v>
      </c>
      <c r="H95" s="42" t="str">
        <f t="array" ref="H95">XLOOKUP(C95,dimensions!$A$2:$A$22,dimensions!$E$2:$E$22,0)</f>
        <v>2.0</v>
      </c>
      <c r="I95" s="41">
        <f t="shared" si="4"/>
        <v>0.9</v>
      </c>
      <c r="J95" s="41">
        <f t="shared" si="5"/>
        <v>1.495</v>
      </c>
      <c r="K95" s="41">
        <f t="shared" si="6"/>
        <v>2</v>
      </c>
      <c r="L95" s="4"/>
      <c r="M95" s="4"/>
      <c r="N95" s="4"/>
      <c r="O95" s="4"/>
      <c r="P95" s="4"/>
      <c r="Q95" s="4"/>
      <c r="R95" s="4"/>
      <c r="S95" s="4"/>
      <c r="T95" s="4"/>
      <c r="U95" s="4"/>
      <c r="V95" s="4"/>
      <c r="W95" s="4"/>
      <c r="X95" s="4"/>
      <c r="Y95" s="4"/>
      <c r="Z95" s="4"/>
    </row>
    <row r="96" ht="15.75" customHeight="1">
      <c r="A96" s="40" t="str">
        <f>archetype_prototypes!A96</f>
        <v>5</v>
      </c>
      <c r="B96" s="9" t="str">
        <f>archetype_prototypes!B96</f>
        <v>Explorer of Edges</v>
      </c>
      <c r="C96" s="9" t="str">
        <f>archetype_prototypes!C96</f>
        <v>DIM_TURNON_EXPRESS</v>
      </c>
      <c r="D96" s="41">
        <f>archetype_prototypes!E96</f>
        <v>0.8</v>
      </c>
      <c r="E96" s="41">
        <f t="shared" si="1"/>
        <v>0.2</v>
      </c>
      <c r="F96" s="41">
        <f t="shared" si="2"/>
        <v>0.66</v>
      </c>
      <c r="G96" s="41">
        <f t="shared" si="3"/>
        <v>1</v>
      </c>
      <c r="H96" s="42" t="str">
        <f t="array" ref="H96">XLOOKUP(C96,dimensions!$A$2:$A$22,dimensions!$E$2:$E$22,0)</f>
        <v>1.3</v>
      </c>
      <c r="I96" s="41">
        <f t="shared" si="4"/>
        <v>0.26</v>
      </c>
      <c r="J96" s="41">
        <f t="shared" si="5"/>
        <v>0.858</v>
      </c>
      <c r="K96" s="41">
        <f t="shared" si="6"/>
        <v>1.3</v>
      </c>
      <c r="L96" s="4"/>
      <c r="M96" s="4"/>
      <c r="N96" s="4"/>
      <c r="O96" s="4"/>
      <c r="P96" s="4"/>
      <c r="Q96" s="4"/>
      <c r="R96" s="4"/>
      <c r="S96" s="4"/>
      <c r="T96" s="4"/>
      <c r="U96" s="4"/>
      <c r="V96" s="4"/>
      <c r="W96" s="4"/>
      <c r="X96" s="4"/>
      <c r="Y96" s="4"/>
      <c r="Z96" s="4"/>
    </row>
    <row r="97" ht="15.75" customHeight="1">
      <c r="A97" s="40" t="str">
        <f>archetype_prototypes!A97</f>
        <v>5</v>
      </c>
      <c r="B97" s="9" t="str">
        <f>archetype_prototypes!B97</f>
        <v>Explorer of Edges</v>
      </c>
      <c r="C97" s="9" t="str">
        <f>archetype_prototypes!C97</f>
        <v>DIM_BOUNDARY_EXPRESS</v>
      </c>
      <c r="D97" s="41">
        <f>archetype_prototypes!E97</f>
        <v>0.85</v>
      </c>
      <c r="E97" s="41">
        <f t="shared" si="1"/>
        <v>0.15</v>
      </c>
      <c r="F97" s="41">
        <f t="shared" si="2"/>
        <v>0.6275</v>
      </c>
      <c r="G97" s="41">
        <f t="shared" si="3"/>
        <v>1</v>
      </c>
      <c r="H97" s="42" t="str">
        <f t="array" ref="H97">XLOOKUP(C97,dimensions!$A$2:$A$22,dimensions!$E$2:$E$22,0)</f>
        <v>1.3</v>
      </c>
      <c r="I97" s="41">
        <f t="shared" si="4"/>
        <v>0.195</v>
      </c>
      <c r="J97" s="41">
        <f t="shared" si="5"/>
        <v>0.81575</v>
      </c>
      <c r="K97" s="41">
        <f t="shared" si="6"/>
        <v>1.3</v>
      </c>
      <c r="L97" s="4"/>
      <c r="M97" s="4"/>
      <c r="N97" s="4"/>
      <c r="O97" s="4"/>
      <c r="P97" s="4"/>
      <c r="Q97" s="4"/>
      <c r="R97" s="4"/>
      <c r="S97" s="4"/>
      <c r="T97" s="4"/>
      <c r="U97" s="4"/>
      <c r="V97" s="4"/>
      <c r="W97" s="4"/>
      <c r="X97" s="4"/>
      <c r="Y97" s="4"/>
      <c r="Z97" s="4"/>
    </row>
    <row r="98" ht="15.75" customHeight="1">
      <c r="A98" s="40" t="str">
        <f>archetype_prototypes!A98</f>
        <v>5</v>
      </c>
      <c r="B98" s="9" t="str">
        <f>archetype_prototypes!B98</f>
        <v>Explorer of Edges</v>
      </c>
      <c r="C98" s="9" t="str">
        <f>archetype_prototypes!C98</f>
        <v>DIM_PROTOCOL</v>
      </c>
      <c r="D98" s="41">
        <f>archetype_prototypes!E98</f>
        <v>0.55</v>
      </c>
      <c r="E98" s="41">
        <f t="shared" si="1"/>
        <v>0.45</v>
      </c>
      <c r="F98" s="41">
        <f t="shared" si="2"/>
        <v>0.7475</v>
      </c>
      <c r="G98" s="41">
        <f t="shared" si="3"/>
        <v>1</v>
      </c>
      <c r="H98" s="42" t="str">
        <f t="array" ref="H98">XLOOKUP(C98,dimensions!$A$2:$A$22,dimensions!$E$2:$E$22,0)</f>
        <v>1.6</v>
      </c>
      <c r="I98" s="41">
        <f t="shared" si="4"/>
        <v>0.72</v>
      </c>
      <c r="J98" s="41">
        <f t="shared" si="5"/>
        <v>1.196</v>
      </c>
      <c r="K98" s="41">
        <f t="shared" si="6"/>
        <v>1.6</v>
      </c>
      <c r="L98" s="4"/>
      <c r="M98" s="4"/>
      <c r="N98" s="4"/>
      <c r="O98" s="4"/>
      <c r="P98" s="4"/>
      <c r="Q98" s="4"/>
      <c r="R98" s="4"/>
      <c r="S98" s="4"/>
      <c r="T98" s="4"/>
      <c r="U98" s="4"/>
      <c r="V98" s="4"/>
      <c r="W98" s="4"/>
      <c r="X98" s="4"/>
      <c r="Y98" s="4"/>
      <c r="Z98" s="4"/>
    </row>
    <row r="99" ht="15.75" customHeight="1">
      <c r="A99" s="40" t="str">
        <f>archetype_prototypes!A99</f>
        <v>5</v>
      </c>
      <c r="B99" s="9" t="str">
        <f>archetype_prototypes!B99</f>
        <v>Explorer of Edges</v>
      </c>
      <c r="C99" s="9" t="str">
        <f>archetype_prototypes!C99</f>
        <v>DIM_SOOTHING</v>
      </c>
      <c r="D99" s="41">
        <f>archetype_prototypes!E99</f>
        <v>0.15</v>
      </c>
      <c r="E99" s="41">
        <f t="shared" si="1"/>
        <v>0.15</v>
      </c>
      <c r="F99" s="41">
        <f t="shared" si="2"/>
        <v>0.6275</v>
      </c>
      <c r="G99" s="41">
        <f t="shared" si="3"/>
        <v>1</v>
      </c>
      <c r="H99" s="42" t="str">
        <f t="array" ref="H99">XLOOKUP(C99,dimensions!$A$2:$A$22,dimensions!$E$2:$E$22,0)</f>
        <v>1.9</v>
      </c>
      <c r="I99" s="41">
        <f t="shared" si="4"/>
        <v>0.285</v>
      </c>
      <c r="J99" s="41">
        <f t="shared" si="5"/>
        <v>1.19225</v>
      </c>
      <c r="K99" s="41">
        <f t="shared" si="6"/>
        <v>1.9</v>
      </c>
      <c r="L99" s="4"/>
      <c r="M99" s="4"/>
      <c r="N99" s="4"/>
      <c r="O99" s="4"/>
      <c r="P99" s="4"/>
      <c r="Q99" s="4"/>
      <c r="R99" s="4"/>
      <c r="S99" s="4"/>
      <c r="T99" s="4"/>
      <c r="U99" s="4"/>
      <c r="V99" s="4"/>
      <c r="W99" s="4"/>
      <c r="X99" s="4"/>
      <c r="Y99" s="4"/>
      <c r="Z99" s="4"/>
    </row>
    <row r="100" ht="15.75" customHeight="1">
      <c r="A100" s="40" t="str">
        <f>archetype_prototypes!A100</f>
        <v>5</v>
      </c>
      <c r="B100" s="9" t="str">
        <f>archetype_prototypes!B100</f>
        <v>Explorer of Edges</v>
      </c>
      <c r="C100" s="9" t="str">
        <f>archetype_prototypes!C100</f>
        <v>DIM_SECURE</v>
      </c>
      <c r="D100" s="41">
        <f>archetype_prototypes!E100</f>
        <v>0.4</v>
      </c>
      <c r="E100" s="41">
        <f t="shared" si="1"/>
        <v>0.4</v>
      </c>
      <c r="F100" s="41">
        <f t="shared" si="2"/>
        <v>0.74</v>
      </c>
      <c r="G100" s="41">
        <f t="shared" si="3"/>
        <v>1</v>
      </c>
      <c r="H100" s="42" t="str">
        <f t="array" ref="H100">XLOOKUP(C100,dimensions!$A$2:$A$22,dimensions!$E$2:$E$22,0)</f>
        <v>1</v>
      </c>
      <c r="I100" s="41">
        <f t="shared" si="4"/>
        <v>0.4</v>
      </c>
      <c r="J100" s="41">
        <f t="shared" si="5"/>
        <v>0.74</v>
      </c>
      <c r="K100" s="41">
        <f t="shared" si="6"/>
        <v>1</v>
      </c>
      <c r="L100" s="4"/>
      <c r="M100" s="4"/>
      <c r="N100" s="4"/>
      <c r="O100" s="4"/>
      <c r="P100" s="4"/>
      <c r="Q100" s="4"/>
      <c r="R100" s="4"/>
      <c r="S100" s="4"/>
      <c r="T100" s="4"/>
      <c r="U100" s="4"/>
      <c r="V100" s="4"/>
      <c r="W100" s="4"/>
      <c r="X100" s="4"/>
      <c r="Y100" s="4"/>
      <c r="Z100" s="4"/>
    </row>
    <row r="101" ht="15.75" customHeight="1">
      <c r="A101" s="40" t="str">
        <f>archetype_prototypes!A101</f>
        <v>5</v>
      </c>
      <c r="B101" s="9" t="str">
        <f>archetype_prototypes!B101</f>
        <v>Explorer of Edges</v>
      </c>
      <c r="C101" s="9" t="str">
        <f>archetype_prototypes!C101</f>
        <v>DIM_REPAIR_EROTICISM</v>
      </c>
      <c r="D101" s="41">
        <f>archetype_prototypes!E101</f>
        <v>0.2</v>
      </c>
      <c r="E101" s="41">
        <f t="shared" si="1"/>
        <v>0.2</v>
      </c>
      <c r="F101" s="41">
        <f t="shared" si="2"/>
        <v>0.66</v>
      </c>
      <c r="G101" s="41">
        <f t="shared" si="3"/>
        <v>1</v>
      </c>
      <c r="H101" s="42" t="str">
        <f t="array" ref="H101">XLOOKUP(C101,dimensions!$A$2:$A$22,dimensions!$E$2:$E$22,0)</f>
        <v>1.6</v>
      </c>
      <c r="I101" s="41">
        <f t="shared" si="4"/>
        <v>0.32</v>
      </c>
      <c r="J101" s="41">
        <f t="shared" si="5"/>
        <v>1.056</v>
      </c>
      <c r="K101" s="41">
        <f t="shared" si="6"/>
        <v>1.6</v>
      </c>
      <c r="L101" s="4"/>
      <c r="M101" s="4"/>
      <c r="N101" s="4"/>
      <c r="O101" s="4"/>
      <c r="P101" s="4"/>
      <c r="Q101" s="4"/>
      <c r="R101" s="4"/>
      <c r="S101" s="4"/>
      <c r="T101" s="4"/>
      <c r="U101" s="4"/>
      <c r="V101" s="4"/>
      <c r="W101" s="4"/>
      <c r="X101" s="4"/>
      <c r="Y101" s="4"/>
      <c r="Z101" s="4"/>
    </row>
    <row r="102" ht="15.75" customHeight="1">
      <c r="A102" s="40" t="str">
        <f>archetype_prototypes!A102</f>
        <v>5</v>
      </c>
      <c r="B102" s="9" t="str">
        <f>archetype_prototypes!B102</f>
        <v>Explorer of Edges</v>
      </c>
      <c r="C102" s="9" t="str">
        <f>archetype_prototypes!C102</f>
        <v>DIM_PRESSURE_SHUTDOWN</v>
      </c>
      <c r="D102" s="41">
        <f>archetype_prototypes!E102</f>
        <v>0.2</v>
      </c>
      <c r="E102" s="41">
        <f t="shared" si="1"/>
        <v>0.2</v>
      </c>
      <c r="F102" s="41">
        <f t="shared" si="2"/>
        <v>0.66</v>
      </c>
      <c r="G102" s="41">
        <f t="shared" si="3"/>
        <v>1</v>
      </c>
      <c r="H102" s="42" t="str">
        <f t="array" ref="H102">XLOOKUP(C102,dimensions!$A$2:$A$22,dimensions!$E$2:$E$22,0)</f>
        <v>2.0</v>
      </c>
      <c r="I102" s="41">
        <f t="shared" si="4"/>
        <v>0.4</v>
      </c>
      <c r="J102" s="41">
        <f t="shared" si="5"/>
        <v>1.32</v>
      </c>
      <c r="K102" s="41">
        <f t="shared" si="6"/>
        <v>2</v>
      </c>
      <c r="L102" s="4"/>
      <c r="M102" s="4"/>
      <c r="N102" s="4"/>
      <c r="O102" s="4"/>
      <c r="P102" s="4"/>
      <c r="Q102" s="4"/>
      <c r="R102" s="4"/>
      <c r="S102" s="4"/>
      <c r="T102" s="4"/>
      <c r="U102" s="4"/>
      <c r="V102" s="4"/>
      <c r="W102" s="4"/>
      <c r="X102" s="4"/>
      <c r="Y102" s="4"/>
      <c r="Z102" s="4"/>
    </row>
    <row r="103" ht="15.75" customHeight="1">
      <c r="A103" s="40" t="str">
        <f>archetype_prototypes!A103</f>
        <v>5</v>
      </c>
      <c r="B103" s="9" t="str">
        <f>archetype_prototypes!B103</f>
        <v>Explorer of Edges</v>
      </c>
      <c r="C103" s="9" t="str">
        <f>archetype_prototypes!C103</f>
        <v>DIM_AVOIDANT</v>
      </c>
      <c r="D103" s="41">
        <f>archetype_prototypes!E103</f>
        <v>0.6</v>
      </c>
      <c r="E103" s="41">
        <f t="shared" si="1"/>
        <v>0.4</v>
      </c>
      <c r="F103" s="41">
        <f t="shared" si="2"/>
        <v>0.74</v>
      </c>
      <c r="G103" s="41">
        <f t="shared" si="3"/>
        <v>1</v>
      </c>
      <c r="H103" s="42" t="str">
        <f t="array" ref="H103">XLOOKUP(C103,dimensions!$A$2:$A$22,dimensions!$E$2:$E$22,0)</f>
        <v>1.3</v>
      </c>
      <c r="I103" s="41">
        <f t="shared" si="4"/>
        <v>0.52</v>
      </c>
      <c r="J103" s="41">
        <f t="shared" si="5"/>
        <v>0.962</v>
      </c>
      <c r="K103" s="41">
        <f t="shared" si="6"/>
        <v>1.3</v>
      </c>
      <c r="L103" s="4"/>
      <c r="M103" s="4"/>
      <c r="N103" s="4"/>
      <c r="O103" s="4"/>
      <c r="P103" s="4"/>
      <c r="Q103" s="4"/>
      <c r="R103" s="4"/>
      <c r="S103" s="4"/>
      <c r="T103" s="4"/>
      <c r="U103" s="4"/>
      <c r="V103" s="4"/>
      <c r="W103" s="4"/>
      <c r="X103" s="4"/>
      <c r="Y103" s="4"/>
      <c r="Z103" s="4"/>
    </row>
    <row r="104" ht="15.75" customHeight="1">
      <c r="A104" s="40" t="str">
        <f>archetype_prototypes!A104</f>
        <v>5</v>
      </c>
      <c r="B104" s="9" t="str">
        <f>archetype_prototypes!B104</f>
        <v>Explorer of Edges</v>
      </c>
      <c r="C104" s="9" t="str">
        <f>archetype_prototypes!C104</f>
        <v>DIM_STRATEGY</v>
      </c>
      <c r="D104" s="41">
        <f>archetype_prototypes!E104</f>
        <v>0.25</v>
      </c>
      <c r="E104" s="41">
        <f t="shared" si="1"/>
        <v>0.25</v>
      </c>
      <c r="F104" s="41">
        <f t="shared" si="2"/>
        <v>0.6875</v>
      </c>
      <c r="G104" s="41">
        <f t="shared" si="3"/>
        <v>1</v>
      </c>
      <c r="H104" s="42" t="str">
        <f t="array" ref="H104">XLOOKUP(C104,dimensions!$A$2:$A$22,dimensions!$E$2:$E$22,0)</f>
        <v>1.2</v>
      </c>
      <c r="I104" s="41">
        <f t="shared" si="4"/>
        <v>0.3</v>
      </c>
      <c r="J104" s="41">
        <f t="shared" si="5"/>
        <v>0.825</v>
      </c>
      <c r="K104" s="41">
        <f t="shared" si="6"/>
        <v>1.2</v>
      </c>
      <c r="L104" s="4"/>
      <c r="M104" s="4"/>
      <c r="N104" s="4"/>
      <c r="O104" s="4"/>
      <c r="P104" s="4"/>
      <c r="Q104" s="4"/>
      <c r="R104" s="4"/>
      <c r="S104" s="4"/>
      <c r="T104" s="4"/>
      <c r="U104" s="4"/>
      <c r="V104" s="4"/>
      <c r="W104" s="4"/>
      <c r="X104" s="4"/>
      <c r="Y104" s="4"/>
      <c r="Z104" s="4"/>
    </row>
    <row r="105" ht="15.75" customHeight="1">
      <c r="A105" s="40" t="str">
        <f>archetype_prototypes!A105</f>
        <v>5</v>
      </c>
      <c r="B105" s="9" t="str">
        <f>archetype_prototypes!B105</f>
        <v>Explorer of Edges</v>
      </c>
      <c r="C105" s="9" t="str">
        <f>archetype_prototypes!C105</f>
        <v>DIM_CLOSENESS_ORIENTATION</v>
      </c>
      <c r="D105" s="41">
        <f>archetype_prototypes!E105</f>
        <v>0.2</v>
      </c>
      <c r="E105" s="41">
        <f t="shared" si="1"/>
        <v>0.2</v>
      </c>
      <c r="F105" s="41">
        <f t="shared" si="2"/>
        <v>0.66</v>
      </c>
      <c r="G105" s="41">
        <f t="shared" si="3"/>
        <v>1</v>
      </c>
      <c r="H105" s="42">
        <f t="array" ref="H105">XLOOKUP(C105,dimensions!$A$2:$A$22,dimensions!$E$2:$E$22,0)</f>
        <v>1</v>
      </c>
      <c r="I105" s="41">
        <f t="shared" si="4"/>
        <v>0.2</v>
      </c>
      <c r="J105" s="41">
        <f t="shared" si="5"/>
        <v>0.66</v>
      </c>
      <c r="K105" s="41">
        <f t="shared" si="6"/>
        <v>1</v>
      </c>
      <c r="L105" s="4"/>
      <c r="M105" s="4"/>
      <c r="N105" s="4"/>
      <c r="O105" s="4"/>
      <c r="P105" s="4"/>
      <c r="Q105" s="4"/>
      <c r="R105" s="4"/>
      <c r="S105" s="4"/>
      <c r="T105" s="4"/>
      <c r="U105" s="4"/>
      <c r="V105" s="4"/>
      <c r="W105" s="4"/>
      <c r="X105" s="4"/>
      <c r="Y105" s="4"/>
      <c r="Z105" s="4"/>
    </row>
    <row r="106" ht="15.75" customHeight="1">
      <c r="A106" s="40" t="str">
        <f>archetype_prototypes!A106</f>
        <v>5</v>
      </c>
      <c r="B106" s="9" t="str">
        <f>archetype_prototypes!B106</f>
        <v>Explorer of Edges</v>
      </c>
      <c r="C106" s="9" t="str">
        <f>archetype_prototypes!C106</f>
        <v>DIM_PARTNER_FOCUS</v>
      </c>
      <c r="D106" s="41">
        <f>archetype_prototypes!E106</f>
        <v>0.25</v>
      </c>
      <c r="E106" s="41">
        <f t="shared" si="1"/>
        <v>0.25</v>
      </c>
      <c r="F106" s="41">
        <f t="shared" si="2"/>
        <v>0.6875</v>
      </c>
      <c r="G106" s="41">
        <f t="shared" si="3"/>
        <v>1</v>
      </c>
      <c r="H106" s="42">
        <f t="array" ref="H106">XLOOKUP(C106,dimensions!$A$2:$A$22,dimensions!$E$2:$E$22,0)</f>
        <v>1.2</v>
      </c>
      <c r="I106" s="41">
        <f t="shared" si="4"/>
        <v>0.3</v>
      </c>
      <c r="J106" s="41">
        <f t="shared" si="5"/>
        <v>0.825</v>
      </c>
      <c r="K106" s="41">
        <f t="shared" si="6"/>
        <v>1.2</v>
      </c>
      <c r="L106" s="4"/>
      <c r="M106" s="4"/>
      <c r="N106" s="4"/>
      <c r="O106" s="4"/>
      <c r="P106" s="4"/>
      <c r="Q106" s="4"/>
      <c r="R106" s="4"/>
      <c r="S106" s="4"/>
      <c r="T106" s="4"/>
      <c r="U106" s="4"/>
      <c r="V106" s="4"/>
      <c r="W106" s="4"/>
      <c r="X106" s="4"/>
      <c r="Y106" s="4"/>
      <c r="Z106" s="4"/>
    </row>
    <row r="107" ht="15.75" customHeight="1">
      <c r="A107" s="40" t="str">
        <f>archetype_prototypes!A107</f>
        <v>6</v>
      </c>
      <c r="B107" s="9" t="str">
        <f>archetype_prototypes!B107</f>
        <v>Curious Apprentice</v>
      </c>
      <c r="C107" s="9" t="str">
        <f>archetype_prototypes!C107</f>
        <v>DIM_NOVELTY</v>
      </c>
      <c r="D107" s="41">
        <f>archetype_prototypes!E107</f>
        <v>0.55</v>
      </c>
      <c r="E107" s="41">
        <f t="shared" si="1"/>
        <v>0.45</v>
      </c>
      <c r="F107" s="41">
        <f t="shared" si="2"/>
        <v>0.7475</v>
      </c>
      <c r="G107" s="41">
        <f t="shared" si="3"/>
        <v>1</v>
      </c>
      <c r="H107" s="42" t="str">
        <f t="array" ref="H107">XLOOKUP(C107,dimensions!$A$2:$A$22,dimensions!$E$2:$E$22,0)</f>
        <v>1.4</v>
      </c>
      <c r="I107" s="41">
        <f t="shared" si="4"/>
        <v>0.63</v>
      </c>
      <c r="J107" s="41">
        <f t="shared" si="5"/>
        <v>1.0465</v>
      </c>
      <c r="K107" s="41">
        <f t="shared" si="6"/>
        <v>1.4</v>
      </c>
      <c r="L107" s="4"/>
      <c r="M107" s="4"/>
      <c r="N107" s="4"/>
      <c r="O107" s="4"/>
      <c r="P107" s="4"/>
      <c r="Q107" s="4"/>
      <c r="R107" s="4"/>
      <c r="S107" s="4"/>
      <c r="T107" s="4"/>
      <c r="U107" s="4"/>
      <c r="V107" s="4"/>
      <c r="W107" s="4"/>
      <c r="X107" s="4"/>
      <c r="Y107" s="4"/>
      <c r="Z107" s="4"/>
    </row>
    <row r="108" ht="15.75" customHeight="1">
      <c r="A108" s="40" t="str">
        <f>archetype_prototypes!A108</f>
        <v>6</v>
      </c>
      <c r="B108" s="9" t="str">
        <f>archetype_prototypes!B108</f>
        <v>Curious Apprentice</v>
      </c>
      <c r="C108" s="9" t="str">
        <f>archetype_prototypes!C108</f>
        <v>DIM_RESPONSIVE</v>
      </c>
      <c r="D108" s="41">
        <f>archetype_prototypes!E108</f>
        <v>0.55</v>
      </c>
      <c r="E108" s="41">
        <f t="shared" si="1"/>
        <v>0.45</v>
      </c>
      <c r="F108" s="41">
        <f t="shared" si="2"/>
        <v>0.7475</v>
      </c>
      <c r="G108" s="41">
        <f t="shared" si="3"/>
        <v>1</v>
      </c>
      <c r="H108" s="42" t="str">
        <f t="array" ref="H108">XLOOKUP(C108,dimensions!$A$2:$A$22,dimensions!$E$2:$E$22,0)</f>
        <v>1.6</v>
      </c>
      <c r="I108" s="41">
        <f t="shared" si="4"/>
        <v>0.72</v>
      </c>
      <c r="J108" s="41">
        <f t="shared" si="5"/>
        <v>1.196</v>
      </c>
      <c r="K108" s="41">
        <f t="shared" si="6"/>
        <v>1.6</v>
      </c>
      <c r="L108" s="4"/>
      <c r="M108" s="4"/>
      <c r="N108" s="4"/>
      <c r="O108" s="4"/>
      <c r="P108" s="4"/>
      <c r="Q108" s="4"/>
      <c r="R108" s="4"/>
      <c r="S108" s="4"/>
      <c r="T108" s="4"/>
      <c r="U108" s="4"/>
      <c r="V108" s="4"/>
      <c r="W108" s="4"/>
      <c r="X108" s="4"/>
      <c r="Y108" s="4"/>
      <c r="Z108" s="4"/>
    </row>
    <row r="109" ht="15.75" customHeight="1">
      <c r="A109" s="40" t="str">
        <f>archetype_prototypes!A109</f>
        <v>6</v>
      </c>
      <c r="B109" s="9" t="str">
        <f>archetype_prototypes!B109</f>
        <v>Curious Apprentice</v>
      </c>
      <c r="C109" s="9" t="str">
        <f>archetype_prototypes!C109</f>
        <v>DIM_PLANNED</v>
      </c>
      <c r="D109" s="41">
        <f>archetype_prototypes!E109</f>
        <v>0.55</v>
      </c>
      <c r="E109" s="41">
        <f t="shared" si="1"/>
        <v>0.45</v>
      </c>
      <c r="F109" s="41">
        <f t="shared" si="2"/>
        <v>0.7475</v>
      </c>
      <c r="G109" s="41">
        <f t="shared" si="3"/>
        <v>1</v>
      </c>
      <c r="H109" s="42" t="str">
        <f t="array" ref="H109">XLOOKUP(C109,dimensions!$A$2:$A$22,dimensions!$E$2:$E$22,0)</f>
        <v>1.3</v>
      </c>
      <c r="I109" s="41">
        <f t="shared" si="4"/>
        <v>0.585</v>
      </c>
      <c r="J109" s="41">
        <f t="shared" si="5"/>
        <v>0.97175</v>
      </c>
      <c r="K109" s="41">
        <f t="shared" si="6"/>
        <v>1.3</v>
      </c>
      <c r="L109" s="4"/>
      <c r="M109" s="4"/>
      <c r="N109" s="4"/>
      <c r="O109" s="4"/>
      <c r="P109" s="4"/>
      <c r="Q109" s="4"/>
      <c r="R109" s="4"/>
      <c r="S109" s="4"/>
      <c r="T109" s="4"/>
      <c r="U109" s="4"/>
      <c r="V109" s="4"/>
      <c r="W109" s="4"/>
      <c r="X109" s="4"/>
      <c r="Y109" s="4"/>
      <c r="Z109" s="4"/>
    </row>
    <row r="110" ht="15.75" customHeight="1">
      <c r="A110" s="40" t="str">
        <f>archetype_prototypes!A110</f>
        <v>6</v>
      </c>
      <c r="B110" s="9" t="str">
        <f>archetype_prototypes!B110</f>
        <v>Curious Apprentice</v>
      </c>
      <c r="C110" s="9" t="str">
        <f>archetype_prototypes!C110</f>
        <v>DIM_EMO_CONNECTION</v>
      </c>
      <c r="D110" s="41">
        <f>archetype_prototypes!E110</f>
        <v>0.55</v>
      </c>
      <c r="E110" s="41">
        <f t="shared" si="1"/>
        <v>0.45</v>
      </c>
      <c r="F110" s="41">
        <f t="shared" si="2"/>
        <v>0.7475</v>
      </c>
      <c r="G110" s="41">
        <f t="shared" si="3"/>
        <v>1</v>
      </c>
      <c r="H110" s="42" t="str">
        <f t="array" ref="H110">XLOOKUP(C110,dimensions!$A$2:$A$22,dimensions!$E$2:$E$22,0)</f>
        <v>1.4</v>
      </c>
      <c r="I110" s="41">
        <f t="shared" si="4"/>
        <v>0.63</v>
      </c>
      <c r="J110" s="41">
        <f t="shared" si="5"/>
        <v>1.0465</v>
      </c>
      <c r="K110" s="41">
        <f t="shared" si="6"/>
        <v>1.4</v>
      </c>
      <c r="L110" s="4"/>
      <c r="M110" s="4"/>
      <c r="N110" s="4"/>
      <c r="O110" s="4"/>
      <c r="P110" s="4"/>
      <c r="Q110" s="4"/>
      <c r="R110" s="4"/>
      <c r="S110" s="4"/>
      <c r="T110" s="4"/>
      <c r="U110" s="4"/>
      <c r="V110" s="4"/>
      <c r="W110" s="4"/>
      <c r="X110" s="4"/>
      <c r="Y110" s="4"/>
      <c r="Z110" s="4"/>
    </row>
    <row r="111" ht="15.75" customHeight="1">
      <c r="A111" s="40" t="str">
        <f>archetype_prototypes!A111</f>
        <v>6</v>
      </c>
      <c r="B111" s="9" t="str">
        <f>archetype_prototypes!B111</f>
        <v>Curious Apprentice</v>
      </c>
      <c r="C111" s="9" t="str">
        <f>archetype_prototypes!C111</f>
        <v>DIM_INTENSITY</v>
      </c>
      <c r="D111" s="41">
        <f>archetype_prototypes!E111</f>
        <v>0.55</v>
      </c>
      <c r="E111" s="41">
        <f t="shared" si="1"/>
        <v>0.45</v>
      </c>
      <c r="F111" s="41">
        <f t="shared" si="2"/>
        <v>0.7475</v>
      </c>
      <c r="G111" s="41">
        <f t="shared" si="3"/>
        <v>1</v>
      </c>
      <c r="H111" s="42" t="str">
        <f t="array" ref="H111">XLOOKUP(C111,dimensions!$A$2:$A$22,dimensions!$E$2:$E$22,0)</f>
        <v>1.4</v>
      </c>
      <c r="I111" s="41">
        <f t="shared" si="4"/>
        <v>0.63</v>
      </c>
      <c r="J111" s="41">
        <f t="shared" si="5"/>
        <v>1.0465</v>
      </c>
      <c r="K111" s="41">
        <f t="shared" si="6"/>
        <v>1.4</v>
      </c>
      <c r="L111" s="4"/>
      <c r="M111" s="4"/>
      <c r="N111" s="4"/>
      <c r="O111" s="4"/>
      <c r="P111" s="4"/>
      <c r="Q111" s="4"/>
      <c r="R111" s="4"/>
      <c r="S111" s="4"/>
      <c r="T111" s="4"/>
      <c r="U111" s="4"/>
      <c r="V111" s="4"/>
      <c r="W111" s="4"/>
      <c r="X111" s="4"/>
      <c r="Y111" s="4"/>
      <c r="Z111" s="4"/>
    </row>
    <row r="112" ht="15.75" customHeight="1">
      <c r="A112" s="40" t="str">
        <f>archetype_prototypes!A112</f>
        <v>6</v>
      </c>
      <c r="B112" s="9" t="str">
        <f>archetype_prototypes!B112</f>
        <v>Curious Apprentice</v>
      </c>
      <c r="C112" s="9" t="str">
        <f>archetype_prototypes!C112</f>
        <v>DIM_PURSUIT</v>
      </c>
      <c r="D112" s="41">
        <f>archetype_prototypes!E112</f>
        <v>0.45</v>
      </c>
      <c r="E112" s="41">
        <f t="shared" si="1"/>
        <v>0.45</v>
      </c>
      <c r="F112" s="41">
        <f t="shared" si="2"/>
        <v>0.7475</v>
      </c>
      <c r="G112" s="41">
        <f t="shared" si="3"/>
        <v>1</v>
      </c>
      <c r="H112" s="42" t="str">
        <f t="array" ref="H112">XLOOKUP(C112,dimensions!$A$2:$A$22,dimensions!$E$2:$E$22,0)</f>
        <v>1.4</v>
      </c>
      <c r="I112" s="41">
        <f t="shared" si="4"/>
        <v>0.63</v>
      </c>
      <c r="J112" s="41">
        <f t="shared" si="5"/>
        <v>1.0465</v>
      </c>
      <c r="K112" s="41">
        <f t="shared" si="6"/>
        <v>1.4</v>
      </c>
      <c r="L112" s="4"/>
      <c r="M112" s="4"/>
      <c r="N112" s="4"/>
      <c r="O112" s="4"/>
      <c r="P112" s="4"/>
      <c r="Q112" s="4"/>
      <c r="R112" s="4"/>
      <c r="S112" s="4"/>
      <c r="T112" s="4"/>
      <c r="U112" s="4"/>
      <c r="V112" s="4"/>
      <c r="W112" s="4"/>
      <c r="X112" s="4"/>
      <c r="Y112" s="4"/>
      <c r="Z112" s="4"/>
    </row>
    <row r="113" ht="15.75" customHeight="1">
      <c r="A113" s="40" t="str">
        <f>archetype_prototypes!A113</f>
        <v>6</v>
      </c>
      <c r="B113" s="9" t="str">
        <f>archetype_prototypes!B113</f>
        <v>Curious Apprentice</v>
      </c>
      <c r="C113" s="9" t="str">
        <f>archetype_prototypes!C113</f>
        <v>DIM_EDGE_NEED</v>
      </c>
      <c r="D113" s="41">
        <f>archetype_prototypes!E113</f>
        <v>0.35</v>
      </c>
      <c r="E113" s="41">
        <f t="shared" si="1"/>
        <v>0.35</v>
      </c>
      <c r="F113" s="41">
        <f t="shared" si="2"/>
        <v>0.7275</v>
      </c>
      <c r="G113" s="41">
        <f t="shared" si="3"/>
        <v>1</v>
      </c>
      <c r="H113" s="42" t="str">
        <f t="array" ref="H113">XLOOKUP(C113,dimensions!$A$2:$A$22,dimensions!$E$2:$E$22,0)</f>
        <v>1.8</v>
      </c>
      <c r="I113" s="41">
        <f t="shared" si="4"/>
        <v>0.63</v>
      </c>
      <c r="J113" s="41">
        <f t="shared" si="5"/>
        <v>1.3095</v>
      </c>
      <c r="K113" s="41">
        <f t="shared" si="6"/>
        <v>1.8</v>
      </c>
      <c r="L113" s="4"/>
      <c r="M113" s="4"/>
      <c r="N113" s="4"/>
      <c r="O113" s="4"/>
      <c r="P113" s="4"/>
      <c r="Q113" s="4"/>
      <c r="R113" s="4"/>
      <c r="S113" s="4"/>
      <c r="T113" s="4"/>
      <c r="U113" s="4"/>
      <c r="V113" s="4"/>
      <c r="W113" s="4"/>
      <c r="X113" s="4"/>
      <c r="Y113" s="4"/>
      <c r="Z113" s="4"/>
    </row>
    <row r="114" ht="15.75" customHeight="1">
      <c r="A114" s="40" t="str">
        <f>archetype_prototypes!A114</f>
        <v>6</v>
      </c>
      <c r="B114" s="9" t="str">
        <f>archetype_prototypes!B114</f>
        <v>Curious Apprentice</v>
      </c>
      <c r="C114" s="9" t="str">
        <f>archetype_prototypes!C114</f>
        <v>DIM_SACRED</v>
      </c>
      <c r="D114" s="41">
        <f>archetype_prototypes!E114</f>
        <v>0.25</v>
      </c>
      <c r="E114" s="41">
        <f t="shared" si="1"/>
        <v>0.25</v>
      </c>
      <c r="F114" s="41">
        <f t="shared" si="2"/>
        <v>0.6875</v>
      </c>
      <c r="G114" s="41">
        <f t="shared" si="3"/>
        <v>1</v>
      </c>
      <c r="H114" s="42" t="str">
        <f t="array" ref="H114">XLOOKUP(C114,dimensions!$A$2:$A$22,dimensions!$E$2:$E$22,0)</f>
        <v>2.0</v>
      </c>
      <c r="I114" s="41">
        <f t="shared" si="4"/>
        <v>0.5</v>
      </c>
      <c r="J114" s="41">
        <f t="shared" si="5"/>
        <v>1.375</v>
      </c>
      <c r="K114" s="41">
        <f t="shared" si="6"/>
        <v>2</v>
      </c>
      <c r="L114" s="4"/>
      <c r="M114" s="4"/>
      <c r="N114" s="4"/>
      <c r="O114" s="4"/>
      <c r="P114" s="4"/>
      <c r="Q114" s="4"/>
      <c r="R114" s="4"/>
      <c r="S114" s="4"/>
      <c r="T114" s="4"/>
      <c r="U114" s="4"/>
      <c r="V114" s="4"/>
      <c r="W114" s="4"/>
      <c r="X114" s="4"/>
      <c r="Y114" s="4"/>
      <c r="Z114" s="4"/>
    </row>
    <row r="115" ht="15.75" customHeight="1">
      <c r="A115" s="40" t="str">
        <f>archetype_prototypes!A115</f>
        <v>6</v>
      </c>
      <c r="B115" s="9" t="str">
        <f>archetype_prototypes!B115</f>
        <v>Curious Apprentice</v>
      </c>
      <c r="C115" s="9" t="str">
        <f>archetype_prototypes!C115</f>
        <v>DIM_RISK_PREF</v>
      </c>
      <c r="D115" s="41">
        <f>archetype_prototypes!E115</f>
        <v>0.45</v>
      </c>
      <c r="E115" s="41">
        <f t="shared" si="1"/>
        <v>0.45</v>
      </c>
      <c r="F115" s="41">
        <f t="shared" si="2"/>
        <v>0.7475</v>
      </c>
      <c r="G115" s="41">
        <f t="shared" si="3"/>
        <v>1</v>
      </c>
      <c r="H115" s="42" t="str">
        <f t="array" ref="H115">XLOOKUP(C115,dimensions!$A$2:$A$22,dimensions!$E$2:$E$22,0)</f>
        <v>1.6</v>
      </c>
      <c r="I115" s="41">
        <f t="shared" si="4"/>
        <v>0.72</v>
      </c>
      <c r="J115" s="41">
        <f t="shared" si="5"/>
        <v>1.196</v>
      </c>
      <c r="K115" s="41">
        <f t="shared" si="6"/>
        <v>1.6</v>
      </c>
      <c r="L115" s="4"/>
      <c r="M115" s="4"/>
      <c r="N115" s="4"/>
      <c r="O115" s="4"/>
      <c r="P115" s="4"/>
      <c r="Q115" s="4"/>
      <c r="R115" s="4"/>
      <c r="S115" s="4"/>
      <c r="T115" s="4"/>
      <c r="U115" s="4"/>
      <c r="V115" s="4"/>
      <c r="W115" s="4"/>
      <c r="X115" s="4"/>
      <c r="Y115" s="4"/>
      <c r="Z115" s="4"/>
    </row>
    <row r="116" ht="15.75" customHeight="1">
      <c r="A116" s="40" t="str">
        <f>archetype_prototypes!A116</f>
        <v>6</v>
      </c>
      <c r="B116" s="9" t="str">
        <f>archetype_prototypes!B116</f>
        <v>Curious Apprentice</v>
      </c>
      <c r="C116" s="9" t="str">
        <f>archetype_prototypes!C116</f>
        <v>DIM_FEEDBACK_DEP</v>
      </c>
      <c r="D116" s="41">
        <f>archetype_prototypes!E116</f>
        <v>0.4</v>
      </c>
      <c r="E116" s="41">
        <f t="shared" si="1"/>
        <v>0.4</v>
      </c>
      <c r="F116" s="41">
        <f t="shared" si="2"/>
        <v>0.74</v>
      </c>
      <c r="G116" s="41">
        <f t="shared" si="3"/>
        <v>1</v>
      </c>
      <c r="H116" s="42" t="str">
        <f t="array" ref="H116">XLOOKUP(C116,dimensions!$A$2:$A$22,dimensions!$E$2:$E$22,0)</f>
        <v>2.0</v>
      </c>
      <c r="I116" s="41">
        <f t="shared" si="4"/>
        <v>0.8</v>
      </c>
      <c r="J116" s="41">
        <f t="shared" si="5"/>
        <v>1.48</v>
      </c>
      <c r="K116" s="41">
        <f t="shared" si="6"/>
        <v>2</v>
      </c>
      <c r="L116" s="4"/>
      <c r="M116" s="4"/>
      <c r="N116" s="4"/>
      <c r="O116" s="4"/>
      <c r="P116" s="4"/>
      <c r="Q116" s="4"/>
      <c r="R116" s="4"/>
      <c r="S116" s="4"/>
      <c r="T116" s="4"/>
      <c r="U116" s="4"/>
      <c r="V116" s="4"/>
      <c r="W116" s="4"/>
      <c r="X116" s="4"/>
      <c r="Y116" s="4"/>
      <c r="Z116" s="4"/>
    </row>
    <row r="117" ht="15.75" customHeight="1">
      <c r="A117" s="40" t="str">
        <f>archetype_prototypes!A117</f>
        <v>6</v>
      </c>
      <c r="B117" s="9" t="str">
        <f>archetype_prototypes!B117</f>
        <v>Curious Apprentice</v>
      </c>
      <c r="C117" s="9" t="str">
        <f>archetype_prototypes!C117</f>
        <v>DIM_TURNON_EXPRESS</v>
      </c>
      <c r="D117" s="41">
        <f>archetype_prototypes!E117</f>
        <v>0.55</v>
      </c>
      <c r="E117" s="41">
        <f t="shared" si="1"/>
        <v>0.45</v>
      </c>
      <c r="F117" s="41">
        <f t="shared" si="2"/>
        <v>0.7475</v>
      </c>
      <c r="G117" s="41">
        <f t="shared" si="3"/>
        <v>1</v>
      </c>
      <c r="H117" s="42" t="str">
        <f t="array" ref="H117">XLOOKUP(C117,dimensions!$A$2:$A$22,dimensions!$E$2:$E$22,0)</f>
        <v>1.3</v>
      </c>
      <c r="I117" s="41">
        <f t="shared" si="4"/>
        <v>0.585</v>
      </c>
      <c r="J117" s="41">
        <f t="shared" si="5"/>
        <v>0.97175</v>
      </c>
      <c r="K117" s="41">
        <f t="shared" si="6"/>
        <v>1.3</v>
      </c>
      <c r="L117" s="4"/>
      <c r="M117" s="4"/>
      <c r="N117" s="4"/>
      <c r="O117" s="4"/>
      <c r="P117" s="4"/>
      <c r="Q117" s="4"/>
      <c r="R117" s="4"/>
      <c r="S117" s="4"/>
      <c r="T117" s="4"/>
      <c r="U117" s="4"/>
      <c r="V117" s="4"/>
      <c r="W117" s="4"/>
      <c r="X117" s="4"/>
      <c r="Y117" s="4"/>
      <c r="Z117" s="4"/>
    </row>
    <row r="118" ht="15.75" customHeight="1">
      <c r="A118" s="40" t="str">
        <f>archetype_prototypes!A118</f>
        <v>6</v>
      </c>
      <c r="B118" s="9" t="str">
        <f>archetype_prototypes!B118</f>
        <v>Curious Apprentice</v>
      </c>
      <c r="C118" s="9" t="str">
        <f>archetype_prototypes!C118</f>
        <v>DIM_BOUNDARY_EXPRESS</v>
      </c>
      <c r="D118" s="41">
        <f>archetype_prototypes!E118</f>
        <v>0.55</v>
      </c>
      <c r="E118" s="41">
        <f t="shared" si="1"/>
        <v>0.45</v>
      </c>
      <c r="F118" s="41">
        <f t="shared" si="2"/>
        <v>0.7475</v>
      </c>
      <c r="G118" s="41">
        <f t="shared" si="3"/>
        <v>1</v>
      </c>
      <c r="H118" s="42" t="str">
        <f t="array" ref="H118">XLOOKUP(C118,dimensions!$A$2:$A$22,dimensions!$E$2:$E$22,0)</f>
        <v>1.3</v>
      </c>
      <c r="I118" s="41">
        <f t="shared" si="4"/>
        <v>0.585</v>
      </c>
      <c r="J118" s="41">
        <f t="shared" si="5"/>
        <v>0.97175</v>
      </c>
      <c r="K118" s="41">
        <f t="shared" si="6"/>
        <v>1.3</v>
      </c>
      <c r="L118" s="4"/>
      <c r="M118" s="4"/>
      <c r="N118" s="4"/>
      <c r="O118" s="4"/>
      <c r="P118" s="4"/>
      <c r="Q118" s="4"/>
      <c r="R118" s="4"/>
      <c r="S118" s="4"/>
      <c r="T118" s="4"/>
      <c r="U118" s="4"/>
      <c r="V118" s="4"/>
      <c r="W118" s="4"/>
      <c r="X118" s="4"/>
      <c r="Y118" s="4"/>
      <c r="Z118" s="4"/>
    </row>
    <row r="119" ht="15.75" customHeight="1">
      <c r="A119" s="40" t="str">
        <f>archetype_prototypes!A119</f>
        <v>6</v>
      </c>
      <c r="B119" s="9" t="str">
        <f>archetype_prototypes!B119</f>
        <v>Curious Apprentice</v>
      </c>
      <c r="C119" s="9" t="str">
        <f>archetype_prototypes!C119</f>
        <v>DIM_PROTOCOL</v>
      </c>
      <c r="D119" s="41">
        <f>archetype_prototypes!E119</f>
        <v>0.3</v>
      </c>
      <c r="E119" s="41">
        <f t="shared" si="1"/>
        <v>0.3</v>
      </c>
      <c r="F119" s="41">
        <f t="shared" si="2"/>
        <v>0.71</v>
      </c>
      <c r="G119" s="41">
        <f t="shared" si="3"/>
        <v>1</v>
      </c>
      <c r="H119" s="42" t="str">
        <f t="array" ref="H119">XLOOKUP(C119,dimensions!$A$2:$A$22,dimensions!$E$2:$E$22,0)</f>
        <v>1.6</v>
      </c>
      <c r="I119" s="41">
        <f t="shared" si="4"/>
        <v>0.48</v>
      </c>
      <c r="J119" s="41">
        <f t="shared" si="5"/>
        <v>1.136</v>
      </c>
      <c r="K119" s="41">
        <f t="shared" si="6"/>
        <v>1.6</v>
      </c>
      <c r="L119" s="4"/>
      <c r="M119" s="4"/>
      <c r="N119" s="4"/>
      <c r="O119" s="4"/>
      <c r="P119" s="4"/>
      <c r="Q119" s="4"/>
      <c r="R119" s="4"/>
      <c r="S119" s="4"/>
      <c r="T119" s="4"/>
      <c r="U119" s="4"/>
      <c r="V119" s="4"/>
      <c r="W119" s="4"/>
      <c r="X119" s="4"/>
      <c r="Y119" s="4"/>
      <c r="Z119" s="4"/>
    </row>
    <row r="120" ht="15.75" customHeight="1">
      <c r="A120" s="40" t="str">
        <f>archetype_prototypes!A120</f>
        <v>6</v>
      </c>
      <c r="B120" s="9" t="str">
        <f>archetype_prototypes!B120</f>
        <v>Curious Apprentice</v>
      </c>
      <c r="C120" s="9" t="str">
        <f>archetype_prototypes!C120</f>
        <v>DIM_SOOTHING</v>
      </c>
      <c r="D120" s="41">
        <f>archetype_prototypes!E120</f>
        <v>0.25</v>
      </c>
      <c r="E120" s="41">
        <f t="shared" si="1"/>
        <v>0.25</v>
      </c>
      <c r="F120" s="41">
        <f t="shared" si="2"/>
        <v>0.6875</v>
      </c>
      <c r="G120" s="41">
        <f t="shared" si="3"/>
        <v>1</v>
      </c>
      <c r="H120" s="42" t="str">
        <f t="array" ref="H120">XLOOKUP(C120,dimensions!$A$2:$A$22,dimensions!$E$2:$E$22,0)</f>
        <v>1.9</v>
      </c>
      <c r="I120" s="41">
        <f t="shared" si="4"/>
        <v>0.475</v>
      </c>
      <c r="J120" s="41">
        <f t="shared" si="5"/>
        <v>1.30625</v>
      </c>
      <c r="K120" s="41">
        <f t="shared" si="6"/>
        <v>1.9</v>
      </c>
      <c r="L120" s="4"/>
      <c r="M120" s="4"/>
      <c r="N120" s="4"/>
      <c r="O120" s="4"/>
      <c r="P120" s="4"/>
      <c r="Q120" s="4"/>
      <c r="R120" s="4"/>
      <c r="S120" s="4"/>
      <c r="T120" s="4"/>
      <c r="U120" s="4"/>
      <c r="V120" s="4"/>
      <c r="W120" s="4"/>
      <c r="X120" s="4"/>
      <c r="Y120" s="4"/>
      <c r="Z120" s="4"/>
    </row>
    <row r="121" ht="15.75" customHeight="1">
      <c r="A121" s="40" t="str">
        <f>archetype_prototypes!A121</f>
        <v>6</v>
      </c>
      <c r="B121" s="9" t="str">
        <f>archetype_prototypes!B121</f>
        <v>Curious Apprentice</v>
      </c>
      <c r="C121" s="9" t="str">
        <f>archetype_prototypes!C121</f>
        <v>DIM_SECURE</v>
      </c>
      <c r="D121" s="41">
        <f>archetype_prototypes!E121</f>
        <v>0.7</v>
      </c>
      <c r="E121" s="41">
        <f t="shared" si="1"/>
        <v>0.3</v>
      </c>
      <c r="F121" s="41">
        <f t="shared" si="2"/>
        <v>0.71</v>
      </c>
      <c r="G121" s="41">
        <f t="shared" si="3"/>
        <v>1</v>
      </c>
      <c r="H121" s="42" t="str">
        <f t="array" ref="H121">XLOOKUP(C121,dimensions!$A$2:$A$22,dimensions!$E$2:$E$22,0)</f>
        <v>1</v>
      </c>
      <c r="I121" s="41">
        <f t="shared" si="4"/>
        <v>0.3</v>
      </c>
      <c r="J121" s="41">
        <f t="shared" si="5"/>
        <v>0.71</v>
      </c>
      <c r="K121" s="41">
        <f t="shared" si="6"/>
        <v>1</v>
      </c>
      <c r="L121" s="4"/>
      <c r="M121" s="4"/>
      <c r="N121" s="4"/>
      <c r="O121" s="4"/>
      <c r="P121" s="4"/>
      <c r="Q121" s="4"/>
      <c r="R121" s="4"/>
      <c r="S121" s="4"/>
      <c r="T121" s="4"/>
      <c r="U121" s="4"/>
      <c r="V121" s="4"/>
      <c r="W121" s="4"/>
      <c r="X121" s="4"/>
      <c r="Y121" s="4"/>
      <c r="Z121" s="4"/>
    </row>
    <row r="122" ht="15.75" customHeight="1">
      <c r="A122" s="40" t="str">
        <f>archetype_prototypes!A122</f>
        <v>6</v>
      </c>
      <c r="B122" s="9" t="str">
        <f>archetype_prototypes!B122</f>
        <v>Curious Apprentice</v>
      </c>
      <c r="C122" s="9" t="str">
        <f>archetype_prototypes!C122</f>
        <v>DIM_REPAIR_EROTICISM</v>
      </c>
      <c r="D122" s="41">
        <f>archetype_prototypes!E122</f>
        <v>0.35</v>
      </c>
      <c r="E122" s="41">
        <f t="shared" si="1"/>
        <v>0.35</v>
      </c>
      <c r="F122" s="41">
        <f t="shared" si="2"/>
        <v>0.7275</v>
      </c>
      <c r="G122" s="41">
        <f t="shared" si="3"/>
        <v>1</v>
      </c>
      <c r="H122" s="42" t="str">
        <f t="array" ref="H122">XLOOKUP(C122,dimensions!$A$2:$A$22,dimensions!$E$2:$E$22,0)</f>
        <v>1.6</v>
      </c>
      <c r="I122" s="41">
        <f t="shared" si="4"/>
        <v>0.56</v>
      </c>
      <c r="J122" s="41">
        <f t="shared" si="5"/>
        <v>1.164</v>
      </c>
      <c r="K122" s="41">
        <f t="shared" si="6"/>
        <v>1.6</v>
      </c>
      <c r="L122" s="4"/>
      <c r="M122" s="4"/>
      <c r="N122" s="4"/>
      <c r="O122" s="4"/>
      <c r="P122" s="4"/>
      <c r="Q122" s="4"/>
      <c r="R122" s="4"/>
      <c r="S122" s="4"/>
      <c r="T122" s="4"/>
      <c r="U122" s="4"/>
      <c r="V122" s="4"/>
      <c r="W122" s="4"/>
      <c r="X122" s="4"/>
      <c r="Y122" s="4"/>
      <c r="Z122" s="4"/>
    </row>
    <row r="123" ht="15.75" customHeight="1">
      <c r="A123" s="40" t="str">
        <f>archetype_prototypes!A123</f>
        <v>6</v>
      </c>
      <c r="B123" s="9" t="str">
        <f>archetype_prototypes!B123</f>
        <v>Curious Apprentice</v>
      </c>
      <c r="C123" s="9" t="str">
        <f>archetype_prototypes!C123</f>
        <v>DIM_PRESSURE_SHUTDOWN</v>
      </c>
      <c r="D123" s="41">
        <f>archetype_prototypes!E123</f>
        <v>0.35</v>
      </c>
      <c r="E123" s="41">
        <f t="shared" si="1"/>
        <v>0.35</v>
      </c>
      <c r="F123" s="41">
        <f t="shared" si="2"/>
        <v>0.7275</v>
      </c>
      <c r="G123" s="41">
        <f t="shared" si="3"/>
        <v>1</v>
      </c>
      <c r="H123" s="42" t="str">
        <f t="array" ref="H123">XLOOKUP(C123,dimensions!$A$2:$A$22,dimensions!$E$2:$E$22,0)</f>
        <v>2.0</v>
      </c>
      <c r="I123" s="41">
        <f t="shared" si="4"/>
        <v>0.7</v>
      </c>
      <c r="J123" s="41">
        <f t="shared" si="5"/>
        <v>1.455</v>
      </c>
      <c r="K123" s="41">
        <f t="shared" si="6"/>
        <v>2</v>
      </c>
      <c r="L123" s="4"/>
      <c r="M123" s="4"/>
      <c r="N123" s="4"/>
      <c r="O123" s="4"/>
      <c r="P123" s="4"/>
      <c r="Q123" s="4"/>
      <c r="R123" s="4"/>
      <c r="S123" s="4"/>
      <c r="T123" s="4"/>
      <c r="U123" s="4"/>
      <c r="V123" s="4"/>
      <c r="W123" s="4"/>
      <c r="X123" s="4"/>
      <c r="Y123" s="4"/>
      <c r="Z123" s="4"/>
    </row>
    <row r="124" ht="15.75" customHeight="1">
      <c r="A124" s="40" t="str">
        <f>archetype_prototypes!A124</f>
        <v>6</v>
      </c>
      <c r="B124" s="9" t="str">
        <f>archetype_prototypes!B124</f>
        <v>Curious Apprentice</v>
      </c>
      <c r="C124" s="9" t="str">
        <f>archetype_prototypes!C124</f>
        <v>DIM_AVOIDANT</v>
      </c>
      <c r="D124" s="41">
        <f>archetype_prototypes!E124</f>
        <v>0.3</v>
      </c>
      <c r="E124" s="41">
        <f t="shared" si="1"/>
        <v>0.3</v>
      </c>
      <c r="F124" s="41">
        <f t="shared" si="2"/>
        <v>0.71</v>
      </c>
      <c r="G124" s="41">
        <f t="shared" si="3"/>
        <v>1</v>
      </c>
      <c r="H124" s="42" t="str">
        <f t="array" ref="H124">XLOOKUP(C124,dimensions!$A$2:$A$22,dimensions!$E$2:$E$22,0)</f>
        <v>1.3</v>
      </c>
      <c r="I124" s="41">
        <f t="shared" si="4"/>
        <v>0.39</v>
      </c>
      <c r="J124" s="41">
        <f t="shared" si="5"/>
        <v>0.923</v>
      </c>
      <c r="K124" s="41">
        <f t="shared" si="6"/>
        <v>1.3</v>
      </c>
      <c r="L124" s="4"/>
      <c r="M124" s="4"/>
      <c r="N124" s="4"/>
      <c r="O124" s="4"/>
      <c r="P124" s="4"/>
      <c r="Q124" s="4"/>
      <c r="R124" s="4"/>
      <c r="S124" s="4"/>
      <c r="T124" s="4"/>
      <c r="U124" s="4"/>
      <c r="V124" s="4"/>
      <c r="W124" s="4"/>
      <c r="X124" s="4"/>
      <c r="Y124" s="4"/>
      <c r="Z124" s="4"/>
    </row>
    <row r="125" ht="15.75" customHeight="1">
      <c r="A125" s="40" t="str">
        <f>archetype_prototypes!A125</f>
        <v>6</v>
      </c>
      <c r="B125" s="9" t="str">
        <f>archetype_prototypes!B125</f>
        <v>Curious Apprentice</v>
      </c>
      <c r="C125" s="9" t="str">
        <f>archetype_prototypes!C125</f>
        <v>DIM_STRATEGY</v>
      </c>
      <c r="D125" s="41">
        <f>archetype_prototypes!E125</f>
        <v>0.1</v>
      </c>
      <c r="E125" s="41">
        <f t="shared" si="1"/>
        <v>0.1</v>
      </c>
      <c r="F125" s="41">
        <f t="shared" si="2"/>
        <v>0.59</v>
      </c>
      <c r="G125" s="41">
        <f t="shared" si="3"/>
        <v>1</v>
      </c>
      <c r="H125" s="42" t="str">
        <f t="array" ref="H125">XLOOKUP(C125,dimensions!$A$2:$A$22,dimensions!$E$2:$E$22,0)</f>
        <v>1.2</v>
      </c>
      <c r="I125" s="41">
        <f t="shared" si="4"/>
        <v>0.12</v>
      </c>
      <c r="J125" s="41">
        <f t="shared" si="5"/>
        <v>0.708</v>
      </c>
      <c r="K125" s="41">
        <f t="shared" si="6"/>
        <v>1.2</v>
      </c>
      <c r="L125" s="4"/>
      <c r="M125" s="4"/>
      <c r="N125" s="4"/>
      <c r="O125" s="4"/>
      <c r="P125" s="4"/>
      <c r="Q125" s="4"/>
      <c r="R125" s="4"/>
      <c r="S125" s="4"/>
      <c r="T125" s="4"/>
      <c r="U125" s="4"/>
      <c r="V125" s="4"/>
      <c r="W125" s="4"/>
      <c r="X125" s="4"/>
      <c r="Y125" s="4"/>
      <c r="Z125" s="4"/>
    </row>
    <row r="126" ht="15.75" customHeight="1">
      <c r="A126" s="40" t="str">
        <f>archetype_prototypes!A126</f>
        <v>6</v>
      </c>
      <c r="B126" s="9" t="str">
        <f>archetype_prototypes!B126</f>
        <v>Curious Apprentice</v>
      </c>
      <c r="C126" s="9" t="str">
        <f>archetype_prototypes!C126</f>
        <v>DIM_CLOSENESS_ORIENTATION</v>
      </c>
      <c r="D126" s="41">
        <f>archetype_prototypes!E126</f>
        <v>0.5</v>
      </c>
      <c r="E126" s="41">
        <f t="shared" si="1"/>
        <v>0.5</v>
      </c>
      <c r="F126" s="41">
        <f t="shared" si="2"/>
        <v>0.75</v>
      </c>
      <c r="G126" s="41">
        <f t="shared" si="3"/>
        <v>1</v>
      </c>
      <c r="H126" s="42">
        <f t="array" ref="H126">XLOOKUP(C126,dimensions!$A$2:$A$22,dimensions!$E$2:$E$22,0)</f>
        <v>1</v>
      </c>
      <c r="I126" s="41">
        <f t="shared" si="4"/>
        <v>0.5</v>
      </c>
      <c r="J126" s="41">
        <f t="shared" si="5"/>
        <v>0.75</v>
      </c>
      <c r="K126" s="41">
        <f t="shared" si="6"/>
        <v>1</v>
      </c>
      <c r="L126" s="4"/>
      <c r="M126" s="4"/>
      <c r="N126" s="4"/>
      <c r="O126" s="4"/>
      <c r="P126" s="4"/>
      <c r="Q126" s="4"/>
      <c r="R126" s="4"/>
      <c r="S126" s="4"/>
      <c r="T126" s="4"/>
      <c r="U126" s="4"/>
      <c r="V126" s="4"/>
      <c r="W126" s="4"/>
      <c r="X126" s="4"/>
      <c r="Y126" s="4"/>
      <c r="Z126" s="4"/>
    </row>
    <row r="127" ht="15.75" customHeight="1">
      <c r="A127" s="40" t="str">
        <f>archetype_prototypes!A127</f>
        <v>6</v>
      </c>
      <c r="B127" s="9" t="str">
        <f>archetype_prototypes!B127</f>
        <v>Curious Apprentice</v>
      </c>
      <c r="C127" s="9" t="str">
        <f>archetype_prototypes!C127</f>
        <v>DIM_PARTNER_FOCUS</v>
      </c>
      <c r="D127" s="41">
        <f>archetype_prototypes!E127</f>
        <v>0.45</v>
      </c>
      <c r="E127" s="41">
        <f t="shared" si="1"/>
        <v>0.45</v>
      </c>
      <c r="F127" s="41">
        <f t="shared" si="2"/>
        <v>0.7475</v>
      </c>
      <c r="G127" s="41">
        <f t="shared" si="3"/>
        <v>1</v>
      </c>
      <c r="H127" s="42">
        <f t="array" ref="H127">XLOOKUP(C127,dimensions!$A$2:$A$22,dimensions!$E$2:$E$22,0)</f>
        <v>1.2</v>
      </c>
      <c r="I127" s="41">
        <f t="shared" si="4"/>
        <v>0.54</v>
      </c>
      <c r="J127" s="41">
        <f t="shared" si="5"/>
        <v>0.897</v>
      </c>
      <c r="K127" s="41">
        <f t="shared" si="6"/>
        <v>1.2</v>
      </c>
      <c r="L127" s="4"/>
      <c r="M127" s="4"/>
      <c r="N127" s="4"/>
      <c r="O127" s="4"/>
      <c r="P127" s="4"/>
      <c r="Q127" s="4"/>
      <c r="R127" s="4"/>
      <c r="S127" s="4"/>
      <c r="T127" s="4"/>
      <c r="U127" s="4"/>
      <c r="V127" s="4"/>
      <c r="W127" s="4"/>
      <c r="X127" s="4"/>
      <c r="Y127" s="4"/>
      <c r="Z127" s="4"/>
    </row>
    <row r="128" ht="15.75" customHeight="1">
      <c r="A128" s="40" t="str">
        <f>archetype_prototypes!A128</f>
        <v>7</v>
      </c>
      <c r="B128" s="9" t="str">
        <f>archetype_prototypes!B128</f>
        <v>Spiritual Lover</v>
      </c>
      <c r="C128" s="9" t="str">
        <f>archetype_prototypes!C128</f>
        <v>DIM_NOVELTY</v>
      </c>
      <c r="D128" s="41">
        <f>archetype_prototypes!E128</f>
        <v>0.25</v>
      </c>
      <c r="E128" s="41">
        <f t="shared" si="1"/>
        <v>0.25</v>
      </c>
      <c r="F128" s="41">
        <f t="shared" si="2"/>
        <v>0.6875</v>
      </c>
      <c r="G128" s="41">
        <f t="shared" si="3"/>
        <v>1</v>
      </c>
      <c r="H128" s="42" t="str">
        <f t="array" ref="H128">XLOOKUP(C128,dimensions!$A$2:$A$22,dimensions!$E$2:$E$22,0)</f>
        <v>1.4</v>
      </c>
      <c r="I128" s="41">
        <f t="shared" si="4"/>
        <v>0.35</v>
      </c>
      <c r="J128" s="41">
        <f t="shared" si="5"/>
        <v>0.9625</v>
      </c>
      <c r="K128" s="41">
        <f t="shared" si="6"/>
        <v>1.4</v>
      </c>
      <c r="L128" s="4"/>
      <c r="M128" s="4"/>
      <c r="N128" s="4"/>
      <c r="O128" s="4"/>
      <c r="P128" s="4"/>
      <c r="Q128" s="4"/>
      <c r="R128" s="4"/>
      <c r="S128" s="4"/>
      <c r="T128" s="4"/>
      <c r="U128" s="4"/>
      <c r="V128" s="4"/>
      <c r="W128" s="4"/>
      <c r="X128" s="4"/>
      <c r="Y128" s="4"/>
      <c r="Z128" s="4"/>
    </row>
    <row r="129" ht="15.75" customHeight="1">
      <c r="A129" s="40" t="str">
        <f>archetype_prototypes!A129</f>
        <v>7</v>
      </c>
      <c r="B129" s="9" t="str">
        <f>archetype_prototypes!B129</f>
        <v>Spiritual Lover</v>
      </c>
      <c r="C129" s="9" t="str">
        <f>archetype_prototypes!C129</f>
        <v>DIM_RESPONSIVE</v>
      </c>
      <c r="D129" s="41">
        <f>archetype_prototypes!E129</f>
        <v>0.85</v>
      </c>
      <c r="E129" s="41">
        <f t="shared" si="1"/>
        <v>0.15</v>
      </c>
      <c r="F129" s="41">
        <f t="shared" si="2"/>
        <v>0.6275</v>
      </c>
      <c r="G129" s="41">
        <f t="shared" si="3"/>
        <v>1</v>
      </c>
      <c r="H129" s="42" t="str">
        <f t="array" ref="H129">XLOOKUP(C129,dimensions!$A$2:$A$22,dimensions!$E$2:$E$22,0)</f>
        <v>1.6</v>
      </c>
      <c r="I129" s="41">
        <f t="shared" si="4"/>
        <v>0.24</v>
      </c>
      <c r="J129" s="41">
        <f t="shared" si="5"/>
        <v>1.004</v>
      </c>
      <c r="K129" s="41">
        <f t="shared" si="6"/>
        <v>1.6</v>
      </c>
      <c r="L129" s="4"/>
      <c r="M129" s="4"/>
      <c r="N129" s="4"/>
      <c r="O129" s="4"/>
      <c r="P129" s="4"/>
      <c r="Q129" s="4"/>
      <c r="R129" s="4"/>
      <c r="S129" s="4"/>
      <c r="T129" s="4"/>
      <c r="U129" s="4"/>
      <c r="V129" s="4"/>
      <c r="W129" s="4"/>
      <c r="X129" s="4"/>
      <c r="Y129" s="4"/>
      <c r="Z129" s="4"/>
    </row>
    <row r="130" ht="15.75" customHeight="1">
      <c r="A130" s="40" t="str">
        <f>archetype_prototypes!A130</f>
        <v>7</v>
      </c>
      <c r="B130" s="9" t="str">
        <f>archetype_prototypes!B130</f>
        <v>Spiritual Lover</v>
      </c>
      <c r="C130" s="9" t="str">
        <f>archetype_prototypes!C130</f>
        <v>DIM_PLANNED</v>
      </c>
      <c r="D130" s="41">
        <f>archetype_prototypes!E130</f>
        <v>0.4</v>
      </c>
      <c r="E130" s="41">
        <f t="shared" si="1"/>
        <v>0.4</v>
      </c>
      <c r="F130" s="41">
        <f t="shared" si="2"/>
        <v>0.74</v>
      </c>
      <c r="G130" s="41">
        <f t="shared" si="3"/>
        <v>1</v>
      </c>
      <c r="H130" s="42" t="str">
        <f t="array" ref="H130">XLOOKUP(C130,dimensions!$A$2:$A$22,dimensions!$E$2:$E$22,0)</f>
        <v>1.3</v>
      </c>
      <c r="I130" s="41">
        <f t="shared" si="4"/>
        <v>0.52</v>
      </c>
      <c r="J130" s="41">
        <f t="shared" si="5"/>
        <v>0.962</v>
      </c>
      <c r="K130" s="41">
        <f t="shared" si="6"/>
        <v>1.3</v>
      </c>
      <c r="L130" s="4"/>
      <c r="M130" s="4"/>
      <c r="N130" s="4"/>
      <c r="O130" s="4"/>
      <c r="P130" s="4"/>
      <c r="Q130" s="4"/>
      <c r="R130" s="4"/>
      <c r="S130" s="4"/>
      <c r="T130" s="4"/>
      <c r="U130" s="4"/>
      <c r="V130" s="4"/>
      <c r="W130" s="4"/>
      <c r="X130" s="4"/>
      <c r="Y130" s="4"/>
      <c r="Z130" s="4"/>
    </row>
    <row r="131" ht="15.75" customHeight="1">
      <c r="A131" s="40" t="str">
        <f>archetype_prototypes!A131</f>
        <v>7</v>
      </c>
      <c r="B131" s="9" t="str">
        <f>archetype_prototypes!B131</f>
        <v>Spiritual Lover</v>
      </c>
      <c r="C131" s="9" t="str">
        <f>archetype_prototypes!C131</f>
        <v>DIM_EMO_CONNECTION</v>
      </c>
      <c r="D131" s="41">
        <f>archetype_prototypes!E131</f>
        <v>0.9</v>
      </c>
      <c r="E131" s="41">
        <f t="shared" si="1"/>
        <v>0.1</v>
      </c>
      <c r="F131" s="41">
        <f t="shared" si="2"/>
        <v>0.59</v>
      </c>
      <c r="G131" s="41">
        <f t="shared" si="3"/>
        <v>1</v>
      </c>
      <c r="H131" s="42" t="str">
        <f t="array" ref="H131">XLOOKUP(C131,dimensions!$A$2:$A$22,dimensions!$E$2:$E$22,0)</f>
        <v>1.4</v>
      </c>
      <c r="I131" s="41">
        <f t="shared" si="4"/>
        <v>0.14</v>
      </c>
      <c r="J131" s="41">
        <f t="shared" si="5"/>
        <v>0.826</v>
      </c>
      <c r="K131" s="41">
        <f t="shared" si="6"/>
        <v>1.4</v>
      </c>
      <c r="L131" s="4"/>
      <c r="M131" s="4"/>
      <c r="N131" s="4"/>
      <c r="O131" s="4"/>
      <c r="P131" s="4"/>
      <c r="Q131" s="4"/>
      <c r="R131" s="4"/>
      <c r="S131" s="4"/>
      <c r="T131" s="4"/>
      <c r="U131" s="4"/>
      <c r="V131" s="4"/>
      <c r="W131" s="4"/>
      <c r="X131" s="4"/>
      <c r="Y131" s="4"/>
      <c r="Z131" s="4"/>
    </row>
    <row r="132" ht="15.75" customHeight="1">
      <c r="A132" s="40" t="str">
        <f>archetype_prototypes!A132</f>
        <v>7</v>
      </c>
      <c r="B132" s="9" t="str">
        <f>archetype_prototypes!B132</f>
        <v>Spiritual Lover</v>
      </c>
      <c r="C132" s="9" t="str">
        <f>archetype_prototypes!C132</f>
        <v>DIM_INTENSITY</v>
      </c>
      <c r="D132" s="41">
        <f>archetype_prototypes!E132</f>
        <v>0.3</v>
      </c>
      <c r="E132" s="41">
        <f t="shared" si="1"/>
        <v>0.3</v>
      </c>
      <c r="F132" s="41">
        <f t="shared" si="2"/>
        <v>0.71</v>
      </c>
      <c r="G132" s="41">
        <f t="shared" si="3"/>
        <v>1</v>
      </c>
      <c r="H132" s="42" t="str">
        <f t="array" ref="H132">XLOOKUP(C132,dimensions!$A$2:$A$22,dimensions!$E$2:$E$22,0)</f>
        <v>1.4</v>
      </c>
      <c r="I132" s="41">
        <f t="shared" si="4"/>
        <v>0.42</v>
      </c>
      <c r="J132" s="41">
        <f t="shared" si="5"/>
        <v>0.994</v>
      </c>
      <c r="K132" s="41">
        <f t="shared" si="6"/>
        <v>1.4</v>
      </c>
      <c r="L132" s="4"/>
      <c r="M132" s="4"/>
      <c r="N132" s="4"/>
      <c r="O132" s="4"/>
      <c r="P132" s="4"/>
      <c r="Q132" s="4"/>
      <c r="R132" s="4"/>
      <c r="S132" s="4"/>
      <c r="T132" s="4"/>
      <c r="U132" s="4"/>
      <c r="V132" s="4"/>
      <c r="W132" s="4"/>
      <c r="X132" s="4"/>
      <c r="Y132" s="4"/>
      <c r="Z132" s="4"/>
    </row>
    <row r="133" ht="15.75" customHeight="1">
      <c r="A133" s="40" t="str">
        <f>archetype_prototypes!A133</f>
        <v>7</v>
      </c>
      <c r="B133" s="9" t="str">
        <f>archetype_prototypes!B133</f>
        <v>Spiritual Lover</v>
      </c>
      <c r="C133" s="9" t="str">
        <f>archetype_prototypes!C133</f>
        <v>DIM_PURSUIT</v>
      </c>
      <c r="D133" s="41">
        <f>archetype_prototypes!E133</f>
        <v>0.2</v>
      </c>
      <c r="E133" s="41">
        <f t="shared" si="1"/>
        <v>0.2</v>
      </c>
      <c r="F133" s="41">
        <f t="shared" si="2"/>
        <v>0.66</v>
      </c>
      <c r="G133" s="41">
        <f t="shared" si="3"/>
        <v>1</v>
      </c>
      <c r="H133" s="42" t="str">
        <f t="array" ref="H133">XLOOKUP(C133,dimensions!$A$2:$A$22,dimensions!$E$2:$E$22,0)</f>
        <v>1.4</v>
      </c>
      <c r="I133" s="41">
        <f t="shared" si="4"/>
        <v>0.28</v>
      </c>
      <c r="J133" s="41">
        <f t="shared" si="5"/>
        <v>0.924</v>
      </c>
      <c r="K133" s="41">
        <f t="shared" si="6"/>
        <v>1.4</v>
      </c>
      <c r="L133" s="4"/>
      <c r="M133" s="4"/>
      <c r="N133" s="4"/>
      <c r="O133" s="4"/>
      <c r="P133" s="4"/>
      <c r="Q133" s="4"/>
      <c r="R133" s="4"/>
      <c r="S133" s="4"/>
      <c r="T133" s="4"/>
      <c r="U133" s="4"/>
      <c r="V133" s="4"/>
      <c r="W133" s="4"/>
      <c r="X133" s="4"/>
      <c r="Y133" s="4"/>
      <c r="Z133" s="4"/>
    </row>
    <row r="134" ht="15.75" customHeight="1">
      <c r="A134" s="40" t="str">
        <f>archetype_prototypes!A134</f>
        <v>7</v>
      </c>
      <c r="B134" s="9" t="str">
        <f>archetype_prototypes!B134</f>
        <v>Spiritual Lover</v>
      </c>
      <c r="C134" s="9" t="str">
        <f>archetype_prototypes!C134</f>
        <v>DIM_EDGE_NEED</v>
      </c>
      <c r="D134" s="41">
        <f>archetype_prototypes!E134</f>
        <v>0.2</v>
      </c>
      <c r="E134" s="41">
        <f t="shared" si="1"/>
        <v>0.2</v>
      </c>
      <c r="F134" s="41">
        <f t="shared" si="2"/>
        <v>0.66</v>
      </c>
      <c r="G134" s="41">
        <f t="shared" si="3"/>
        <v>1</v>
      </c>
      <c r="H134" s="42" t="str">
        <f t="array" ref="H134">XLOOKUP(C134,dimensions!$A$2:$A$22,dimensions!$E$2:$E$22,0)</f>
        <v>1.8</v>
      </c>
      <c r="I134" s="41">
        <f t="shared" si="4"/>
        <v>0.36</v>
      </c>
      <c r="J134" s="41">
        <f t="shared" si="5"/>
        <v>1.188</v>
      </c>
      <c r="K134" s="41">
        <f t="shared" si="6"/>
        <v>1.8</v>
      </c>
      <c r="L134" s="4"/>
      <c r="M134" s="4"/>
      <c r="N134" s="4"/>
      <c r="O134" s="4"/>
      <c r="P134" s="4"/>
      <c r="Q134" s="4"/>
      <c r="R134" s="4"/>
      <c r="S134" s="4"/>
      <c r="T134" s="4"/>
      <c r="U134" s="4"/>
      <c r="V134" s="4"/>
      <c r="W134" s="4"/>
      <c r="X134" s="4"/>
      <c r="Y134" s="4"/>
      <c r="Z134" s="4"/>
    </row>
    <row r="135" ht="15.75" customHeight="1">
      <c r="A135" s="40" t="str">
        <f>archetype_prototypes!A135</f>
        <v>7</v>
      </c>
      <c r="B135" s="9" t="str">
        <f>archetype_prototypes!B135</f>
        <v>Spiritual Lover</v>
      </c>
      <c r="C135" s="9" t="str">
        <f>archetype_prototypes!C135</f>
        <v>DIM_SACRED</v>
      </c>
      <c r="D135" s="41">
        <f>archetype_prototypes!E135</f>
        <v>0.95</v>
      </c>
      <c r="E135" s="41">
        <f t="shared" si="1"/>
        <v>0.05</v>
      </c>
      <c r="F135" s="41">
        <f t="shared" si="2"/>
        <v>0.5475</v>
      </c>
      <c r="G135" s="41">
        <f t="shared" si="3"/>
        <v>1</v>
      </c>
      <c r="H135" s="42" t="str">
        <f t="array" ref="H135">XLOOKUP(C135,dimensions!$A$2:$A$22,dimensions!$E$2:$E$22,0)</f>
        <v>2.0</v>
      </c>
      <c r="I135" s="41">
        <f t="shared" si="4"/>
        <v>0.1</v>
      </c>
      <c r="J135" s="41">
        <f t="shared" si="5"/>
        <v>1.095</v>
      </c>
      <c r="K135" s="41">
        <f t="shared" si="6"/>
        <v>2</v>
      </c>
      <c r="L135" s="4"/>
      <c r="M135" s="4"/>
      <c r="N135" s="4"/>
      <c r="O135" s="4"/>
      <c r="P135" s="4"/>
      <c r="Q135" s="4"/>
      <c r="R135" s="4"/>
      <c r="S135" s="4"/>
      <c r="T135" s="4"/>
      <c r="U135" s="4"/>
      <c r="V135" s="4"/>
      <c r="W135" s="4"/>
      <c r="X135" s="4"/>
      <c r="Y135" s="4"/>
      <c r="Z135" s="4"/>
    </row>
    <row r="136" ht="15.75" customHeight="1">
      <c r="A136" s="40" t="str">
        <f>archetype_prototypes!A136</f>
        <v>7</v>
      </c>
      <c r="B136" s="9" t="str">
        <f>archetype_prototypes!B136</f>
        <v>Spiritual Lover</v>
      </c>
      <c r="C136" s="9" t="str">
        <f>archetype_prototypes!C136</f>
        <v>DIM_RISK_PREF</v>
      </c>
      <c r="D136" s="41">
        <f>archetype_prototypes!E136</f>
        <v>0.15</v>
      </c>
      <c r="E136" s="41">
        <f t="shared" si="1"/>
        <v>0.15</v>
      </c>
      <c r="F136" s="41">
        <f t="shared" si="2"/>
        <v>0.6275</v>
      </c>
      <c r="G136" s="41">
        <f t="shared" si="3"/>
        <v>1</v>
      </c>
      <c r="H136" s="42" t="str">
        <f t="array" ref="H136">XLOOKUP(C136,dimensions!$A$2:$A$22,dimensions!$E$2:$E$22,0)</f>
        <v>1.6</v>
      </c>
      <c r="I136" s="41">
        <f t="shared" si="4"/>
        <v>0.24</v>
      </c>
      <c r="J136" s="41">
        <f t="shared" si="5"/>
        <v>1.004</v>
      </c>
      <c r="K136" s="41">
        <f t="shared" si="6"/>
        <v>1.6</v>
      </c>
      <c r="L136" s="4"/>
      <c r="M136" s="4"/>
      <c r="N136" s="4"/>
      <c r="O136" s="4"/>
      <c r="P136" s="4"/>
      <c r="Q136" s="4"/>
      <c r="R136" s="4"/>
      <c r="S136" s="4"/>
      <c r="T136" s="4"/>
      <c r="U136" s="4"/>
      <c r="V136" s="4"/>
      <c r="W136" s="4"/>
      <c r="X136" s="4"/>
      <c r="Y136" s="4"/>
      <c r="Z136" s="4"/>
    </row>
    <row r="137" ht="15.75" customHeight="1">
      <c r="A137" s="40" t="str">
        <f>archetype_prototypes!A137</f>
        <v>7</v>
      </c>
      <c r="B137" s="9" t="str">
        <f>archetype_prototypes!B137</f>
        <v>Spiritual Lover</v>
      </c>
      <c r="C137" s="9" t="str">
        <f>archetype_prototypes!C137</f>
        <v>DIM_FEEDBACK_DEP</v>
      </c>
      <c r="D137" s="41">
        <f>archetype_prototypes!E137</f>
        <v>0.25</v>
      </c>
      <c r="E137" s="41">
        <f t="shared" si="1"/>
        <v>0.25</v>
      </c>
      <c r="F137" s="41">
        <f t="shared" si="2"/>
        <v>0.6875</v>
      </c>
      <c r="G137" s="41">
        <f t="shared" si="3"/>
        <v>1</v>
      </c>
      <c r="H137" s="42" t="str">
        <f t="array" ref="H137">XLOOKUP(C137,dimensions!$A$2:$A$22,dimensions!$E$2:$E$22,0)</f>
        <v>2.0</v>
      </c>
      <c r="I137" s="41">
        <f t="shared" si="4"/>
        <v>0.5</v>
      </c>
      <c r="J137" s="41">
        <f t="shared" si="5"/>
        <v>1.375</v>
      </c>
      <c r="K137" s="41">
        <f t="shared" si="6"/>
        <v>2</v>
      </c>
      <c r="L137" s="4"/>
      <c r="M137" s="4"/>
      <c r="N137" s="4"/>
      <c r="O137" s="4"/>
      <c r="P137" s="4"/>
      <c r="Q137" s="4"/>
      <c r="R137" s="4"/>
      <c r="S137" s="4"/>
      <c r="T137" s="4"/>
      <c r="U137" s="4"/>
      <c r="V137" s="4"/>
      <c r="W137" s="4"/>
      <c r="X137" s="4"/>
      <c r="Y137" s="4"/>
      <c r="Z137" s="4"/>
    </row>
    <row r="138" ht="15.75" customHeight="1">
      <c r="A138" s="40" t="str">
        <f>archetype_prototypes!A138</f>
        <v>7</v>
      </c>
      <c r="B138" s="9" t="str">
        <f>archetype_prototypes!B138</f>
        <v>Spiritual Lover</v>
      </c>
      <c r="C138" s="9" t="str">
        <f>archetype_prototypes!C138</f>
        <v>DIM_TURNON_EXPRESS</v>
      </c>
      <c r="D138" s="41">
        <f>archetype_prototypes!E138</f>
        <v>0.4</v>
      </c>
      <c r="E138" s="41">
        <f t="shared" si="1"/>
        <v>0.4</v>
      </c>
      <c r="F138" s="41">
        <f t="shared" si="2"/>
        <v>0.74</v>
      </c>
      <c r="G138" s="41">
        <f t="shared" si="3"/>
        <v>1</v>
      </c>
      <c r="H138" s="42" t="str">
        <f t="array" ref="H138">XLOOKUP(C138,dimensions!$A$2:$A$22,dimensions!$E$2:$E$22,0)</f>
        <v>1.3</v>
      </c>
      <c r="I138" s="41">
        <f t="shared" si="4"/>
        <v>0.52</v>
      </c>
      <c r="J138" s="41">
        <f t="shared" si="5"/>
        <v>0.962</v>
      </c>
      <c r="K138" s="41">
        <f t="shared" si="6"/>
        <v>1.3</v>
      </c>
      <c r="L138" s="4"/>
      <c r="M138" s="4"/>
      <c r="N138" s="4"/>
      <c r="O138" s="4"/>
      <c r="P138" s="4"/>
      <c r="Q138" s="4"/>
      <c r="R138" s="4"/>
      <c r="S138" s="4"/>
      <c r="T138" s="4"/>
      <c r="U138" s="4"/>
      <c r="V138" s="4"/>
      <c r="W138" s="4"/>
      <c r="X138" s="4"/>
      <c r="Y138" s="4"/>
      <c r="Z138" s="4"/>
    </row>
    <row r="139" ht="15.75" customHeight="1">
      <c r="A139" s="40" t="str">
        <f>archetype_prototypes!A139</f>
        <v>7</v>
      </c>
      <c r="B139" s="9" t="str">
        <f>archetype_prototypes!B139</f>
        <v>Spiritual Lover</v>
      </c>
      <c r="C139" s="9" t="str">
        <f>archetype_prototypes!C139</f>
        <v>DIM_BOUNDARY_EXPRESS</v>
      </c>
      <c r="D139" s="41">
        <f>archetype_prototypes!E139</f>
        <v>0.55</v>
      </c>
      <c r="E139" s="41">
        <f t="shared" si="1"/>
        <v>0.45</v>
      </c>
      <c r="F139" s="41">
        <f t="shared" si="2"/>
        <v>0.7475</v>
      </c>
      <c r="G139" s="41">
        <f t="shared" si="3"/>
        <v>1</v>
      </c>
      <c r="H139" s="42" t="str">
        <f t="array" ref="H139">XLOOKUP(C139,dimensions!$A$2:$A$22,dimensions!$E$2:$E$22,0)</f>
        <v>1.3</v>
      </c>
      <c r="I139" s="41">
        <f t="shared" si="4"/>
        <v>0.585</v>
      </c>
      <c r="J139" s="41">
        <f t="shared" si="5"/>
        <v>0.97175</v>
      </c>
      <c r="K139" s="41">
        <f t="shared" si="6"/>
        <v>1.3</v>
      </c>
      <c r="L139" s="4"/>
      <c r="M139" s="4"/>
      <c r="N139" s="4"/>
      <c r="O139" s="4"/>
      <c r="P139" s="4"/>
      <c r="Q139" s="4"/>
      <c r="R139" s="4"/>
      <c r="S139" s="4"/>
      <c r="T139" s="4"/>
      <c r="U139" s="4"/>
      <c r="V139" s="4"/>
      <c r="W139" s="4"/>
      <c r="X139" s="4"/>
      <c r="Y139" s="4"/>
      <c r="Z139" s="4"/>
    </row>
    <row r="140" ht="15.75" customHeight="1">
      <c r="A140" s="40" t="str">
        <f>archetype_prototypes!A140</f>
        <v>7</v>
      </c>
      <c r="B140" s="9" t="str">
        <f>archetype_prototypes!B140</f>
        <v>Spiritual Lover</v>
      </c>
      <c r="C140" s="9" t="str">
        <f>archetype_prototypes!C140</f>
        <v>DIM_PROTOCOL</v>
      </c>
      <c r="D140" s="41">
        <f>archetype_prototypes!E140</f>
        <v>0.25</v>
      </c>
      <c r="E140" s="41">
        <f t="shared" si="1"/>
        <v>0.25</v>
      </c>
      <c r="F140" s="41">
        <f t="shared" si="2"/>
        <v>0.6875</v>
      </c>
      <c r="G140" s="41">
        <f t="shared" si="3"/>
        <v>1</v>
      </c>
      <c r="H140" s="42" t="str">
        <f t="array" ref="H140">XLOOKUP(C140,dimensions!$A$2:$A$22,dimensions!$E$2:$E$22,0)</f>
        <v>1.6</v>
      </c>
      <c r="I140" s="41">
        <f t="shared" si="4"/>
        <v>0.4</v>
      </c>
      <c r="J140" s="41">
        <f t="shared" si="5"/>
        <v>1.1</v>
      </c>
      <c r="K140" s="41">
        <f t="shared" si="6"/>
        <v>1.6</v>
      </c>
      <c r="L140" s="4"/>
      <c r="M140" s="4"/>
      <c r="N140" s="4"/>
      <c r="O140" s="4"/>
      <c r="P140" s="4"/>
      <c r="Q140" s="4"/>
      <c r="R140" s="4"/>
      <c r="S140" s="4"/>
      <c r="T140" s="4"/>
      <c r="U140" s="4"/>
      <c r="V140" s="4"/>
      <c r="W140" s="4"/>
      <c r="X140" s="4"/>
      <c r="Y140" s="4"/>
      <c r="Z140" s="4"/>
    </row>
    <row r="141" ht="15.75" customHeight="1">
      <c r="A141" s="40" t="str">
        <f>archetype_prototypes!A141</f>
        <v>7</v>
      </c>
      <c r="B141" s="9" t="str">
        <f>archetype_prototypes!B141</f>
        <v>Spiritual Lover</v>
      </c>
      <c r="C141" s="9" t="str">
        <f>archetype_prototypes!C141</f>
        <v>DIM_SOOTHING</v>
      </c>
      <c r="D141" s="41">
        <f>archetype_prototypes!E141</f>
        <v>0.5</v>
      </c>
      <c r="E141" s="41">
        <f t="shared" si="1"/>
        <v>0.5</v>
      </c>
      <c r="F141" s="41">
        <f t="shared" si="2"/>
        <v>0.75</v>
      </c>
      <c r="G141" s="41">
        <f t="shared" si="3"/>
        <v>1</v>
      </c>
      <c r="H141" s="42" t="str">
        <f t="array" ref="H141">XLOOKUP(C141,dimensions!$A$2:$A$22,dimensions!$E$2:$E$22,0)</f>
        <v>1.9</v>
      </c>
      <c r="I141" s="41">
        <f t="shared" si="4"/>
        <v>0.95</v>
      </c>
      <c r="J141" s="41">
        <f t="shared" si="5"/>
        <v>1.425</v>
      </c>
      <c r="K141" s="41">
        <f t="shared" si="6"/>
        <v>1.9</v>
      </c>
      <c r="L141" s="4"/>
      <c r="M141" s="4"/>
      <c r="N141" s="4"/>
      <c r="O141" s="4"/>
      <c r="P141" s="4"/>
      <c r="Q141" s="4"/>
      <c r="R141" s="4"/>
      <c r="S141" s="4"/>
      <c r="T141" s="4"/>
      <c r="U141" s="4"/>
      <c r="V141" s="4"/>
      <c r="W141" s="4"/>
      <c r="X141" s="4"/>
      <c r="Y141" s="4"/>
      <c r="Z141" s="4"/>
    </row>
    <row r="142" ht="15.75" customHeight="1">
      <c r="A142" s="40" t="str">
        <f>archetype_prototypes!A142</f>
        <v>7</v>
      </c>
      <c r="B142" s="9" t="str">
        <f>archetype_prototypes!B142</f>
        <v>Spiritual Lover</v>
      </c>
      <c r="C142" s="9" t="str">
        <f>archetype_prototypes!C142</f>
        <v>DIM_SECURE</v>
      </c>
      <c r="D142" s="41">
        <f>archetype_prototypes!E142</f>
        <v>0.75</v>
      </c>
      <c r="E142" s="41">
        <f t="shared" si="1"/>
        <v>0.25</v>
      </c>
      <c r="F142" s="41">
        <f t="shared" si="2"/>
        <v>0.6875</v>
      </c>
      <c r="G142" s="41">
        <f t="shared" si="3"/>
        <v>1</v>
      </c>
      <c r="H142" s="42" t="str">
        <f t="array" ref="H142">XLOOKUP(C142,dimensions!$A$2:$A$22,dimensions!$E$2:$E$22,0)</f>
        <v>1</v>
      </c>
      <c r="I142" s="41">
        <f t="shared" si="4"/>
        <v>0.25</v>
      </c>
      <c r="J142" s="41">
        <f t="shared" si="5"/>
        <v>0.6875</v>
      </c>
      <c r="K142" s="41">
        <f t="shared" si="6"/>
        <v>1</v>
      </c>
      <c r="L142" s="4"/>
      <c r="M142" s="4"/>
      <c r="N142" s="4"/>
      <c r="O142" s="4"/>
      <c r="P142" s="4"/>
      <c r="Q142" s="4"/>
      <c r="R142" s="4"/>
      <c r="S142" s="4"/>
      <c r="T142" s="4"/>
      <c r="U142" s="4"/>
      <c r="V142" s="4"/>
      <c r="W142" s="4"/>
      <c r="X142" s="4"/>
      <c r="Y142" s="4"/>
      <c r="Z142" s="4"/>
    </row>
    <row r="143" ht="15.75" customHeight="1">
      <c r="A143" s="40" t="str">
        <f>archetype_prototypes!A143</f>
        <v>7</v>
      </c>
      <c r="B143" s="9" t="str">
        <f>archetype_prototypes!B143</f>
        <v>Spiritual Lover</v>
      </c>
      <c r="C143" s="9" t="str">
        <f>archetype_prototypes!C143</f>
        <v>DIM_REPAIR_EROTICISM</v>
      </c>
      <c r="D143" s="41">
        <f>archetype_prototypes!E143</f>
        <v>0.6</v>
      </c>
      <c r="E143" s="41">
        <f t="shared" si="1"/>
        <v>0.4</v>
      </c>
      <c r="F143" s="41">
        <f t="shared" si="2"/>
        <v>0.74</v>
      </c>
      <c r="G143" s="41">
        <f t="shared" si="3"/>
        <v>1</v>
      </c>
      <c r="H143" s="42" t="str">
        <f t="array" ref="H143">XLOOKUP(C143,dimensions!$A$2:$A$22,dimensions!$E$2:$E$22,0)</f>
        <v>1.6</v>
      </c>
      <c r="I143" s="41">
        <f t="shared" si="4"/>
        <v>0.64</v>
      </c>
      <c r="J143" s="41">
        <f t="shared" si="5"/>
        <v>1.184</v>
      </c>
      <c r="K143" s="41">
        <f t="shared" si="6"/>
        <v>1.6</v>
      </c>
      <c r="L143" s="4"/>
      <c r="M143" s="4"/>
      <c r="N143" s="4"/>
      <c r="O143" s="4"/>
      <c r="P143" s="4"/>
      <c r="Q143" s="4"/>
      <c r="R143" s="4"/>
      <c r="S143" s="4"/>
      <c r="T143" s="4"/>
      <c r="U143" s="4"/>
      <c r="V143" s="4"/>
      <c r="W143" s="4"/>
      <c r="X143" s="4"/>
      <c r="Y143" s="4"/>
      <c r="Z143" s="4"/>
    </row>
    <row r="144" ht="15.75" customHeight="1">
      <c r="A144" s="40" t="str">
        <f>archetype_prototypes!A144</f>
        <v>7</v>
      </c>
      <c r="B144" s="9" t="str">
        <f>archetype_prototypes!B144</f>
        <v>Spiritual Lover</v>
      </c>
      <c r="C144" s="9" t="str">
        <f>archetype_prototypes!C144</f>
        <v>DIM_PRESSURE_SHUTDOWN</v>
      </c>
      <c r="D144" s="41">
        <f>archetype_prototypes!E144</f>
        <v>0.4</v>
      </c>
      <c r="E144" s="41">
        <f t="shared" si="1"/>
        <v>0.4</v>
      </c>
      <c r="F144" s="41">
        <f t="shared" si="2"/>
        <v>0.74</v>
      </c>
      <c r="G144" s="41">
        <f t="shared" si="3"/>
        <v>1</v>
      </c>
      <c r="H144" s="42" t="str">
        <f t="array" ref="H144">XLOOKUP(C144,dimensions!$A$2:$A$22,dimensions!$E$2:$E$22,0)</f>
        <v>2.0</v>
      </c>
      <c r="I144" s="41">
        <f t="shared" si="4"/>
        <v>0.8</v>
      </c>
      <c r="J144" s="41">
        <f t="shared" si="5"/>
        <v>1.48</v>
      </c>
      <c r="K144" s="41">
        <f t="shared" si="6"/>
        <v>2</v>
      </c>
      <c r="L144" s="4"/>
      <c r="M144" s="4"/>
      <c r="N144" s="4"/>
      <c r="O144" s="4"/>
      <c r="P144" s="4"/>
      <c r="Q144" s="4"/>
      <c r="R144" s="4"/>
      <c r="S144" s="4"/>
      <c r="T144" s="4"/>
      <c r="U144" s="4"/>
      <c r="V144" s="4"/>
      <c r="W144" s="4"/>
      <c r="X144" s="4"/>
      <c r="Y144" s="4"/>
      <c r="Z144" s="4"/>
    </row>
    <row r="145" ht="15.75" customHeight="1">
      <c r="A145" s="40" t="str">
        <f>archetype_prototypes!A145</f>
        <v>7</v>
      </c>
      <c r="B145" s="9" t="str">
        <f>archetype_prototypes!B145</f>
        <v>Spiritual Lover</v>
      </c>
      <c r="C145" s="9" t="str">
        <f>archetype_prototypes!C145</f>
        <v>DIM_AVOIDANT</v>
      </c>
      <c r="D145" s="41">
        <f>archetype_prototypes!E145</f>
        <v>0.2</v>
      </c>
      <c r="E145" s="41">
        <f t="shared" si="1"/>
        <v>0.2</v>
      </c>
      <c r="F145" s="41">
        <f t="shared" si="2"/>
        <v>0.66</v>
      </c>
      <c r="G145" s="41">
        <f t="shared" si="3"/>
        <v>1</v>
      </c>
      <c r="H145" s="42" t="str">
        <f t="array" ref="H145">XLOOKUP(C145,dimensions!$A$2:$A$22,dimensions!$E$2:$E$22,0)</f>
        <v>1.3</v>
      </c>
      <c r="I145" s="41">
        <f t="shared" si="4"/>
        <v>0.26</v>
      </c>
      <c r="J145" s="41">
        <f t="shared" si="5"/>
        <v>0.858</v>
      </c>
      <c r="K145" s="41">
        <f t="shared" si="6"/>
        <v>1.3</v>
      </c>
      <c r="L145" s="4"/>
      <c r="M145" s="4"/>
      <c r="N145" s="4"/>
      <c r="O145" s="4"/>
      <c r="P145" s="4"/>
      <c r="Q145" s="4"/>
      <c r="R145" s="4"/>
      <c r="S145" s="4"/>
      <c r="T145" s="4"/>
      <c r="U145" s="4"/>
      <c r="V145" s="4"/>
      <c r="W145" s="4"/>
      <c r="X145" s="4"/>
      <c r="Y145" s="4"/>
      <c r="Z145" s="4"/>
    </row>
    <row r="146" ht="15.75" customHeight="1">
      <c r="A146" s="40" t="str">
        <f>archetype_prototypes!A146</f>
        <v>7</v>
      </c>
      <c r="B146" s="9" t="str">
        <f>archetype_prototypes!B146</f>
        <v>Spiritual Lover</v>
      </c>
      <c r="C146" s="9" t="str">
        <f>archetype_prototypes!C146</f>
        <v>DIM_STRATEGY</v>
      </c>
      <c r="D146" s="41">
        <f>archetype_prototypes!E146</f>
        <v>0.05</v>
      </c>
      <c r="E146" s="41">
        <f t="shared" si="1"/>
        <v>0.05</v>
      </c>
      <c r="F146" s="41">
        <f t="shared" si="2"/>
        <v>0.5475</v>
      </c>
      <c r="G146" s="41">
        <f t="shared" si="3"/>
        <v>1</v>
      </c>
      <c r="H146" s="42" t="str">
        <f t="array" ref="H146">XLOOKUP(C146,dimensions!$A$2:$A$22,dimensions!$E$2:$E$22,0)</f>
        <v>1.2</v>
      </c>
      <c r="I146" s="41">
        <f t="shared" si="4"/>
        <v>0.06</v>
      </c>
      <c r="J146" s="41">
        <f t="shared" si="5"/>
        <v>0.657</v>
      </c>
      <c r="K146" s="41">
        <f t="shared" si="6"/>
        <v>1.2</v>
      </c>
      <c r="L146" s="4"/>
      <c r="M146" s="4"/>
      <c r="N146" s="4"/>
      <c r="O146" s="4"/>
      <c r="P146" s="4"/>
      <c r="Q146" s="4"/>
      <c r="R146" s="4"/>
      <c r="S146" s="4"/>
      <c r="T146" s="4"/>
      <c r="U146" s="4"/>
      <c r="V146" s="4"/>
      <c r="W146" s="4"/>
      <c r="X146" s="4"/>
      <c r="Y146" s="4"/>
      <c r="Z146" s="4"/>
    </row>
    <row r="147" ht="15.75" customHeight="1">
      <c r="A147" s="40" t="str">
        <f>archetype_prototypes!A147</f>
        <v>7</v>
      </c>
      <c r="B147" s="9" t="str">
        <f>archetype_prototypes!B147</f>
        <v>Spiritual Lover</v>
      </c>
      <c r="C147" s="9" t="str">
        <f>archetype_prototypes!C147</f>
        <v>DIM_CLOSENESS_ORIENTATION</v>
      </c>
      <c r="D147" s="41">
        <f>archetype_prototypes!E147</f>
        <v>0.68</v>
      </c>
      <c r="E147" s="41">
        <f t="shared" si="1"/>
        <v>0.32</v>
      </c>
      <c r="F147" s="41">
        <f t="shared" si="2"/>
        <v>0.7176</v>
      </c>
      <c r="G147" s="41">
        <f t="shared" si="3"/>
        <v>1</v>
      </c>
      <c r="H147" s="42">
        <f t="array" ref="H147">XLOOKUP(C147,dimensions!$A$2:$A$22,dimensions!$E$2:$E$22,0)</f>
        <v>1</v>
      </c>
      <c r="I147" s="41">
        <f t="shared" si="4"/>
        <v>0.32</v>
      </c>
      <c r="J147" s="41">
        <f t="shared" si="5"/>
        <v>0.7176</v>
      </c>
      <c r="K147" s="41">
        <f t="shared" si="6"/>
        <v>1</v>
      </c>
      <c r="L147" s="4"/>
      <c r="M147" s="4"/>
      <c r="N147" s="4"/>
      <c r="O147" s="4"/>
      <c r="P147" s="4"/>
      <c r="Q147" s="4"/>
      <c r="R147" s="4"/>
      <c r="S147" s="4"/>
      <c r="T147" s="4"/>
      <c r="U147" s="4"/>
      <c r="V147" s="4"/>
      <c r="W147" s="4"/>
      <c r="X147" s="4"/>
      <c r="Y147" s="4"/>
      <c r="Z147" s="4"/>
    </row>
    <row r="148" ht="15.75" customHeight="1">
      <c r="A148" s="40" t="str">
        <f>archetype_prototypes!A148</f>
        <v>7</v>
      </c>
      <c r="B148" s="9" t="str">
        <f>archetype_prototypes!B148</f>
        <v>Spiritual Lover</v>
      </c>
      <c r="C148" s="9" t="str">
        <f>archetype_prototypes!C148</f>
        <v>DIM_PARTNER_FOCUS</v>
      </c>
      <c r="D148" s="41">
        <f>archetype_prototypes!E148</f>
        <v>0.62</v>
      </c>
      <c r="E148" s="41">
        <f t="shared" si="1"/>
        <v>0.38</v>
      </c>
      <c r="F148" s="41">
        <f t="shared" si="2"/>
        <v>0.7356</v>
      </c>
      <c r="G148" s="41">
        <f t="shared" si="3"/>
        <v>1</v>
      </c>
      <c r="H148" s="42">
        <f t="array" ref="H148">XLOOKUP(C148,dimensions!$A$2:$A$22,dimensions!$E$2:$E$22,0)</f>
        <v>1.2</v>
      </c>
      <c r="I148" s="41">
        <f t="shared" si="4"/>
        <v>0.456</v>
      </c>
      <c r="J148" s="41">
        <f t="shared" si="5"/>
        <v>0.88272</v>
      </c>
      <c r="K148" s="41">
        <f t="shared" si="6"/>
        <v>1.2</v>
      </c>
      <c r="L148" s="4"/>
      <c r="M148" s="4"/>
      <c r="N148" s="4"/>
      <c r="O148" s="4"/>
      <c r="P148" s="4"/>
      <c r="Q148" s="4"/>
      <c r="R148" s="4"/>
      <c r="S148" s="4"/>
      <c r="T148" s="4"/>
      <c r="U148" s="4"/>
      <c r="V148" s="4"/>
      <c r="W148" s="4"/>
      <c r="X148" s="4"/>
      <c r="Y148" s="4"/>
      <c r="Z148" s="4"/>
    </row>
    <row r="149" ht="15.75" customHeight="1">
      <c r="A149" s="40" t="str">
        <f>archetype_prototypes!A149</f>
        <v>8</v>
      </c>
      <c r="B149" s="9" t="str">
        <f>archetype_prototypes!B149</f>
        <v>Minimalist Companion</v>
      </c>
      <c r="C149" s="9" t="str">
        <f>archetype_prototypes!C149</f>
        <v>DIM_NOVELTY</v>
      </c>
      <c r="D149" s="41">
        <f>archetype_prototypes!E149</f>
        <v>0.15</v>
      </c>
      <c r="E149" s="41">
        <f t="shared" si="1"/>
        <v>0.15</v>
      </c>
      <c r="F149" s="41">
        <f t="shared" si="2"/>
        <v>0.6275</v>
      </c>
      <c r="G149" s="41">
        <f t="shared" si="3"/>
        <v>1</v>
      </c>
      <c r="H149" s="42" t="str">
        <f t="array" ref="H149">XLOOKUP(C149,dimensions!$A$2:$A$22,dimensions!$E$2:$E$22,0)</f>
        <v>1.4</v>
      </c>
      <c r="I149" s="41">
        <f t="shared" si="4"/>
        <v>0.21</v>
      </c>
      <c r="J149" s="41">
        <f t="shared" si="5"/>
        <v>0.8785</v>
      </c>
      <c r="K149" s="41">
        <f t="shared" si="6"/>
        <v>1.4</v>
      </c>
      <c r="L149" s="4"/>
      <c r="M149" s="4"/>
      <c r="N149" s="4"/>
      <c r="O149" s="4"/>
      <c r="P149" s="4"/>
      <c r="Q149" s="4"/>
      <c r="R149" s="4"/>
      <c r="S149" s="4"/>
      <c r="T149" s="4"/>
      <c r="U149" s="4"/>
      <c r="V149" s="4"/>
      <c r="W149" s="4"/>
      <c r="X149" s="4"/>
      <c r="Y149" s="4"/>
      <c r="Z149" s="4"/>
    </row>
    <row r="150" ht="15.75" customHeight="1">
      <c r="A150" s="40" t="str">
        <f>archetype_prototypes!A150</f>
        <v>8</v>
      </c>
      <c r="B150" s="9" t="str">
        <f>archetype_prototypes!B150</f>
        <v>Minimalist Companion</v>
      </c>
      <c r="C150" s="9" t="str">
        <f>archetype_prototypes!C150</f>
        <v>DIM_RESPONSIVE</v>
      </c>
      <c r="D150" s="41">
        <f>archetype_prototypes!E150</f>
        <v>0.6</v>
      </c>
      <c r="E150" s="41">
        <f t="shared" si="1"/>
        <v>0.4</v>
      </c>
      <c r="F150" s="41">
        <f t="shared" si="2"/>
        <v>0.74</v>
      </c>
      <c r="G150" s="41">
        <f t="shared" si="3"/>
        <v>1</v>
      </c>
      <c r="H150" s="42" t="str">
        <f t="array" ref="H150">XLOOKUP(C150,dimensions!$A$2:$A$22,dimensions!$E$2:$E$22,0)</f>
        <v>1.6</v>
      </c>
      <c r="I150" s="41">
        <f t="shared" si="4"/>
        <v>0.64</v>
      </c>
      <c r="J150" s="41">
        <f t="shared" si="5"/>
        <v>1.184</v>
      </c>
      <c r="K150" s="41">
        <f t="shared" si="6"/>
        <v>1.6</v>
      </c>
      <c r="L150" s="4"/>
      <c r="M150" s="4"/>
      <c r="N150" s="4"/>
      <c r="O150" s="4"/>
      <c r="P150" s="4"/>
      <c r="Q150" s="4"/>
      <c r="R150" s="4"/>
      <c r="S150" s="4"/>
      <c r="T150" s="4"/>
      <c r="U150" s="4"/>
      <c r="V150" s="4"/>
      <c r="W150" s="4"/>
      <c r="X150" s="4"/>
      <c r="Y150" s="4"/>
      <c r="Z150" s="4"/>
    </row>
    <row r="151" ht="15.75" customHeight="1">
      <c r="A151" s="40" t="str">
        <f>archetype_prototypes!A151</f>
        <v>8</v>
      </c>
      <c r="B151" s="9" t="str">
        <f>archetype_prototypes!B151</f>
        <v>Minimalist Companion</v>
      </c>
      <c r="C151" s="9" t="str">
        <f>archetype_prototypes!C151</f>
        <v>DIM_PLANNED</v>
      </c>
      <c r="D151" s="41">
        <f>archetype_prototypes!E151</f>
        <v>0.65</v>
      </c>
      <c r="E151" s="41">
        <f t="shared" si="1"/>
        <v>0.35</v>
      </c>
      <c r="F151" s="41">
        <f t="shared" si="2"/>
        <v>0.7275</v>
      </c>
      <c r="G151" s="41">
        <f t="shared" si="3"/>
        <v>1</v>
      </c>
      <c r="H151" s="42" t="str">
        <f t="array" ref="H151">XLOOKUP(C151,dimensions!$A$2:$A$22,dimensions!$E$2:$E$22,0)</f>
        <v>1.3</v>
      </c>
      <c r="I151" s="41">
        <f t="shared" si="4"/>
        <v>0.455</v>
      </c>
      <c r="J151" s="41">
        <f t="shared" si="5"/>
        <v>0.94575</v>
      </c>
      <c r="K151" s="41">
        <f t="shared" si="6"/>
        <v>1.3</v>
      </c>
      <c r="L151" s="4"/>
      <c r="M151" s="4"/>
      <c r="N151" s="4"/>
      <c r="O151" s="4"/>
      <c r="P151" s="4"/>
      <c r="Q151" s="4"/>
      <c r="R151" s="4"/>
      <c r="S151" s="4"/>
      <c r="T151" s="4"/>
      <c r="U151" s="4"/>
      <c r="V151" s="4"/>
      <c r="W151" s="4"/>
      <c r="X151" s="4"/>
      <c r="Y151" s="4"/>
      <c r="Z151" s="4"/>
    </row>
    <row r="152" ht="15.75" customHeight="1">
      <c r="A152" s="40" t="str">
        <f>archetype_prototypes!A152</f>
        <v>8</v>
      </c>
      <c r="B152" s="9" t="str">
        <f>archetype_prototypes!B152</f>
        <v>Minimalist Companion</v>
      </c>
      <c r="C152" s="9" t="str">
        <f>archetype_prototypes!C152</f>
        <v>DIM_EMO_CONNECTION</v>
      </c>
      <c r="D152" s="41">
        <f>archetype_prototypes!E152</f>
        <v>0.55</v>
      </c>
      <c r="E152" s="41">
        <f t="shared" si="1"/>
        <v>0.45</v>
      </c>
      <c r="F152" s="41">
        <f t="shared" si="2"/>
        <v>0.7475</v>
      </c>
      <c r="G152" s="41">
        <f t="shared" si="3"/>
        <v>1</v>
      </c>
      <c r="H152" s="42" t="str">
        <f t="array" ref="H152">XLOOKUP(C152,dimensions!$A$2:$A$22,dimensions!$E$2:$E$22,0)</f>
        <v>1.4</v>
      </c>
      <c r="I152" s="41">
        <f t="shared" si="4"/>
        <v>0.63</v>
      </c>
      <c r="J152" s="41">
        <f t="shared" si="5"/>
        <v>1.0465</v>
      </c>
      <c r="K152" s="41">
        <f t="shared" si="6"/>
        <v>1.4</v>
      </c>
      <c r="L152" s="4"/>
      <c r="M152" s="4"/>
      <c r="N152" s="4"/>
      <c r="O152" s="4"/>
      <c r="P152" s="4"/>
      <c r="Q152" s="4"/>
      <c r="R152" s="4"/>
      <c r="S152" s="4"/>
      <c r="T152" s="4"/>
      <c r="U152" s="4"/>
      <c r="V152" s="4"/>
      <c r="W152" s="4"/>
      <c r="X152" s="4"/>
      <c r="Y152" s="4"/>
      <c r="Z152" s="4"/>
    </row>
    <row r="153" ht="15.75" customHeight="1">
      <c r="A153" s="40" t="str">
        <f>archetype_prototypes!A153</f>
        <v>8</v>
      </c>
      <c r="B153" s="9" t="str">
        <f>archetype_prototypes!B153</f>
        <v>Minimalist Companion</v>
      </c>
      <c r="C153" s="9" t="str">
        <f>archetype_prototypes!C153</f>
        <v>DIM_INTENSITY</v>
      </c>
      <c r="D153" s="41">
        <f>archetype_prototypes!E153</f>
        <v>0.15</v>
      </c>
      <c r="E153" s="41">
        <f t="shared" si="1"/>
        <v>0.15</v>
      </c>
      <c r="F153" s="41">
        <f t="shared" si="2"/>
        <v>0.6275</v>
      </c>
      <c r="G153" s="41">
        <f t="shared" si="3"/>
        <v>1</v>
      </c>
      <c r="H153" s="42" t="str">
        <f t="array" ref="H153">XLOOKUP(C153,dimensions!$A$2:$A$22,dimensions!$E$2:$E$22,0)</f>
        <v>1.4</v>
      </c>
      <c r="I153" s="41">
        <f t="shared" si="4"/>
        <v>0.21</v>
      </c>
      <c r="J153" s="41">
        <f t="shared" si="5"/>
        <v>0.8785</v>
      </c>
      <c r="K153" s="41">
        <f t="shared" si="6"/>
        <v>1.4</v>
      </c>
      <c r="L153" s="4"/>
      <c r="M153" s="4"/>
      <c r="N153" s="4"/>
      <c r="O153" s="4"/>
      <c r="P153" s="4"/>
      <c r="Q153" s="4"/>
      <c r="R153" s="4"/>
      <c r="S153" s="4"/>
      <c r="T153" s="4"/>
      <c r="U153" s="4"/>
      <c r="V153" s="4"/>
      <c r="W153" s="4"/>
      <c r="X153" s="4"/>
      <c r="Y153" s="4"/>
      <c r="Z153" s="4"/>
    </row>
    <row r="154" ht="15.75" customHeight="1">
      <c r="A154" s="40" t="str">
        <f>archetype_prototypes!A154</f>
        <v>8</v>
      </c>
      <c r="B154" s="9" t="str">
        <f>archetype_prototypes!B154</f>
        <v>Minimalist Companion</v>
      </c>
      <c r="C154" s="9" t="str">
        <f>archetype_prototypes!C154</f>
        <v>DIM_PURSUIT</v>
      </c>
      <c r="D154" s="41">
        <f>archetype_prototypes!E154</f>
        <v>0.15</v>
      </c>
      <c r="E154" s="41">
        <f t="shared" si="1"/>
        <v>0.15</v>
      </c>
      <c r="F154" s="41">
        <f t="shared" si="2"/>
        <v>0.6275</v>
      </c>
      <c r="G154" s="41">
        <f t="shared" si="3"/>
        <v>1</v>
      </c>
      <c r="H154" s="42" t="str">
        <f t="array" ref="H154">XLOOKUP(C154,dimensions!$A$2:$A$22,dimensions!$E$2:$E$22,0)</f>
        <v>1.4</v>
      </c>
      <c r="I154" s="41">
        <f t="shared" si="4"/>
        <v>0.21</v>
      </c>
      <c r="J154" s="41">
        <f t="shared" si="5"/>
        <v>0.8785</v>
      </c>
      <c r="K154" s="41">
        <f t="shared" si="6"/>
        <v>1.4</v>
      </c>
      <c r="L154" s="4"/>
      <c r="M154" s="4"/>
      <c r="N154" s="4"/>
      <c r="O154" s="4"/>
      <c r="P154" s="4"/>
      <c r="Q154" s="4"/>
      <c r="R154" s="4"/>
      <c r="S154" s="4"/>
      <c r="T154" s="4"/>
      <c r="U154" s="4"/>
      <c r="V154" s="4"/>
      <c r="W154" s="4"/>
      <c r="X154" s="4"/>
      <c r="Y154" s="4"/>
      <c r="Z154" s="4"/>
    </row>
    <row r="155" ht="15.75" customHeight="1">
      <c r="A155" s="40" t="str">
        <f>archetype_prototypes!A155</f>
        <v>8</v>
      </c>
      <c r="B155" s="9" t="str">
        <f>archetype_prototypes!B155</f>
        <v>Minimalist Companion</v>
      </c>
      <c r="C155" s="9" t="str">
        <f>archetype_prototypes!C155</f>
        <v>DIM_EDGE_NEED</v>
      </c>
      <c r="D155" s="41">
        <f>archetype_prototypes!E155</f>
        <v>0.1</v>
      </c>
      <c r="E155" s="41">
        <f t="shared" si="1"/>
        <v>0.1</v>
      </c>
      <c r="F155" s="41">
        <f t="shared" si="2"/>
        <v>0.59</v>
      </c>
      <c r="G155" s="41">
        <f t="shared" si="3"/>
        <v>1</v>
      </c>
      <c r="H155" s="42" t="str">
        <f t="array" ref="H155">XLOOKUP(C155,dimensions!$A$2:$A$22,dimensions!$E$2:$E$22,0)</f>
        <v>1.8</v>
      </c>
      <c r="I155" s="41">
        <f t="shared" si="4"/>
        <v>0.18</v>
      </c>
      <c r="J155" s="41">
        <f t="shared" si="5"/>
        <v>1.062</v>
      </c>
      <c r="K155" s="41">
        <f t="shared" si="6"/>
        <v>1.8</v>
      </c>
      <c r="L155" s="4"/>
      <c r="M155" s="4"/>
      <c r="N155" s="4"/>
      <c r="O155" s="4"/>
      <c r="P155" s="4"/>
      <c r="Q155" s="4"/>
      <c r="R155" s="4"/>
      <c r="S155" s="4"/>
      <c r="T155" s="4"/>
      <c r="U155" s="4"/>
      <c r="V155" s="4"/>
      <c r="W155" s="4"/>
      <c r="X155" s="4"/>
      <c r="Y155" s="4"/>
      <c r="Z155" s="4"/>
    </row>
    <row r="156" ht="15.75" customHeight="1">
      <c r="A156" s="40" t="str">
        <f>archetype_prototypes!A156</f>
        <v>8</v>
      </c>
      <c r="B156" s="9" t="str">
        <f>archetype_prototypes!B156</f>
        <v>Minimalist Companion</v>
      </c>
      <c r="C156" s="9" t="str">
        <f>archetype_prototypes!C156</f>
        <v>DIM_SACRED</v>
      </c>
      <c r="D156" s="41">
        <f>archetype_prototypes!E156</f>
        <v>0.2</v>
      </c>
      <c r="E156" s="41">
        <f t="shared" si="1"/>
        <v>0.2</v>
      </c>
      <c r="F156" s="41">
        <f t="shared" si="2"/>
        <v>0.66</v>
      </c>
      <c r="G156" s="41">
        <f t="shared" si="3"/>
        <v>1</v>
      </c>
      <c r="H156" s="42" t="str">
        <f t="array" ref="H156">XLOOKUP(C156,dimensions!$A$2:$A$22,dimensions!$E$2:$E$22,0)</f>
        <v>2.0</v>
      </c>
      <c r="I156" s="41">
        <f t="shared" si="4"/>
        <v>0.4</v>
      </c>
      <c r="J156" s="41">
        <f t="shared" si="5"/>
        <v>1.32</v>
      </c>
      <c r="K156" s="41">
        <f t="shared" si="6"/>
        <v>2</v>
      </c>
      <c r="L156" s="4"/>
      <c r="M156" s="4"/>
      <c r="N156" s="4"/>
      <c r="O156" s="4"/>
      <c r="P156" s="4"/>
      <c r="Q156" s="4"/>
      <c r="R156" s="4"/>
      <c r="S156" s="4"/>
      <c r="T156" s="4"/>
      <c r="U156" s="4"/>
      <c r="V156" s="4"/>
      <c r="W156" s="4"/>
      <c r="X156" s="4"/>
      <c r="Y156" s="4"/>
      <c r="Z156" s="4"/>
    </row>
    <row r="157" ht="15.75" customHeight="1">
      <c r="A157" s="40" t="str">
        <f>archetype_prototypes!A157</f>
        <v>8</v>
      </c>
      <c r="B157" s="9" t="str">
        <f>archetype_prototypes!B157</f>
        <v>Minimalist Companion</v>
      </c>
      <c r="C157" s="9" t="str">
        <f>archetype_prototypes!C157</f>
        <v>DIM_RISK_PREF</v>
      </c>
      <c r="D157" s="41">
        <f>archetype_prototypes!E157</f>
        <v>0.05</v>
      </c>
      <c r="E157" s="41">
        <f t="shared" si="1"/>
        <v>0.05</v>
      </c>
      <c r="F157" s="41">
        <f t="shared" si="2"/>
        <v>0.5475</v>
      </c>
      <c r="G157" s="41">
        <f t="shared" si="3"/>
        <v>1</v>
      </c>
      <c r="H157" s="42" t="str">
        <f t="array" ref="H157">XLOOKUP(C157,dimensions!$A$2:$A$22,dimensions!$E$2:$E$22,0)</f>
        <v>1.6</v>
      </c>
      <c r="I157" s="41">
        <f t="shared" si="4"/>
        <v>0.08</v>
      </c>
      <c r="J157" s="41">
        <f t="shared" si="5"/>
        <v>0.876</v>
      </c>
      <c r="K157" s="41">
        <f t="shared" si="6"/>
        <v>1.6</v>
      </c>
      <c r="L157" s="4"/>
      <c r="M157" s="4"/>
      <c r="N157" s="4"/>
      <c r="O157" s="4"/>
      <c r="P157" s="4"/>
      <c r="Q157" s="4"/>
      <c r="R157" s="4"/>
      <c r="S157" s="4"/>
      <c r="T157" s="4"/>
      <c r="U157" s="4"/>
      <c r="V157" s="4"/>
      <c r="W157" s="4"/>
      <c r="X157" s="4"/>
      <c r="Y157" s="4"/>
      <c r="Z157" s="4"/>
    </row>
    <row r="158" ht="15.75" customHeight="1">
      <c r="A158" s="40" t="str">
        <f>archetype_prototypes!A158</f>
        <v>8</v>
      </c>
      <c r="B158" s="9" t="str">
        <f>archetype_prototypes!B158</f>
        <v>Minimalist Companion</v>
      </c>
      <c r="C158" s="9" t="str">
        <f>archetype_prototypes!C158</f>
        <v>DIM_FEEDBACK_DEP</v>
      </c>
      <c r="D158" s="41">
        <f>archetype_prototypes!E158</f>
        <v>0.2</v>
      </c>
      <c r="E158" s="41">
        <f t="shared" si="1"/>
        <v>0.2</v>
      </c>
      <c r="F158" s="41">
        <f t="shared" si="2"/>
        <v>0.66</v>
      </c>
      <c r="G158" s="41">
        <f t="shared" si="3"/>
        <v>1</v>
      </c>
      <c r="H158" s="42" t="str">
        <f t="array" ref="H158">XLOOKUP(C158,dimensions!$A$2:$A$22,dimensions!$E$2:$E$22,0)</f>
        <v>2.0</v>
      </c>
      <c r="I158" s="41">
        <f t="shared" si="4"/>
        <v>0.4</v>
      </c>
      <c r="J158" s="41">
        <f t="shared" si="5"/>
        <v>1.32</v>
      </c>
      <c r="K158" s="41">
        <f t="shared" si="6"/>
        <v>2</v>
      </c>
      <c r="L158" s="4"/>
      <c r="M158" s="4"/>
      <c r="N158" s="4"/>
      <c r="O158" s="4"/>
      <c r="P158" s="4"/>
      <c r="Q158" s="4"/>
      <c r="R158" s="4"/>
      <c r="S158" s="4"/>
      <c r="T158" s="4"/>
      <c r="U158" s="4"/>
      <c r="V158" s="4"/>
      <c r="W158" s="4"/>
      <c r="X158" s="4"/>
      <c r="Y158" s="4"/>
      <c r="Z158" s="4"/>
    </row>
    <row r="159" ht="15.75" customHeight="1">
      <c r="A159" s="40" t="str">
        <f>archetype_prototypes!A159</f>
        <v>8</v>
      </c>
      <c r="B159" s="9" t="str">
        <f>archetype_prototypes!B159</f>
        <v>Minimalist Companion</v>
      </c>
      <c r="C159" s="9" t="str">
        <f>archetype_prototypes!C159</f>
        <v>DIM_TURNON_EXPRESS</v>
      </c>
      <c r="D159" s="41">
        <f>archetype_prototypes!E159</f>
        <v>0.25</v>
      </c>
      <c r="E159" s="41">
        <f t="shared" si="1"/>
        <v>0.25</v>
      </c>
      <c r="F159" s="41">
        <f t="shared" si="2"/>
        <v>0.6875</v>
      </c>
      <c r="G159" s="41">
        <f t="shared" si="3"/>
        <v>1</v>
      </c>
      <c r="H159" s="42" t="str">
        <f t="array" ref="H159">XLOOKUP(C159,dimensions!$A$2:$A$22,dimensions!$E$2:$E$22,0)</f>
        <v>1.3</v>
      </c>
      <c r="I159" s="41">
        <f t="shared" si="4"/>
        <v>0.325</v>
      </c>
      <c r="J159" s="41">
        <f t="shared" si="5"/>
        <v>0.89375</v>
      </c>
      <c r="K159" s="41">
        <f t="shared" si="6"/>
        <v>1.3</v>
      </c>
      <c r="L159" s="4"/>
      <c r="M159" s="4"/>
      <c r="N159" s="4"/>
      <c r="O159" s="4"/>
      <c r="P159" s="4"/>
      <c r="Q159" s="4"/>
      <c r="R159" s="4"/>
      <c r="S159" s="4"/>
      <c r="T159" s="4"/>
      <c r="U159" s="4"/>
      <c r="V159" s="4"/>
      <c r="W159" s="4"/>
      <c r="X159" s="4"/>
      <c r="Y159" s="4"/>
      <c r="Z159" s="4"/>
    </row>
    <row r="160" ht="15.75" customHeight="1">
      <c r="A160" s="40" t="str">
        <f>archetype_prototypes!A160</f>
        <v>8</v>
      </c>
      <c r="B160" s="9" t="str">
        <f>archetype_prototypes!B160</f>
        <v>Minimalist Companion</v>
      </c>
      <c r="C160" s="9" t="str">
        <f>archetype_prototypes!C160</f>
        <v>DIM_BOUNDARY_EXPRESS</v>
      </c>
      <c r="D160" s="41">
        <f>archetype_prototypes!E160</f>
        <v>0.4</v>
      </c>
      <c r="E160" s="41">
        <f t="shared" si="1"/>
        <v>0.4</v>
      </c>
      <c r="F160" s="41">
        <f t="shared" si="2"/>
        <v>0.74</v>
      </c>
      <c r="G160" s="41">
        <f t="shared" si="3"/>
        <v>1</v>
      </c>
      <c r="H160" s="42" t="str">
        <f t="array" ref="H160">XLOOKUP(C160,dimensions!$A$2:$A$22,dimensions!$E$2:$E$22,0)</f>
        <v>1.3</v>
      </c>
      <c r="I160" s="41">
        <f t="shared" si="4"/>
        <v>0.52</v>
      </c>
      <c r="J160" s="41">
        <f t="shared" si="5"/>
        <v>0.962</v>
      </c>
      <c r="K160" s="41">
        <f t="shared" si="6"/>
        <v>1.3</v>
      </c>
      <c r="L160" s="4"/>
      <c r="M160" s="4"/>
      <c r="N160" s="4"/>
      <c r="O160" s="4"/>
      <c r="P160" s="4"/>
      <c r="Q160" s="4"/>
      <c r="R160" s="4"/>
      <c r="S160" s="4"/>
      <c r="T160" s="4"/>
      <c r="U160" s="4"/>
      <c r="V160" s="4"/>
      <c r="W160" s="4"/>
      <c r="X160" s="4"/>
      <c r="Y160" s="4"/>
      <c r="Z160" s="4"/>
    </row>
    <row r="161" ht="15.75" customHeight="1">
      <c r="A161" s="40" t="str">
        <f>archetype_prototypes!A161</f>
        <v>8</v>
      </c>
      <c r="B161" s="9" t="str">
        <f>archetype_prototypes!B161</f>
        <v>Minimalist Companion</v>
      </c>
      <c r="C161" s="9" t="str">
        <f>archetype_prototypes!C161</f>
        <v>DIM_PROTOCOL</v>
      </c>
      <c r="D161" s="41">
        <f>archetype_prototypes!E161</f>
        <v>0.35</v>
      </c>
      <c r="E161" s="41">
        <f t="shared" si="1"/>
        <v>0.35</v>
      </c>
      <c r="F161" s="41">
        <f t="shared" si="2"/>
        <v>0.7275</v>
      </c>
      <c r="G161" s="41">
        <f t="shared" si="3"/>
        <v>1</v>
      </c>
      <c r="H161" s="42" t="str">
        <f t="array" ref="H161">XLOOKUP(C161,dimensions!$A$2:$A$22,dimensions!$E$2:$E$22,0)</f>
        <v>1.6</v>
      </c>
      <c r="I161" s="41">
        <f t="shared" si="4"/>
        <v>0.56</v>
      </c>
      <c r="J161" s="41">
        <f t="shared" si="5"/>
        <v>1.164</v>
      </c>
      <c r="K161" s="41">
        <f t="shared" si="6"/>
        <v>1.6</v>
      </c>
      <c r="L161" s="4"/>
      <c r="M161" s="4"/>
      <c r="N161" s="4"/>
      <c r="O161" s="4"/>
      <c r="P161" s="4"/>
      <c r="Q161" s="4"/>
      <c r="R161" s="4"/>
      <c r="S161" s="4"/>
      <c r="T161" s="4"/>
      <c r="U161" s="4"/>
      <c r="V161" s="4"/>
      <c r="W161" s="4"/>
      <c r="X161" s="4"/>
      <c r="Y161" s="4"/>
      <c r="Z161" s="4"/>
    </row>
    <row r="162" ht="15.75" customHeight="1">
      <c r="A162" s="40" t="str">
        <f>archetype_prototypes!A162</f>
        <v>8</v>
      </c>
      <c r="B162" s="9" t="str">
        <f>archetype_prototypes!B162</f>
        <v>Minimalist Companion</v>
      </c>
      <c r="C162" s="9" t="str">
        <f>archetype_prototypes!C162</f>
        <v>DIM_SOOTHING</v>
      </c>
      <c r="D162" s="41">
        <f>archetype_prototypes!E162</f>
        <v>0.25</v>
      </c>
      <c r="E162" s="41">
        <f t="shared" si="1"/>
        <v>0.25</v>
      </c>
      <c r="F162" s="41">
        <f t="shared" si="2"/>
        <v>0.6875</v>
      </c>
      <c r="G162" s="41">
        <f t="shared" si="3"/>
        <v>1</v>
      </c>
      <c r="H162" s="42" t="str">
        <f t="array" ref="H162">XLOOKUP(C162,dimensions!$A$2:$A$22,dimensions!$E$2:$E$22,0)</f>
        <v>1.9</v>
      </c>
      <c r="I162" s="41">
        <f t="shared" si="4"/>
        <v>0.475</v>
      </c>
      <c r="J162" s="41">
        <f t="shared" si="5"/>
        <v>1.30625</v>
      </c>
      <c r="K162" s="41">
        <f t="shared" si="6"/>
        <v>1.9</v>
      </c>
      <c r="L162" s="4"/>
      <c r="M162" s="4"/>
      <c r="N162" s="4"/>
      <c r="O162" s="4"/>
      <c r="P162" s="4"/>
      <c r="Q162" s="4"/>
      <c r="R162" s="4"/>
      <c r="S162" s="4"/>
      <c r="T162" s="4"/>
      <c r="U162" s="4"/>
      <c r="V162" s="4"/>
      <c r="W162" s="4"/>
      <c r="X162" s="4"/>
      <c r="Y162" s="4"/>
      <c r="Z162" s="4"/>
    </row>
    <row r="163" ht="15.75" customHeight="1">
      <c r="A163" s="40" t="str">
        <f>archetype_prototypes!A163</f>
        <v>8</v>
      </c>
      <c r="B163" s="9" t="str">
        <f>archetype_prototypes!B163</f>
        <v>Minimalist Companion</v>
      </c>
      <c r="C163" s="9" t="str">
        <f>archetype_prototypes!C163</f>
        <v>DIM_SECURE</v>
      </c>
      <c r="D163" s="41">
        <f>archetype_prototypes!E163</f>
        <v>0.4</v>
      </c>
      <c r="E163" s="41">
        <f t="shared" si="1"/>
        <v>0.4</v>
      </c>
      <c r="F163" s="41">
        <f t="shared" si="2"/>
        <v>0.74</v>
      </c>
      <c r="G163" s="41">
        <f t="shared" si="3"/>
        <v>1</v>
      </c>
      <c r="H163" s="42" t="str">
        <f t="array" ref="H163">XLOOKUP(C163,dimensions!$A$2:$A$22,dimensions!$E$2:$E$22,0)</f>
        <v>1</v>
      </c>
      <c r="I163" s="41">
        <f t="shared" si="4"/>
        <v>0.4</v>
      </c>
      <c r="J163" s="41">
        <f t="shared" si="5"/>
        <v>0.74</v>
      </c>
      <c r="K163" s="41">
        <f t="shared" si="6"/>
        <v>1</v>
      </c>
      <c r="L163" s="4"/>
      <c r="M163" s="4"/>
      <c r="N163" s="4"/>
      <c r="O163" s="4"/>
      <c r="P163" s="4"/>
      <c r="Q163" s="4"/>
      <c r="R163" s="4"/>
      <c r="S163" s="4"/>
      <c r="T163" s="4"/>
      <c r="U163" s="4"/>
      <c r="V163" s="4"/>
      <c r="W163" s="4"/>
      <c r="X163" s="4"/>
      <c r="Y163" s="4"/>
      <c r="Z163" s="4"/>
    </row>
    <row r="164" ht="15.75" customHeight="1">
      <c r="A164" s="40" t="str">
        <f>archetype_prototypes!A164</f>
        <v>8</v>
      </c>
      <c r="B164" s="9" t="str">
        <f>archetype_prototypes!B164</f>
        <v>Minimalist Companion</v>
      </c>
      <c r="C164" s="9" t="str">
        <f>archetype_prototypes!C164</f>
        <v>DIM_REPAIR_EROTICISM</v>
      </c>
      <c r="D164" s="41">
        <f>archetype_prototypes!E164</f>
        <v>0.25</v>
      </c>
      <c r="E164" s="41">
        <f t="shared" si="1"/>
        <v>0.25</v>
      </c>
      <c r="F164" s="41">
        <f t="shared" si="2"/>
        <v>0.6875</v>
      </c>
      <c r="G164" s="41">
        <f t="shared" si="3"/>
        <v>1</v>
      </c>
      <c r="H164" s="42" t="str">
        <f t="array" ref="H164">XLOOKUP(C164,dimensions!$A$2:$A$22,dimensions!$E$2:$E$22,0)</f>
        <v>1.6</v>
      </c>
      <c r="I164" s="41">
        <f t="shared" si="4"/>
        <v>0.4</v>
      </c>
      <c r="J164" s="41">
        <f t="shared" si="5"/>
        <v>1.1</v>
      </c>
      <c r="K164" s="41">
        <f t="shared" si="6"/>
        <v>1.6</v>
      </c>
      <c r="L164" s="4"/>
      <c r="M164" s="4"/>
      <c r="N164" s="4"/>
      <c r="O164" s="4"/>
      <c r="P164" s="4"/>
      <c r="Q164" s="4"/>
      <c r="R164" s="4"/>
      <c r="S164" s="4"/>
      <c r="T164" s="4"/>
      <c r="U164" s="4"/>
      <c r="V164" s="4"/>
      <c r="W164" s="4"/>
      <c r="X164" s="4"/>
      <c r="Y164" s="4"/>
      <c r="Z164" s="4"/>
    </row>
    <row r="165" ht="15.75" customHeight="1">
      <c r="A165" s="40" t="str">
        <f>archetype_prototypes!A165</f>
        <v>8</v>
      </c>
      <c r="B165" s="9" t="str">
        <f>archetype_prototypes!B165</f>
        <v>Minimalist Companion</v>
      </c>
      <c r="C165" s="9" t="str">
        <f>archetype_prototypes!C165</f>
        <v>DIM_PRESSURE_SHUTDOWN</v>
      </c>
      <c r="D165" s="41">
        <f>archetype_prototypes!E165</f>
        <v>0.55</v>
      </c>
      <c r="E165" s="41">
        <f t="shared" si="1"/>
        <v>0.45</v>
      </c>
      <c r="F165" s="41">
        <f t="shared" si="2"/>
        <v>0.7475</v>
      </c>
      <c r="G165" s="41">
        <f t="shared" si="3"/>
        <v>1</v>
      </c>
      <c r="H165" s="42" t="str">
        <f t="array" ref="H165">XLOOKUP(C165,dimensions!$A$2:$A$22,dimensions!$E$2:$E$22,0)</f>
        <v>2.0</v>
      </c>
      <c r="I165" s="41">
        <f t="shared" si="4"/>
        <v>0.9</v>
      </c>
      <c r="J165" s="41">
        <f t="shared" si="5"/>
        <v>1.495</v>
      </c>
      <c r="K165" s="41">
        <f t="shared" si="6"/>
        <v>2</v>
      </c>
      <c r="L165" s="4"/>
      <c r="M165" s="4"/>
      <c r="N165" s="4"/>
      <c r="O165" s="4"/>
      <c r="P165" s="4"/>
      <c r="Q165" s="4"/>
      <c r="R165" s="4"/>
      <c r="S165" s="4"/>
      <c r="T165" s="4"/>
      <c r="U165" s="4"/>
      <c r="V165" s="4"/>
      <c r="W165" s="4"/>
      <c r="X165" s="4"/>
      <c r="Y165" s="4"/>
      <c r="Z165" s="4"/>
    </row>
    <row r="166" ht="15.75" customHeight="1">
      <c r="A166" s="40" t="str">
        <f>archetype_prototypes!A166</f>
        <v>8</v>
      </c>
      <c r="B166" s="9" t="str">
        <f>archetype_prototypes!B166</f>
        <v>Minimalist Companion</v>
      </c>
      <c r="C166" s="9" t="str">
        <f>archetype_prototypes!C166</f>
        <v>DIM_AVOIDANT</v>
      </c>
      <c r="D166" s="41">
        <f>archetype_prototypes!E166</f>
        <v>0.65</v>
      </c>
      <c r="E166" s="41">
        <f t="shared" si="1"/>
        <v>0.35</v>
      </c>
      <c r="F166" s="41">
        <f t="shared" si="2"/>
        <v>0.7275</v>
      </c>
      <c r="G166" s="41">
        <f t="shared" si="3"/>
        <v>1</v>
      </c>
      <c r="H166" s="42" t="str">
        <f t="array" ref="H166">XLOOKUP(C166,dimensions!$A$2:$A$22,dimensions!$E$2:$E$22,0)</f>
        <v>1.3</v>
      </c>
      <c r="I166" s="41">
        <f t="shared" si="4"/>
        <v>0.455</v>
      </c>
      <c r="J166" s="41">
        <f t="shared" si="5"/>
        <v>0.94575</v>
      </c>
      <c r="K166" s="41">
        <f t="shared" si="6"/>
        <v>1.3</v>
      </c>
      <c r="L166" s="4"/>
      <c r="M166" s="4"/>
      <c r="N166" s="4"/>
      <c r="O166" s="4"/>
      <c r="P166" s="4"/>
      <c r="Q166" s="4"/>
      <c r="R166" s="4"/>
      <c r="S166" s="4"/>
      <c r="T166" s="4"/>
      <c r="U166" s="4"/>
      <c r="V166" s="4"/>
      <c r="W166" s="4"/>
      <c r="X166" s="4"/>
      <c r="Y166" s="4"/>
      <c r="Z166" s="4"/>
    </row>
    <row r="167" ht="15.75" customHeight="1">
      <c r="A167" s="40" t="str">
        <f>archetype_prototypes!A167</f>
        <v>8</v>
      </c>
      <c r="B167" s="9" t="str">
        <f>archetype_prototypes!B167</f>
        <v>Minimalist Companion</v>
      </c>
      <c r="C167" s="9" t="str">
        <f>archetype_prototypes!C167</f>
        <v>DIM_STRATEGY</v>
      </c>
      <c r="D167" s="41">
        <f>archetype_prototypes!E167</f>
        <v>0.05</v>
      </c>
      <c r="E167" s="41">
        <f t="shared" si="1"/>
        <v>0.05</v>
      </c>
      <c r="F167" s="41">
        <f t="shared" si="2"/>
        <v>0.5475</v>
      </c>
      <c r="G167" s="41">
        <f t="shared" si="3"/>
        <v>1</v>
      </c>
      <c r="H167" s="42" t="str">
        <f t="array" ref="H167">XLOOKUP(C167,dimensions!$A$2:$A$22,dimensions!$E$2:$E$22,0)</f>
        <v>1.2</v>
      </c>
      <c r="I167" s="41">
        <f t="shared" si="4"/>
        <v>0.06</v>
      </c>
      <c r="J167" s="41">
        <f t="shared" si="5"/>
        <v>0.657</v>
      </c>
      <c r="K167" s="41">
        <f t="shared" si="6"/>
        <v>1.2</v>
      </c>
      <c r="L167" s="4"/>
      <c r="M167" s="4"/>
      <c r="N167" s="4"/>
      <c r="O167" s="4"/>
      <c r="P167" s="4"/>
      <c r="Q167" s="4"/>
      <c r="R167" s="4"/>
      <c r="S167" s="4"/>
      <c r="T167" s="4"/>
      <c r="U167" s="4"/>
      <c r="V167" s="4"/>
      <c r="W167" s="4"/>
      <c r="X167" s="4"/>
      <c r="Y167" s="4"/>
      <c r="Z167" s="4"/>
    </row>
    <row r="168" ht="15.75" customHeight="1">
      <c r="A168" s="40" t="str">
        <f>archetype_prototypes!A168</f>
        <v>8</v>
      </c>
      <c r="B168" s="9" t="str">
        <f>archetype_prototypes!B168</f>
        <v>Minimalist Companion</v>
      </c>
      <c r="C168" s="9" t="str">
        <f>archetype_prototypes!C168</f>
        <v>DIM_CLOSENESS_ORIENTATION</v>
      </c>
      <c r="D168" s="41">
        <f>archetype_prototypes!E168</f>
        <v>0.25</v>
      </c>
      <c r="E168" s="41">
        <f t="shared" si="1"/>
        <v>0.25</v>
      </c>
      <c r="F168" s="41">
        <f t="shared" si="2"/>
        <v>0.6875</v>
      </c>
      <c r="G168" s="41">
        <f t="shared" si="3"/>
        <v>1</v>
      </c>
      <c r="H168" s="42">
        <f t="array" ref="H168">XLOOKUP(C168,dimensions!$A$2:$A$22,dimensions!$E$2:$E$22,0)</f>
        <v>1</v>
      </c>
      <c r="I168" s="41">
        <f t="shared" si="4"/>
        <v>0.25</v>
      </c>
      <c r="J168" s="41">
        <f t="shared" si="5"/>
        <v>0.6875</v>
      </c>
      <c r="K168" s="41">
        <f t="shared" si="6"/>
        <v>1</v>
      </c>
      <c r="L168" s="4"/>
      <c r="M168" s="4"/>
      <c r="N168" s="4"/>
      <c r="O168" s="4"/>
      <c r="P168" s="4"/>
      <c r="Q168" s="4"/>
      <c r="R168" s="4"/>
      <c r="S168" s="4"/>
      <c r="T168" s="4"/>
      <c r="U168" s="4"/>
      <c r="V168" s="4"/>
      <c r="W168" s="4"/>
      <c r="X168" s="4"/>
      <c r="Y168" s="4"/>
      <c r="Z168" s="4"/>
    </row>
    <row r="169" ht="15.75" customHeight="1">
      <c r="A169" s="40" t="str">
        <f>archetype_prototypes!A169</f>
        <v>8</v>
      </c>
      <c r="B169" s="9" t="str">
        <f>archetype_prototypes!B169</f>
        <v>Minimalist Companion</v>
      </c>
      <c r="C169" s="9" t="str">
        <f>archetype_prototypes!C169</f>
        <v>DIM_PARTNER_FOCUS</v>
      </c>
      <c r="D169" s="41">
        <f>archetype_prototypes!E169</f>
        <v>0.4</v>
      </c>
      <c r="E169" s="41">
        <f t="shared" si="1"/>
        <v>0.4</v>
      </c>
      <c r="F169" s="41">
        <f t="shared" si="2"/>
        <v>0.74</v>
      </c>
      <c r="G169" s="41">
        <f t="shared" si="3"/>
        <v>1</v>
      </c>
      <c r="H169" s="42">
        <f t="array" ref="H169">XLOOKUP(C169,dimensions!$A$2:$A$22,dimensions!$E$2:$E$22,0)</f>
        <v>1.2</v>
      </c>
      <c r="I169" s="41">
        <f t="shared" si="4"/>
        <v>0.48</v>
      </c>
      <c r="J169" s="41">
        <f t="shared" si="5"/>
        <v>0.888</v>
      </c>
      <c r="K169" s="41">
        <f t="shared" si="6"/>
        <v>1.2</v>
      </c>
      <c r="L169" s="4"/>
      <c r="M169" s="4"/>
      <c r="N169" s="4"/>
      <c r="O169" s="4"/>
      <c r="P169" s="4"/>
      <c r="Q169" s="4"/>
      <c r="R169" s="4"/>
      <c r="S169" s="4"/>
      <c r="T169" s="4"/>
      <c r="U169" s="4"/>
      <c r="V169" s="4"/>
      <c r="W169" s="4"/>
      <c r="X169" s="4"/>
      <c r="Y169" s="4"/>
      <c r="Z169" s="4"/>
    </row>
    <row r="170" ht="15.75" customHeight="1">
      <c r="A170" s="40" t="str">
        <f>archetype_prototypes!A170</f>
        <v>9</v>
      </c>
      <c r="B170" s="9" t="str">
        <f>archetype_prototypes!B170</f>
        <v>Emotional Voyeur</v>
      </c>
      <c r="C170" s="9" t="str">
        <f>archetype_prototypes!C170</f>
        <v>DIM_NOVELTY</v>
      </c>
      <c r="D170" s="41">
        <f>archetype_prototypes!E170</f>
        <v>0.4</v>
      </c>
      <c r="E170" s="41">
        <f t="shared" si="1"/>
        <v>0.4</v>
      </c>
      <c r="F170" s="41">
        <f t="shared" si="2"/>
        <v>0.74</v>
      </c>
      <c r="G170" s="41">
        <f t="shared" si="3"/>
        <v>1</v>
      </c>
      <c r="H170" s="42" t="str">
        <f t="array" ref="H170">XLOOKUP(C170,dimensions!$A$2:$A$22,dimensions!$E$2:$E$22,0)</f>
        <v>1.4</v>
      </c>
      <c r="I170" s="41">
        <f t="shared" si="4"/>
        <v>0.56</v>
      </c>
      <c r="J170" s="41">
        <f t="shared" si="5"/>
        <v>1.036</v>
      </c>
      <c r="K170" s="41">
        <f t="shared" si="6"/>
        <v>1.4</v>
      </c>
      <c r="L170" s="4"/>
      <c r="M170" s="4"/>
      <c r="N170" s="4"/>
      <c r="O170" s="4"/>
      <c r="P170" s="4"/>
      <c r="Q170" s="4"/>
      <c r="R170" s="4"/>
      <c r="S170" s="4"/>
      <c r="T170" s="4"/>
      <c r="U170" s="4"/>
      <c r="V170" s="4"/>
      <c r="W170" s="4"/>
      <c r="X170" s="4"/>
      <c r="Y170" s="4"/>
      <c r="Z170" s="4"/>
    </row>
    <row r="171" ht="15.75" customHeight="1">
      <c r="A171" s="40" t="str">
        <f>archetype_prototypes!A171</f>
        <v>9</v>
      </c>
      <c r="B171" s="9" t="str">
        <f>archetype_prototypes!B171</f>
        <v>Emotional Voyeur</v>
      </c>
      <c r="C171" s="9" t="str">
        <f>archetype_prototypes!C171</f>
        <v>DIM_RESPONSIVE</v>
      </c>
      <c r="D171" s="41">
        <f>archetype_prototypes!E171</f>
        <v>0.5</v>
      </c>
      <c r="E171" s="41">
        <f t="shared" si="1"/>
        <v>0.5</v>
      </c>
      <c r="F171" s="41">
        <f t="shared" si="2"/>
        <v>0.75</v>
      </c>
      <c r="G171" s="41">
        <f t="shared" si="3"/>
        <v>1</v>
      </c>
      <c r="H171" s="42" t="str">
        <f t="array" ref="H171">XLOOKUP(C171,dimensions!$A$2:$A$22,dimensions!$E$2:$E$22,0)</f>
        <v>1.6</v>
      </c>
      <c r="I171" s="41">
        <f t="shared" si="4"/>
        <v>0.8</v>
      </c>
      <c r="J171" s="41">
        <f t="shared" si="5"/>
        <v>1.2</v>
      </c>
      <c r="K171" s="41">
        <f t="shared" si="6"/>
        <v>1.6</v>
      </c>
      <c r="L171" s="4"/>
      <c r="M171" s="4"/>
      <c r="N171" s="4"/>
      <c r="O171" s="4"/>
      <c r="P171" s="4"/>
      <c r="Q171" s="4"/>
      <c r="R171" s="4"/>
      <c r="S171" s="4"/>
      <c r="T171" s="4"/>
      <c r="U171" s="4"/>
      <c r="V171" s="4"/>
      <c r="W171" s="4"/>
      <c r="X171" s="4"/>
      <c r="Y171" s="4"/>
      <c r="Z171" s="4"/>
    </row>
    <row r="172" ht="15.75" customHeight="1">
      <c r="A172" s="40" t="str">
        <f>archetype_prototypes!A172</f>
        <v>9</v>
      </c>
      <c r="B172" s="9" t="str">
        <f>archetype_prototypes!B172</f>
        <v>Emotional Voyeur</v>
      </c>
      <c r="C172" s="9" t="str">
        <f>archetype_prototypes!C172</f>
        <v>DIM_PLANNED</v>
      </c>
      <c r="D172" s="41">
        <f>archetype_prototypes!E172</f>
        <v>0.5</v>
      </c>
      <c r="E172" s="41">
        <f t="shared" si="1"/>
        <v>0.5</v>
      </c>
      <c r="F172" s="41">
        <f t="shared" si="2"/>
        <v>0.75</v>
      </c>
      <c r="G172" s="41">
        <f t="shared" si="3"/>
        <v>1</v>
      </c>
      <c r="H172" s="42" t="str">
        <f t="array" ref="H172">XLOOKUP(C172,dimensions!$A$2:$A$22,dimensions!$E$2:$E$22,0)</f>
        <v>1.3</v>
      </c>
      <c r="I172" s="41">
        <f t="shared" si="4"/>
        <v>0.65</v>
      </c>
      <c r="J172" s="41">
        <f t="shared" si="5"/>
        <v>0.975</v>
      </c>
      <c r="K172" s="41">
        <f t="shared" si="6"/>
        <v>1.3</v>
      </c>
      <c r="L172" s="4"/>
      <c r="M172" s="4"/>
      <c r="N172" s="4"/>
      <c r="O172" s="4"/>
      <c r="P172" s="4"/>
      <c r="Q172" s="4"/>
      <c r="R172" s="4"/>
      <c r="S172" s="4"/>
      <c r="T172" s="4"/>
      <c r="U172" s="4"/>
      <c r="V172" s="4"/>
      <c r="W172" s="4"/>
      <c r="X172" s="4"/>
      <c r="Y172" s="4"/>
      <c r="Z172" s="4"/>
    </row>
    <row r="173" ht="15.75" customHeight="1">
      <c r="A173" s="40" t="str">
        <f>archetype_prototypes!A173</f>
        <v>9</v>
      </c>
      <c r="B173" s="9" t="str">
        <f>archetype_prototypes!B173</f>
        <v>Emotional Voyeur</v>
      </c>
      <c r="C173" s="9" t="str">
        <f>archetype_prototypes!C173</f>
        <v>DIM_EMO_CONNECTION</v>
      </c>
      <c r="D173" s="41">
        <f>archetype_prototypes!E173</f>
        <v>0.45</v>
      </c>
      <c r="E173" s="41">
        <f t="shared" si="1"/>
        <v>0.45</v>
      </c>
      <c r="F173" s="41">
        <f t="shared" si="2"/>
        <v>0.7475</v>
      </c>
      <c r="G173" s="41">
        <f t="shared" si="3"/>
        <v>1</v>
      </c>
      <c r="H173" s="42" t="str">
        <f t="array" ref="H173">XLOOKUP(C173,dimensions!$A$2:$A$22,dimensions!$E$2:$E$22,0)</f>
        <v>1.4</v>
      </c>
      <c r="I173" s="41">
        <f t="shared" si="4"/>
        <v>0.63</v>
      </c>
      <c r="J173" s="41">
        <f t="shared" si="5"/>
        <v>1.0465</v>
      </c>
      <c r="K173" s="41">
        <f t="shared" si="6"/>
        <v>1.4</v>
      </c>
      <c r="L173" s="4"/>
      <c r="M173" s="4"/>
      <c r="N173" s="4"/>
      <c r="O173" s="4"/>
      <c r="P173" s="4"/>
      <c r="Q173" s="4"/>
      <c r="R173" s="4"/>
      <c r="S173" s="4"/>
      <c r="T173" s="4"/>
      <c r="U173" s="4"/>
      <c r="V173" s="4"/>
      <c r="W173" s="4"/>
      <c r="X173" s="4"/>
      <c r="Y173" s="4"/>
      <c r="Z173" s="4"/>
    </row>
    <row r="174" ht="15.75" customHeight="1">
      <c r="A174" s="40" t="str">
        <f>archetype_prototypes!A174</f>
        <v>9</v>
      </c>
      <c r="B174" s="9" t="str">
        <f>archetype_prototypes!B174</f>
        <v>Emotional Voyeur</v>
      </c>
      <c r="C174" s="9" t="str">
        <f>archetype_prototypes!C174</f>
        <v>DIM_INTENSITY</v>
      </c>
      <c r="D174" s="41">
        <f>archetype_prototypes!E174</f>
        <v>0.3</v>
      </c>
      <c r="E174" s="41">
        <f t="shared" si="1"/>
        <v>0.3</v>
      </c>
      <c r="F174" s="41">
        <f t="shared" si="2"/>
        <v>0.71</v>
      </c>
      <c r="G174" s="41">
        <f t="shared" si="3"/>
        <v>1</v>
      </c>
      <c r="H174" s="42" t="str">
        <f t="array" ref="H174">XLOOKUP(C174,dimensions!$A$2:$A$22,dimensions!$E$2:$E$22,0)</f>
        <v>1.4</v>
      </c>
      <c r="I174" s="41">
        <f t="shared" si="4"/>
        <v>0.42</v>
      </c>
      <c r="J174" s="41">
        <f t="shared" si="5"/>
        <v>0.994</v>
      </c>
      <c r="K174" s="41">
        <f t="shared" si="6"/>
        <v>1.4</v>
      </c>
      <c r="L174" s="4"/>
      <c r="M174" s="4"/>
      <c r="N174" s="4"/>
      <c r="O174" s="4"/>
      <c r="P174" s="4"/>
      <c r="Q174" s="4"/>
      <c r="R174" s="4"/>
      <c r="S174" s="4"/>
      <c r="T174" s="4"/>
      <c r="U174" s="4"/>
      <c r="V174" s="4"/>
      <c r="W174" s="4"/>
      <c r="X174" s="4"/>
      <c r="Y174" s="4"/>
      <c r="Z174" s="4"/>
    </row>
    <row r="175" ht="15.75" customHeight="1">
      <c r="A175" s="40" t="str">
        <f>archetype_prototypes!A175</f>
        <v>9</v>
      </c>
      <c r="B175" s="9" t="str">
        <f>archetype_prototypes!B175</f>
        <v>Emotional Voyeur</v>
      </c>
      <c r="C175" s="9" t="str">
        <f>archetype_prototypes!C175</f>
        <v>DIM_PURSUIT</v>
      </c>
      <c r="D175" s="41">
        <f>archetype_prototypes!E175</f>
        <v>0.25</v>
      </c>
      <c r="E175" s="41">
        <f t="shared" si="1"/>
        <v>0.25</v>
      </c>
      <c r="F175" s="41">
        <f t="shared" si="2"/>
        <v>0.6875</v>
      </c>
      <c r="G175" s="41">
        <f t="shared" si="3"/>
        <v>1</v>
      </c>
      <c r="H175" s="42" t="str">
        <f t="array" ref="H175">XLOOKUP(C175,dimensions!$A$2:$A$22,dimensions!$E$2:$E$22,0)</f>
        <v>1.4</v>
      </c>
      <c r="I175" s="41">
        <f t="shared" si="4"/>
        <v>0.35</v>
      </c>
      <c r="J175" s="41">
        <f t="shared" si="5"/>
        <v>0.9625</v>
      </c>
      <c r="K175" s="41">
        <f t="shared" si="6"/>
        <v>1.4</v>
      </c>
      <c r="L175" s="4"/>
      <c r="M175" s="4"/>
      <c r="N175" s="4"/>
      <c r="O175" s="4"/>
      <c r="P175" s="4"/>
      <c r="Q175" s="4"/>
      <c r="R175" s="4"/>
      <c r="S175" s="4"/>
      <c r="T175" s="4"/>
      <c r="U175" s="4"/>
      <c r="V175" s="4"/>
      <c r="W175" s="4"/>
      <c r="X175" s="4"/>
      <c r="Y175" s="4"/>
      <c r="Z175" s="4"/>
    </row>
    <row r="176" ht="15.75" customHeight="1">
      <c r="A176" s="40" t="str">
        <f>archetype_prototypes!A176</f>
        <v>9</v>
      </c>
      <c r="B176" s="9" t="str">
        <f>archetype_prototypes!B176</f>
        <v>Emotional Voyeur</v>
      </c>
      <c r="C176" s="9" t="str">
        <f>archetype_prototypes!C176</f>
        <v>DIM_EDGE_NEED</v>
      </c>
      <c r="D176" s="41">
        <f>archetype_prototypes!E176</f>
        <v>0.3</v>
      </c>
      <c r="E176" s="41">
        <f t="shared" si="1"/>
        <v>0.3</v>
      </c>
      <c r="F176" s="41">
        <f t="shared" si="2"/>
        <v>0.71</v>
      </c>
      <c r="G176" s="41">
        <f t="shared" si="3"/>
        <v>1</v>
      </c>
      <c r="H176" s="42" t="str">
        <f t="array" ref="H176">XLOOKUP(C176,dimensions!$A$2:$A$22,dimensions!$E$2:$E$22,0)</f>
        <v>1.8</v>
      </c>
      <c r="I176" s="41">
        <f t="shared" si="4"/>
        <v>0.54</v>
      </c>
      <c r="J176" s="41">
        <f t="shared" si="5"/>
        <v>1.278</v>
      </c>
      <c r="K176" s="41">
        <f t="shared" si="6"/>
        <v>1.8</v>
      </c>
      <c r="L176" s="4"/>
      <c r="M176" s="4"/>
      <c r="N176" s="4"/>
      <c r="O176" s="4"/>
      <c r="P176" s="4"/>
      <c r="Q176" s="4"/>
      <c r="R176" s="4"/>
      <c r="S176" s="4"/>
      <c r="T176" s="4"/>
      <c r="U176" s="4"/>
      <c r="V176" s="4"/>
      <c r="W176" s="4"/>
      <c r="X176" s="4"/>
      <c r="Y176" s="4"/>
      <c r="Z176" s="4"/>
    </row>
    <row r="177" ht="15.75" customHeight="1">
      <c r="A177" s="40" t="str">
        <f>archetype_prototypes!A177</f>
        <v>9</v>
      </c>
      <c r="B177" s="9" t="str">
        <f>archetype_prototypes!B177</f>
        <v>Emotional Voyeur</v>
      </c>
      <c r="C177" s="9" t="str">
        <f>archetype_prototypes!C177</f>
        <v>DIM_SACRED</v>
      </c>
      <c r="D177" s="41">
        <f>archetype_prototypes!E177</f>
        <v>0.2</v>
      </c>
      <c r="E177" s="41">
        <f t="shared" si="1"/>
        <v>0.2</v>
      </c>
      <c r="F177" s="41">
        <f t="shared" si="2"/>
        <v>0.66</v>
      </c>
      <c r="G177" s="41">
        <f t="shared" si="3"/>
        <v>1</v>
      </c>
      <c r="H177" s="42" t="str">
        <f t="array" ref="H177">XLOOKUP(C177,dimensions!$A$2:$A$22,dimensions!$E$2:$E$22,0)</f>
        <v>2.0</v>
      </c>
      <c r="I177" s="41">
        <f t="shared" si="4"/>
        <v>0.4</v>
      </c>
      <c r="J177" s="41">
        <f t="shared" si="5"/>
        <v>1.32</v>
      </c>
      <c r="K177" s="41">
        <f t="shared" si="6"/>
        <v>2</v>
      </c>
      <c r="L177" s="4"/>
      <c r="M177" s="4"/>
      <c r="N177" s="4"/>
      <c r="O177" s="4"/>
      <c r="P177" s="4"/>
      <c r="Q177" s="4"/>
      <c r="R177" s="4"/>
      <c r="S177" s="4"/>
      <c r="T177" s="4"/>
      <c r="U177" s="4"/>
      <c r="V177" s="4"/>
      <c r="W177" s="4"/>
      <c r="X177" s="4"/>
      <c r="Y177" s="4"/>
      <c r="Z177" s="4"/>
    </row>
    <row r="178" ht="15.75" customHeight="1">
      <c r="A178" s="40" t="str">
        <f>archetype_prototypes!A178</f>
        <v>9</v>
      </c>
      <c r="B178" s="9" t="str">
        <f>archetype_prototypes!B178</f>
        <v>Emotional Voyeur</v>
      </c>
      <c r="C178" s="9" t="str">
        <f>archetype_prototypes!C178</f>
        <v>DIM_RISK_PREF</v>
      </c>
      <c r="D178" s="41">
        <f>archetype_prototypes!E178</f>
        <v>0.25</v>
      </c>
      <c r="E178" s="41">
        <f t="shared" si="1"/>
        <v>0.25</v>
      </c>
      <c r="F178" s="41">
        <f t="shared" si="2"/>
        <v>0.6875</v>
      </c>
      <c r="G178" s="41">
        <f t="shared" si="3"/>
        <v>1</v>
      </c>
      <c r="H178" s="42" t="str">
        <f t="array" ref="H178">XLOOKUP(C178,dimensions!$A$2:$A$22,dimensions!$E$2:$E$22,0)</f>
        <v>1.6</v>
      </c>
      <c r="I178" s="41">
        <f t="shared" si="4"/>
        <v>0.4</v>
      </c>
      <c r="J178" s="41">
        <f t="shared" si="5"/>
        <v>1.1</v>
      </c>
      <c r="K178" s="41">
        <f t="shared" si="6"/>
        <v>1.6</v>
      </c>
      <c r="L178" s="4"/>
      <c r="M178" s="4"/>
      <c r="N178" s="4"/>
      <c r="O178" s="4"/>
      <c r="P178" s="4"/>
      <c r="Q178" s="4"/>
      <c r="R178" s="4"/>
      <c r="S178" s="4"/>
      <c r="T178" s="4"/>
      <c r="U178" s="4"/>
      <c r="V178" s="4"/>
      <c r="W178" s="4"/>
      <c r="X178" s="4"/>
      <c r="Y178" s="4"/>
      <c r="Z178" s="4"/>
    </row>
    <row r="179" ht="15.75" customHeight="1">
      <c r="A179" s="40" t="str">
        <f>archetype_prototypes!A179</f>
        <v>9</v>
      </c>
      <c r="B179" s="9" t="str">
        <f>archetype_prototypes!B179</f>
        <v>Emotional Voyeur</v>
      </c>
      <c r="C179" s="9" t="str">
        <f>archetype_prototypes!C179</f>
        <v>DIM_FEEDBACK_DEP</v>
      </c>
      <c r="D179" s="41">
        <f>archetype_prototypes!E179</f>
        <v>0.2</v>
      </c>
      <c r="E179" s="41">
        <f t="shared" si="1"/>
        <v>0.2</v>
      </c>
      <c r="F179" s="41">
        <f t="shared" si="2"/>
        <v>0.66</v>
      </c>
      <c r="G179" s="41">
        <f t="shared" si="3"/>
        <v>1</v>
      </c>
      <c r="H179" s="42" t="str">
        <f t="array" ref="H179">XLOOKUP(C179,dimensions!$A$2:$A$22,dimensions!$E$2:$E$22,0)</f>
        <v>2.0</v>
      </c>
      <c r="I179" s="41">
        <f t="shared" si="4"/>
        <v>0.4</v>
      </c>
      <c r="J179" s="41">
        <f t="shared" si="5"/>
        <v>1.32</v>
      </c>
      <c r="K179" s="41">
        <f t="shared" si="6"/>
        <v>2</v>
      </c>
      <c r="L179" s="4"/>
      <c r="M179" s="4"/>
      <c r="N179" s="4"/>
      <c r="O179" s="4"/>
      <c r="P179" s="4"/>
      <c r="Q179" s="4"/>
      <c r="R179" s="4"/>
      <c r="S179" s="4"/>
      <c r="T179" s="4"/>
      <c r="U179" s="4"/>
      <c r="V179" s="4"/>
      <c r="W179" s="4"/>
      <c r="X179" s="4"/>
      <c r="Y179" s="4"/>
      <c r="Z179" s="4"/>
    </row>
    <row r="180" ht="15.75" customHeight="1">
      <c r="A180" s="40" t="str">
        <f>archetype_prototypes!A180</f>
        <v>9</v>
      </c>
      <c r="B180" s="9" t="str">
        <f>archetype_prototypes!B180</f>
        <v>Emotional Voyeur</v>
      </c>
      <c r="C180" s="9" t="str">
        <f>archetype_prototypes!C180</f>
        <v>DIM_TURNON_EXPRESS</v>
      </c>
      <c r="D180" s="41">
        <f>archetype_prototypes!E180</f>
        <v>0.3</v>
      </c>
      <c r="E180" s="41">
        <f t="shared" si="1"/>
        <v>0.3</v>
      </c>
      <c r="F180" s="41">
        <f t="shared" si="2"/>
        <v>0.71</v>
      </c>
      <c r="G180" s="41">
        <f t="shared" si="3"/>
        <v>1</v>
      </c>
      <c r="H180" s="42" t="str">
        <f t="array" ref="H180">XLOOKUP(C180,dimensions!$A$2:$A$22,dimensions!$E$2:$E$22,0)</f>
        <v>1.3</v>
      </c>
      <c r="I180" s="41">
        <f t="shared" si="4"/>
        <v>0.39</v>
      </c>
      <c r="J180" s="41">
        <f t="shared" si="5"/>
        <v>0.923</v>
      </c>
      <c r="K180" s="41">
        <f t="shared" si="6"/>
        <v>1.3</v>
      </c>
      <c r="L180" s="4"/>
      <c r="M180" s="4"/>
      <c r="N180" s="4"/>
      <c r="O180" s="4"/>
      <c r="P180" s="4"/>
      <c r="Q180" s="4"/>
      <c r="R180" s="4"/>
      <c r="S180" s="4"/>
      <c r="T180" s="4"/>
      <c r="U180" s="4"/>
      <c r="V180" s="4"/>
      <c r="W180" s="4"/>
      <c r="X180" s="4"/>
      <c r="Y180" s="4"/>
      <c r="Z180" s="4"/>
    </row>
    <row r="181" ht="15.75" customHeight="1">
      <c r="A181" s="40" t="str">
        <f>archetype_prototypes!A181</f>
        <v>9</v>
      </c>
      <c r="B181" s="9" t="str">
        <f>archetype_prototypes!B181</f>
        <v>Emotional Voyeur</v>
      </c>
      <c r="C181" s="9" t="str">
        <f>archetype_prototypes!C181</f>
        <v>DIM_BOUNDARY_EXPRESS</v>
      </c>
      <c r="D181" s="41">
        <f>archetype_prototypes!E181</f>
        <v>0.45</v>
      </c>
      <c r="E181" s="41">
        <f t="shared" si="1"/>
        <v>0.45</v>
      </c>
      <c r="F181" s="41">
        <f t="shared" si="2"/>
        <v>0.7475</v>
      </c>
      <c r="G181" s="41">
        <f t="shared" si="3"/>
        <v>1</v>
      </c>
      <c r="H181" s="42" t="str">
        <f t="array" ref="H181">XLOOKUP(C181,dimensions!$A$2:$A$22,dimensions!$E$2:$E$22,0)</f>
        <v>1.3</v>
      </c>
      <c r="I181" s="41">
        <f t="shared" si="4"/>
        <v>0.585</v>
      </c>
      <c r="J181" s="41">
        <f t="shared" si="5"/>
        <v>0.97175</v>
      </c>
      <c r="K181" s="41">
        <f t="shared" si="6"/>
        <v>1.3</v>
      </c>
      <c r="L181" s="4"/>
      <c r="M181" s="4"/>
      <c r="N181" s="4"/>
      <c r="O181" s="4"/>
      <c r="P181" s="4"/>
      <c r="Q181" s="4"/>
      <c r="R181" s="4"/>
      <c r="S181" s="4"/>
      <c r="T181" s="4"/>
      <c r="U181" s="4"/>
      <c r="V181" s="4"/>
      <c r="W181" s="4"/>
      <c r="X181" s="4"/>
      <c r="Y181" s="4"/>
      <c r="Z181" s="4"/>
    </row>
    <row r="182" ht="15.75" customHeight="1">
      <c r="A182" s="40" t="str">
        <f>archetype_prototypes!A182</f>
        <v>9</v>
      </c>
      <c r="B182" s="9" t="str">
        <f>archetype_prototypes!B182</f>
        <v>Emotional Voyeur</v>
      </c>
      <c r="C182" s="9" t="str">
        <f>archetype_prototypes!C182</f>
        <v>DIM_PROTOCOL</v>
      </c>
      <c r="D182" s="41">
        <f>archetype_prototypes!E182</f>
        <v>0.25</v>
      </c>
      <c r="E182" s="41">
        <f t="shared" si="1"/>
        <v>0.25</v>
      </c>
      <c r="F182" s="41">
        <f t="shared" si="2"/>
        <v>0.6875</v>
      </c>
      <c r="G182" s="41">
        <f t="shared" si="3"/>
        <v>1</v>
      </c>
      <c r="H182" s="42" t="str">
        <f t="array" ref="H182">XLOOKUP(C182,dimensions!$A$2:$A$22,dimensions!$E$2:$E$22,0)</f>
        <v>1.6</v>
      </c>
      <c r="I182" s="41">
        <f t="shared" si="4"/>
        <v>0.4</v>
      </c>
      <c r="J182" s="41">
        <f t="shared" si="5"/>
        <v>1.1</v>
      </c>
      <c r="K182" s="41">
        <f t="shared" si="6"/>
        <v>1.6</v>
      </c>
      <c r="L182" s="4"/>
      <c r="M182" s="4"/>
      <c r="N182" s="4"/>
      <c r="O182" s="4"/>
      <c r="P182" s="4"/>
      <c r="Q182" s="4"/>
      <c r="R182" s="4"/>
      <c r="S182" s="4"/>
      <c r="T182" s="4"/>
      <c r="U182" s="4"/>
      <c r="V182" s="4"/>
      <c r="W182" s="4"/>
      <c r="X182" s="4"/>
      <c r="Y182" s="4"/>
      <c r="Z182" s="4"/>
    </row>
    <row r="183" ht="15.75" customHeight="1">
      <c r="A183" s="40" t="str">
        <f>archetype_prototypes!A183</f>
        <v>9</v>
      </c>
      <c r="B183" s="9" t="str">
        <f>archetype_prototypes!B183</f>
        <v>Emotional Voyeur</v>
      </c>
      <c r="C183" s="9" t="str">
        <f>archetype_prototypes!C183</f>
        <v>DIM_SOOTHING</v>
      </c>
      <c r="D183" s="41">
        <f>archetype_prototypes!E183</f>
        <v>0.2</v>
      </c>
      <c r="E183" s="41">
        <f t="shared" si="1"/>
        <v>0.2</v>
      </c>
      <c r="F183" s="41">
        <f t="shared" si="2"/>
        <v>0.66</v>
      </c>
      <c r="G183" s="41">
        <f t="shared" si="3"/>
        <v>1</v>
      </c>
      <c r="H183" s="42" t="str">
        <f t="array" ref="H183">XLOOKUP(C183,dimensions!$A$2:$A$22,dimensions!$E$2:$E$22,0)</f>
        <v>1.9</v>
      </c>
      <c r="I183" s="41">
        <f t="shared" si="4"/>
        <v>0.38</v>
      </c>
      <c r="J183" s="41">
        <f t="shared" si="5"/>
        <v>1.254</v>
      </c>
      <c r="K183" s="41">
        <f t="shared" si="6"/>
        <v>1.9</v>
      </c>
      <c r="L183" s="4"/>
      <c r="M183" s="4"/>
      <c r="N183" s="4"/>
      <c r="O183" s="4"/>
      <c r="P183" s="4"/>
      <c r="Q183" s="4"/>
      <c r="R183" s="4"/>
      <c r="S183" s="4"/>
      <c r="T183" s="4"/>
      <c r="U183" s="4"/>
      <c r="V183" s="4"/>
      <c r="W183" s="4"/>
      <c r="X183" s="4"/>
      <c r="Y183" s="4"/>
      <c r="Z183" s="4"/>
    </row>
    <row r="184" ht="15.75" customHeight="1">
      <c r="A184" s="40" t="str">
        <f>archetype_prototypes!A184</f>
        <v>9</v>
      </c>
      <c r="B184" s="9" t="str">
        <f>archetype_prototypes!B184</f>
        <v>Emotional Voyeur</v>
      </c>
      <c r="C184" s="9" t="str">
        <f>archetype_prototypes!C184</f>
        <v>DIM_SECURE</v>
      </c>
      <c r="D184" s="41">
        <f>archetype_prototypes!E184</f>
        <v>0.35</v>
      </c>
      <c r="E184" s="41">
        <f t="shared" si="1"/>
        <v>0.35</v>
      </c>
      <c r="F184" s="41">
        <f t="shared" si="2"/>
        <v>0.7275</v>
      </c>
      <c r="G184" s="41">
        <f t="shared" si="3"/>
        <v>1</v>
      </c>
      <c r="H184" s="42" t="str">
        <f t="array" ref="H184">XLOOKUP(C184,dimensions!$A$2:$A$22,dimensions!$E$2:$E$22,0)</f>
        <v>1</v>
      </c>
      <c r="I184" s="41">
        <f t="shared" si="4"/>
        <v>0.35</v>
      </c>
      <c r="J184" s="41">
        <f t="shared" si="5"/>
        <v>0.7275</v>
      </c>
      <c r="K184" s="41">
        <f t="shared" si="6"/>
        <v>1</v>
      </c>
      <c r="L184" s="4"/>
      <c r="M184" s="4"/>
      <c r="N184" s="4"/>
      <c r="O184" s="4"/>
      <c r="P184" s="4"/>
      <c r="Q184" s="4"/>
      <c r="R184" s="4"/>
      <c r="S184" s="4"/>
      <c r="T184" s="4"/>
      <c r="U184" s="4"/>
      <c r="V184" s="4"/>
      <c r="W184" s="4"/>
      <c r="X184" s="4"/>
      <c r="Y184" s="4"/>
      <c r="Z184" s="4"/>
    </row>
    <row r="185" ht="15.75" customHeight="1">
      <c r="A185" s="40" t="str">
        <f>archetype_prototypes!A185</f>
        <v>9</v>
      </c>
      <c r="B185" s="9" t="str">
        <f>archetype_prototypes!B185</f>
        <v>Emotional Voyeur</v>
      </c>
      <c r="C185" s="9" t="str">
        <f>archetype_prototypes!C185</f>
        <v>DIM_REPAIR_EROTICISM</v>
      </c>
      <c r="D185" s="41">
        <f>archetype_prototypes!E185</f>
        <v>0.2</v>
      </c>
      <c r="E185" s="41">
        <f t="shared" si="1"/>
        <v>0.2</v>
      </c>
      <c r="F185" s="41">
        <f t="shared" si="2"/>
        <v>0.66</v>
      </c>
      <c r="G185" s="41">
        <f t="shared" si="3"/>
        <v>1</v>
      </c>
      <c r="H185" s="42" t="str">
        <f t="array" ref="H185">XLOOKUP(C185,dimensions!$A$2:$A$22,dimensions!$E$2:$E$22,0)</f>
        <v>1.6</v>
      </c>
      <c r="I185" s="41">
        <f t="shared" si="4"/>
        <v>0.32</v>
      </c>
      <c r="J185" s="41">
        <f t="shared" si="5"/>
        <v>1.056</v>
      </c>
      <c r="K185" s="41">
        <f t="shared" si="6"/>
        <v>1.6</v>
      </c>
      <c r="L185" s="4"/>
      <c r="M185" s="4"/>
      <c r="N185" s="4"/>
      <c r="O185" s="4"/>
      <c r="P185" s="4"/>
      <c r="Q185" s="4"/>
      <c r="R185" s="4"/>
      <c r="S185" s="4"/>
      <c r="T185" s="4"/>
      <c r="U185" s="4"/>
      <c r="V185" s="4"/>
      <c r="W185" s="4"/>
      <c r="X185" s="4"/>
      <c r="Y185" s="4"/>
      <c r="Z185" s="4"/>
    </row>
    <row r="186" ht="15.75" customHeight="1">
      <c r="A186" s="40" t="str">
        <f>archetype_prototypes!A186</f>
        <v>9</v>
      </c>
      <c r="B186" s="9" t="str">
        <f>archetype_prototypes!B186</f>
        <v>Emotional Voyeur</v>
      </c>
      <c r="C186" s="9" t="str">
        <f>archetype_prototypes!C186</f>
        <v>DIM_PRESSURE_SHUTDOWN</v>
      </c>
      <c r="D186" s="41">
        <f>archetype_prototypes!E186</f>
        <v>0.45</v>
      </c>
      <c r="E186" s="41">
        <f t="shared" si="1"/>
        <v>0.45</v>
      </c>
      <c r="F186" s="41">
        <f t="shared" si="2"/>
        <v>0.7475</v>
      </c>
      <c r="G186" s="41">
        <f t="shared" si="3"/>
        <v>1</v>
      </c>
      <c r="H186" s="42" t="str">
        <f t="array" ref="H186">XLOOKUP(C186,dimensions!$A$2:$A$22,dimensions!$E$2:$E$22,0)</f>
        <v>2.0</v>
      </c>
      <c r="I186" s="41">
        <f t="shared" si="4"/>
        <v>0.9</v>
      </c>
      <c r="J186" s="41">
        <f t="shared" si="5"/>
        <v>1.495</v>
      </c>
      <c r="K186" s="41">
        <f t="shared" si="6"/>
        <v>2</v>
      </c>
      <c r="L186" s="4"/>
      <c r="M186" s="4"/>
      <c r="N186" s="4"/>
      <c r="O186" s="4"/>
      <c r="P186" s="4"/>
      <c r="Q186" s="4"/>
      <c r="R186" s="4"/>
      <c r="S186" s="4"/>
      <c r="T186" s="4"/>
      <c r="U186" s="4"/>
      <c r="V186" s="4"/>
      <c r="W186" s="4"/>
      <c r="X186" s="4"/>
      <c r="Y186" s="4"/>
      <c r="Z186" s="4"/>
    </row>
    <row r="187" ht="15.75" customHeight="1">
      <c r="A187" s="40" t="str">
        <f>archetype_prototypes!A187</f>
        <v>9</v>
      </c>
      <c r="B187" s="9" t="str">
        <f>archetype_prototypes!B187</f>
        <v>Emotional Voyeur</v>
      </c>
      <c r="C187" s="9" t="str">
        <f>archetype_prototypes!C187</f>
        <v>DIM_AVOIDANT</v>
      </c>
      <c r="D187" s="41">
        <f>archetype_prototypes!E187</f>
        <v>0.8</v>
      </c>
      <c r="E187" s="41">
        <f t="shared" si="1"/>
        <v>0.2</v>
      </c>
      <c r="F187" s="41">
        <f t="shared" si="2"/>
        <v>0.66</v>
      </c>
      <c r="G187" s="41">
        <f t="shared" si="3"/>
        <v>1</v>
      </c>
      <c r="H187" s="42" t="str">
        <f t="array" ref="H187">XLOOKUP(C187,dimensions!$A$2:$A$22,dimensions!$E$2:$E$22,0)</f>
        <v>1.3</v>
      </c>
      <c r="I187" s="41">
        <f t="shared" si="4"/>
        <v>0.26</v>
      </c>
      <c r="J187" s="41">
        <f t="shared" si="5"/>
        <v>0.858</v>
      </c>
      <c r="K187" s="41">
        <f t="shared" si="6"/>
        <v>1.3</v>
      </c>
      <c r="L187" s="4"/>
      <c r="M187" s="4"/>
      <c r="N187" s="4"/>
      <c r="O187" s="4"/>
      <c r="P187" s="4"/>
      <c r="Q187" s="4"/>
      <c r="R187" s="4"/>
      <c r="S187" s="4"/>
      <c r="T187" s="4"/>
      <c r="U187" s="4"/>
      <c r="V187" s="4"/>
      <c r="W187" s="4"/>
      <c r="X187" s="4"/>
      <c r="Y187" s="4"/>
      <c r="Z187" s="4"/>
    </row>
    <row r="188" ht="15.75" customHeight="1">
      <c r="A188" s="40" t="str">
        <f>archetype_prototypes!A188</f>
        <v>9</v>
      </c>
      <c r="B188" s="9" t="str">
        <f>archetype_prototypes!B188</f>
        <v>Emotional Voyeur</v>
      </c>
      <c r="C188" s="9" t="str">
        <f>archetype_prototypes!C188</f>
        <v>DIM_STRATEGY</v>
      </c>
      <c r="D188" s="41">
        <f>archetype_prototypes!E188</f>
        <v>0.1</v>
      </c>
      <c r="E188" s="41">
        <f t="shared" si="1"/>
        <v>0.1</v>
      </c>
      <c r="F188" s="41">
        <f t="shared" si="2"/>
        <v>0.59</v>
      </c>
      <c r="G188" s="41">
        <f t="shared" si="3"/>
        <v>1</v>
      </c>
      <c r="H188" s="42" t="str">
        <f t="array" ref="H188">XLOOKUP(C188,dimensions!$A$2:$A$22,dimensions!$E$2:$E$22,0)</f>
        <v>1.2</v>
      </c>
      <c r="I188" s="41">
        <f t="shared" si="4"/>
        <v>0.12</v>
      </c>
      <c r="J188" s="41">
        <f t="shared" si="5"/>
        <v>0.708</v>
      </c>
      <c r="K188" s="41">
        <f t="shared" si="6"/>
        <v>1.2</v>
      </c>
      <c r="L188" s="4"/>
      <c r="M188" s="4"/>
      <c r="N188" s="4"/>
      <c r="O188" s="4"/>
      <c r="P188" s="4"/>
      <c r="Q188" s="4"/>
      <c r="R188" s="4"/>
      <c r="S188" s="4"/>
      <c r="T188" s="4"/>
      <c r="U188" s="4"/>
      <c r="V188" s="4"/>
      <c r="W188" s="4"/>
      <c r="X188" s="4"/>
      <c r="Y188" s="4"/>
      <c r="Z188" s="4"/>
    </row>
    <row r="189" ht="15.75" customHeight="1">
      <c r="A189" s="40" t="str">
        <f>archetype_prototypes!A189</f>
        <v>9</v>
      </c>
      <c r="B189" s="9" t="str">
        <f>archetype_prototypes!B189</f>
        <v>Emotional Voyeur</v>
      </c>
      <c r="C189" s="9" t="str">
        <f>archetype_prototypes!C189</f>
        <v>DIM_CLOSENESS_ORIENTATION</v>
      </c>
      <c r="D189" s="41">
        <f>archetype_prototypes!E189</f>
        <v>0.2</v>
      </c>
      <c r="E189" s="41">
        <f t="shared" si="1"/>
        <v>0.2</v>
      </c>
      <c r="F189" s="41">
        <f t="shared" si="2"/>
        <v>0.66</v>
      </c>
      <c r="G189" s="41">
        <f t="shared" si="3"/>
        <v>1</v>
      </c>
      <c r="H189" s="42">
        <f t="array" ref="H189">XLOOKUP(C189,dimensions!$A$2:$A$22,dimensions!$E$2:$E$22,0)</f>
        <v>1</v>
      </c>
      <c r="I189" s="41">
        <f t="shared" si="4"/>
        <v>0.2</v>
      </c>
      <c r="J189" s="41">
        <f t="shared" si="5"/>
        <v>0.66</v>
      </c>
      <c r="K189" s="41">
        <f t="shared" si="6"/>
        <v>1</v>
      </c>
      <c r="L189" s="4"/>
      <c r="M189" s="4"/>
      <c r="N189" s="4"/>
      <c r="O189" s="4"/>
      <c r="P189" s="4"/>
      <c r="Q189" s="4"/>
      <c r="R189" s="4"/>
      <c r="S189" s="4"/>
      <c r="T189" s="4"/>
      <c r="U189" s="4"/>
      <c r="V189" s="4"/>
      <c r="W189" s="4"/>
      <c r="X189" s="4"/>
      <c r="Y189" s="4"/>
      <c r="Z189" s="4"/>
    </row>
    <row r="190" ht="15.75" customHeight="1">
      <c r="A190" s="40" t="str">
        <f>archetype_prototypes!A190</f>
        <v>9</v>
      </c>
      <c r="B190" s="9" t="str">
        <f>archetype_prototypes!B190</f>
        <v>Emotional Voyeur</v>
      </c>
      <c r="C190" s="9" t="str">
        <f>archetype_prototypes!C190</f>
        <v>DIM_PARTNER_FOCUS</v>
      </c>
      <c r="D190" s="41">
        <f>archetype_prototypes!E190</f>
        <v>0.25</v>
      </c>
      <c r="E190" s="41">
        <f t="shared" si="1"/>
        <v>0.25</v>
      </c>
      <c r="F190" s="41">
        <f t="shared" si="2"/>
        <v>0.6875</v>
      </c>
      <c r="G190" s="41">
        <f t="shared" si="3"/>
        <v>1</v>
      </c>
      <c r="H190" s="42">
        <f t="array" ref="H190">XLOOKUP(C190,dimensions!$A$2:$A$22,dimensions!$E$2:$E$22,0)</f>
        <v>1.2</v>
      </c>
      <c r="I190" s="41">
        <f t="shared" si="4"/>
        <v>0.3</v>
      </c>
      <c r="J190" s="41">
        <f t="shared" si="5"/>
        <v>0.825</v>
      </c>
      <c r="K190" s="41">
        <f t="shared" si="6"/>
        <v>1.2</v>
      </c>
      <c r="L190" s="4"/>
      <c r="M190" s="4"/>
      <c r="N190" s="4"/>
      <c r="O190" s="4"/>
      <c r="P190" s="4"/>
      <c r="Q190" s="4"/>
      <c r="R190" s="4"/>
      <c r="S190" s="4"/>
      <c r="T190" s="4"/>
      <c r="U190" s="4"/>
      <c r="V190" s="4"/>
      <c r="W190" s="4"/>
      <c r="X190" s="4"/>
      <c r="Y190" s="4"/>
      <c r="Z190" s="4"/>
    </row>
    <row r="191" ht="15.75" customHeight="1">
      <c r="A191" s="40" t="str">
        <f>archetype_prototypes!A191</f>
        <v>10</v>
      </c>
      <c r="B191" s="9" t="str">
        <f>archetype_prototypes!B191</f>
        <v>Power Orchestrator</v>
      </c>
      <c r="C191" s="9" t="str">
        <f>archetype_prototypes!C191</f>
        <v>DIM_NOVELTY</v>
      </c>
      <c r="D191" s="41">
        <f>archetype_prototypes!E191</f>
        <v>0.48</v>
      </c>
      <c r="E191" s="41">
        <f t="shared" si="1"/>
        <v>0.48</v>
      </c>
      <c r="F191" s="41">
        <f t="shared" si="2"/>
        <v>0.7496</v>
      </c>
      <c r="G191" s="41">
        <f t="shared" si="3"/>
        <v>1</v>
      </c>
      <c r="H191" s="42" t="str">
        <f t="array" ref="H191">XLOOKUP(C191,dimensions!$A$2:$A$22,dimensions!$E$2:$E$22,0)</f>
        <v>1.4</v>
      </c>
      <c r="I191" s="41">
        <f t="shared" si="4"/>
        <v>0.672</v>
      </c>
      <c r="J191" s="41">
        <f t="shared" si="5"/>
        <v>1.04944</v>
      </c>
      <c r="K191" s="41">
        <f t="shared" si="6"/>
        <v>1.4</v>
      </c>
      <c r="L191" s="4"/>
      <c r="M191" s="4"/>
      <c r="N191" s="4"/>
      <c r="O191" s="4"/>
      <c r="P191" s="4"/>
      <c r="Q191" s="4"/>
      <c r="R191" s="4"/>
      <c r="S191" s="4"/>
      <c r="T191" s="4"/>
      <c r="U191" s="4"/>
      <c r="V191" s="4"/>
      <c r="W191" s="4"/>
      <c r="X191" s="4"/>
      <c r="Y191" s="4"/>
      <c r="Z191" s="4"/>
    </row>
    <row r="192" ht="15.75" customHeight="1">
      <c r="A192" s="40" t="str">
        <f>archetype_prototypes!A192</f>
        <v>10</v>
      </c>
      <c r="B192" s="9" t="str">
        <f>archetype_prototypes!B192</f>
        <v>Power Orchestrator</v>
      </c>
      <c r="C192" s="9" t="str">
        <f>archetype_prototypes!C192</f>
        <v>DIM_RESPONSIVE</v>
      </c>
      <c r="D192" s="41">
        <f>archetype_prototypes!E192</f>
        <v>0.25</v>
      </c>
      <c r="E192" s="41">
        <f t="shared" si="1"/>
        <v>0.25</v>
      </c>
      <c r="F192" s="41">
        <f t="shared" si="2"/>
        <v>0.6875</v>
      </c>
      <c r="G192" s="41">
        <f t="shared" si="3"/>
        <v>1</v>
      </c>
      <c r="H192" s="42" t="str">
        <f t="array" ref="H192">XLOOKUP(C192,dimensions!$A$2:$A$22,dimensions!$E$2:$E$22,0)</f>
        <v>1.6</v>
      </c>
      <c r="I192" s="41">
        <f t="shared" si="4"/>
        <v>0.4</v>
      </c>
      <c r="J192" s="41">
        <f t="shared" si="5"/>
        <v>1.1</v>
      </c>
      <c r="K192" s="41">
        <f t="shared" si="6"/>
        <v>1.6</v>
      </c>
      <c r="L192" s="4"/>
      <c r="M192" s="4"/>
      <c r="N192" s="4"/>
      <c r="O192" s="4"/>
      <c r="P192" s="4"/>
      <c r="Q192" s="4"/>
      <c r="R192" s="4"/>
      <c r="S192" s="4"/>
      <c r="T192" s="4"/>
      <c r="U192" s="4"/>
      <c r="V192" s="4"/>
      <c r="W192" s="4"/>
      <c r="X192" s="4"/>
      <c r="Y192" s="4"/>
      <c r="Z192" s="4"/>
    </row>
    <row r="193" ht="15.75" customHeight="1">
      <c r="A193" s="40" t="str">
        <f>archetype_prototypes!A193</f>
        <v>10</v>
      </c>
      <c r="B193" s="9" t="str">
        <f>archetype_prototypes!B193</f>
        <v>Power Orchestrator</v>
      </c>
      <c r="C193" s="9" t="str">
        <f>archetype_prototypes!C193</f>
        <v>DIM_PLANNED</v>
      </c>
      <c r="D193" s="41">
        <f>archetype_prototypes!E193</f>
        <v>0.43</v>
      </c>
      <c r="E193" s="41">
        <f t="shared" si="1"/>
        <v>0.43</v>
      </c>
      <c r="F193" s="41">
        <f t="shared" si="2"/>
        <v>0.7451</v>
      </c>
      <c r="G193" s="41">
        <f t="shared" si="3"/>
        <v>1</v>
      </c>
      <c r="H193" s="42" t="str">
        <f t="array" ref="H193">XLOOKUP(C193,dimensions!$A$2:$A$22,dimensions!$E$2:$E$22,0)</f>
        <v>1.3</v>
      </c>
      <c r="I193" s="41">
        <f t="shared" si="4"/>
        <v>0.559</v>
      </c>
      <c r="J193" s="41">
        <f t="shared" si="5"/>
        <v>0.96863</v>
      </c>
      <c r="K193" s="41">
        <f t="shared" si="6"/>
        <v>1.3</v>
      </c>
      <c r="L193" s="4"/>
      <c r="M193" s="4"/>
      <c r="N193" s="4"/>
      <c r="O193" s="4"/>
      <c r="P193" s="4"/>
      <c r="Q193" s="4"/>
      <c r="R193" s="4"/>
      <c r="S193" s="4"/>
      <c r="T193" s="4"/>
      <c r="U193" s="4"/>
      <c r="V193" s="4"/>
      <c r="W193" s="4"/>
      <c r="X193" s="4"/>
      <c r="Y193" s="4"/>
      <c r="Z193" s="4"/>
    </row>
    <row r="194" ht="15.75" customHeight="1">
      <c r="A194" s="40" t="str">
        <f>archetype_prototypes!A194</f>
        <v>10</v>
      </c>
      <c r="B194" s="9" t="str">
        <f>archetype_prototypes!B194</f>
        <v>Power Orchestrator</v>
      </c>
      <c r="C194" s="9" t="str">
        <f>archetype_prototypes!C194</f>
        <v>DIM_EMO_CONNECTION</v>
      </c>
      <c r="D194" s="41">
        <f>archetype_prototypes!E194</f>
        <v>0.23</v>
      </c>
      <c r="E194" s="41">
        <f t="shared" si="1"/>
        <v>0.23</v>
      </c>
      <c r="F194" s="41">
        <f t="shared" si="2"/>
        <v>0.6771</v>
      </c>
      <c r="G194" s="41">
        <f t="shared" si="3"/>
        <v>1</v>
      </c>
      <c r="H194" s="42" t="str">
        <f t="array" ref="H194">XLOOKUP(C194,dimensions!$A$2:$A$22,dimensions!$E$2:$E$22,0)</f>
        <v>1.4</v>
      </c>
      <c r="I194" s="41">
        <f t="shared" si="4"/>
        <v>0.322</v>
      </c>
      <c r="J194" s="41">
        <f t="shared" si="5"/>
        <v>0.94794</v>
      </c>
      <c r="K194" s="41">
        <f t="shared" si="6"/>
        <v>1.4</v>
      </c>
      <c r="L194" s="4"/>
      <c r="M194" s="4"/>
      <c r="N194" s="4"/>
      <c r="O194" s="4"/>
      <c r="P194" s="4"/>
      <c r="Q194" s="4"/>
      <c r="R194" s="4"/>
      <c r="S194" s="4"/>
      <c r="T194" s="4"/>
      <c r="U194" s="4"/>
      <c r="V194" s="4"/>
      <c r="W194" s="4"/>
      <c r="X194" s="4"/>
      <c r="Y194" s="4"/>
      <c r="Z194" s="4"/>
    </row>
    <row r="195" ht="15.75" customHeight="1">
      <c r="A195" s="40" t="str">
        <f>archetype_prototypes!A195</f>
        <v>10</v>
      </c>
      <c r="B195" s="9" t="str">
        <f>archetype_prototypes!B195</f>
        <v>Power Orchestrator</v>
      </c>
      <c r="C195" s="9" t="str">
        <f>archetype_prototypes!C195</f>
        <v>DIM_INTENSITY</v>
      </c>
      <c r="D195" s="41">
        <f>archetype_prototypes!E195</f>
        <v>0.76</v>
      </c>
      <c r="E195" s="41">
        <f t="shared" si="1"/>
        <v>0.24</v>
      </c>
      <c r="F195" s="41">
        <f t="shared" si="2"/>
        <v>0.6824</v>
      </c>
      <c r="G195" s="41">
        <f t="shared" si="3"/>
        <v>1</v>
      </c>
      <c r="H195" s="42" t="str">
        <f t="array" ref="H195">XLOOKUP(C195,dimensions!$A$2:$A$22,dimensions!$E$2:$E$22,0)</f>
        <v>1.4</v>
      </c>
      <c r="I195" s="41">
        <f t="shared" si="4"/>
        <v>0.336</v>
      </c>
      <c r="J195" s="41">
        <f t="shared" si="5"/>
        <v>0.95536</v>
      </c>
      <c r="K195" s="41">
        <f t="shared" si="6"/>
        <v>1.4</v>
      </c>
      <c r="L195" s="4"/>
      <c r="M195" s="4"/>
      <c r="N195" s="4"/>
      <c r="O195" s="4"/>
      <c r="P195" s="4"/>
      <c r="Q195" s="4"/>
      <c r="R195" s="4"/>
      <c r="S195" s="4"/>
      <c r="T195" s="4"/>
      <c r="U195" s="4"/>
      <c r="V195" s="4"/>
      <c r="W195" s="4"/>
      <c r="X195" s="4"/>
      <c r="Y195" s="4"/>
      <c r="Z195" s="4"/>
    </row>
    <row r="196" ht="15.75" customHeight="1">
      <c r="A196" s="40" t="str">
        <f>archetype_prototypes!A196</f>
        <v>10</v>
      </c>
      <c r="B196" s="9" t="str">
        <f>archetype_prototypes!B196</f>
        <v>Power Orchestrator</v>
      </c>
      <c r="C196" s="9" t="str">
        <f>archetype_prototypes!C196</f>
        <v>DIM_PURSUIT</v>
      </c>
      <c r="D196" s="41">
        <f>archetype_prototypes!E196</f>
        <v>0.61</v>
      </c>
      <c r="E196" s="41">
        <f t="shared" si="1"/>
        <v>0.39</v>
      </c>
      <c r="F196" s="41">
        <f t="shared" si="2"/>
        <v>0.7379</v>
      </c>
      <c r="G196" s="41">
        <f t="shared" si="3"/>
        <v>1</v>
      </c>
      <c r="H196" s="42" t="str">
        <f t="array" ref="H196">XLOOKUP(C196,dimensions!$A$2:$A$22,dimensions!$E$2:$E$22,0)</f>
        <v>1.4</v>
      </c>
      <c r="I196" s="41">
        <f t="shared" si="4"/>
        <v>0.546</v>
      </c>
      <c r="J196" s="41">
        <f t="shared" si="5"/>
        <v>1.03306</v>
      </c>
      <c r="K196" s="41">
        <f t="shared" si="6"/>
        <v>1.4</v>
      </c>
      <c r="L196" s="4"/>
      <c r="M196" s="4"/>
      <c r="N196" s="4"/>
      <c r="O196" s="4"/>
      <c r="P196" s="4"/>
      <c r="Q196" s="4"/>
      <c r="R196" s="4"/>
      <c r="S196" s="4"/>
      <c r="T196" s="4"/>
      <c r="U196" s="4"/>
      <c r="V196" s="4"/>
      <c r="W196" s="4"/>
      <c r="X196" s="4"/>
      <c r="Y196" s="4"/>
      <c r="Z196" s="4"/>
    </row>
    <row r="197" ht="15.75" customHeight="1">
      <c r="A197" s="40" t="str">
        <f>archetype_prototypes!A197</f>
        <v>10</v>
      </c>
      <c r="B197" s="9" t="str">
        <f>archetype_prototypes!B197</f>
        <v>Power Orchestrator</v>
      </c>
      <c r="C197" s="9" t="str">
        <f>archetype_prototypes!C197</f>
        <v>DIM_EDGE_NEED</v>
      </c>
      <c r="D197" s="41">
        <f>archetype_prototypes!E197</f>
        <v>0.54</v>
      </c>
      <c r="E197" s="41">
        <f t="shared" si="1"/>
        <v>0.46</v>
      </c>
      <c r="F197" s="41">
        <f t="shared" si="2"/>
        <v>0.7484</v>
      </c>
      <c r="G197" s="41">
        <f t="shared" si="3"/>
        <v>1</v>
      </c>
      <c r="H197" s="42" t="str">
        <f t="array" ref="H197">XLOOKUP(C197,dimensions!$A$2:$A$22,dimensions!$E$2:$E$22,0)</f>
        <v>1.8</v>
      </c>
      <c r="I197" s="41">
        <f t="shared" si="4"/>
        <v>0.828</v>
      </c>
      <c r="J197" s="41">
        <f t="shared" si="5"/>
        <v>1.34712</v>
      </c>
      <c r="K197" s="41">
        <f t="shared" si="6"/>
        <v>1.8</v>
      </c>
      <c r="L197" s="4"/>
      <c r="M197" s="4"/>
      <c r="N197" s="4"/>
      <c r="O197" s="4"/>
      <c r="P197" s="4"/>
      <c r="Q197" s="4"/>
      <c r="R197" s="4"/>
      <c r="S197" s="4"/>
      <c r="T197" s="4"/>
      <c r="U197" s="4"/>
      <c r="V197" s="4"/>
      <c r="W197" s="4"/>
      <c r="X197" s="4"/>
      <c r="Y197" s="4"/>
      <c r="Z197" s="4"/>
    </row>
    <row r="198" ht="15.75" customHeight="1">
      <c r="A198" s="40" t="str">
        <f>archetype_prototypes!A198</f>
        <v>10</v>
      </c>
      <c r="B198" s="9" t="str">
        <f>archetype_prototypes!B198</f>
        <v>Power Orchestrator</v>
      </c>
      <c r="C198" s="9" t="str">
        <f>archetype_prototypes!C198</f>
        <v>DIM_SACRED</v>
      </c>
      <c r="D198" s="41">
        <f>archetype_prototypes!E198</f>
        <v>0.12</v>
      </c>
      <c r="E198" s="41">
        <f t="shared" si="1"/>
        <v>0.12</v>
      </c>
      <c r="F198" s="41">
        <f t="shared" si="2"/>
        <v>0.6056</v>
      </c>
      <c r="G198" s="41">
        <f t="shared" si="3"/>
        <v>1</v>
      </c>
      <c r="H198" s="42" t="str">
        <f t="array" ref="H198">XLOOKUP(C198,dimensions!$A$2:$A$22,dimensions!$E$2:$E$22,0)</f>
        <v>2.0</v>
      </c>
      <c r="I198" s="41">
        <f t="shared" si="4"/>
        <v>0.24</v>
      </c>
      <c r="J198" s="41">
        <f t="shared" si="5"/>
        <v>1.2112</v>
      </c>
      <c r="K198" s="41">
        <f t="shared" si="6"/>
        <v>2</v>
      </c>
      <c r="L198" s="4"/>
      <c r="M198" s="4"/>
      <c r="N198" s="4"/>
      <c r="O198" s="4"/>
      <c r="P198" s="4"/>
      <c r="Q198" s="4"/>
      <c r="R198" s="4"/>
      <c r="S198" s="4"/>
      <c r="T198" s="4"/>
      <c r="U198" s="4"/>
      <c r="V198" s="4"/>
      <c r="W198" s="4"/>
      <c r="X198" s="4"/>
      <c r="Y198" s="4"/>
      <c r="Z198" s="4"/>
    </row>
    <row r="199" ht="15.75" customHeight="1">
      <c r="A199" s="40" t="str">
        <f>archetype_prototypes!A199</f>
        <v>10</v>
      </c>
      <c r="B199" s="9" t="str">
        <f>archetype_prototypes!B199</f>
        <v>Power Orchestrator</v>
      </c>
      <c r="C199" s="9" t="str">
        <f>archetype_prototypes!C199</f>
        <v>DIM_RISK_PREF</v>
      </c>
      <c r="D199" s="41">
        <f>archetype_prototypes!E199</f>
        <v>0.67</v>
      </c>
      <c r="E199" s="41">
        <f t="shared" si="1"/>
        <v>0.33</v>
      </c>
      <c r="F199" s="41">
        <f t="shared" si="2"/>
        <v>0.7211</v>
      </c>
      <c r="G199" s="41">
        <f t="shared" si="3"/>
        <v>1</v>
      </c>
      <c r="H199" s="42" t="str">
        <f t="array" ref="H199">XLOOKUP(C199,dimensions!$A$2:$A$22,dimensions!$E$2:$E$22,0)</f>
        <v>1.6</v>
      </c>
      <c r="I199" s="41">
        <f t="shared" si="4"/>
        <v>0.528</v>
      </c>
      <c r="J199" s="41">
        <f t="shared" si="5"/>
        <v>1.15376</v>
      </c>
      <c r="K199" s="41">
        <f t="shared" si="6"/>
        <v>1.6</v>
      </c>
      <c r="L199" s="4"/>
      <c r="M199" s="4"/>
      <c r="N199" s="4"/>
      <c r="O199" s="4"/>
      <c r="P199" s="4"/>
      <c r="Q199" s="4"/>
      <c r="R199" s="4"/>
      <c r="S199" s="4"/>
      <c r="T199" s="4"/>
      <c r="U199" s="4"/>
      <c r="V199" s="4"/>
      <c r="W199" s="4"/>
      <c r="X199" s="4"/>
      <c r="Y199" s="4"/>
      <c r="Z199" s="4"/>
    </row>
    <row r="200" ht="15.75" customHeight="1">
      <c r="A200" s="40" t="str">
        <f>archetype_prototypes!A200</f>
        <v>10</v>
      </c>
      <c r="B200" s="9" t="str">
        <f>archetype_prototypes!B200</f>
        <v>Power Orchestrator</v>
      </c>
      <c r="C200" s="9" t="str">
        <f>archetype_prototypes!C200</f>
        <v>DIM_FEEDBACK_DEP</v>
      </c>
      <c r="D200" s="41">
        <f>archetype_prototypes!E200</f>
        <v>0.4</v>
      </c>
      <c r="E200" s="41">
        <f t="shared" si="1"/>
        <v>0.4</v>
      </c>
      <c r="F200" s="41">
        <f t="shared" si="2"/>
        <v>0.74</v>
      </c>
      <c r="G200" s="41">
        <f t="shared" si="3"/>
        <v>1</v>
      </c>
      <c r="H200" s="42" t="str">
        <f t="array" ref="H200">XLOOKUP(C200,dimensions!$A$2:$A$22,dimensions!$E$2:$E$22,0)</f>
        <v>2.0</v>
      </c>
      <c r="I200" s="41">
        <f t="shared" si="4"/>
        <v>0.8</v>
      </c>
      <c r="J200" s="41">
        <f t="shared" si="5"/>
        <v>1.48</v>
      </c>
      <c r="K200" s="41">
        <f t="shared" si="6"/>
        <v>2</v>
      </c>
      <c r="L200" s="4"/>
      <c r="M200" s="4"/>
      <c r="N200" s="4"/>
      <c r="O200" s="4"/>
      <c r="P200" s="4"/>
      <c r="Q200" s="4"/>
      <c r="R200" s="4"/>
      <c r="S200" s="4"/>
      <c r="T200" s="4"/>
      <c r="U200" s="4"/>
      <c r="V200" s="4"/>
      <c r="W200" s="4"/>
      <c r="X200" s="4"/>
      <c r="Y200" s="4"/>
      <c r="Z200" s="4"/>
    </row>
    <row r="201" ht="15.75" customHeight="1">
      <c r="A201" s="40" t="str">
        <f>archetype_prototypes!A201</f>
        <v>10</v>
      </c>
      <c r="B201" s="9" t="str">
        <f>archetype_prototypes!B201</f>
        <v>Power Orchestrator</v>
      </c>
      <c r="C201" s="9" t="str">
        <f>archetype_prototypes!C201</f>
        <v>DIM_TURNON_EXPRESS</v>
      </c>
      <c r="D201" s="41">
        <f>archetype_prototypes!E201</f>
        <v>0.75</v>
      </c>
      <c r="E201" s="41">
        <f t="shared" si="1"/>
        <v>0.25</v>
      </c>
      <c r="F201" s="41">
        <f t="shared" si="2"/>
        <v>0.6875</v>
      </c>
      <c r="G201" s="41">
        <f t="shared" si="3"/>
        <v>1</v>
      </c>
      <c r="H201" s="42" t="str">
        <f t="array" ref="H201">XLOOKUP(C201,dimensions!$A$2:$A$22,dimensions!$E$2:$E$22,0)</f>
        <v>1.3</v>
      </c>
      <c r="I201" s="41">
        <f t="shared" si="4"/>
        <v>0.325</v>
      </c>
      <c r="J201" s="41">
        <f t="shared" si="5"/>
        <v>0.89375</v>
      </c>
      <c r="K201" s="41">
        <f t="shared" si="6"/>
        <v>1.3</v>
      </c>
      <c r="L201" s="4"/>
      <c r="M201" s="4"/>
      <c r="N201" s="4"/>
      <c r="O201" s="4"/>
      <c r="P201" s="4"/>
      <c r="Q201" s="4"/>
      <c r="R201" s="4"/>
      <c r="S201" s="4"/>
      <c r="T201" s="4"/>
      <c r="U201" s="4"/>
      <c r="V201" s="4"/>
      <c r="W201" s="4"/>
      <c r="X201" s="4"/>
      <c r="Y201" s="4"/>
      <c r="Z201" s="4"/>
    </row>
    <row r="202" ht="15.75" customHeight="1">
      <c r="A202" s="40" t="str">
        <f>archetype_prototypes!A202</f>
        <v>10</v>
      </c>
      <c r="B202" s="9" t="str">
        <f>archetype_prototypes!B202</f>
        <v>Power Orchestrator</v>
      </c>
      <c r="C202" s="9" t="str">
        <f>archetype_prototypes!C202</f>
        <v>DIM_BOUNDARY_EXPRESS</v>
      </c>
      <c r="D202" s="41">
        <f>archetype_prototypes!E202</f>
        <v>0.82</v>
      </c>
      <c r="E202" s="41">
        <f t="shared" si="1"/>
        <v>0.18</v>
      </c>
      <c r="F202" s="41">
        <f t="shared" si="2"/>
        <v>0.6476</v>
      </c>
      <c r="G202" s="41">
        <f t="shared" si="3"/>
        <v>1</v>
      </c>
      <c r="H202" s="42" t="str">
        <f t="array" ref="H202">XLOOKUP(C202,dimensions!$A$2:$A$22,dimensions!$E$2:$E$22,0)</f>
        <v>1.3</v>
      </c>
      <c r="I202" s="41">
        <f t="shared" si="4"/>
        <v>0.234</v>
      </c>
      <c r="J202" s="41">
        <f t="shared" si="5"/>
        <v>0.84188</v>
      </c>
      <c r="K202" s="41">
        <f t="shared" si="6"/>
        <v>1.3</v>
      </c>
      <c r="L202" s="4"/>
      <c r="M202" s="4"/>
      <c r="N202" s="4"/>
      <c r="O202" s="4"/>
      <c r="P202" s="4"/>
      <c r="Q202" s="4"/>
      <c r="R202" s="4"/>
      <c r="S202" s="4"/>
      <c r="T202" s="4"/>
      <c r="U202" s="4"/>
      <c r="V202" s="4"/>
      <c r="W202" s="4"/>
      <c r="X202" s="4"/>
      <c r="Y202" s="4"/>
      <c r="Z202" s="4"/>
    </row>
    <row r="203" ht="15.75" customHeight="1">
      <c r="A203" s="40" t="str">
        <f>archetype_prototypes!A203</f>
        <v>10</v>
      </c>
      <c r="B203" s="9" t="str">
        <f>archetype_prototypes!B203</f>
        <v>Power Orchestrator</v>
      </c>
      <c r="C203" s="9" t="str">
        <f>archetype_prototypes!C203</f>
        <v>DIM_PROTOCOL</v>
      </c>
      <c r="D203" s="41">
        <f>archetype_prototypes!E203</f>
        <v>0.81</v>
      </c>
      <c r="E203" s="41">
        <f t="shared" si="1"/>
        <v>0.19</v>
      </c>
      <c r="F203" s="41">
        <f t="shared" si="2"/>
        <v>0.6539</v>
      </c>
      <c r="G203" s="41">
        <f t="shared" si="3"/>
        <v>1</v>
      </c>
      <c r="H203" s="42" t="str">
        <f t="array" ref="H203">XLOOKUP(C203,dimensions!$A$2:$A$22,dimensions!$E$2:$E$22,0)</f>
        <v>1.6</v>
      </c>
      <c r="I203" s="41">
        <f t="shared" si="4"/>
        <v>0.304</v>
      </c>
      <c r="J203" s="41">
        <f t="shared" si="5"/>
        <v>1.04624</v>
      </c>
      <c r="K203" s="41">
        <f t="shared" si="6"/>
        <v>1.6</v>
      </c>
      <c r="L203" s="4"/>
      <c r="M203" s="4"/>
      <c r="N203" s="4"/>
      <c r="O203" s="4"/>
      <c r="P203" s="4"/>
      <c r="Q203" s="4"/>
      <c r="R203" s="4"/>
      <c r="S203" s="4"/>
      <c r="T203" s="4"/>
      <c r="U203" s="4"/>
      <c r="V203" s="4"/>
      <c r="W203" s="4"/>
      <c r="X203" s="4"/>
      <c r="Y203" s="4"/>
      <c r="Z203" s="4"/>
    </row>
    <row r="204" ht="15.75" customHeight="1">
      <c r="A204" s="40" t="str">
        <f>archetype_prototypes!A204</f>
        <v>10</v>
      </c>
      <c r="B204" s="9" t="str">
        <f>archetype_prototypes!B204</f>
        <v>Power Orchestrator</v>
      </c>
      <c r="C204" s="9" t="str">
        <f>archetype_prototypes!C204</f>
        <v>DIM_SOOTHING</v>
      </c>
      <c r="D204" s="41">
        <f>archetype_prototypes!E204</f>
        <v>0.09</v>
      </c>
      <c r="E204" s="41">
        <f t="shared" si="1"/>
        <v>0.09</v>
      </c>
      <c r="F204" s="41">
        <f t="shared" si="2"/>
        <v>0.5819</v>
      </c>
      <c r="G204" s="41">
        <f t="shared" si="3"/>
        <v>1</v>
      </c>
      <c r="H204" s="42" t="str">
        <f t="array" ref="H204">XLOOKUP(C204,dimensions!$A$2:$A$22,dimensions!$E$2:$E$22,0)</f>
        <v>1.9</v>
      </c>
      <c r="I204" s="41">
        <f t="shared" si="4"/>
        <v>0.171</v>
      </c>
      <c r="J204" s="41">
        <f t="shared" si="5"/>
        <v>1.10561</v>
      </c>
      <c r="K204" s="41">
        <f t="shared" si="6"/>
        <v>1.9</v>
      </c>
      <c r="L204" s="4"/>
      <c r="M204" s="4"/>
      <c r="N204" s="4"/>
      <c r="O204" s="4"/>
      <c r="P204" s="4"/>
      <c r="Q204" s="4"/>
      <c r="R204" s="4"/>
      <c r="S204" s="4"/>
      <c r="T204" s="4"/>
      <c r="U204" s="4"/>
      <c r="V204" s="4"/>
      <c r="W204" s="4"/>
      <c r="X204" s="4"/>
      <c r="Y204" s="4"/>
      <c r="Z204" s="4"/>
    </row>
    <row r="205" ht="15.75" customHeight="1">
      <c r="A205" s="40" t="str">
        <f>archetype_prototypes!A205</f>
        <v>10</v>
      </c>
      <c r="B205" s="9" t="str">
        <f>archetype_prototypes!B205</f>
        <v>Power Orchestrator</v>
      </c>
      <c r="C205" s="9" t="str">
        <f>archetype_prototypes!C205</f>
        <v>DIM_SECURE</v>
      </c>
      <c r="D205" s="41">
        <f>archetype_prototypes!E205</f>
        <v>0.39</v>
      </c>
      <c r="E205" s="41">
        <f t="shared" si="1"/>
        <v>0.39</v>
      </c>
      <c r="F205" s="41">
        <f t="shared" si="2"/>
        <v>0.7379</v>
      </c>
      <c r="G205" s="41">
        <f t="shared" si="3"/>
        <v>1</v>
      </c>
      <c r="H205" s="42" t="str">
        <f t="array" ref="H205">XLOOKUP(C205,dimensions!$A$2:$A$22,dimensions!$E$2:$E$22,0)</f>
        <v>1</v>
      </c>
      <c r="I205" s="41">
        <f t="shared" si="4"/>
        <v>0.39</v>
      </c>
      <c r="J205" s="41">
        <f t="shared" si="5"/>
        <v>0.7379</v>
      </c>
      <c r="K205" s="41">
        <f t="shared" si="6"/>
        <v>1</v>
      </c>
      <c r="L205" s="4"/>
      <c r="M205" s="4"/>
      <c r="N205" s="4"/>
      <c r="O205" s="4"/>
      <c r="P205" s="4"/>
      <c r="Q205" s="4"/>
      <c r="R205" s="4"/>
      <c r="S205" s="4"/>
      <c r="T205" s="4"/>
      <c r="U205" s="4"/>
      <c r="V205" s="4"/>
      <c r="W205" s="4"/>
      <c r="X205" s="4"/>
      <c r="Y205" s="4"/>
      <c r="Z205" s="4"/>
    </row>
    <row r="206" ht="15.75" customHeight="1">
      <c r="A206" s="40" t="str">
        <f>archetype_prototypes!A206</f>
        <v>10</v>
      </c>
      <c r="B206" s="9" t="str">
        <f>archetype_prototypes!B206</f>
        <v>Power Orchestrator</v>
      </c>
      <c r="C206" s="9" t="str">
        <f>archetype_prototypes!C206</f>
        <v>DIM_REPAIR_EROTICISM</v>
      </c>
      <c r="D206" s="41">
        <f>archetype_prototypes!E206</f>
        <v>0.14</v>
      </c>
      <c r="E206" s="41">
        <f t="shared" si="1"/>
        <v>0.14</v>
      </c>
      <c r="F206" s="41">
        <f t="shared" si="2"/>
        <v>0.6204</v>
      </c>
      <c r="G206" s="41">
        <f t="shared" si="3"/>
        <v>1</v>
      </c>
      <c r="H206" s="42" t="str">
        <f t="array" ref="H206">XLOOKUP(C206,dimensions!$A$2:$A$22,dimensions!$E$2:$E$22,0)</f>
        <v>1.6</v>
      </c>
      <c r="I206" s="41">
        <f t="shared" si="4"/>
        <v>0.224</v>
      </c>
      <c r="J206" s="41">
        <f t="shared" si="5"/>
        <v>0.99264</v>
      </c>
      <c r="K206" s="41">
        <f t="shared" si="6"/>
        <v>1.6</v>
      </c>
      <c r="L206" s="4"/>
      <c r="M206" s="4"/>
      <c r="N206" s="4"/>
      <c r="O206" s="4"/>
      <c r="P206" s="4"/>
      <c r="Q206" s="4"/>
      <c r="R206" s="4"/>
      <c r="S206" s="4"/>
      <c r="T206" s="4"/>
      <c r="U206" s="4"/>
      <c r="V206" s="4"/>
      <c r="W206" s="4"/>
      <c r="X206" s="4"/>
      <c r="Y206" s="4"/>
      <c r="Z206" s="4"/>
    </row>
    <row r="207" ht="15.75" customHeight="1">
      <c r="A207" s="40" t="str">
        <f>archetype_prototypes!A207</f>
        <v>10</v>
      </c>
      <c r="B207" s="9" t="str">
        <f>archetype_prototypes!B207</f>
        <v>Power Orchestrator</v>
      </c>
      <c r="C207" s="9" t="str">
        <f>archetype_prototypes!C207</f>
        <v>DIM_PRESSURE_SHUTDOWN</v>
      </c>
      <c r="D207" s="41">
        <f>archetype_prototypes!E207</f>
        <v>0.16</v>
      </c>
      <c r="E207" s="41">
        <f t="shared" si="1"/>
        <v>0.16</v>
      </c>
      <c r="F207" s="41">
        <f t="shared" si="2"/>
        <v>0.6344</v>
      </c>
      <c r="G207" s="41">
        <f t="shared" si="3"/>
        <v>1</v>
      </c>
      <c r="H207" s="42" t="str">
        <f t="array" ref="H207">XLOOKUP(C207,dimensions!$A$2:$A$22,dimensions!$E$2:$E$22,0)</f>
        <v>2.0</v>
      </c>
      <c r="I207" s="41">
        <f t="shared" si="4"/>
        <v>0.32</v>
      </c>
      <c r="J207" s="41">
        <f t="shared" si="5"/>
        <v>1.2688</v>
      </c>
      <c r="K207" s="41">
        <f t="shared" si="6"/>
        <v>2</v>
      </c>
      <c r="L207" s="4"/>
      <c r="M207" s="4"/>
      <c r="N207" s="4"/>
      <c r="O207" s="4"/>
      <c r="P207" s="4"/>
      <c r="Q207" s="4"/>
      <c r="R207" s="4"/>
      <c r="S207" s="4"/>
      <c r="T207" s="4"/>
      <c r="U207" s="4"/>
      <c r="V207" s="4"/>
      <c r="W207" s="4"/>
      <c r="X207" s="4"/>
      <c r="Y207" s="4"/>
      <c r="Z207" s="4"/>
    </row>
    <row r="208" ht="15.75" customHeight="1">
      <c r="A208" s="40" t="str">
        <f>archetype_prototypes!A208</f>
        <v>10</v>
      </c>
      <c r="B208" s="9" t="str">
        <f>archetype_prototypes!B208</f>
        <v>Power Orchestrator</v>
      </c>
      <c r="C208" s="9" t="str">
        <f>archetype_prototypes!C208</f>
        <v>DIM_AVOIDANT</v>
      </c>
      <c r="D208" s="41">
        <f>archetype_prototypes!E208</f>
        <v>0.67</v>
      </c>
      <c r="E208" s="41">
        <f t="shared" si="1"/>
        <v>0.33</v>
      </c>
      <c r="F208" s="41">
        <f t="shared" si="2"/>
        <v>0.7211</v>
      </c>
      <c r="G208" s="41">
        <f t="shared" si="3"/>
        <v>1</v>
      </c>
      <c r="H208" s="42" t="str">
        <f t="array" ref="H208">XLOOKUP(C208,dimensions!$A$2:$A$22,dimensions!$E$2:$E$22,0)</f>
        <v>1.3</v>
      </c>
      <c r="I208" s="41">
        <f t="shared" si="4"/>
        <v>0.429</v>
      </c>
      <c r="J208" s="41">
        <f t="shared" si="5"/>
        <v>0.93743</v>
      </c>
      <c r="K208" s="41">
        <f t="shared" si="6"/>
        <v>1.3</v>
      </c>
      <c r="L208" s="4"/>
      <c r="M208" s="4"/>
      <c r="N208" s="4"/>
      <c r="O208" s="4"/>
      <c r="P208" s="4"/>
      <c r="Q208" s="4"/>
      <c r="R208" s="4"/>
      <c r="S208" s="4"/>
      <c r="T208" s="4"/>
      <c r="U208" s="4"/>
      <c r="V208" s="4"/>
      <c r="W208" s="4"/>
      <c r="X208" s="4"/>
      <c r="Y208" s="4"/>
      <c r="Z208" s="4"/>
    </row>
    <row r="209" ht="15.75" customHeight="1">
      <c r="A209" s="40" t="str">
        <f>archetype_prototypes!A209</f>
        <v>10</v>
      </c>
      <c r="B209" s="9" t="str">
        <f>archetype_prototypes!B209</f>
        <v>Power Orchestrator</v>
      </c>
      <c r="C209" s="9" t="str">
        <f>archetype_prototypes!C209</f>
        <v>DIM_STRATEGY</v>
      </c>
      <c r="D209" s="41">
        <f>archetype_prototypes!E209</f>
        <v>0.38</v>
      </c>
      <c r="E209" s="41">
        <f t="shared" si="1"/>
        <v>0.38</v>
      </c>
      <c r="F209" s="41">
        <f t="shared" si="2"/>
        <v>0.7356</v>
      </c>
      <c r="G209" s="41">
        <f t="shared" si="3"/>
        <v>1</v>
      </c>
      <c r="H209" s="42" t="str">
        <f t="array" ref="H209">XLOOKUP(C209,dimensions!$A$2:$A$22,dimensions!$E$2:$E$22,0)</f>
        <v>1.2</v>
      </c>
      <c r="I209" s="41">
        <f t="shared" si="4"/>
        <v>0.456</v>
      </c>
      <c r="J209" s="41">
        <f t="shared" si="5"/>
        <v>0.88272</v>
      </c>
      <c r="K209" s="41">
        <f t="shared" si="6"/>
        <v>1.2</v>
      </c>
      <c r="L209" s="4"/>
      <c r="M209" s="4"/>
      <c r="N209" s="4"/>
      <c r="O209" s="4"/>
      <c r="P209" s="4"/>
      <c r="Q209" s="4"/>
      <c r="R209" s="4"/>
      <c r="S209" s="4"/>
      <c r="T209" s="4"/>
      <c r="U209" s="4"/>
      <c r="V209" s="4"/>
      <c r="W209" s="4"/>
      <c r="X209" s="4"/>
      <c r="Y209" s="4"/>
      <c r="Z209" s="4"/>
    </row>
    <row r="210" ht="15.75" customHeight="1">
      <c r="A210" s="40" t="str">
        <f>archetype_prototypes!A210</f>
        <v>10</v>
      </c>
      <c r="B210" s="9" t="str">
        <f>archetype_prototypes!B210</f>
        <v>Power Orchestrator</v>
      </c>
      <c r="C210" s="9" t="str">
        <f>archetype_prototypes!C210</f>
        <v>DIM_CLOSENESS_ORIENTATION</v>
      </c>
      <c r="D210" s="41">
        <f>archetype_prototypes!E210</f>
        <v>0.18</v>
      </c>
      <c r="E210" s="41">
        <f t="shared" si="1"/>
        <v>0.18</v>
      </c>
      <c r="F210" s="41">
        <f t="shared" si="2"/>
        <v>0.6476</v>
      </c>
      <c r="G210" s="41">
        <f t="shared" si="3"/>
        <v>1</v>
      </c>
      <c r="H210" s="42">
        <f t="array" ref="H210">XLOOKUP(C210,dimensions!$A$2:$A$22,dimensions!$E$2:$E$22,0)</f>
        <v>1</v>
      </c>
      <c r="I210" s="41">
        <f t="shared" si="4"/>
        <v>0.18</v>
      </c>
      <c r="J210" s="41">
        <f t="shared" si="5"/>
        <v>0.6476</v>
      </c>
      <c r="K210" s="41">
        <f t="shared" si="6"/>
        <v>1</v>
      </c>
      <c r="L210" s="4"/>
      <c r="M210" s="4"/>
      <c r="N210" s="4"/>
      <c r="O210" s="4"/>
      <c r="P210" s="4"/>
      <c r="Q210" s="4"/>
      <c r="R210" s="4"/>
      <c r="S210" s="4"/>
      <c r="T210" s="4"/>
      <c r="U210" s="4"/>
      <c r="V210" s="4"/>
      <c r="W210" s="4"/>
      <c r="X210" s="4"/>
      <c r="Y210" s="4"/>
      <c r="Z210" s="4"/>
    </row>
    <row r="211" ht="15.75" customHeight="1">
      <c r="A211" s="40" t="str">
        <f>archetype_prototypes!A211</f>
        <v>10</v>
      </c>
      <c r="B211" s="9" t="str">
        <f>archetype_prototypes!B211</f>
        <v>Power Orchestrator</v>
      </c>
      <c r="C211" s="9" t="str">
        <f>archetype_prototypes!C211</f>
        <v>DIM_PARTNER_FOCUS</v>
      </c>
      <c r="D211" s="41">
        <f>archetype_prototypes!E211</f>
        <v>0.28</v>
      </c>
      <c r="E211" s="41">
        <f t="shared" si="1"/>
        <v>0.28</v>
      </c>
      <c r="F211" s="41">
        <f t="shared" si="2"/>
        <v>0.7016</v>
      </c>
      <c r="G211" s="41">
        <f t="shared" si="3"/>
        <v>1</v>
      </c>
      <c r="H211" s="42">
        <f t="array" ref="H211">XLOOKUP(C211,dimensions!$A$2:$A$22,dimensions!$E$2:$E$22,0)</f>
        <v>1.2</v>
      </c>
      <c r="I211" s="41">
        <f t="shared" si="4"/>
        <v>0.336</v>
      </c>
      <c r="J211" s="41">
        <f t="shared" si="5"/>
        <v>0.84192</v>
      </c>
      <c r="K211" s="41">
        <f t="shared" si="6"/>
        <v>1.2</v>
      </c>
      <c r="L211" s="4"/>
      <c r="M211" s="4"/>
      <c r="N211" s="4"/>
      <c r="O211" s="4"/>
      <c r="P211" s="4"/>
      <c r="Q211" s="4"/>
      <c r="R211" s="4"/>
      <c r="S211" s="4"/>
      <c r="T211" s="4"/>
      <c r="U211" s="4"/>
      <c r="V211" s="4"/>
      <c r="W211" s="4"/>
      <c r="X211" s="4"/>
      <c r="Y211" s="4"/>
      <c r="Z211" s="4"/>
    </row>
    <row r="212" ht="15.75" customHeight="1">
      <c r="A212" s="40" t="str">
        <f>archetype_prototypes!A212</f>
        <v>11</v>
      </c>
      <c r="B212" s="9" t="str">
        <f>archetype_prototypes!B212</f>
        <v>Loyal Ritualist</v>
      </c>
      <c r="C212" s="9" t="str">
        <f>archetype_prototypes!C212</f>
        <v>DIM_NOVELTY</v>
      </c>
      <c r="D212" s="41">
        <f>archetype_prototypes!E212</f>
        <v>0.2</v>
      </c>
      <c r="E212" s="41">
        <f t="shared" si="1"/>
        <v>0.2</v>
      </c>
      <c r="F212" s="41">
        <f t="shared" si="2"/>
        <v>0.66</v>
      </c>
      <c r="G212" s="41">
        <f t="shared" si="3"/>
        <v>1</v>
      </c>
      <c r="H212" s="42" t="str">
        <f t="array" ref="H212">XLOOKUP(C212,dimensions!$A$2:$A$22,dimensions!$E$2:$E$22,0)</f>
        <v>1.4</v>
      </c>
      <c r="I212" s="41">
        <f t="shared" si="4"/>
        <v>0.28</v>
      </c>
      <c r="J212" s="41">
        <f t="shared" si="5"/>
        <v>0.924</v>
      </c>
      <c r="K212" s="41">
        <f t="shared" si="6"/>
        <v>1.4</v>
      </c>
      <c r="L212" s="4"/>
      <c r="M212" s="4"/>
      <c r="N212" s="4"/>
      <c r="O212" s="4"/>
      <c r="P212" s="4"/>
      <c r="Q212" s="4"/>
      <c r="R212" s="4"/>
      <c r="S212" s="4"/>
      <c r="T212" s="4"/>
      <c r="U212" s="4"/>
      <c r="V212" s="4"/>
      <c r="W212" s="4"/>
      <c r="X212" s="4"/>
      <c r="Y212" s="4"/>
      <c r="Z212" s="4"/>
    </row>
    <row r="213" ht="15.75" customHeight="1">
      <c r="A213" s="40" t="str">
        <f>archetype_prototypes!A213</f>
        <v>11</v>
      </c>
      <c r="B213" s="9" t="str">
        <f>archetype_prototypes!B213</f>
        <v>Loyal Ritualist</v>
      </c>
      <c r="C213" s="9" t="str">
        <f>archetype_prototypes!C213</f>
        <v>DIM_RESPONSIVE</v>
      </c>
      <c r="D213" s="41">
        <f>archetype_prototypes!E213</f>
        <v>0.55</v>
      </c>
      <c r="E213" s="41">
        <f t="shared" si="1"/>
        <v>0.45</v>
      </c>
      <c r="F213" s="41">
        <f t="shared" si="2"/>
        <v>0.7475</v>
      </c>
      <c r="G213" s="41">
        <f t="shared" si="3"/>
        <v>1</v>
      </c>
      <c r="H213" s="42" t="str">
        <f t="array" ref="H213">XLOOKUP(C213,dimensions!$A$2:$A$22,dimensions!$E$2:$E$22,0)</f>
        <v>1.6</v>
      </c>
      <c r="I213" s="41">
        <f t="shared" si="4"/>
        <v>0.72</v>
      </c>
      <c r="J213" s="41">
        <f t="shared" si="5"/>
        <v>1.196</v>
      </c>
      <c r="K213" s="41">
        <f t="shared" si="6"/>
        <v>1.6</v>
      </c>
      <c r="L213" s="4"/>
      <c r="M213" s="4"/>
      <c r="N213" s="4"/>
      <c r="O213" s="4"/>
      <c r="P213" s="4"/>
      <c r="Q213" s="4"/>
      <c r="R213" s="4"/>
      <c r="S213" s="4"/>
      <c r="T213" s="4"/>
      <c r="U213" s="4"/>
      <c r="V213" s="4"/>
      <c r="W213" s="4"/>
      <c r="X213" s="4"/>
      <c r="Y213" s="4"/>
      <c r="Z213" s="4"/>
    </row>
    <row r="214" ht="15.75" customHeight="1">
      <c r="A214" s="40" t="str">
        <f>archetype_prototypes!A214</f>
        <v>11</v>
      </c>
      <c r="B214" s="9" t="str">
        <f>archetype_prototypes!B214</f>
        <v>Loyal Ritualist</v>
      </c>
      <c r="C214" s="9" t="str">
        <f>archetype_prototypes!C214</f>
        <v>DIM_PLANNED</v>
      </c>
      <c r="D214" s="41">
        <f>archetype_prototypes!E214</f>
        <v>0.9</v>
      </c>
      <c r="E214" s="41">
        <f t="shared" si="1"/>
        <v>0.1</v>
      </c>
      <c r="F214" s="41">
        <f t="shared" si="2"/>
        <v>0.59</v>
      </c>
      <c r="G214" s="41">
        <f t="shared" si="3"/>
        <v>1</v>
      </c>
      <c r="H214" s="42" t="str">
        <f t="array" ref="H214">XLOOKUP(C214,dimensions!$A$2:$A$22,dimensions!$E$2:$E$22,0)</f>
        <v>1.3</v>
      </c>
      <c r="I214" s="41">
        <f t="shared" si="4"/>
        <v>0.13</v>
      </c>
      <c r="J214" s="41">
        <f t="shared" si="5"/>
        <v>0.767</v>
      </c>
      <c r="K214" s="41">
        <f t="shared" si="6"/>
        <v>1.3</v>
      </c>
      <c r="L214" s="4"/>
      <c r="M214" s="4"/>
      <c r="N214" s="4"/>
      <c r="O214" s="4"/>
      <c r="P214" s="4"/>
      <c r="Q214" s="4"/>
      <c r="R214" s="4"/>
      <c r="S214" s="4"/>
      <c r="T214" s="4"/>
      <c r="U214" s="4"/>
      <c r="V214" s="4"/>
      <c r="W214" s="4"/>
      <c r="X214" s="4"/>
      <c r="Y214" s="4"/>
      <c r="Z214" s="4"/>
    </row>
    <row r="215" ht="15.75" customHeight="1">
      <c r="A215" s="40" t="str">
        <f>archetype_prototypes!A215</f>
        <v>11</v>
      </c>
      <c r="B215" s="9" t="str">
        <f>archetype_prototypes!B215</f>
        <v>Loyal Ritualist</v>
      </c>
      <c r="C215" s="9" t="str">
        <f>archetype_prototypes!C215</f>
        <v>DIM_EMO_CONNECTION</v>
      </c>
      <c r="D215" s="41">
        <f>archetype_prototypes!E215</f>
        <v>0.55</v>
      </c>
      <c r="E215" s="41">
        <f t="shared" si="1"/>
        <v>0.45</v>
      </c>
      <c r="F215" s="41">
        <f t="shared" si="2"/>
        <v>0.7475</v>
      </c>
      <c r="G215" s="41">
        <f t="shared" si="3"/>
        <v>1</v>
      </c>
      <c r="H215" s="42" t="str">
        <f t="array" ref="H215">XLOOKUP(C215,dimensions!$A$2:$A$22,dimensions!$E$2:$E$22,0)</f>
        <v>1.4</v>
      </c>
      <c r="I215" s="41">
        <f t="shared" si="4"/>
        <v>0.63</v>
      </c>
      <c r="J215" s="41">
        <f t="shared" si="5"/>
        <v>1.0465</v>
      </c>
      <c r="K215" s="41">
        <f t="shared" si="6"/>
        <v>1.4</v>
      </c>
      <c r="L215" s="4"/>
      <c r="M215" s="4"/>
      <c r="N215" s="4"/>
      <c r="O215" s="4"/>
      <c r="P215" s="4"/>
      <c r="Q215" s="4"/>
      <c r="R215" s="4"/>
      <c r="S215" s="4"/>
      <c r="T215" s="4"/>
      <c r="U215" s="4"/>
      <c r="V215" s="4"/>
      <c r="W215" s="4"/>
      <c r="X215" s="4"/>
      <c r="Y215" s="4"/>
      <c r="Z215" s="4"/>
    </row>
    <row r="216" ht="15.75" customHeight="1">
      <c r="A216" s="40" t="str">
        <f>archetype_prototypes!A216</f>
        <v>11</v>
      </c>
      <c r="B216" s="9" t="str">
        <f>archetype_prototypes!B216</f>
        <v>Loyal Ritualist</v>
      </c>
      <c r="C216" s="9" t="str">
        <f>archetype_prototypes!C216</f>
        <v>DIM_INTENSITY</v>
      </c>
      <c r="D216" s="41">
        <f>archetype_prototypes!E216</f>
        <v>0.35</v>
      </c>
      <c r="E216" s="41">
        <f t="shared" si="1"/>
        <v>0.35</v>
      </c>
      <c r="F216" s="41">
        <f t="shared" si="2"/>
        <v>0.7275</v>
      </c>
      <c r="G216" s="41">
        <f t="shared" si="3"/>
        <v>1</v>
      </c>
      <c r="H216" s="42" t="str">
        <f t="array" ref="H216">XLOOKUP(C216,dimensions!$A$2:$A$22,dimensions!$E$2:$E$22,0)</f>
        <v>1.4</v>
      </c>
      <c r="I216" s="41">
        <f t="shared" si="4"/>
        <v>0.49</v>
      </c>
      <c r="J216" s="41">
        <f t="shared" si="5"/>
        <v>1.0185</v>
      </c>
      <c r="K216" s="41">
        <f t="shared" si="6"/>
        <v>1.4</v>
      </c>
      <c r="L216" s="4"/>
      <c r="M216" s="4"/>
      <c r="N216" s="4"/>
      <c r="O216" s="4"/>
      <c r="P216" s="4"/>
      <c r="Q216" s="4"/>
      <c r="R216" s="4"/>
      <c r="S216" s="4"/>
      <c r="T216" s="4"/>
      <c r="U216" s="4"/>
      <c r="V216" s="4"/>
      <c r="W216" s="4"/>
      <c r="X216" s="4"/>
      <c r="Y216" s="4"/>
      <c r="Z216" s="4"/>
    </row>
    <row r="217" ht="15.75" customHeight="1">
      <c r="A217" s="40" t="str">
        <f>archetype_prototypes!A217</f>
        <v>11</v>
      </c>
      <c r="B217" s="9" t="str">
        <f>archetype_prototypes!B217</f>
        <v>Loyal Ritualist</v>
      </c>
      <c r="C217" s="9" t="str">
        <f>archetype_prototypes!C217</f>
        <v>DIM_PURSUIT</v>
      </c>
      <c r="D217" s="41">
        <f>archetype_prototypes!E217</f>
        <v>0.2</v>
      </c>
      <c r="E217" s="41">
        <f t="shared" si="1"/>
        <v>0.2</v>
      </c>
      <c r="F217" s="41">
        <f t="shared" si="2"/>
        <v>0.66</v>
      </c>
      <c r="G217" s="41">
        <f t="shared" si="3"/>
        <v>1</v>
      </c>
      <c r="H217" s="42" t="str">
        <f t="array" ref="H217">XLOOKUP(C217,dimensions!$A$2:$A$22,dimensions!$E$2:$E$22,0)</f>
        <v>1.4</v>
      </c>
      <c r="I217" s="41">
        <f t="shared" si="4"/>
        <v>0.28</v>
      </c>
      <c r="J217" s="41">
        <f t="shared" si="5"/>
        <v>0.924</v>
      </c>
      <c r="K217" s="41">
        <f t="shared" si="6"/>
        <v>1.4</v>
      </c>
      <c r="L217" s="4"/>
      <c r="M217" s="4"/>
      <c r="N217" s="4"/>
      <c r="O217" s="4"/>
      <c r="P217" s="4"/>
      <c r="Q217" s="4"/>
      <c r="R217" s="4"/>
      <c r="S217" s="4"/>
      <c r="T217" s="4"/>
      <c r="U217" s="4"/>
      <c r="V217" s="4"/>
      <c r="W217" s="4"/>
      <c r="X217" s="4"/>
      <c r="Y217" s="4"/>
      <c r="Z217" s="4"/>
    </row>
    <row r="218" ht="15.75" customHeight="1">
      <c r="A218" s="40" t="str">
        <f>archetype_prototypes!A218</f>
        <v>11</v>
      </c>
      <c r="B218" s="9" t="str">
        <f>archetype_prototypes!B218</f>
        <v>Loyal Ritualist</v>
      </c>
      <c r="C218" s="9" t="str">
        <f>archetype_prototypes!C218</f>
        <v>DIM_EDGE_NEED</v>
      </c>
      <c r="D218" s="41">
        <f>archetype_prototypes!E218</f>
        <v>0.2</v>
      </c>
      <c r="E218" s="41">
        <f t="shared" si="1"/>
        <v>0.2</v>
      </c>
      <c r="F218" s="41">
        <f t="shared" si="2"/>
        <v>0.66</v>
      </c>
      <c r="G218" s="41">
        <f t="shared" si="3"/>
        <v>1</v>
      </c>
      <c r="H218" s="42" t="str">
        <f t="array" ref="H218">XLOOKUP(C218,dimensions!$A$2:$A$22,dimensions!$E$2:$E$22,0)</f>
        <v>1.8</v>
      </c>
      <c r="I218" s="41">
        <f t="shared" si="4"/>
        <v>0.36</v>
      </c>
      <c r="J218" s="41">
        <f t="shared" si="5"/>
        <v>1.188</v>
      </c>
      <c r="K218" s="41">
        <f t="shared" si="6"/>
        <v>1.8</v>
      </c>
      <c r="L218" s="4"/>
      <c r="M218" s="4"/>
      <c r="N218" s="4"/>
      <c r="O218" s="4"/>
      <c r="P218" s="4"/>
      <c r="Q218" s="4"/>
      <c r="R218" s="4"/>
      <c r="S218" s="4"/>
      <c r="T218" s="4"/>
      <c r="U218" s="4"/>
      <c r="V218" s="4"/>
      <c r="W218" s="4"/>
      <c r="X218" s="4"/>
      <c r="Y218" s="4"/>
      <c r="Z218" s="4"/>
    </row>
    <row r="219" ht="15.75" customHeight="1">
      <c r="A219" s="40" t="str">
        <f>archetype_prototypes!A219</f>
        <v>11</v>
      </c>
      <c r="B219" s="9" t="str">
        <f>archetype_prototypes!B219</f>
        <v>Loyal Ritualist</v>
      </c>
      <c r="C219" s="9" t="str">
        <f>archetype_prototypes!C219</f>
        <v>DIM_SACRED</v>
      </c>
      <c r="D219" s="41">
        <f>archetype_prototypes!E219</f>
        <v>0.4</v>
      </c>
      <c r="E219" s="41">
        <f t="shared" si="1"/>
        <v>0.4</v>
      </c>
      <c r="F219" s="41">
        <f t="shared" si="2"/>
        <v>0.74</v>
      </c>
      <c r="G219" s="41">
        <f t="shared" si="3"/>
        <v>1</v>
      </c>
      <c r="H219" s="42" t="str">
        <f t="array" ref="H219">XLOOKUP(C219,dimensions!$A$2:$A$22,dimensions!$E$2:$E$22,0)</f>
        <v>2.0</v>
      </c>
      <c r="I219" s="41">
        <f t="shared" si="4"/>
        <v>0.8</v>
      </c>
      <c r="J219" s="41">
        <f t="shared" si="5"/>
        <v>1.48</v>
      </c>
      <c r="K219" s="41">
        <f t="shared" si="6"/>
        <v>2</v>
      </c>
      <c r="L219" s="4"/>
      <c r="M219" s="4"/>
      <c r="N219" s="4"/>
      <c r="O219" s="4"/>
      <c r="P219" s="4"/>
      <c r="Q219" s="4"/>
      <c r="R219" s="4"/>
      <c r="S219" s="4"/>
      <c r="T219" s="4"/>
      <c r="U219" s="4"/>
      <c r="V219" s="4"/>
      <c r="W219" s="4"/>
      <c r="X219" s="4"/>
      <c r="Y219" s="4"/>
      <c r="Z219" s="4"/>
    </row>
    <row r="220" ht="15.75" customHeight="1">
      <c r="A220" s="40" t="str">
        <f>archetype_prototypes!A220</f>
        <v>11</v>
      </c>
      <c r="B220" s="9" t="str">
        <f>archetype_prototypes!B220</f>
        <v>Loyal Ritualist</v>
      </c>
      <c r="C220" s="9" t="str">
        <f>archetype_prototypes!C220</f>
        <v>DIM_RISK_PREF</v>
      </c>
      <c r="D220" s="41">
        <f>archetype_prototypes!E220</f>
        <v>0.15</v>
      </c>
      <c r="E220" s="41">
        <f t="shared" si="1"/>
        <v>0.15</v>
      </c>
      <c r="F220" s="41">
        <f t="shared" si="2"/>
        <v>0.6275</v>
      </c>
      <c r="G220" s="41">
        <f t="shared" si="3"/>
        <v>1</v>
      </c>
      <c r="H220" s="42" t="str">
        <f t="array" ref="H220">XLOOKUP(C220,dimensions!$A$2:$A$22,dimensions!$E$2:$E$22,0)</f>
        <v>1.6</v>
      </c>
      <c r="I220" s="41">
        <f t="shared" si="4"/>
        <v>0.24</v>
      </c>
      <c r="J220" s="41">
        <f t="shared" si="5"/>
        <v>1.004</v>
      </c>
      <c r="K220" s="41">
        <f t="shared" si="6"/>
        <v>1.6</v>
      </c>
      <c r="L220" s="4"/>
      <c r="M220" s="4"/>
      <c r="N220" s="4"/>
      <c r="O220" s="4"/>
      <c r="P220" s="4"/>
      <c r="Q220" s="4"/>
      <c r="R220" s="4"/>
      <c r="S220" s="4"/>
      <c r="T220" s="4"/>
      <c r="U220" s="4"/>
      <c r="V220" s="4"/>
      <c r="W220" s="4"/>
      <c r="X220" s="4"/>
      <c r="Y220" s="4"/>
      <c r="Z220" s="4"/>
    </row>
    <row r="221" ht="15.75" customHeight="1">
      <c r="A221" s="40" t="str">
        <f>archetype_prototypes!A221</f>
        <v>11</v>
      </c>
      <c r="B221" s="9" t="str">
        <f>archetype_prototypes!B221</f>
        <v>Loyal Ritualist</v>
      </c>
      <c r="C221" s="9" t="str">
        <f>archetype_prototypes!C221</f>
        <v>DIM_FEEDBACK_DEP</v>
      </c>
      <c r="D221" s="41">
        <f>archetype_prototypes!E221</f>
        <v>0.3</v>
      </c>
      <c r="E221" s="41">
        <f t="shared" si="1"/>
        <v>0.3</v>
      </c>
      <c r="F221" s="41">
        <f t="shared" si="2"/>
        <v>0.71</v>
      </c>
      <c r="G221" s="41">
        <f t="shared" si="3"/>
        <v>1</v>
      </c>
      <c r="H221" s="42" t="str">
        <f t="array" ref="H221">XLOOKUP(C221,dimensions!$A$2:$A$22,dimensions!$E$2:$E$22,0)</f>
        <v>2.0</v>
      </c>
      <c r="I221" s="41">
        <f t="shared" si="4"/>
        <v>0.6</v>
      </c>
      <c r="J221" s="41">
        <f t="shared" si="5"/>
        <v>1.42</v>
      </c>
      <c r="K221" s="41">
        <f t="shared" si="6"/>
        <v>2</v>
      </c>
      <c r="L221" s="4"/>
      <c r="M221" s="4"/>
      <c r="N221" s="4"/>
      <c r="O221" s="4"/>
      <c r="P221" s="4"/>
      <c r="Q221" s="4"/>
      <c r="R221" s="4"/>
      <c r="S221" s="4"/>
      <c r="T221" s="4"/>
      <c r="U221" s="4"/>
      <c r="V221" s="4"/>
      <c r="W221" s="4"/>
      <c r="X221" s="4"/>
      <c r="Y221" s="4"/>
      <c r="Z221" s="4"/>
    </row>
    <row r="222" ht="15.75" customHeight="1">
      <c r="A222" s="40" t="str">
        <f>archetype_prototypes!A222</f>
        <v>11</v>
      </c>
      <c r="B222" s="9" t="str">
        <f>archetype_prototypes!B222</f>
        <v>Loyal Ritualist</v>
      </c>
      <c r="C222" s="9" t="str">
        <f>archetype_prototypes!C222</f>
        <v>DIM_TURNON_EXPRESS</v>
      </c>
      <c r="D222" s="41">
        <f>archetype_prototypes!E222</f>
        <v>0.45</v>
      </c>
      <c r="E222" s="41">
        <f t="shared" si="1"/>
        <v>0.45</v>
      </c>
      <c r="F222" s="41">
        <f t="shared" si="2"/>
        <v>0.7475</v>
      </c>
      <c r="G222" s="41">
        <f t="shared" si="3"/>
        <v>1</v>
      </c>
      <c r="H222" s="42" t="str">
        <f t="array" ref="H222">XLOOKUP(C222,dimensions!$A$2:$A$22,dimensions!$E$2:$E$22,0)</f>
        <v>1.3</v>
      </c>
      <c r="I222" s="41">
        <f t="shared" si="4"/>
        <v>0.585</v>
      </c>
      <c r="J222" s="41">
        <f t="shared" si="5"/>
        <v>0.97175</v>
      </c>
      <c r="K222" s="41">
        <f t="shared" si="6"/>
        <v>1.3</v>
      </c>
      <c r="L222" s="4"/>
      <c r="M222" s="4"/>
      <c r="N222" s="4"/>
      <c r="O222" s="4"/>
      <c r="P222" s="4"/>
      <c r="Q222" s="4"/>
      <c r="R222" s="4"/>
      <c r="S222" s="4"/>
      <c r="T222" s="4"/>
      <c r="U222" s="4"/>
      <c r="V222" s="4"/>
      <c r="W222" s="4"/>
      <c r="X222" s="4"/>
      <c r="Y222" s="4"/>
      <c r="Z222" s="4"/>
    </row>
    <row r="223" ht="15.75" customHeight="1">
      <c r="A223" s="40" t="str">
        <f>archetype_prototypes!A223</f>
        <v>11</v>
      </c>
      <c r="B223" s="9" t="str">
        <f>archetype_prototypes!B223</f>
        <v>Loyal Ritualist</v>
      </c>
      <c r="C223" s="9" t="str">
        <f>archetype_prototypes!C223</f>
        <v>DIM_BOUNDARY_EXPRESS</v>
      </c>
      <c r="D223" s="41">
        <f>archetype_prototypes!E223</f>
        <v>0.55</v>
      </c>
      <c r="E223" s="41">
        <f t="shared" si="1"/>
        <v>0.45</v>
      </c>
      <c r="F223" s="41">
        <f t="shared" si="2"/>
        <v>0.7475</v>
      </c>
      <c r="G223" s="41">
        <f t="shared" si="3"/>
        <v>1</v>
      </c>
      <c r="H223" s="42" t="str">
        <f t="array" ref="H223">XLOOKUP(C223,dimensions!$A$2:$A$22,dimensions!$E$2:$E$22,0)</f>
        <v>1.3</v>
      </c>
      <c r="I223" s="41">
        <f t="shared" si="4"/>
        <v>0.585</v>
      </c>
      <c r="J223" s="41">
        <f t="shared" si="5"/>
        <v>0.97175</v>
      </c>
      <c r="K223" s="41">
        <f t="shared" si="6"/>
        <v>1.3</v>
      </c>
      <c r="L223" s="4"/>
      <c r="M223" s="4"/>
      <c r="N223" s="4"/>
      <c r="O223" s="4"/>
      <c r="P223" s="4"/>
      <c r="Q223" s="4"/>
      <c r="R223" s="4"/>
      <c r="S223" s="4"/>
      <c r="T223" s="4"/>
      <c r="U223" s="4"/>
      <c r="V223" s="4"/>
      <c r="W223" s="4"/>
      <c r="X223" s="4"/>
      <c r="Y223" s="4"/>
      <c r="Z223" s="4"/>
    </row>
    <row r="224" ht="15.75" customHeight="1">
      <c r="A224" s="40" t="str">
        <f>archetype_prototypes!A224</f>
        <v>11</v>
      </c>
      <c r="B224" s="9" t="str">
        <f>archetype_prototypes!B224</f>
        <v>Loyal Ritualist</v>
      </c>
      <c r="C224" s="9" t="str">
        <f>archetype_prototypes!C224</f>
        <v>DIM_PROTOCOL</v>
      </c>
      <c r="D224" s="41">
        <f>archetype_prototypes!E224</f>
        <v>0.65</v>
      </c>
      <c r="E224" s="41">
        <f t="shared" si="1"/>
        <v>0.35</v>
      </c>
      <c r="F224" s="41">
        <f t="shared" si="2"/>
        <v>0.7275</v>
      </c>
      <c r="G224" s="41">
        <f t="shared" si="3"/>
        <v>1</v>
      </c>
      <c r="H224" s="42" t="str">
        <f t="array" ref="H224">XLOOKUP(C224,dimensions!$A$2:$A$22,dimensions!$E$2:$E$22,0)</f>
        <v>1.6</v>
      </c>
      <c r="I224" s="41">
        <f t="shared" si="4"/>
        <v>0.56</v>
      </c>
      <c r="J224" s="41">
        <f t="shared" si="5"/>
        <v>1.164</v>
      </c>
      <c r="K224" s="41">
        <f t="shared" si="6"/>
        <v>1.6</v>
      </c>
      <c r="L224" s="4"/>
      <c r="M224" s="4"/>
      <c r="N224" s="4"/>
      <c r="O224" s="4"/>
      <c r="P224" s="4"/>
      <c r="Q224" s="4"/>
      <c r="R224" s="4"/>
      <c r="S224" s="4"/>
      <c r="T224" s="4"/>
      <c r="U224" s="4"/>
      <c r="V224" s="4"/>
      <c r="W224" s="4"/>
      <c r="X224" s="4"/>
      <c r="Y224" s="4"/>
      <c r="Z224" s="4"/>
    </row>
    <row r="225" ht="15.75" customHeight="1">
      <c r="A225" s="40" t="str">
        <f>archetype_prototypes!A225</f>
        <v>11</v>
      </c>
      <c r="B225" s="9" t="str">
        <f>archetype_prototypes!B225</f>
        <v>Loyal Ritualist</v>
      </c>
      <c r="C225" s="9" t="str">
        <f>archetype_prototypes!C225</f>
        <v>DIM_SOOTHING</v>
      </c>
      <c r="D225" s="41">
        <f>archetype_prototypes!E225</f>
        <v>0.2</v>
      </c>
      <c r="E225" s="41">
        <f t="shared" si="1"/>
        <v>0.2</v>
      </c>
      <c r="F225" s="41">
        <f t="shared" si="2"/>
        <v>0.66</v>
      </c>
      <c r="G225" s="41">
        <f t="shared" si="3"/>
        <v>1</v>
      </c>
      <c r="H225" s="42" t="str">
        <f t="array" ref="H225">XLOOKUP(C225,dimensions!$A$2:$A$22,dimensions!$E$2:$E$22,0)</f>
        <v>1.9</v>
      </c>
      <c r="I225" s="41">
        <f t="shared" si="4"/>
        <v>0.38</v>
      </c>
      <c r="J225" s="41">
        <f t="shared" si="5"/>
        <v>1.254</v>
      </c>
      <c r="K225" s="41">
        <f t="shared" si="6"/>
        <v>1.9</v>
      </c>
      <c r="L225" s="4"/>
      <c r="M225" s="4"/>
      <c r="N225" s="4"/>
      <c r="O225" s="4"/>
      <c r="P225" s="4"/>
      <c r="Q225" s="4"/>
      <c r="R225" s="4"/>
      <c r="S225" s="4"/>
      <c r="T225" s="4"/>
      <c r="U225" s="4"/>
      <c r="V225" s="4"/>
      <c r="W225" s="4"/>
      <c r="X225" s="4"/>
      <c r="Y225" s="4"/>
      <c r="Z225" s="4"/>
    </row>
    <row r="226" ht="15.75" customHeight="1">
      <c r="A226" s="40" t="str">
        <f>archetype_prototypes!A226</f>
        <v>11</v>
      </c>
      <c r="B226" s="9" t="str">
        <f>archetype_prototypes!B226</f>
        <v>Loyal Ritualist</v>
      </c>
      <c r="C226" s="9" t="str">
        <f>archetype_prototypes!C226</f>
        <v>DIM_SECURE</v>
      </c>
      <c r="D226" s="41">
        <f>archetype_prototypes!E226</f>
        <v>0.75</v>
      </c>
      <c r="E226" s="41">
        <f t="shared" si="1"/>
        <v>0.25</v>
      </c>
      <c r="F226" s="41">
        <f t="shared" si="2"/>
        <v>0.6875</v>
      </c>
      <c r="G226" s="41">
        <f t="shared" si="3"/>
        <v>1</v>
      </c>
      <c r="H226" s="42" t="str">
        <f t="array" ref="H226">XLOOKUP(C226,dimensions!$A$2:$A$22,dimensions!$E$2:$E$22,0)</f>
        <v>1</v>
      </c>
      <c r="I226" s="41">
        <f t="shared" si="4"/>
        <v>0.25</v>
      </c>
      <c r="J226" s="41">
        <f t="shared" si="5"/>
        <v>0.6875</v>
      </c>
      <c r="K226" s="41">
        <f t="shared" si="6"/>
        <v>1</v>
      </c>
      <c r="L226" s="4"/>
      <c r="M226" s="4"/>
      <c r="N226" s="4"/>
      <c r="O226" s="4"/>
      <c r="P226" s="4"/>
      <c r="Q226" s="4"/>
      <c r="R226" s="4"/>
      <c r="S226" s="4"/>
      <c r="T226" s="4"/>
      <c r="U226" s="4"/>
      <c r="V226" s="4"/>
      <c r="W226" s="4"/>
      <c r="X226" s="4"/>
      <c r="Y226" s="4"/>
      <c r="Z226" s="4"/>
    </row>
    <row r="227" ht="15.75" customHeight="1">
      <c r="A227" s="40" t="str">
        <f>archetype_prototypes!A227</f>
        <v>11</v>
      </c>
      <c r="B227" s="9" t="str">
        <f>archetype_prototypes!B227</f>
        <v>Loyal Ritualist</v>
      </c>
      <c r="C227" s="9" t="str">
        <f>archetype_prototypes!C227</f>
        <v>DIM_REPAIR_EROTICISM</v>
      </c>
      <c r="D227" s="41">
        <f>archetype_prototypes!E227</f>
        <v>0.35</v>
      </c>
      <c r="E227" s="41">
        <f t="shared" si="1"/>
        <v>0.35</v>
      </c>
      <c r="F227" s="41">
        <f t="shared" si="2"/>
        <v>0.7275</v>
      </c>
      <c r="G227" s="41">
        <f t="shared" si="3"/>
        <v>1</v>
      </c>
      <c r="H227" s="42" t="str">
        <f t="array" ref="H227">XLOOKUP(C227,dimensions!$A$2:$A$22,dimensions!$E$2:$E$22,0)</f>
        <v>1.6</v>
      </c>
      <c r="I227" s="41">
        <f t="shared" si="4"/>
        <v>0.56</v>
      </c>
      <c r="J227" s="41">
        <f t="shared" si="5"/>
        <v>1.164</v>
      </c>
      <c r="K227" s="41">
        <f t="shared" si="6"/>
        <v>1.6</v>
      </c>
      <c r="L227" s="4"/>
      <c r="M227" s="4"/>
      <c r="N227" s="4"/>
      <c r="O227" s="4"/>
      <c r="P227" s="4"/>
      <c r="Q227" s="4"/>
      <c r="R227" s="4"/>
      <c r="S227" s="4"/>
      <c r="T227" s="4"/>
      <c r="U227" s="4"/>
      <c r="V227" s="4"/>
      <c r="W227" s="4"/>
      <c r="X227" s="4"/>
      <c r="Y227" s="4"/>
      <c r="Z227" s="4"/>
    </row>
    <row r="228" ht="15.75" customHeight="1">
      <c r="A228" s="40" t="str">
        <f>archetype_prototypes!A228</f>
        <v>11</v>
      </c>
      <c r="B228" s="9" t="str">
        <f>archetype_prototypes!B228</f>
        <v>Loyal Ritualist</v>
      </c>
      <c r="C228" s="9" t="str">
        <f>archetype_prototypes!C228</f>
        <v>DIM_PRESSURE_SHUTDOWN</v>
      </c>
      <c r="D228" s="41">
        <f>archetype_prototypes!E228</f>
        <v>0.2</v>
      </c>
      <c r="E228" s="41">
        <f t="shared" si="1"/>
        <v>0.2</v>
      </c>
      <c r="F228" s="41">
        <f t="shared" si="2"/>
        <v>0.66</v>
      </c>
      <c r="G228" s="41">
        <f t="shared" si="3"/>
        <v>1</v>
      </c>
      <c r="H228" s="42" t="str">
        <f t="array" ref="H228">XLOOKUP(C228,dimensions!$A$2:$A$22,dimensions!$E$2:$E$22,0)</f>
        <v>2.0</v>
      </c>
      <c r="I228" s="41">
        <f t="shared" si="4"/>
        <v>0.4</v>
      </c>
      <c r="J228" s="41">
        <f t="shared" si="5"/>
        <v>1.32</v>
      </c>
      <c r="K228" s="41">
        <f t="shared" si="6"/>
        <v>2</v>
      </c>
      <c r="L228" s="4"/>
      <c r="M228" s="4"/>
      <c r="N228" s="4"/>
      <c r="O228" s="4"/>
      <c r="P228" s="4"/>
      <c r="Q228" s="4"/>
      <c r="R228" s="4"/>
      <c r="S228" s="4"/>
      <c r="T228" s="4"/>
      <c r="U228" s="4"/>
      <c r="V228" s="4"/>
      <c r="W228" s="4"/>
      <c r="X228" s="4"/>
      <c r="Y228" s="4"/>
      <c r="Z228" s="4"/>
    </row>
    <row r="229" ht="15.75" customHeight="1">
      <c r="A229" s="40" t="str">
        <f>archetype_prototypes!A229</f>
        <v>11</v>
      </c>
      <c r="B229" s="9" t="str">
        <f>archetype_prototypes!B229</f>
        <v>Loyal Ritualist</v>
      </c>
      <c r="C229" s="9" t="str">
        <f>archetype_prototypes!C229</f>
        <v>DIM_AVOIDANT</v>
      </c>
      <c r="D229" s="41">
        <f>archetype_prototypes!E229</f>
        <v>0.25</v>
      </c>
      <c r="E229" s="41">
        <f t="shared" si="1"/>
        <v>0.25</v>
      </c>
      <c r="F229" s="41">
        <f t="shared" si="2"/>
        <v>0.6875</v>
      </c>
      <c r="G229" s="41">
        <f t="shared" si="3"/>
        <v>1</v>
      </c>
      <c r="H229" s="42" t="str">
        <f t="array" ref="H229">XLOOKUP(C229,dimensions!$A$2:$A$22,dimensions!$E$2:$E$22,0)</f>
        <v>1.3</v>
      </c>
      <c r="I229" s="41">
        <f t="shared" si="4"/>
        <v>0.325</v>
      </c>
      <c r="J229" s="41">
        <f t="shared" si="5"/>
        <v>0.89375</v>
      </c>
      <c r="K229" s="41">
        <f t="shared" si="6"/>
        <v>1.3</v>
      </c>
      <c r="L229" s="4"/>
      <c r="M229" s="4"/>
      <c r="N229" s="4"/>
      <c r="O229" s="4"/>
      <c r="P229" s="4"/>
      <c r="Q229" s="4"/>
      <c r="R229" s="4"/>
      <c r="S229" s="4"/>
      <c r="T229" s="4"/>
      <c r="U229" s="4"/>
      <c r="V229" s="4"/>
      <c r="W229" s="4"/>
      <c r="X229" s="4"/>
      <c r="Y229" s="4"/>
      <c r="Z229" s="4"/>
    </row>
    <row r="230" ht="15.75" customHeight="1">
      <c r="A230" s="40" t="str">
        <f>archetype_prototypes!A230</f>
        <v>11</v>
      </c>
      <c r="B230" s="9" t="str">
        <f>archetype_prototypes!B230</f>
        <v>Loyal Ritualist</v>
      </c>
      <c r="C230" s="9" t="str">
        <f>archetype_prototypes!C230</f>
        <v>DIM_STRATEGY</v>
      </c>
      <c r="D230" s="41">
        <f>archetype_prototypes!E230</f>
        <v>0.05</v>
      </c>
      <c r="E230" s="41">
        <f t="shared" si="1"/>
        <v>0.05</v>
      </c>
      <c r="F230" s="41">
        <f t="shared" si="2"/>
        <v>0.5475</v>
      </c>
      <c r="G230" s="41">
        <f t="shared" si="3"/>
        <v>1</v>
      </c>
      <c r="H230" s="42" t="str">
        <f t="array" ref="H230">XLOOKUP(C230,dimensions!$A$2:$A$22,dimensions!$E$2:$E$22,0)</f>
        <v>1.2</v>
      </c>
      <c r="I230" s="41">
        <f t="shared" si="4"/>
        <v>0.06</v>
      </c>
      <c r="J230" s="41">
        <f t="shared" si="5"/>
        <v>0.657</v>
      </c>
      <c r="K230" s="41">
        <f t="shared" si="6"/>
        <v>1.2</v>
      </c>
      <c r="L230" s="4"/>
      <c r="M230" s="4"/>
      <c r="N230" s="4"/>
      <c r="O230" s="4"/>
      <c r="P230" s="4"/>
      <c r="Q230" s="4"/>
      <c r="R230" s="4"/>
      <c r="S230" s="4"/>
      <c r="T230" s="4"/>
      <c r="U230" s="4"/>
      <c r="V230" s="4"/>
      <c r="W230" s="4"/>
      <c r="X230" s="4"/>
      <c r="Y230" s="4"/>
      <c r="Z230" s="4"/>
    </row>
    <row r="231" ht="15.75" customHeight="1">
      <c r="A231" s="40" t="str">
        <f>archetype_prototypes!A231</f>
        <v>11</v>
      </c>
      <c r="B231" s="9" t="str">
        <f>archetype_prototypes!B231</f>
        <v>Loyal Ritualist</v>
      </c>
      <c r="C231" s="9" t="str">
        <f>archetype_prototypes!C231</f>
        <v>DIM_CLOSENESS_ORIENTATION</v>
      </c>
      <c r="D231" s="41">
        <f>archetype_prototypes!E231</f>
        <v>0.6</v>
      </c>
      <c r="E231" s="41">
        <f t="shared" si="1"/>
        <v>0.4</v>
      </c>
      <c r="F231" s="41">
        <f t="shared" si="2"/>
        <v>0.74</v>
      </c>
      <c r="G231" s="41">
        <f t="shared" si="3"/>
        <v>1</v>
      </c>
      <c r="H231" s="42">
        <f t="array" ref="H231">XLOOKUP(C231,dimensions!$A$2:$A$22,dimensions!$E$2:$E$22,0)</f>
        <v>1</v>
      </c>
      <c r="I231" s="41">
        <f t="shared" si="4"/>
        <v>0.4</v>
      </c>
      <c r="J231" s="41">
        <f t="shared" si="5"/>
        <v>0.74</v>
      </c>
      <c r="K231" s="41">
        <f t="shared" si="6"/>
        <v>1</v>
      </c>
      <c r="L231" s="4"/>
      <c r="M231" s="4"/>
      <c r="N231" s="4"/>
      <c r="O231" s="4"/>
      <c r="P231" s="4"/>
      <c r="Q231" s="4"/>
      <c r="R231" s="4"/>
      <c r="S231" s="4"/>
      <c r="T231" s="4"/>
      <c r="U231" s="4"/>
      <c r="V231" s="4"/>
      <c r="W231" s="4"/>
      <c r="X231" s="4"/>
      <c r="Y231" s="4"/>
      <c r="Z231" s="4"/>
    </row>
    <row r="232" ht="15.75" customHeight="1">
      <c r="A232" s="40" t="str">
        <f>archetype_prototypes!A232</f>
        <v>11</v>
      </c>
      <c r="B232" s="9" t="str">
        <f>archetype_prototypes!B232</f>
        <v>Loyal Ritualist</v>
      </c>
      <c r="C232" s="9" t="str">
        <f>archetype_prototypes!C232</f>
        <v>DIM_PARTNER_FOCUS</v>
      </c>
      <c r="D232" s="41">
        <f>archetype_prototypes!E232</f>
        <v>0.55</v>
      </c>
      <c r="E232" s="41">
        <f t="shared" si="1"/>
        <v>0.45</v>
      </c>
      <c r="F232" s="41">
        <f t="shared" si="2"/>
        <v>0.7475</v>
      </c>
      <c r="G232" s="41">
        <f t="shared" si="3"/>
        <v>1</v>
      </c>
      <c r="H232" s="42">
        <f t="array" ref="H232">XLOOKUP(C232,dimensions!$A$2:$A$22,dimensions!$E$2:$E$22,0)</f>
        <v>1.2</v>
      </c>
      <c r="I232" s="41">
        <f t="shared" si="4"/>
        <v>0.54</v>
      </c>
      <c r="J232" s="41">
        <f t="shared" si="5"/>
        <v>0.897</v>
      </c>
      <c r="K232" s="41">
        <f t="shared" si="6"/>
        <v>1.2</v>
      </c>
      <c r="L232" s="4"/>
      <c r="M232" s="4"/>
      <c r="N232" s="4"/>
      <c r="O232" s="4"/>
      <c r="P232" s="4"/>
      <c r="Q232" s="4"/>
      <c r="R232" s="4"/>
      <c r="S232" s="4"/>
      <c r="T232" s="4"/>
      <c r="U232" s="4"/>
      <c r="V232" s="4"/>
      <c r="W232" s="4"/>
      <c r="X232" s="4"/>
      <c r="Y232" s="4"/>
      <c r="Z232" s="4"/>
    </row>
    <row r="233" ht="15.75" customHeight="1">
      <c r="A233" s="40" t="str">
        <f>archetype_prototypes!A233</f>
        <v>12</v>
      </c>
      <c r="B233" s="9" t="str">
        <f>archetype_prototypes!B233</f>
        <v>Approval Seeker</v>
      </c>
      <c r="C233" s="9" t="str">
        <f>archetype_prototypes!C233</f>
        <v>DIM_NOVELTY</v>
      </c>
      <c r="D233" s="41">
        <f>archetype_prototypes!E233</f>
        <v>0.25</v>
      </c>
      <c r="E233" s="41">
        <f t="shared" si="1"/>
        <v>0.25</v>
      </c>
      <c r="F233" s="41">
        <f t="shared" si="2"/>
        <v>0.6875</v>
      </c>
      <c r="G233" s="41">
        <f t="shared" si="3"/>
        <v>1</v>
      </c>
      <c r="H233" s="42" t="str">
        <f t="array" ref="H233">XLOOKUP(C233,dimensions!$A$2:$A$22,dimensions!$E$2:$E$22,0)</f>
        <v>1.4</v>
      </c>
      <c r="I233" s="41">
        <f t="shared" si="4"/>
        <v>0.35</v>
      </c>
      <c r="J233" s="41">
        <f t="shared" si="5"/>
        <v>0.9625</v>
      </c>
      <c r="K233" s="41">
        <f t="shared" si="6"/>
        <v>1.4</v>
      </c>
      <c r="L233" s="4"/>
      <c r="M233" s="4"/>
      <c r="N233" s="4"/>
      <c r="O233" s="4"/>
      <c r="P233" s="4"/>
      <c r="Q233" s="4"/>
      <c r="R233" s="4"/>
      <c r="S233" s="4"/>
      <c r="T233" s="4"/>
      <c r="U233" s="4"/>
      <c r="V233" s="4"/>
      <c r="W233" s="4"/>
      <c r="X233" s="4"/>
      <c r="Y233" s="4"/>
      <c r="Z233" s="4"/>
    </row>
    <row r="234" ht="15.75" customHeight="1">
      <c r="A234" s="40" t="str">
        <f>archetype_prototypes!A234</f>
        <v>12</v>
      </c>
      <c r="B234" s="9" t="str">
        <f>archetype_prototypes!B234</f>
        <v>Approval Seeker</v>
      </c>
      <c r="C234" s="9" t="str">
        <f>archetype_prototypes!C234</f>
        <v>DIM_RESPONSIVE</v>
      </c>
      <c r="D234" s="41">
        <f>archetype_prototypes!E234</f>
        <v>0.75</v>
      </c>
      <c r="E234" s="41">
        <f t="shared" si="1"/>
        <v>0.25</v>
      </c>
      <c r="F234" s="41">
        <f t="shared" si="2"/>
        <v>0.6875</v>
      </c>
      <c r="G234" s="41">
        <f t="shared" si="3"/>
        <v>1</v>
      </c>
      <c r="H234" s="42" t="str">
        <f t="array" ref="H234">XLOOKUP(C234,dimensions!$A$2:$A$22,dimensions!$E$2:$E$22,0)</f>
        <v>1.6</v>
      </c>
      <c r="I234" s="41">
        <f t="shared" si="4"/>
        <v>0.4</v>
      </c>
      <c r="J234" s="41">
        <f t="shared" si="5"/>
        <v>1.1</v>
      </c>
      <c r="K234" s="41">
        <f t="shared" si="6"/>
        <v>1.6</v>
      </c>
      <c r="L234" s="4"/>
      <c r="M234" s="4"/>
      <c r="N234" s="4"/>
      <c r="O234" s="4"/>
      <c r="P234" s="4"/>
      <c r="Q234" s="4"/>
      <c r="R234" s="4"/>
      <c r="S234" s="4"/>
      <c r="T234" s="4"/>
      <c r="U234" s="4"/>
      <c r="V234" s="4"/>
      <c r="W234" s="4"/>
      <c r="X234" s="4"/>
      <c r="Y234" s="4"/>
      <c r="Z234" s="4"/>
    </row>
    <row r="235" ht="15.75" customHeight="1">
      <c r="A235" s="40" t="str">
        <f>archetype_prototypes!A235</f>
        <v>12</v>
      </c>
      <c r="B235" s="9" t="str">
        <f>archetype_prototypes!B235</f>
        <v>Approval Seeker</v>
      </c>
      <c r="C235" s="9" t="str">
        <f>archetype_prototypes!C235</f>
        <v>DIM_PLANNED</v>
      </c>
      <c r="D235" s="41">
        <f>archetype_prototypes!E235</f>
        <v>0.4</v>
      </c>
      <c r="E235" s="41">
        <f t="shared" si="1"/>
        <v>0.4</v>
      </c>
      <c r="F235" s="41">
        <f t="shared" si="2"/>
        <v>0.74</v>
      </c>
      <c r="G235" s="41">
        <f t="shared" si="3"/>
        <v>1</v>
      </c>
      <c r="H235" s="42" t="str">
        <f t="array" ref="H235">XLOOKUP(C235,dimensions!$A$2:$A$22,dimensions!$E$2:$E$22,0)</f>
        <v>1.3</v>
      </c>
      <c r="I235" s="41">
        <f t="shared" si="4"/>
        <v>0.52</v>
      </c>
      <c r="J235" s="41">
        <f t="shared" si="5"/>
        <v>0.962</v>
      </c>
      <c r="K235" s="41">
        <f t="shared" si="6"/>
        <v>1.3</v>
      </c>
      <c r="L235" s="4"/>
      <c r="M235" s="4"/>
      <c r="N235" s="4"/>
      <c r="O235" s="4"/>
      <c r="P235" s="4"/>
      <c r="Q235" s="4"/>
      <c r="R235" s="4"/>
      <c r="S235" s="4"/>
      <c r="T235" s="4"/>
      <c r="U235" s="4"/>
      <c r="V235" s="4"/>
      <c r="W235" s="4"/>
      <c r="X235" s="4"/>
      <c r="Y235" s="4"/>
      <c r="Z235" s="4"/>
    </row>
    <row r="236" ht="15.75" customHeight="1">
      <c r="A236" s="40" t="str">
        <f>archetype_prototypes!A236</f>
        <v>12</v>
      </c>
      <c r="B236" s="9" t="str">
        <f>archetype_prototypes!B236</f>
        <v>Approval Seeker</v>
      </c>
      <c r="C236" s="9" t="str">
        <f>archetype_prototypes!C236</f>
        <v>DIM_EMO_CONNECTION</v>
      </c>
      <c r="D236" s="41">
        <f>archetype_prototypes!E236</f>
        <v>0.7</v>
      </c>
      <c r="E236" s="41">
        <f t="shared" si="1"/>
        <v>0.3</v>
      </c>
      <c r="F236" s="41">
        <f t="shared" si="2"/>
        <v>0.71</v>
      </c>
      <c r="G236" s="41">
        <f t="shared" si="3"/>
        <v>1</v>
      </c>
      <c r="H236" s="42" t="str">
        <f t="array" ref="H236">XLOOKUP(C236,dimensions!$A$2:$A$22,dimensions!$E$2:$E$22,0)</f>
        <v>1.4</v>
      </c>
      <c r="I236" s="41">
        <f t="shared" si="4"/>
        <v>0.42</v>
      </c>
      <c r="J236" s="41">
        <f t="shared" si="5"/>
        <v>0.994</v>
      </c>
      <c r="K236" s="41">
        <f t="shared" si="6"/>
        <v>1.4</v>
      </c>
      <c r="L236" s="4"/>
      <c r="M236" s="4"/>
      <c r="N236" s="4"/>
      <c r="O236" s="4"/>
      <c r="P236" s="4"/>
      <c r="Q236" s="4"/>
      <c r="R236" s="4"/>
      <c r="S236" s="4"/>
      <c r="T236" s="4"/>
      <c r="U236" s="4"/>
      <c r="V236" s="4"/>
      <c r="W236" s="4"/>
      <c r="X236" s="4"/>
      <c r="Y236" s="4"/>
      <c r="Z236" s="4"/>
    </row>
    <row r="237" ht="15.75" customHeight="1">
      <c r="A237" s="40" t="str">
        <f>archetype_prototypes!A237</f>
        <v>12</v>
      </c>
      <c r="B237" s="9" t="str">
        <f>archetype_prototypes!B237</f>
        <v>Approval Seeker</v>
      </c>
      <c r="C237" s="9" t="str">
        <f>archetype_prototypes!C237</f>
        <v>DIM_INTENSITY</v>
      </c>
      <c r="D237" s="41">
        <f>archetype_prototypes!E237</f>
        <v>0.3</v>
      </c>
      <c r="E237" s="41">
        <f t="shared" si="1"/>
        <v>0.3</v>
      </c>
      <c r="F237" s="41">
        <f t="shared" si="2"/>
        <v>0.71</v>
      </c>
      <c r="G237" s="41">
        <f t="shared" si="3"/>
        <v>1</v>
      </c>
      <c r="H237" s="42" t="str">
        <f t="array" ref="H237">XLOOKUP(C237,dimensions!$A$2:$A$22,dimensions!$E$2:$E$22,0)</f>
        <v>1.4</v>
      </c>
      <c r="I237" s="41">
        <f t="shared" si="4"/>
        <v>0.42</v>
      </c>
      <c r="J237" s="41">
        <f t="shared" si="5"/>
        <v>0.994</v>
      </c>
      <c r="K237" s="41">
        <f t="shared" si="6"/>
        <v>1.4</v>
      </c>
      <c r="L237" s="4"/>
      <c r="M237" s="4"/>
      <c r="N237" s="4"/>
      <c r="O237" s="4"/>
      <c r="P237" s="4"/>
      <c r="Q237" s="4"/>
      <c r="R237" s="4"/>
      <c r="S237" s="4"/>
      <c r="T237" s="4"/>
      <c r="U237" s="4"/>
      <c r="V237" s="4"/>
      <c r="W237" s="4"/>
      <c r="X237" s="4"/>
      <c r="Y237" s="4"/>
      <c r="Z237" s="4"/>
    </row>
    <row r="238" ht="15.75" customHeight="1">
      <c r="A238" s="40" t="str">
        <f>archetype_prototypes!A238</f>
        <v>12</v>
      </c>
      <c r="B238" s="9" t="str">
        <f>archetype_prototypes!B238</f>
        <v>Approval Seeker</v>
      </c>
      <c r="C238" s="9" t="str">
        <f>archetype_prototypes!C238</f>
        <v>DIM_PURSUIT</v>
      </c>
      <c r="D238" s="41">
        <f>archetype_prototypes!E238</f>
        <v>0.25</v>
      </c>
      <c r="E238" s="41">
        <f t="shared" si="1"/>
        <v>0.25</v>
      </c>
      <c r="F238" s="41">
        <f t="shared" si="2"/>
        <v>0.6875</v>
      </c>
      <c r="G238" s="41">
        <f t="shared" si="3"/>
        <v>1</v>
      </c>
      <c r="H238" s="42" t="str">
        <f t="array" ref="H238">XLOOKUP(C238,dimensions!$A$2:$A$22,dimensions!$E$2:$E$22,0)</f>
        <v>1.4</v>
      </c>
      <c r="I238" s="41">
        <f t="shared" si="4"/>
        <v>0.35</v>
      </c>
      <c r="J238" s="41">
        <f t="shared" si="5"/>
        <v>0.9625</v>
      </c>
      <c r="K238" s="41">
        <f t="shared" si="6"/>
        <v>1.4</v>
      </c>
      <c r="L238" s="4"/>
      <c r="M238" s="4"/>
      <c r="N238" s="4"/>
      <c r="O238" s="4"/>
      <c r="P238" s="4"/>
      <c r="Q238" s="4"/>
      <c r="R238" s="4"/>
      <c r="S238" s="4"/>
      <c r="T238" s="4"/>
      <c r="U238" s="4"/>
      <c r="V238" s="4"/>
      <c r="W238" s="4"/>
      <c r="X238" s="4"/>
      <c r="Y238" s="4"/>
      <c r="Z238" s="4"/>
    </row>
    <row r="239" ht="15.75" customHeight="1">
      <c r="A239" s="40" t="str">
        <f>archetype_prototypes!A239</f>
        <v>12</v>
      </c>
      <c r="B239" s="9" t="str">
        <f>archetype_prototypes!B239</f>
        <v>Approval Seeker</v>
      </c>
      <c r="C239" s="9" t="str">
        <f>archetype_prototypes!C239</f>
        <v>DIM_EDGE_NEED</v>
      </c>
      <c r="D239" s="41">
        <f>archetype_prototypes!E239</f>
        <v>0.2</v>
      </c>
      <c r="E239" s="41">
        <f t="shared" si="1"/>
        <v>0.2</v>
      </c>
      <c r="F239" s="41">
        <f t="shared" si="2"/>
        <v>0.66</v>
      </c>
      <c r="G239" s="41">
        <f t="shared" si="3"/>
        <v>1</v>
      </c>
      <c r="H239" s="42" t="str">
        <f t="array" ref="H239">XLOOKUP(C239,dimensions!$A$2:$A$22,dimensions!$E$2:$E$22,0)</f>
        <v>1.8</v>
      </c>
      <c r="I239" s="41">
        <f t="shared" si="4"/>
        <v>0.36</v>
      </c>
      <c r="J239" s="41">
        <f t="shared" si="5"/>
        <v>1.188</v>
      </c>
      <c r="K239" s="41">
        <f t="shared" si="6"/>
        <v>1.8</v>
      </c>
      <c r="L239" s="4"/>
      <c r="M239" s="4"/>
      <c r="N239" s="4"/>
      <c r="O239" s="4"/>
      <c r="P239" s="4"/>
      <c r="Q239" s="4"/>
      <c r="R239" s="4"/>
      <c r="S239" s="4"/>
      <c r="T239" s="4"/>
      <c r="U239" s="4"/>
      <c r="V239" s="4"/>
      <c r="W239" s="4"/>
      <c r="X239" s="4"/>
      <c r="Y239" s="4"/>
      <c r="Z239" s="4"/>
    </row>
    <row r="240" ht="15.75" customHeight="1">
      <c r="A240" s="40" t="str">
        <f>archetype_prototypes!A240</f>
        <v>12</v>
      </c>
      <c r="B240" s="9" t="str">
        <f>archetype_prototypes!B240</f>
        <v>Approval Seeker</v>
      </c>
      <c r="C240" s="9" t="str">
        <f>archetype_prototypes!C240</f>
        <v>DIM_SACRED</v>
      </c>
      <c r="D240" s="41">
        <f>archetype_prototypes!E240</f>
        <v>0.25</v>
      </c>
      <c r="E240" s="41">
        <f t="shared" si="1"/>
        <v>0.25</v>
      </c>
      <c r="F240" s="41">
        <f t="shared" si="2"/>
        <v>0.6875</v>
      </c>
      <c r="G240" s="41">
        <f t="shared" si="3"/>
        <v>1</v>
      </c>
      <c r="H240" s="42" t="str">
        <f t="array" ref="H240">XLOOKUP(C240,dimensions!$A$2:$A$22,dimensions!$E$2:$E$22,0)</f>
        <v>2.0</v>
      </c>
      <c r="I240" s="41">
        <f t="shared" si="4"/>
        <v>0.5</v>
      </c>
      <c r="J240" s="41">
        <f t="shared" si="5"/>
        <v>1.375</v>
      </c>
      <c r="K240" s="41">
        <f t="shared" si="6"/>
        <v>2</v>
      </c>
      <c r="L240" s="4"/>
      <c r="M240" s="4"/>
      <c r="N240" s="4"/>
      <c r="O240" s="4"/>
      <c r="P240" s="4"/>
      <c r="Q240" s="4"/>
      <c r="R240" s="4"/>
      <c r="S240" s="4"/>
      <c r="T240" s="4"/>
      <c r="U240" s="4"/>
      <c r="V240" s="4"/>
      <c r="W240" s="4"/>
      <c r="X240" s="4"/>
      <c r="Y240" s="4"/>
      <c r="Z240" s="4"/>
    </row>
    <row r="241" ht="15.75" customHeight="1">
      <c r="A241" s="40" t="str">
        <f>archetype_prototypes!A241</f>
        <v>12</v>
      </c>
      <c r="B241" s="9" t="str">
        <f>archetype_prototypes!B241</f>
        <v>Approval Seeker</v>
      </c>
      <c r="C241" s="9" t="str">
        <f>archetype_prototypes!C241</f>
        <v>DIM_RISK_PREF</v>
      </c>
      <c r="D241" s="41">
        <f>archetype_prototypes!E241</f>
        <v>0.15</v>
      </c>
      <c r="E241" s="41">
        <f t="shared" si="1"/>
        <v>0.15</v>
      </c>
      <c r="F241" s="41">
        <f t="shared" si="2"/>
        <v>0.6275</v>
      </c>
      <c r="G241" s="41">
        <f t="shared" si="3"/>
        <v>1</v>
      </c>
      <c r="H241" s="42" t="str">
        <f t="array" ref="H241">XLOOKUP(C241,dimensions!$A$2:$A$22,dimensions!$E$2:$E$22,0)</f>
        <v>1.6</v>
      </c>
      <c r="I241" s="41">
        <f t="shared" si="4"/>
        <v>0.24</v>
      </c>
      <c r="J241" s="41">
        <f t="shared" si="5"/>
        <v>1.004</v>
      </c>
      <c r="K241" s="41">
        <f t="shared" si="6"/>
        <v>1.6</v>
      </c>
      <c r="L241" s="4"/>
      <c r="M241" s="4"/>
      <c r="N241" s="4"/>
      <c r="O241" s="4"/>
      <c r="P241" s="4"/>
      <c r="Q241" s="4"/>
      <c r="R241" s="4"/>
      <c r="S241" s="4"/>
      <c r="T241" s="4"/>
      <c r="U241" s="4"/>
      <c r="V241" s="4"/>
      <c r="W241" s="4"/>
      <c r="X241" s="4"/>
      <c r="Y241" s="4"/>
      <c r="Z241" s="4"/>
    </row>
    <row r="242" ht="15.75" customHeight="1">
      <c r="A242" s="40" t="str">
        <f>archetype_prototypes!A242</f>
        <v>12</v>
      </c>
      <c r="B242" s="9" t="str">
        <f>archetype_prototypes!B242</f>
        <v>Approval Seeker</v>
      </c>
      <c r="C242" s="9" t="str">
        <f>archetype_prototypes!C242</f>
        <v>DIM_FEEDBACK_DEP</v>
      </c>
      <c r="D242" s="41">
        <f>archetype_prototypes!E242</f>
        <v>0.85</v>
      </c>
      <c r="E242" s="41">
        <f t="shared" si="1"/>
        <v>0.15</v>
      </c>
      <c r="F242" s="41">
        <f t="shared" si="2"/>
        <v>0.6275</v>
      </c>
      <c r="G242" s="41">
        <f t="shared" si="3"/>
        <v>1</v>
      </c>
      <c r="H242" s="42" t="str">
        <f t="array" ref="H242">XLOOKUP(C242,dimensions!$A$2:$A$22,dimensions!$E$2:$E$22,0)</f>
        <v>2.0</v>
      </c>
      <c r="I242" s="41">
        <f t="shared" si="4"/>
        <v>0.3</v>
      </c>
      <c r="J242" s="41">
        <f t="shared" si="5"/>
        <v>1.255</v>
      </c>
      <c r="K242" s="41">
        <f t="shared" si="6"/>
        <v>2</v>
      </c>
      <c r="L242" s="4"/>
      <c r="M242" s="4"/>
      <c r="N242" s="4"/>
      <c r="O242" s="4"/>
      <c r="P242" s="4"/>
      <c r="Q242" s="4"/>
      <c r="R242" s="4"/>
      <c r="S242" s="4"/>
      <c r="T242" s="4"/>
      <c r="U242" s="4"/>
      <c r="V242" s="4"/>
      <c r="W242" s="4"/>
      <c r="X242" s="4"/>
      <c r="Y242" s="4"/>
      <c r="Z242" s="4"/>
    </row>
    <row r="243" ht="15.75" customHeight="1">
      <c r="A243" s="40" t="str">
        <f>archetype_prototypes!A243</f>
        <v>12</v>
      </c>
      <c r="B243" s="9" t="str">
        <f>archetype_prototypes!B243</f>
        <v>Approval Seeker</v>
      </c>
      <c r="C243" s="9" t="str">
        <f>archetype_prototypes!C243</f>
        <v>DIM_TURNON_EXPRESS</v>
      </c>
      <c r="D243" s="41">
        <f>archetype_prototypes!E243</f>
        <v>0.45</v>
      </c>
      <c r="E243" s="41">
        <f t="shared" si="1"/>
        <v>0.45</v>
      </c>
      <c r="F243" s="41">
        <f t="shared" si="2"/>
        <v>0.7475</v>
      </c>
      <c r="G243" s="41">
        <f t="shared" si="3"/>
        <v>1</v>
      </c>
      <c r="H243" s="42" t="str">
        <f t="array" ref="H243">XLOOKUP(C243,dimensions!$A$2:$A$22,dimensions!$E$2:$E$22,0)</f>
        <v>1.3</v>
      </c>
      <c r="I243" s="41">
        <f t="shared" si="4"/>
        <v>0.585</v>
      </c>
      <c r="J243" s="41">
        <f t="shared" si="5"/>
        <v>0.97175</v>
      </c>
      <c r="K243" s="41">
        <f t="shared" si="6"/>
        <v>1.3</v>
      </c>
      <c r="L243" s="4"/>
      <c r="M243" s="4"/>
      <c r="N243" s="4"/>
      <c r="O243" s="4"/>
      <c r="P243" s="4"/>
      <c r="Q243" s="4"/>
      <c r="R243" s="4"/>
      <c r="S243" s="4"/>
      <c r="T243" s="4"/>
      <c r="U243" s="4"/>
      <c r="V243" s="4"/>
      <c r="W243" s="4"/>
      <c r="X243" s="4"/>
      <c r="Y243" s="4"/>
      <c r="Z243" s="4"/>
    </row>
    <row r="244" ht="15.75" customHeight="1">
      <c r="A244" s="40" t="str">
        <f>archetype_prototypes!A244</f>
        <v>12</v>
      </c>
      <c r="B244" s="9" t="str">
        <f>archetype_prototypes!B244</f>
        <v>Approval Seeker</v>
      </c>
      <c r="C244" s="9" t="str">
        <f>archetype_prototypes!C244</f>
        <v>DIM_BOUNDARY_EXPRESS</v>
      </c>
      <c r="D244" s="41">
        <f>archetype_prototypes!E244</f>
        <v>0.2</v>
      </c>
      <c r="E244" s="41">
        <f t="shared" si="1"/>
        <v>0.2</v>
      </c>
      <c r="F244" s="41">
        <f t="shared" si="2"/>
        <v>0.66</v>
      </c>
      <c r="G244" s="41">
        <f t="shared" si="3"/>
        <v>1</v>
      </c>
      <c r="H244" s="42" t="str">
        <f t="array" ref="H244">XLOOKUP(C244,dimensions!$A$2:$A$22,dimensions!$E$2:$E$22,0)</f>
        <v>1.3</v>
      </c>
      <c r="I244" s="41">
        <f t="shared" si="4"/>
        <v>0.26</v>
      </c>
      <c r="J244" s="41">
        <f t="shared" si="5"/>
        <v>0.858</v>
      </c>
      <c r="K244" s="41">
        <f t="shared" si="6"/>
        <v>1.3</v>
      </c>
      <c r="L244" s="4"/>
      <c r="M244" s="4"/>
      <c r="N244" s="4"/>
      <c r="O244" s="4"/>
      <c r="P244" s="4"/>
      <c r="Q244" s="4"/>
      <c r="R244" s="4"/>
      <c r="S244" s="4"/>
      <c r="T244" s="4"/>
      <c r="U244" s="4"/>
      <c r="V244" s="4"/>
      <c r="W244" s="4"/>
      <c r="X244" s="4"/>
      <c r="Y244" s="4"/>
      <c r="Z244" s="4"/>
    </row>
    <row r="245" ht="15.75" customHeight="1">
      <c r="A245" s="40" t="str">
        <f>archetype_prototypes!A245</f>
        <v>12</v>
      </c>
      <c r="B245" s="9" t="str">
        <f>archetype_prototypes!B245</f>
        <v>Approval Seeker</v>
      </c>
      <c r="C245" s="9" t="str">
        <f>archetype_prototypes!C245</f>
        <v>DIM_PROTOCOL</v>
      </c>
      <c r="D245" s="41">
        <f>archetype_prototypes!E245</f>
        <v>0.2</v>
      </c>
      <c r="E245" s="41">
        <f t="shared" si="1"/>
        <v>0.2</v>
      </c>
      <c r="F245" s="41">
        <f t="shared" si="2"/>
        <v>0.66</v>
      </c>
      <c r="G245" s="41">
        <f t="shared" si="3"/>
        <v>1</v>
      </c>
      <c r="H245" s="42" t="str">
        <f t="array" ref="H245">XLOOKUP(C245,dimensions!$A$2:$A$22,dimensions!$E$2:$E$22,0)</f>
        <v>1.6</v>
      </c>
      <c r="I245" s="41">
        <f t="shared" si="4"/>
        <v>0.32</v>
      </c>
      <c r="J245" s="41">
        <f t="shared" si="5"/>
        <v>1.056</v>
      </c>
      <c r="K245" s="41">
        <f t="shared" si="6"/>
        <v>1.6</v>
      </c>
      <c r="L245" s="4"/>
      <c r="M245" s="4"/>
      <c r="N245" s="4"/>
      <c r="O245" s="4"/>
      <c r="P245" s="4"/>
      <c r="Q245" s="4"/>
      <c r="R245" s="4"/>
      <c r="S245" s="4"/>
      <c r="T245" s="4"/>
      <c r="U245" s="4"/>
      <c r="V245" s="4"/>
      <c r="W245" s="4"/>
      <c r="X245" s="4"/>
      <c r="Y245" s="4"/>
      <c r="Z245" s="4"/>
    </row>
    <row r="246" ht="15.75" customHeight="1">
      <c r="A246" s="40" t="str">
        <f>archetype_prototypes!A246</f>
        <v>12</v>
      </c>
      <c r="B246" s="9" t="str">
        <f>archetype_prototypes!B246</f>
        <v>Approval Seeker</v>
      </c>
      <c r="C246" s="9" t="str">
        <f>archetype_prototypes!C246</f>
        <v>DIM_SOOTHING</v>
      </c>
      <c r="D246" s="41">
        <f>archetype_prototypes!E246</f>
        <v>0.35</v>
      </c>
      <c r="E246" s="41">
        <f t="shared" si="1"/>
        <v>0.35</v>
      </c>
      <c r="F246" s="41">
        <f t="shared" si="2"/>
        <v>0.7275</v>
      </c>
      <c r="G246" s="41">
        <f t="shared" si="3"/>
        <v>1</v>
      </c>
      <c r="H246" s="42" t="str">
        <f t="array" ref="H246">XLOOKUP(C246,dimensions!$A$2:$A$22,dimensions!$E$2:$E$22,0)</f>
        <v>1.9</v>
      </c>
      <c r="I246" s="41">
        <f t="shared" si="4"/>
        <v>0.665</v>
      </c>
      <c r="J246" s="41">
        <f t="shared" si="5"/>
        <v>1.38225</v>
      </c>
      <c r="K246" s="41">
        <f t="shared" si="6"/>
        <v>1.9</v>
      </c>
      <c r="L246" s="4"/>
      <c r="M246" s="4"/>
      <c r="N246" s="4"/>
      <c r="O246" s="4"/>
      <c r="P246" s="4"/>
      <c r="Q246" s="4"/>
      <c r="R246" s="4"/>
      <c r="S246" s="4"/>
      <c r="T246" s="4"/>
      <c r="U246" s="4"/>
      <c r="V246" s="4"/>
      <c r="W246" s="4"/>
      <c r="X246" s="4"/>
      <c r="Y246" s="4"/>
      <c r="Z246" s="4"/>
    </row>
    <row r="247" ht="15.75" customHeight="1">
      <c r="A247" s="40" t="str">
        <f>archetype_prototypes!A247</f>
        <v>12</v>
      </c>
      <c r="B247" s="9" t="str">
        <f>archetype_prototypes!B247</f>
        <v>Approval Seeker</v>
      </c>
      <c r="C247" s="9" t="str">
        <f>archetype_prototypes!C247</f>
        <v>DIM_SECURE</v>
      </c>
      <c r="D247" s="41">
        <f>archetype_prototypes!E247</f>
        <v>0.25</v>
      </c>
      <c r="E247" s="41">
        <f t="shared" si="1"/>
        <v>0.25</v>
      </c>
      <c r="F247" s="41">
        <f t="shared" si="2"/>
        <v>0.6875</v>
      </c>
      <c r="G247" s="41">
        <f t="shared" si="3"/>
        <v>1</v>
      </c>
      <c r="H247" s="42" t="str">
        <f t="array" ref="H247">XLOOKUP(C247,dimensions!$A$2:$A$22,dimensions!$E$2:$E$22,0)</f>
        <v>1</v>
      </c>
      <c r="I247" s="41">
        <f t="shared" si="4"/>
        <v>0.25</v>
      </c>
      <c r="J247" s="41">
        <f t="shared" si="5"/>
        <v>0.6875</v>
      </c>
      <c r="K247" s="41">
        <f t="shared" si="6"/>
        <v>1</v>
      </c>
      <c r="L247" s="4"/>
      <c r="M247" s="4"/>
      <c r="N247" s="4"/>
      <c r="O247" s="4"/>
      <c r="P247" s="4"/>
      <c r="Q247" s="4"/>
      <c r="R247" s="4"/>
      <c r="S247" s="4"/>
      <c r="T247" s="4"/>
      <c r="U247" s="4"/>
      <c r="V247" s="4"/>
      <c r="W247" s="4"/>
      <c r="X247" s="4"/>
      <c r="Y247" s="4"/>
      <c r="Z247" s="4"/>
    </row>
    <row r="248" ht="15.75" customHeight="1">
      <c r="A248" s="40" t="str">
        <f>archetype_prototypes!A248</f>
        <v>12</v>
      </c>
      <c r="B248" s="9" t="str">
        <f>archetype_prototypes!B248</f>
        <v>Approval Seeker</v>
      </c>
      <c r="C248" s="9" t="str">
        <f>archetype_prototypes!C248</f>
        <v>DIM_REPAIR_EROTICISM</v>
      </c>
      <c r="D248" s="41">
        <f>archetype_prototypes!E248</f>
        <v>0.45</v>
      </c>
      <c r="E248" s="41">
        <f t="shared" si="1"/>
        <v>0.45</v>
      </c>
      <c r="F248" s="41">
        <f t="shared" si="2"/>
        <v>0.7475</v>
      </c>
      <c r="G248" s="41">
        <f t="shared" si="3"/>
        <v>1</v>
      </c>
      <c r="H248" s="42" t="str">
        <f t="array" ref="H248">XLOOKUP(C248,dimensions!$A$2:$A$22,dimensions!$E$2:$E$22,0)</f>
        <v>1.6</v>
      </c>
      <c r="I248" s="41">
        <f t="shared" si="4"/>
        <v>0.72</v>
      </c>
      <c r="J248" s="41">
        <f t="shared" si="5"/>
        <v>1.196</v>
      </c>
      <c r="K248" s="41">
        <f t="shared" si="6"/>
        <v>1.6</v>
      </c>
      <c r="L248" s="4"/>
      <c r="M248" s="4"/>
      <c r="N248" s="4"/>
      <c r="O248" s="4"/>
      <c r="P248" s="4"/>
      <c r="Q248" s="4"/>
      <c r="R248" s="4"/>
      <c r="S248" s="4"/>
      <c r="T248" s="4"/>
      <c r="U248" s="4"/>
      <c r="V248" s="4"/>
      <c r="W248" s="4"/>
      <c r="X248" s="4"/>
      <c r="Y248" s="4"/>
      <c r="Z248" s="4"/>
    </row>
    <row r="249" ht="15.75" customHeight="1">
      <c r="A249" s="40" t="str">
        <f>archetype_prototypes!A249</f>
        <v>12</v>
      </c>
      <c r="B249" s="9" t="str">
        <f>archetype_prototypes!B249</f>
        <v>Approval Seeker</v>
      </c>
      <c r="C249" s="9" t="str">
        <f>archetype_prototypes!C249</f>
        <v>DIM_PRESSURE_SHUTDOWN</v>
      </c>
      <c r="D249" s="41">
        <f>archetype_prototypes!E249</f>
        <v>0.5</v>
      </c>
      <c r="E249" s="41">
        <f t="shared" si="1"/>
        <v>0.5</v>
      </c>
      <c r="F249" s="41">
        <f t="shared" si="2"/>
        <v>0.75</v>
      </c>
      <c r="G249" s="41">
        <f t="shared" si="3"/>
        <v>1</v>
      </c>
      <c r="H249" s="42" t="str">
        <f t="array" ref="H249">XLOOKUP(C249,dimensions!$A$2:$A$22,dimensions!$E$2:$E$22,0)</f>
        <v>2.0</v>
      </c>
      <c r="I249" s="41">
        <f t="shared" si="4"/>
        <v>1</v>
      </c>
      <c r="J249" s="41">
        <f t="shared" si="5"/>
        <v>1.5</v>
      </c>
      <c r="K249" s="41">
        <f t="shared" si="6"/>
        <v>2</v>
      </c>
      <c r="L249" s="4"/>
      <c r="M249" s="4"/>
      <c r="N249" s="4"/>
      <c r="O249" s="4"/>
      <c r="P249" s="4"/>
      <c r="Q249" s="4"/>
      <c r="R249" s="4"/>
      <c r="S249" s="4"/>
      <c r="T249" s="4"/>
      <c r="U249" s="4"/>
      <c r="V249" s="4"/>
      <c r="W249" s="4"/>
      <c r="X249" s="4"/>
      <c r="Y249" s="4"/>
      <c r="Z249" s="4"/>
    </row>
    <row r="250" ht="15.75" customHeight="1">
      <c r="A250" s="40" t="str">
        <f>archetype_prototypes!A250</f>
        <v>12</v>
      </c>
      <c r="B250" s="9" t="str">
        <f>archetype_prototypes!B250</f>
        <v>Approval Seeker</v>
      </c>
      <c r="C250" s="9" t="str">
        <f>archetype_prototypes!C250</f>
        <v>DIM_AVOIDANT</v>
      </c>
      <c r="D250" s="41">
        <f>archetype_prototypes!E250</f>
        <v>0.1</v>
      </c>
      <c r="E250" s="41">
        <f t="shared" si="1"/>
        <v>0.1</v>
      </c>
      <c r="F250" s="41">
        <f t="shared" si="2"/>
        <v>0.59</v>
      </c>
      <c r="G250" s="41">
        <f t="shared" si="3"/>
        <v>1</v>
      </c>
      <c r="H250" s="42" t="str">
        <f t="array" ref="H250">XLOOKUP(C250,dimensions!$A$2:$A$22,dimensions!$E$2:$E$22,0)</f>
        <v>1.3</v>
      </c>
      <c r="I250" s="41">
        <f t="shared" si="4"/>
        <v>0.13</v>
      </c>
      <c r="J250" s="41">
        <f t="shared" si="5"/>
        <v>0.767</v>
      </c>
      <c r="K250" s="41">
        <f t="shared" si="6"/>
        <v>1.3</v>
      </c>
      <c r="L250" s="4"/>
      <c r="M250" s="4"/>
      <c r="N250" s="4"/>
      <c r="O250" s="4"/>
      <c r="P250" s="4"/>
      <c r="Q250" s="4"/>
      <c r="R250" s="4"/>
      <c r="S250" s="4"/>
      <c r="T250" s="4"/>
      <c r="U250" s="4"/>
      <c r="V250" s="4"/>
      <c r="W250" s="4"/>
      <c r="X250" s="4"/>
      <c r="Y250" s="4"/>
      <c r="Z250" s="4"/>
    </row>
    <row r="251" ht="15.75" customHeight="1">
      <c r="A251" s="40" t="str">
        <f>archetype_prototypes!A251</f>
        <v>12</v>
      </c>
      <c r="B251" s="9" t="str">
        <f>archetype_prototypes!B251</f>
        <v>Approval Seeker</v>
      </c>
      <c r="C251" s="9" t="str">
        <f>archetype_prototypes!C251</f>
        <v>DIM_STRATEGY</v>
      </c>
      <c r="D251" s="41">
        <f>archetype_prototypes!E251</f>
        <v>0.15</v>
      </c>
      <c r="E251" s="41">
        <f t="shared" si="1"/>
        <v>0.15</v>
      </c>
      <c r="F251" s="41">
        <f t="shared" si="2"/>
        <v>0.6275</v>
      </c>
      <c r="G251" s="41">
        <f t="shared" si="3"/>
        <v>1</v>
      </c>
      <c r="H251" s="42" t="str">
        <f t="array" ref="H251">XLOOKUP(C251,dimensions!$A$2:$A$22,dimensions!$E$2:$E$22,0)</f>
        <v>1.2</v>
      </c>
      <c r="I251" s="41">
        <f t="shared" si="4"/>
        <v>0.18</v>
      </c>
      <c r="J251" s="41">
        <f t="shared" si="5"/>
        <v>0.753</v>
      </c>
      <c r="K251" s="41">
        <f t="shared" si="6"/>
        <v>1.2</v>
      </c>
      <c r="L251" s="4"/>
      <c r="M251" s="4"/>
      <c r="N251" s="4"/>
      <c r="O251" s="4"/>
      <c r="P251" s="4"/>
      <c r="Q251" s="4"/>
      <c r="R251" s="4"/>
      <c r="S251" s="4"/>
      <c r="T251" s="4"/>
      <c r="U251" s="4"/>
      <c r="V251" s="4"/>
      <c r="W251" s="4"/>
      <c r="X251" s="4"/>
      <c r="Y251" s="4"/>
      <c r="Z251" s="4"/>
    </row>
    <row r="252" ht="15.75" customHeight="1">
      <c r="A252" s="40" t="str">
        <f>archetype_prototypes!A252</f>
        <v>12</v>
      </c>
      <c r="B252" s="9" t="str">
        <f>archetype_prototypes!B252</f>
        <v>Approval Seeker</v>
      </c>
      <c r="C252" s="9" t="str">
        <f>archetype_prototypes!C252</f>
        <v>DIM_CLOSENESS_ORIENTATION</v>
      </c>
      <c r="D252" s="41">
        <f>archetype_prototypes!E252</f>
        <v>0.92</v>
      </c>
      <c r="E252" s="41">
        <f t="shared" si="1"/>
        <v>0.08</v>
      </c>
      <c r="F252" s="41">
        <f t="shared" si="2"/>
        <v>0.5736</v>
      </c>
      <c r="G252" s="41">
        <f t="shared" si="3"/>
        <v>1</v>
      </c>
      <c r="H252" s="42">
        <f t="array" ref="H252">XLOOKUP(C252,dimensions!$A$2:$A$22,dimensions!$E$2:$E$22,0)</f>
        <v>1</v>
      </c>
      <c r="I252" s="41">
        <f t="shared" si="4"/>
        <v>0.08</v>
      </c>
      <c r="J252" s="41">
        <f t="shared" si="5"/>
        <v>0.5736</v>
      </c>
      <c r="K252" s="41">
        <f t="shared" si="6"/>
        <v>1</v>
      </c>
      <c r="L252" s="4"/>
      <c r="M252" s="4"/>
      <c r="N252" s="4"/>
      <c r="O252" s="4"/>
      <c r="P252" s="4"/>
      <c r="Q252" s="4"/>
      <c r="R252" s="4"/>
      <c r="S252" s="4"/>
      <c r="T252" s="4"/>
      <c r="U252" s="4"/>
      <c r="V252" s="4"/>
      <c r="W252" s="4"/>
      <c r="X252" s="4"/>
      <c r="Y252" s="4"/>
      <c r="Z252" s="4"/>
    </row>
    <row r="253" ht="15.75" customHeight="1">
      <c r="A253" s="40" t="str">
        <f>archetype_prototypes!A253</f>
        <v>12</v>
      </c>
      <c r="B253" s="9" t="str">
        <f>archetype_prototypes!B253</f>
        <v>Approval Seeker</v>
      </c>
      <c r="C253" s="9" t="str">
        <f>archetype_prototypes!C253</f>
        <v>DIM_PARTNER_FOCUS</v>
      </c>
      <c r="D253" s="41">
        <f>archetype_prototypes!E253</f>
        <v>0.82</v>
      </c>
      <c r="E253" s="41">
        <f t="shared" si="1"/>
        <v>0.18</v>
      </c>
      <c r="F253" s="41">
        <f t="shared" si="2"/>
        <v>0.6476</v>
      </c>
      <c r="G253" s="41">
        <f t="shared" si="3"/>
        <v>1</v>
      </c>
      <c r="H253" s="42">
        <f t="array" ref="H253">XLOOKUP(C253,dimensions!$A$2:$A$22,dimensions!$E$2:$E$22,0)</f>
        <v>1.2</v>
      </c>
      <c r="I253" s="41">
        <f t="shared" si="4"/>
        <v>0.216</v>
      </c>
      <c r="J253" s="41">
        <f t="shared" si="5"/>
        <v>0.77712</v>
      </c>
      <c r="K253" s="41">
        <f t="shared" si="6"/>
        <v>1.2</v>
      </c>
      <c r="L253" s="4"/>
      <c r="M253" s="4"/>
      <c r="N253" s="4"/>
      <c r="O253" s="4"/>
      <c r="P253" s="4"/>
      <c r="Q253" s="4"/>
      <c r="R253" s="4"/>
      <c r="S253" s="4"/>
      <c r="T253" s="4"/>
      <c r="U253" s="4"/>
      <c r="V253" s="4"/>
      <c r="W253" s="4"/>
      <c r="X253" s="4"/>
      <c r="Y253" s="4"/>
      <c r="Z253" s="4"/>
    </row>
    <row r="254" ht="15.75" customHeight="1">
      <c r="A254" s="40" t="str">
        <f>archetype_prototypes!A254</f>
        <v>13</v>
      </c>
      <c r="B254" s="9" t="str">
        <f>archetype_prototypes!B254</f>
        <v>Analytical Sexualist</v>
      </c>
      <c r="C254" s="9" t="str">
        <f>archetype_prototypes!C254</f>
        <v>DIM_NOVELTY</v>
      </c>
      <c r="D254" s="41">
        <f>archetype_prototypes!E254</f>
        <v>0.45</v>
      </c>
      <c r="E254" s="41">
        <f t="shared" si="1"/>
        <v>0.45</v>
      </c>
      <c r="F254" s="41">
        <f t="shared" si="2"/>
        <v>0.7475</v>
      </c>
      <c r="G254" s="41">
        <f t="shared" si="3"/>
        <v>1</v>
      </c>
      <c r="H254" s="42" t="str">
        <f t="array" ref="H254">XLOOKUP(C254,dimensions!$A$2:$A$22,dimensions!$E$2:$E$22,0)</f>
        <v>1.4</v>
      </c>
      <c r="I254" s="41">
        <f t="shared" si="4"/>
        <v>0.63</v>
      </c>
      <c r="J254" s="41">
        <f t="shared" si="5"/>
        <v>1.0465</v>
      </c>
      <c r="K254" s="41">
        <f t="shared" si="6"/>
        <v>1.4</v>
      </c>
      <c r="L254" s="4"/>
      <c r="M254" s="4"/>
      <c r="N254" s="4"/>
      <c r="O254" s="4"/>
      <c r="P254" s="4"/>
      <c r="Q254" s="4"/>
      <c r="R254" s="4"/>
      <c r="S254" s="4"/>
      <c r="T254" s="4"/>
      <c r="U254" s="4"/>
      <c r="V254" s="4"/>
      <c r="W254" s="4"/>
      <c r="X254" s="4"/>
      <c r="Y254" s="4"/>
      <c r="Z254" s="4"/>
    </row>
    <row r="255" ht="15.75" customHeight="1">
      <c r="A255" s="40" t="str">
        <f>archetype_prototypes!A255</f>
        <v>13</v>
      </c>
      <c r="B255" s="9" t="str">
        <f>archetype_prototypes!B255</f>
        <v>Analytical Sexualist</v>
      </c>
      <c r="C255" s="9" t="str">
        <f>archetype_prototypes!C255</f>
        <v>DIM_RESPONSIVE</v>
      </c>
      <c r="D255" s="41">
        <f>archetype_prototypes!E255</f>
        <v>0.45</v>
      </c>
      <c r="E255" s="41">
        <f t="shared" si="1"/>
        <v>0.45</v>
      </c>
      <c r="F255" s="41">
        <f t="shared" si="2"/>
        <v>0.7475</v>
      </c>
      <c r="G255" s="41">
        <f t="shared" si="3"/>
        <v>1</v>
      </c>
      <c r="H255" s="42" t="str">
        <f t="array" ref="H255">XLOOKUP(C255,dimensions!$A$2:$A$22,dimensions!$E$2:$E$22,0)</f>
        <v>1.6</v>
      </c>
      <c r="I255" s="41">
        <f t="shared" si="4"/>
        <v>0.72</v>
      </c>
      <c r="J255" s="41">
        <f t="shared" si="5"/>
        <v>1.196</v>
      </c>
      <c r="K255" s="41">
        <f t="shared" si="6"/>
        <v>1.6</v>
      </c>
      <c r="L255" s="4"/>
      <c r="M255" s="4"/>
      <c r="N255" s="4"/>
      <c r="O255" s="4"/>
      <c r="P255" s="4"/>
      <c r="Q255" s="4"/>
      <c r="R255" s="4"/>
      <c r="S255" s="4"/>
      <c r="T255" s="4"/>
      <c r="U255" s="4"/>
      <c r="V255" s="4"/>
      <c r="W255" s="4"/>
      <c r="X255" s="4"/>
      <c r="Y255" s="4"/>
      <c r="Z255" s="4"/>
    </row>
    <row r="256" ht="15.75" customHeight="1">
      <c r="A256" s="40" t="str">
        <f>archetype_prototypes!A256</f>
        <v>13</v>
      </c>
      <c r="B256" s="9" t="str">
        <f>archetype_prototypes!B256</f>
        <v>Analytical Sexualist</v>
      </c>
      <c r="C256" s="9" t="str">
        <f>archetype_prototypes!C256</f>
        <v>DIM_PLANNED</v>
      </c>
      <c r="D256" s="41">
        <f>archetype_prototypes!E256</f>
        <v>0.75</v>
      </c>
      <c r="E256" s="41">
        <f t="shared" si="1"/>
        <v>0.25</v>
      </c>
      <c r="F256" s="41">
        <f t="shared" si="2"/>
        <v>0.6875</v>
      </c>
      <c r="G256" s="41">
        <f t="shared" si="3"/>
        <v>1</v>
      </c>
      <c r="H256" s="42" t="str">
        <f t="array" ref="H256">XLOOKUP(C256,dimensions!$A$2:$A$22,dimensions!$E$2:$E$22,0)</f>
        <v>1.3</v>
      </c>
      <c r="I256" s="41">
        <f t="shared" si="4"/>
        <v>0.325</v>
      </c>
      <c r="J256" s="41">
        <f t="shared" si="5"/>
        <v>0.89375</v>
      </c>
      <c r="K256" s="41">
        <f t="shared" si="6"/>
        <v>1.3</v>
      </c>
      <c r="L256" s="4"/>
      <c r="M256" s="4"/>
      <c r="N256" s="4"/>
      <c r="O256" s="4"/>
      <c r="P256" s="4"/>
      <c r="Q256" s="4"/>
      <c r="R256" s="4"/>
      <c r="S256" s="4"/>
      <c r="T256" s="4"/>
      <c r="U256" s="4"/>
      <c r="V256" s="4"/>
      <c r="W256" s="4"/>
      <c r="X256" s="4"/>
      <c r="Y256" s="4"/>
      <c r="Z256" s="4"/>
    </row>
    <row r="257" ht="15.75" customHeight="1">
      <c r="A257" s="40" t="str">
        <f>archetype_prototypes!A257</f>
        <v>13</v>
      </c>
      <c r="B257" s="9" t="str">
        <f>archetype_prototypes!B257</f>
        <v>Analytical Sexualist</v>
      </c>
      <c r="C257" s="9" t="str">
        <f>archetype_prototypes!C257</f>
        <v>DIM_EMO_CONNECTION</v>
      </c>
      <c r="D257" s="41">
        <f>archetype_prototypes!E257</f>
        <v>0.35</v>
      </c>
      <c r="E257" s="41">
        <f t="shared" si="1"/>
        <v>0.35</v>
      </c>
      <c r="F257" s="41">
        <f t="shared" si="2"/>
        <v>0.7275</v>
      </c>
      <c r="G257" s="41">
        <f t="shared" si="3"/>
        <v>1</v>
      </c>
      <c r="H257" s="42" t="str">
        <f t="array" ref="H257">XLOOKUP(C257,dimensions!$A$2:$A$22,dimensions!$E$2:$E$22,0)</f>
        <v>1.4</v>
      </c>
      <c r="I257" s="41">
        <f t="shared" si="4"/>
        <v>0.49</v>
      </c>
      <c r="J257" s="41">
        <f t="shared" si="5"/>
        <v>1.0185</v>
      </c>
      <c r="K257" s="41">
        <f t="shared" si="6"/>
        <v>1.4</v>
      </c>
      <c r="L257" s="4"/>
      <c r="M257" s="4"/>
      <c r="N257" s="4"/>
      <c r="O257" s="4"/>
      <c r="P257" s="4"/>
      <c r="Q257" s="4"/>
      <c r="R257" s="4"/>
      <c r="S257" s="4"/>
      <c r="T257" s="4"/>
      <c r="U257" s="4"/>
      <c r="V257" s="4"/>
      <c r="W257" s="4"/>
      <c r="X257" s="4"/>
      <c r="Y257" s="4"/>
      <c r="Z257" s="4"/>
    </row>
    <row r="258" ht="15.75" customHeight="1">
      <c r="A258" s="40" t="str">
        <f>archetype_prototypes!A258</f>
        <v>13</v>
      </c>
      <c r="B258" s="9" t="str">
        <f>archetype_prototypes!B258</f>
        <v>Analytical Sexualist</v>
      </c>
      <c r="C258" s="9" t="str">
        <f>archetype_prototypes!C258</f>
        <v>DIM_INTENSITY</v>
      </c>
      <c r="D258" s="41">
        <f>archetype_prototypes!E258</f>
        <v>0.5</v>
      </c>
      <c r="E258" s="41">
        <f t="shared" si="1"/>
        <v>0.5</v>
      </c>
      <c r="F258" s="41">
        <f t="shared" si="2"/>
        <v>0.75</v>
      </c>
      <c r="G258" s="41">
        <f t="shared" si="3"/>
        <v>1</v>
      </c>
      <c r="H258" s="42" t="str">
        <f t="array" ref="H258">XLOOKUP(C258,dimensions!$A$2:$A$22,dimensions!$E$2:$E$22,0)</f>
        <v>1.4</v>
      </c>
      <c r="I258" s="41">
        <f t="shared" si="4"/>
        <v>0.7</v>
      </c>
      <c r="J258" s="41">
        <f t="shared" si="5"/>
        <v>1.05</v>
      </c>
      <c r="K258" s="41">
        <f t="shared" si="6"/>
        <v>1.4</v>
      </c>
      <c r="L258" s="4"/>
      <c r="M258" s="4"/>
      <c r="N258" s="4"/>
      <c r="O258" s="4"/>
      <c r="P258" s="4"/>
      <c r="Q258" s="4"/>
      <c r="R258" s="4"/>
      <c r="S258" s="4"/>
      <c r="T258" s="4"/>
      <c r="U258" s="4"/>
      <c r="V258" s="4"/>
      <c r="W258" s="4"/>
      <c r="X258" s="4"/>
      <c r="Y258" s="4"/>
      <c r="Z258" s="4"/>
    </row>
    <row r="259" ht="15.75" customHeight="1">
      <c r="A259" s="40" t="str">
        <f>archetype_prototypes!A259</f>
        <v>13</v>
      </c>
      <c r="B259" s="9" t="str">
        <f>archetype_prototypes!B259</f>
        <v>Analytical Sexualist</v>
      </c>
      <c r="C259" s="9" t="str">
        <f>archetype_prototypes!C259</f>
        <v>DIM_PURSUIT</v>
      </c>
      <c r="D259" s="41">
        <f>archetype_prototypes!E259</f>
        <v>0.3</v>
      </c>
      <c r="E259" s="41">
        <f t="shared" si="1"/>
        <v>0.3</v>
      </c>
      <c r="F259" s="41">
        <f t="shared" si="2"/>
        <v>0.71</v>
      </c>
      <c r="G259" s="41">
        <f t="shared" si="3"/>
        <v>1</v>
      </c>
      <c r="H259" s="42" t="str">
        <f t="array" ref="H259">XLOOKUP(C259,dimensions!$A$2:$A$22,dimensions!$E$2:$E$22,0)</f>
        <v>1.4</v>
      </c>
      <c r="I259" s="41">
        <f t="shared" si="4"/>
        <v>0.42</v>
      </c>
      <c r="J259" s="41">
        <f t="shared" si="5"/>
        <v>0.994</v>
      </c>
      <c r="K259" s="41">
        <f t="shared" si="6"/>
        <v>1.4</v>
      </c>
      <c r="L259" s="4"/>
      <c r="M259" s="4"/>
      <c r="N259" s="4"/>
      <c r="O259" s="4"/>
      <c r="P259" s="4"/>
      <c r="Q259" s="4"/>
      <c r="R259" s="4"/>
      <c r="S259" s="4"/>
      <c r="T259" s="4"/>
      <c r="U259" s="4"/>
      <c r="V259" s="4"/>
      <c r="W259" s="4"/>
      <c r="X259" s="4"/>
      <c r="Y259" s="4"/>
      <c r="Z259" s="4"/>
    </row>
    <row r="260" ht="15.75" customHeight="1">
      <c r="A260" s="40" t="str">
        <f>archetype_prototypes!A260</f>
        <v>13</v>
      </c>
      <c r="B260" s="9" t="str">
        <f>archetype_prototypes!B260</f>
        <v>Analytical Sexualist</v>
      </c>
      <c r="C260" s="9" t="str">
        <f>archetype_prototypes!C260</f>
        <v>DIM_EDGE_NEED</v>
      </c>
      <c r="D260" s="41">
        <f>archetype_prototypes!E260</f>
        <v>0.3</v>
      </c>
      <c r="E260" s="41">
        <f t="shared" si="1"/>
        <v>0.3</v>
      </c>
      <c r="F260" s="41">
        <f t="shared" si="2"/>
        <v>0.71</v>
      </c>
      <c r="G260" s="41">
        <f t="shared" si="3"/>
        <v>1</v>
      </c>
      <c r="H260" s="42" t="str">
        <f t="array" ref="H260">XLOOKUP(C260,dimensions!$A$2:$A$22,dimensions!$E$2:$E$22,0)</f>
        <v>1.8</v>
      </c>
      <c r="I260" s="41">
        <f t="shared" si="4"/>
        <v>0.54</v>
      </c>
      <c r="J260" s="41">
        <f t="shared" si="5"/>
        <v>1.278</v>
      </c>
      <c r="K260" s="41">
        <f t="shared" si="6"/>
        <v>1.8</v>
      </c>
      <c r="L260" s="4"/>
      <c r="M260" s="4"/>
      <c r="N260" s="4"/>
      <c r="O260" s="4"/>
      <c r="P260" s="4"/>
      <c r="Q260" s="4"/>
      <c r="R260" s="4"/>
      <c r="S260" s="4"/>
      <c r="T260" s="4"/>
      <c r="U260" s="4"/>
      <c r="V260" s="4"/>
      <c r="W260" s="4"/>
      <c r="X260" s="4"/>
      <c r="Y260" s="4"/>
      <c r="Z260" s="4"/>
    </row>
    <row r="261" ht="15.75" customHeight="1">
      <c r="A261" s="40" t="str">
        <f>archetype_prototypes!A261</f>
        <v>13</v>
      </c>
      <c r="B261" s="9" t="str">
        <f>archetype_prototypes!B261</f>
        <v>Analytical Sexualist</v>
      </c>
      <c r="C261" s="9" t="str">
        <f>archetype_prototypes!C261</f>
        <v>DIM_SACRED</v>
      </c>
      <c r="D261" s="41">
        <f>archetype_prototypes!E261</f>
        <v>0.15</v>
      </c>
      <c r="E261" s="41">
        <f t="shared" si="1"/>
        <v>0.15</v>
      </c>
      <c r="F261" s="41">
        <f t="shared" si="2"/>
        <v>0.6275</v>
      </c>
      <c r="G261" s="41">
        <f t="shared" si="3"/>
        <v>1</v>
      </c>
      <c r="H261" s="42" t="str">
        <f t="array" ref="H261">XLOOKUP(C261,dimensions!$A$2:$A$22,dimensions!$E$2:$E$22,0)</f>
        <v>2.0</v>
      </c>
      <c r="I261" s="41">
        <f t="shared" si="4"/>
        <v>0.3</v>
      </c>
      <c r="J261" s="41">
        <f t="shared" si="5"/>
        <v>1.255</v>
      </c>
      <c r="K261" s="41">
        <f t="shared" si="6"/>
        <v>2</v>
      </c>
      <c r="L261" s="4"/>
      <c r="M261" s="4"/>
      <c r="N261" s="4"/>
      <c r="O261" s="4"/>
      <c r="P261" s="4"/>
      <c r="Q261" s="4"/>
      <c r="R261" s="4"/>
      <c r="S261" s="4"/>
      <c r="T261" s="4"/>
      <c r="U261" s="4"/>
      <c r="V261" s="4"/>
      <c r="W261" s="4"/>
      <c r="X261" s="4"/>
      <c r="Y261" s="4"/>
      <c r="Z261" s="4"/>
    </row>
    <row r="262" ht="15.75" customHeight="1">
      <c r="A262" s="40" t="str">
        <f>archetype_prototypes!A262</f>
        <v>13</v>
      </c>
      <c r="B262" s="9" t="str">
        <f>archetype_prototypes!B262</f>
        <v>Analytical Sexualist</v>
      </c>
      <c r="C262" s="9" t="str">
        <f>archetype_prototypes!C262</f>
        <v>DIM_RISK_PREF</v>
      </c>
      <c r="D262" s="41">
        <f>archetype_prototypes!E262</f>
        <v>0.35</v>
      </c>
      <c r="E262" s="41">
        <f t="shared" si="1"/>
        <v>0.35</v>
      </c>
      <c r="F262" s="41">
        <f t="shared" si="2"/>
        <v>0.7275</v>
      </c>
      <c r="G262" s="41">
        <f t="shared" si="3"/>
        <v>1</v>
      </c>
      <c r="H262" s="42" t="str">
        <f t="array" ref="H262">XLOOKUP(C262,dimensions!$A$2:$A$22,dimensions!$E$2:$E$22,0)</f>
        <v>1.6</v>
      </c>
      <c r="I262" s="41">
        <f t="shared" si="4"/>
        <v>0.56</v>
      </c>
      <c r="J262" s="41">
        <f t="shared" si="5"/>
        <v>1.164</v>
      </c>
      <c r="K262" s="41">
        <f t="shared" si="6"/>
        <v>1.6</v>
      </c>
      <c r="L262" s="4"/>
      <c r="M262" s="4"/>
      <c r="N262" s="4"/>
      <c r="O262" s="4"/>
      <c r="P262" s="4"/>
      <c r="Q262" s="4"/>
      <c r="R262" s="4"/>
      <c r="S262" s="4"/>
      <c r="T262" s="4"/>
      <c r="U262" s="4"/>
      <c r="V262" s="4"/>
      <c r="W262" s="4"/>
      <c r="X262" s="4"/>
      <c r="Y262" s="4"/>
      <c r="Z262" s="4"/>
    </row>
    <row r="263" ht="15.75" customHeight="1">
      <c r="A263" s="40" t="str">
        <f>archetype_prototypes!A263</f>
        <v>13</v>
      </c>
      <c r="B263" s="9" t="str">
        <f>archetype_prototypes!B263</f>
        <v>Analytical Sexualist</v>
      </c>
      <c r="C263" s="9" t="str">
        <f>archetype_prototypes!C263</f>
        <v>DIM_FEEDBACK_DEP</v>
      </c>
      <c r="D263" s="41">
        <f>archetype_prototypes!E263</f>
        <v>0.3</v>
      </c>
      <c r="E263" s="41">
        <f t="shared" si="1"/>
        <v>0.3</v>
      </c>
      <c r="F263" s="41">
        <f t="shared" si="2"/>
        <v>0.71</v>
      </c>
      <c r="G263" s="41">
        <f t="shared" si="3"/>
        <v>1</v>
      </c>
      <c r="H263" s="42" t="str">
        <f t="array" ref="H263">XLOOKUP(C263,dimensions!$A$2:$A$22,dimensions!$E$2:$E$22,0)</f>
        <v>2.0</v>
      </c>
      <c r="I263" s="41">
        <f t="shared" si="4"/>
        <v>0.6</v>
      </c>
      <c r="J263" s="41">
        <f t="shared" si="5"/>
        <v>1.42</v>
      </c>
      <c r="K263" s="41">
        <f t="shared" si="6"/>
        <v>2</v>
      </c>
      <c r="L263" s="4"/>
      <c r="M263" s="4"/>
      <c r="N263" s="4"/>
      <c r="O263" s="4"/>
      <c r="P263" s="4"/>
      <c r="Q263" s="4"/>
      <c r="R263" s="4"/>
      <c r="S263" s="4"/>
      <c r="T263" s="4"/>
      <c r="U263" s="4"/>
      <c r="V263" s="4"/>
      <c r="W263" s="4"/>
      <c r="X263" s="4"/>
      <c r="Y263" s="4"/>
      <c r="Z263" s="4"/>
    </row>
    <row r="264" ht="15.75" customHeight="1">
      <c r="A264" s="40" t="str">
        <f>archetype_prototypes!A264</f>
        <v>13</v>
      </c>
      <c r="B264" s="9" t="str">
        <f>archetype_prototypes!B264</f>
        <v>Analytical Sexualist</v>
      </c>
      <c r="C264" s="9" t="str">
        <f>archetype_prototypes!C264</f>
        <v>DIM_TURNON_EXPRESS</v>
      </c>
      <c r="D264" s="41">
        <f>archetype_prototypes!E264</f>
        <v>0.55</v>
      </c>
      <c r="E264" s="41">
        <f t="shared" si="1"/>
        <v>0.45</v>
      </c>
      <c r="F264" s="41">
        <f t="shared" si="2"/>
        <v>0.7475</v>
      </c>
      <c r="G264" s="41">
        <f t="shared" si="3"/>
        <v>1</v>
      </c>
      <c r="H264" s="42" t="str">
        <f t="array" ref="H264">XLOOKUP(C264,dimensions!$A$2:$A$22,dimensions!$E$2:$E$22,0)</f>
        <v>1.3</v>
      </c>
      <c r="I264" s="41">
        <f t="shared" si="4"/>
        <v>0.585</v>
      </c>
      <c r="J264" s="41">
        <f t="shared" si="5"/>
        <v>0.97175</v>
      </c>
      <c r="K264" s="41">
        <f t="shared" si="6"/>
        <v>1.3</v>
      </c>
      <c r="L264" s="4"/>
      <c r="M264" s="4"/>
      <c r="N264" s="4"/>
      <c r="O264" s="4"/>
      <c r="P264" s="4"/>
      <c r="Q264" s="4"/>
      <c r="R264" s="4"/>
      <c r="S264" s="4"/>
      <c r="T264" s="4"/>
      <c r="U264" s="4"/>
      <c r="V264" s="4"/>
      <c r="W264" s="4"/>
      <c r="X264" s="4"/>
      <c r="Y264" s="4"/>
      <c r="Z264" s="4"/>
    </row>
    <row r="265" ht="15.75" customHeight="1">
      <c r="A265" s="40" t="str">
        <f>archetype_prototypes!A265</f>
        <v>13</v>
      </c>
      <c r="B265" s="9" t="str">
        <f>archetype_prototypes!B265</f>
        <v>Analytical Sexualist</v>
      </c>
      <c r="C265" s="9" t="str">
        <f>archetype_prototypes!C265</f>
        <v>DIM_BOUNDARY_EXPRESS</v>
      </c>
      <c r="D265" s="41">
        <f>archetype_prototypes!E265</f>
        <v>0.75</v>
      </c>
      <c r="E265" s="41">
        <f t="shared" si="1"/>
        <v>0.25</v>
      </c>
      <c r="F265" s="41">
        <f t="shared" si="2"/>
        <v>0.6875</v>
      </c>
      <c r="G265" s="41">
        <f t="shared" si="3"/>
        <v>1</v>
      </c>
      <c r="H265" s="42" t="str">
        <f t="array" ref="H265">XLOOKUP(C265,dimensions!$A$2:$A$22,dimensions!$E$2:$E$22,0)</f>
        <v>1.3</v>
      </c>
      <c r="I265" s="41">
        <f t="shared" si="4"/>
        <v>0.325</v>
      </c>
      <c r="J265" s="41">
        <f t="shared" si="5"/>
        <v>0.89375</v>
      </c>
      <c r="K265" s="41">
        <f t="shared" si="6"/>
        <v>1.3</v>
      </c>
      <c r="L265" s="4"/>
      <c r="M265" s="4"/>
      <c r="N265" s="4"/>
      <c r="O265" s="4"/>
      <c r="P265" s="4"/>
      <c r="Q265" s="4"/>
      <c r="R265" s="4"/>
      <c r="S265" s="4"/>
      <c r="T265" s="4"/>
      <c r="U265" s="4"/>
      <c r="V265" s="4"/>
      <c r="W265" s="4"/>
      <c r="X265" s="4"/>
      <c r="Y265" s="4"/>
      <c r="Z265" s="4"/>
    </row>
    <row r="266" ht="15.75" customHeight="1">
      <c r="A266" s="40" t="str">
        <f>archetype_prototypes!A266</f>
        <v>13</v>
      </c>
      <c r="B266" s="9" t="str">
        <f>archetype_prototypes!B266</f>
        <v>Analytical Sexualist</v>
      </c>
      <c r="C266" s="9" t="str">
        <f>archetype_prototypes!C266</f>
        <v>DIM_PROTOCOL</v>
      </c>
      <c r="D266" s="41">
        <f>archetype_prototypes!E266</f>
        <v>0.4</v>
      </c>
      <c r="E266" s="41">
        <f t="shared" si="1"/>
        <v>0.4</v>
      </c>
      <c r="F266" s="41">
        <f t="shared" si="2"/>
        <v>0.74</v>
      </c>
      <c r="G266" s="41">
        <f t="shared" si="3"/>
        <v>1</v>
      </c>
      <c r="H266" s="42" t="str">
        <f t="array" ref="H266">XLOOKUP(C266,dimensions!$A$2:$A$22,dimensions!$E$2:$E$22,0)</f>
        <v>1.6</v>
      </c>
      <c r="I266" s="41">
        <f t="shared" si="4"/>
        <v>0.64</v>
      </c>
      <c r="J266" s="41">
        <f t="shared" si="5"/>
        <v>1.184</v>
      </c>
      <c r="K266" s="41">
        <f t="shared" si="6"/>
        <v>1.6</v>
      </c>
      <c r="L266" s="4"/>
      <c r="M266" s="4"/>
      <c r="N266" s="4"/>
      <c r="O266" s="4"/>
      <c r="P266" s="4"/>
      <c r="Q266" s="4"/>
      <c r="R266" s="4"/>
      <c r="S266" s="4"/>
      <c r="T266" s="4"/>
      <c r="U266" s="4"/>
      <c r="V266" s="4"/>
      <c r="W266" s="4"/>
      <c r="X266" s="4"/>
      <c r="Y266" s="4"/>
      <c r="Z266" s="4"/>
    </row>
    <row r="267" ht="15.75" customHeight="1">
      <c r="A267" s="40" t="str">
        <f>archetype_prototypes!A267</f>
        <v>13</v>
      </c>
      <c r="B267" s="9" t="str">
        <f>archetype_prototypes!B267</f>
        <v>Analytical Sexualist</v>
      </c>
      <c r="C267" s="9" t="str">
        <f>archetype_prototypes!C267</f>
        <v>DIM_SOOTHING</v>
      </c>
      <c r="D267" s="41">
        <f>archetype_prototypes!E267</f>
        <v>0.15</v>
      </c>
      <c r="E267" s="41">
        <f t="shared" si="1"/>
        <v>0.15</v>
      </c>
      <c r="F267" s="41">
        <f t="shared" si="2"/>
        <v>0.6275</v>
      </c>
      <c r="G267" s="41">
        <f t="shared" si="3"/>
        <v>1</v>
      </c>
      <c r="H267" s="42" t="str">
        <f t="array" ref="H267">XLOOKUP(C267,dimensions!$A$2:$A$22,dimensions!$E$2:$E$22,0)</f>
        <v>1.9</v>
      </c>
      <c r="I267" s="41">
        <f t="shared" si="4"/>
        <v>0.285</v>
      </c>
      <c r="J267" s="41">
        <f t="shared" si="5"/>
        <v>1.19225</v>
      </c>
      <c r="K267" s="41">
        <f t="shared" si="6"/>
        <v>1.9</v>
      </c>
      <c r="L267" s="4"/>
      <c r="M267" s="4"/>
      <c r="N267" s="4"/>
      <c r="O267" s="4"/>
      <c r="P267" s="4"/>
      <c r="Q267" s="4"/>
      <c r="R267" s="4"/>
      <c r="S267" s="4"/>
      <c r="T267" s="4"/>
      <c r="U267" s="4"/>
      <c r="V267" s="4"/>
      <c r="W267" s="4"/>
      <c r="X267" s="4"/>
      <c r="Y267" s="4"/>
      <c r="Z267" s="4"/>
    </row>
    <row r="268" ht="15.75" customHeight="1">
      <c r="A268" s="40" t="str">
        <f>archetype_prototypes!A268</f>
        <v>13</v>
      </c>
      <c r="B268" s="9" t="str">
        <f>archetype_prototypes!B268</f>
        <v>Analytical Sexualist</v>
      </c>
      <c r="C268" s="9" t="str">
        <f>archetype_prototypes!C268</f>
        <v>DIM_SECURE</v>
      </c>
      <c r="D268" s="41">
        <f>archetype_prototypes!E268</f>
        <v>0.55</v>
      </c>
      <c r="E268" s="41">
        <f t="shared" si="1"/>
        <v>0.45</v>
      </c>
      <c r="F268" s="41">
        <f t="shared" si="2"/>
        <v>0.7475</v>
      </c>
      <c r="G268" s="41">
        <f t="shared" si="3"/>
        <v>1</v>
      </c>
      <c r="H268" s="42" t="str">
        <f t="array" ref="H268">XLOOKUP(C268,dimensions!$A$2:$A$22,dimensions!$E$2:$E$22,0)</f>
        <v>1</v>
      </c>
      <c r="I268" s="41">
        <f t="shared" si="4"/>
        <v>0.45</v>
      </c>
      <c r="J268" s="41">
        <f t="shared" si="5"/>
        <v>0.7475</v>
      </c>
      <c r="K268" s="41">
        <f t="shared" si="6"/>
        <v>1</v>
      </c>
      <c r="L268" s="4"/>
      <c r="M268" s="4"/>
      <c r="N268" s="4"/>
      <c r="O268" s="4"/>
      <c r="P268" s="4"/>
      <c r="Q268" s="4"/>
      <c r="R268" s="4"/>
      <c r="S268" s="4"/>
      <c r="T268" s="4"/>
      <c r="U268" s="4"/>
      <c r="V268" s="4"/>
      <c r="W268" s="4"/>
      <c r="X268" s="4"/>
      <c r="Y268" s="4"/>
      <c r="Z268" s="4"/>
    </row>
    <row r="269" ht="15.75" customHeight="1">
      <c r="A269" s="40" t="str">
        <f>archetype_prototypes!A269</f>
        <v>13</v>
      </c>
      <c r="B269" s="9" t="str">
        <f>archetype_prototypes!B269</f>
        <v>Analytical Sexualist</v>
      </c>
      <c r="C269" s="9" t="str">
        <f>archetype_prototypes!C269</f>
        <v>DIM_REPAIR_EROTICISM</v>
      </c>
      <c r="D269" s="41">
        <f>archetype_prototypes!E269</f>
        <v>0.25</v>
      </c>
      <c r="E269" s="41">
        <f t="shared" si="1"/>
        <v>0.25</v>
      </c>
      <c r="F269" s="41">
        <f t="shared" si="2"/>
        <v>0.6875</v>
      </c>
      <c r="G269" s="41">
        <f t="shared" si="3"/>
        <v>1</v>
      </c>
      <c r="H269" s="42" t="str">
        <f t="array" ref="H269">XLOOKUP(C269,dimensions!$A$2:$A$22,dimensions!$E$2:$E$22,0)</f>
        <v>1.6</v>
      </c>
      <c r="I269" s="41">
        <f t="shared" si="4"/>
        <v>0.4</v>
      </c>
      <c r="J269" s="41">
        <f t="shared" si="5"/>
        <v>1.1</v>
      </c>
      <c r="K269" s="41">
        <f t="shared" si="6"/>
        <v>1.6</v>
      </c>
      <c r="L269" s="4"/>
      <c r="M269" s="4"/>
      <c r="N269" s="4"/>
      <c r="O269" s="4"/>
      <c r="P269" s="4"/>
      <c r="Q269" s="4"/>
      <c r="R269" s="4"/>
      <c r="S269" s="4"/>
      <c r="T269" s="4"/>
      <c r="U269" s="4"/>
      <c r="V269" s="4"/>
      <c r="W269" s="4"/>
      <c r="X269" s="4"/>
      <c r="Y269" s="4"/>
      <c r="Z269" s="4"/>
    </row>
    <row r="270" ht="15.75" customHeight="1">
      <c r="A270" s="40" t="str">
        <f>archetype_prototypes!A270</f>
        <v>13</v>
      </c>
      <c r="B270" s="9" t="str">
        <f>archetype_prototypes!B270</f>
        <v>Analytical Sexualist</v>
      </c>
      <c r="C270" s="9" t="str">
        <f>archetype_prototypes!C270</f>
        <v>DIM_PRESSURE_SHUTDOWN</v>
      </c>
      <c r="D270" s="41">
        <f>archetype_prototypes!E270</f>
        <v>0.25</v>
      </c>
      <c r="E270" s="41">
        <f t="shared" si="1"/>
        <v>0.25</v>
      </c>
      <c r="F270" s="41">
        <f t="shared" si="2"/>
        <v>0.6875</v>
      </c>
      <c r="G270" s="41">
        <f t="shared" si="3"/>
        <v>1</v>
      </c>
      <c r="H270" s="42" t="str">
        <f t="array" ref="H270">XLOOKUP(C270,dimensions!$A$2:$A$22,dimensions!$E$2:$E$22,0)</f>
        <v>2.0</v>
      </c>
      <c r="I270" s="41">
        <f t="shared" si="4"/>
        <v>0.5</v>
      </c>
      <c r="J270" s="41">
        <f t="shared" si="5"/>
        <v>1.375</v>
      </c>
      <c r="K270" s="41">
        <f t="shared" si="6"/>
        <v>2</v>
      </c>
      <c r="L270" s="4"/>
      <c r="M270" s="4"/>
      <c r="N270" s="4"/>
      <c r="O270" s="4"/>
      <c r="P270" s="4"/>
      <c r="Q270" s="4"/>
      <c r="R270" s="4"/>
      <c r="S270" s="4"/>
      <c r="T270" s="4"/>
      <c r="U270" s="4"/>
      <c r="V270" s="4"/>
      <c r="W270" s="4"/>
      <c r="X270" s="4"/>
      <c r="Y270" s="4"/>
      <c r="Z270" s="4"/>
    </row>
    <row r="271" ht="15.75" customHeight="1">
      <c r="A271" s="40" t="str">
        <f>archetype_prototypes!A271</f>
        <v>13</v>
      </c>
      <c r="B271" s="9" t="str">
        <f>archetype_prototypes!B271</f>
        <v>Analytical Sexualist</v>
      </c>
      <c r="C271" s="9" t="str">
        <f>archetype_prototypes!C271</f>
        <v>DIM_AVOIDANT</v>
      </c>
      <c r="D271" s="41">
        <f>archetype_prototypes!E271</f>
        <v>0.55</v>
      </c>
      <c r="E271" s="41">
        <f t="shared" si="1"/>
        <v>0.45</v>
      </c>
      <c r="F271" s="41">
        <f t="shared" si="2"/>
        <v>0.7475</v>
      </c>
      <c r="G271" s="41">
        <f t="shared" si="3"/>
        <v>1</v>
      </c>
      <c r="H271" s="42" t="str">
        <f t="array" ref="H271">XLOOKUP(C271,dimensions!$A$2:$A$22,dimensions!$E$2:$E$22,0)</f>
        <v>1.3</v>
      </c>
      <c r="I271" s="41">
        <f t="shared" si="4"/>
        <v>0.585</v>
      </c>
      <c r="J271" s="41">
        <f t="shared" si="5"/>
        <v>0.97175</v>
      </c>
      <c r="K271" s="41">
        <f t="shared" si="6"/>
        <v>1.3</v>
      </c>
      <c r="L271" s="4"/>
      <c r="M271" s="4"/>
      <c r="N271" s="4"/>
      <c r="O271" s="4"/>
      <c r="P271" s="4"/>
      <c r="Q271" s="4"/>
      <c r="R271" s="4"/>
      <c r="S271" s="4"/>
      <c r="T271" s="4"/>
      <c r="U271" s="4"/>
      <c r="V271" s="4"/>
      <c r="W271" s="4"/>
      <c r="X271" s="4"/>
      <c r="Y271" s="4"/>
      <c r="Z271" s="4"/>
    </row>
    <row r="272" ht="15.75" customHeight="1">
      <c r="A272" s="40" t="str">
        <f>archetype_prototypes!A272</f>
        <v>13</v>
      </c>
      <c r="B272" s="9" t="str">
        <f>archetype_prototypes!B272</f>
        <v>Analytical Sexualist</v>
      </c>
      <c r="C272" s="9" t="str">
        <f>archetype_prototypes!C272</f>
        <v>DIM_STRATEGY</v>
      </c>
      <c r="D272" s="41">
        <f>archetype_prototypes!E272</f>
        <v>0.1</v>
      </c>
      <c r="E272" s="41">
        <f t="shared" si="1"/>
        <v>0.1</v>
      </c>
      <c r="F272" s="41">
        <f t="shared" si="2"/>
        <v>0.59</v>
      </c>
      <c r="G272" s="41">
        <f t="shared" si="3"/>
        <v>1</v>
      </c>
      <c r="H272" s="42" t="str">
        <f t="array" ref="H272">XLOOKUP(C272,dimensions!$A$2:$A$22,dimensions!$E$2:$E$22,0)</f>
        <v>1.2</v>
      </c>
      <c r="I272" s="41">
        <f t="shared" si="4"/>
        <v>0.12</v>
      </c>
      <c r="J272" s="41">
        <f t="shared" si="5"/>
        <v>0.708</v>
      </c>
      <c r="K272" s="41">
        <f t="shared" si="6"/>
        <v>1.2</v>
      </c>
      <c r="L272" s="4"/>
      <c r="M272" s="4"/>
      <c r="N272" s="4"/>
      <c r="O272" s="4"/>
      <c r="P272" s="4"/>
      <c r="Q272" s="4"/>
      <c r="R272" s="4"/>
      <c r="S272" s="4"/>
      <c r="T272" s="4"/>
      <c r="U272" s="4"/>
      <c r="V272" s="4"/>
      <c r="W272" s="4"/>
      <c r="X272" s="4"/>
      <c r="Y272" s="4"/>
      <c r="Z272" s="4"/>
    </row>
    <row r="273" ht="15.75" customHeight="1">
      <c r="A273" s="40" t="str">
        <f>archetype_prototypes!A273</f>
        <v>13</v>
      </c>
      <c r="B273" s="9" t="str">
        <f>archetype_prototypes!B273</f>
        <v>Analytical Sexualist</v>
      </c>
      <c r="C273" s="9" t="str">
        <f>archetype_prototypes!C273</f>
        <v>DIM_CLOSENESS_ORIENTATION</v>
      </c>
      <c r="D273" s="41">
        <f>archetype_prototypes!E273</f>
        <v>0.35</v>
      </c>
      <c r="E273" s="41">
        <f t="shared" si="1"/>
        <v>0.35</v>
      </c>
      <c r="F273" s="41">
        <f t="shared" si="2"/>
        <v>0.7275</v>
      </c>
      <c r="G273" s="41">
        <f t="shared" si="3"/>
        <v>1</v>
      </c>
      <c r="H273" s="42">
        <f t="array" ref="H273">XLOOKUP(C273,dimensions!$A$2:$A$22,dimensions!$E$2:$E$22,0)</f>
        <v>1</v>
      </c>
      <c r="I273" s="41">
        <f t="shared" si="4"/>
        <v>0.35</v>
      </c>
      <c r="J273" s="41">
        <f t="shared" si="5"/>
        <v>0.7275</v>
      </c>
      <c r="K273" s="41">
        <f t="shared" si="6"/>
        <v>1</v>
      </c>
      <c r="L273" s="4"/>
      <c r="M273" s="4"/>
      <c r="N273" s="4"/>
      <c r="O273" s="4"/>
      <c r="P273" s="4"/>
      <c r="Q273" s="4"/>
      <c r="R273" s="4"/>
      <c r="S273" s="4"/>
      <c r="T273" s="4"/>
      <c r="U273" s="4"/>
      <c r="V273" s="4"/>
      <c r="W273" s="4"/>
      <c r="X273" s="4"/>
      <c r="Y273" s="4"/>
      <c r="Z273" s="4"/>
    </row>
    <row r="274" ht="15.75" customHeight="1">
      <c r="A274" s="40" t="str">
        <f>archetype_prototypes!A274</f>
        <v>13</v>
      </c>
      <c r="B274" s="9" t="str">
        <f>archetype_prototypes!B274</f>
        <v>Analytical Sexualist</v>
      </c>
      <c r="C274" s="9" t="str">
        <f>archetype_prototypes!C274</f>
        <v>DIM_PARTNER_FOCUS</v>
      </c>
      <c r="D274" s="41">
        <f>archetype_prototypes!E274</f>
        <v>0.4</v>
      </c>
      <c r="E274" s="41">
        <f t="shared" si="1"/>
        <v>0.4</v>
      </c>
      <c r="F274" s="41">
        <f t="shared" si="2"/>
        <v>0.74</v>
      </c>
      <c r="G274" s="41">
        <f t="shared" si="3"/>
        <v>1</v>
      </c>
      <c r="H274" s="42">
        <f t="array" ref="H274">XLOOKUP(C274,dimensions!$A$2:$A$22,dimensions!$E$2:$E$22,0)</f>
        <v>1.2</v>
      </c>
      <c r="I274" s="41">
        <f t="shared" si="4"/>
        <v>0.48</v>
      </c>
      <c r="J274" s="41">
        <f t="shared" si="5"/>
        <v>0.888</v>
      </c>
      <c r="K274" s="41">
        <f t="shared" si="6"/>
        <v>1.2</v>
      </c>
      <c r="L274" s="4"/>
      <c r="M274" s="4"/>
      <c r="N274" s="4"/>
      <c r="O274" s="4"/>
      <c r="P274" s="4"/>
      <c r="Q274" s="4"/>
      <c r="R274" s="4"/>
      <c r="S274" s="4"/>
      <c r="T274" s="4"/>
      <c r="U274" s="4"/>
      <c r="V274" s="4"/>
      <c r="W274" s="4"/>
      <c r="X274" s="4"/>
      <c r="Y274" s="4"/>
      <c r="Z274" s="4"/>
    </row>
    <row r="275" ht="15.75" customHeight="1">
      <c r="A275" s="40" t="str">
        <f>archetype_prototypes!A275</f>
        <v>14</v>
      </c>
      <c r="B275" s="9" t="str">
        <f>archetype_prototypes!B275</f>
        <v>Quiet Withdrawer</v>
      </c>
      <c r="C275" s="9" t="str">
        <f>archetype_prototypes!C275</f>
        <v>DIM_NOVELTY</v>
      </c>
      <c r="D275" s="41">
        <f>archetype_prototypes!E275</f>
        <v>0.1</v>
      </c>
      <c r="E275" s="41">
        <f t="shared" si="1"/>
        <v>0.1</v>
      </c>
      <c r="F275" s="41">
        <f t="shared" si="2"/>
        <v>0.59</v>
      </c>
      <c r="G275" s="41">
        <f t="shared" si="3"/>
        <v>1</v>
      </c>
      <c r="H275" s="42" t="str">
        <f t="array" ref="H275">XLOOKUP(C275,dimensions!$A$2:$A$22,dimensions!$E$2:$E$22,0)</f>
        <v>1.4</v>
      </c>
      <c r="I275" s="41">
        <f t="shared" si="4"/>
        <v>0.14</v>
      </c>
      <c r="J275" s="41">
        <f t="shared" si="5"/>
        <v>0.826</v>
      </c>
      <c r="K275" s="41">
        <f t="shared" si="6"/>
        <v>1.4</v>
      </c>
      <c r="L275" s="4"/>
      <c r="M275" s="4"/>
      <c r="N275" s="4"/>
      <c r="O275" s="4"/>
      <c r="P275" s="4"/>
      <c r="Q275" s="4"/>
      <c r="R275" s="4"/>
      <c r="S275" s="4"/>
      <c r="T275" s="4"/>
      <c r="U275" s="4"/>
      <c r="V275" s="4"/>
      <c r="W275" s="4"/>
      <c r="X275" s="4"/>
      <c r="Y275" s="4"/>
      <c r="Z275" s="4"/>
    </row>
    <row r="276" ht="15.75" customHeight="1">
      <c r="A276" s="40" t="str">
        <f>archetype_prototypes!A276</f>
        <v>14</v>
      </c>
      <c r="B276" s="9" t="str">
        <f>archetype_prototypes!B276</f>
        <v>Quiet Withdrawer</v>
      </c>
      <c r="C276" s="9" t="str">
        <f>archetype_prototypes!C276</f>
        <v>DIM_RESPONSIVE</v>
      </c>
      <c r="D276" s="41">
        <f>archetype_prototypes!E276</f>
        <v>0.55</v>
      </c>
      <c r="E276" s="41">
        <f t="shared" si="1"/>
        <v>0.45</v>
      </c>
      <c r="F276" s="41">
        <f t="shared" si="2"/>
        <v>0.7475</v>
      </c>
      <c r="G276" s="41">
        <f t="shared" si="3"/>
        <v>1</v>
      </c>
      <c r="H276" s="42" t="str">
        <f t="array" ref="H276">XLOOKUP(C276,dimensions!$A$2:$A$22,dimensions!$E$2:$E$22,0)</f>
        <v>1.6</v>
      </c>
      <c r="I276" s="41">
        <f t="shared" si="4"/>
        <v>0.72</v>
      </c>
      <c r="J276" s="41">
        <f t="shared" si="5"/>
        <v>1.196</v>
      </c>
      <c r="K276" s="41">
        <f t="shared" si="6"/>
        <v>1.6</v>
      </c>
      <c r="L276" s="4"/>
      <c r="M276" s="4"/>
      <c r="N276" s="4"/>
      <c r="O276" s="4"/>
      <c r="P276" s="4"/>
      <c r="Q276" s="4"/>
      <c r="R276" s="4"/>
      <c r="S276" s="4"/>
      <c r="T276" s="4"/>
      <c r="U276" s="4"/>
      <c r="V276" s="4"/>
      <c r="W276" s="4"/>
      <c r="X276" s="4"/>
      <c r="Y276" s="4"/>
      <c r="Z276" s="4"/>
    </row>
    <row r="277" ht="15.75" customHeight="1">
      <c r="A277" s="40" t="str">
        <f>archetype_prototypes!A277</f>
        <v>14</v>
      </c>
      <c r="B277" s="9" t="str">
        <f>archetype_prototypes!B277</f>
        <v>Quiet Withdrawer</v>
      </c>
      <c r="C277" s="9" t="str">
        <f>archetype_prototypes!C277</f>
        <v>DIM_PLANNED</v>
      </c>
      <c r="D277" s="41">
        <f>archetype_prototypes!E277</f>
        <v>0.5</v>
      </c>
      <c r="E277" s="41">
        <f t="shared" si="1"/>
        <v>0.5</v>
      </c>
      <c r="F277" s="41">
        <f t="shared" si="2"/>
        <v>0.75</v>
      </c>
      <c r="G277" s="41">
        <f t="shared" si="3"/>
        <v>1</v>
      </c>
      <c r="H277" s="42" t="str">
        <f t="array" ref="H277">XLOOKUP(C277,dimensions!$A$2:$A$22,dimensions!$E$2:$E$22,0)</f>
        <v>1.3</v>
      </c>
      <c r="I277" s="41">
        <f t="shared" si="4"/>
        <v>0.65</v>
      </c>
      <c r="J277" s="41">
        <f t="shared" si="5"/>
        <v>0.975</v>
      </c>
      <c r="K277" s="41">
        <f t="shared" si="6"/>
        <v>1.3</v>
      </c>
      <c r="L277" s="4"/>
      <c r="M277" s="4"/>
      <c r="N277" s="4"/>
      <c r="O277" s="4"/>
      <c r="P277" s="4"/>
      <c r="Q277" s="4"/>
      <c r="R277" s="4"/>
      <c r="S277" s="4"/>
      <c r="T277" s="4"/>
      <c r="U277" s="4"/>
      <c r="V277" s="4"/>
      <c r="W277" s="4"/>
      <c r="X277" s="4"/>
      <c r="Y277" s="4"/>
      <c r="Z277" s="4"/>
    </row>
    <row r="278" ht="15.75" customHeight="1">
      <c r="A278" s="40" t="str">
        <f>archetype_prototypes!A278</f>
        <v>14</v>
      </c>
      <c r="B278" s="9" t="str">
        <f>archetype_prototypes!B278</f>
        <v>Quiet Withdrawer</v>
      </c>
      <c r="C278" s="9" t="str">
        <f>archetype_prototypes!C278</f>
        <v>DIM_EMO_CONNECTION</v>
      </c>
      <c r="D278" s="41">
        <f>archetype_prototypes!E278</f>
        <v>0.55</v>
      </c>
      <c r="E278" s="41">
        <f t="shared" si="1"/>
        <v>0.45</v>
      </c>
      <c r="F278" s="41">
        <f t="shared" si="2"/>
        <v>0.7475</v>
      </c>
      <c r="G278" s="41">
        <f t="shared" si="3"/>
        <v>1</v>
      </c>
      <c r="H278" s="42" t="str">
        <f t="array" ref="H278">XLOOKUP(C278,dimensions!$A$2:$A$22,dimensions!$E$2:$E$22,0)</f>
        <v>1.4</v>
      </c>
      <c r="I278" s="41">
        <f t="shared" si="4"/>
        <v>0.63</v>
      </c>
      <c r="J278" s="41">
        <f t="shared" si="5"/>
        <v>1.0465</v>
      </c>
      <c r="K278" s="41">
        <f t="shared" si="6"/>
        <v>1.4</v>
      </c>
      <c r="L278" s="4"/>
      <c r="M278" s="4"/>
      <c r="N278" s="4"/>
      <c r="O278" s="4"/>
      <c r="P278" s="4"/>
      <c r="Q278" s="4"/>
      <c r="R278" s="4"/>
      <c r="S278" s="4"/>
      <c r="T278" s="4"/>
      <c r="U278" s="4"/>
      <c r="V278" s="4"/>
      <c r="W278" s="4"/>
      <c r="X278" s="4"/>
      <c r="Y278" s="4"/>
      <c r="Z278" s="4"/>
    </row>
    <row r="279" ht="15.75" customHeight="1">
      <c r="A279" s="40" t="str">
        <f>archetype_prototypes!A279</f>
        <v>14</v>
      </c>
      <c r="B279" s="9" t="str">
        <f>archetype_prototypes!B279</f>
        <v>Quiet Withdrawer</v>
      </c>
      <c r="C279" s="9" t="str">
        <f>archetype_prototypes!C279</f>
        <v>DIM_INTENSITY</v>
      </c>
      <c r="D279" s="41">
        <f>archetype_prototypes!E279</f>
        <v>0.1</v>
      </c>
      <c r="E279" s="41">
        <f t="shared" si="1"/>
        <v>0.1</v>
      </c>
      <c r="F279" s="41">
        <f t="shared" si="2"/>
        <v>0.59</v>
      </c>
      <c r="G279" s="41">
        <f t="shared" si="3"/>
        <v>1</v>
      </c>
      <c r="H279" s="42" t="str">
        <f t="array" ref="H279">XLOOKUP(C279,dimensions!$A$2:$A$22,dimensions!$E$2:$E$22,0)</f>
        <v>1.4</v>
      </c>
      <c r="I279" s="41">
        <f t="shared" si="4"/>
        <v>0.14</v>
      </c>
      <c r="J279" s="41">
        <f t="shared" si="5"/>
        <v>0.826</v>
      </c>
      <c r="K279" s="41">
        <f t="shared" si="6"/>
        <v>1.4</v>
      </c>
      <c r="L279" s="4"/>
      <c r="M279" s="4"/>
      <c r="N279" s="4"/>
      <c r="O279" s="4"/>
      <c r="P279" s="4"/>
      <c r="Q279" s="4"/>
      <c r="R279" s="4"/>
      <c r="S279" s="4"/>
      <c r="T279" s="4"/>
      <c r="U279" s="4"/>
      <c r="V279" s="4"/>
      <c r="W279" s="4"/>
      <c r="X279" s="4"/>
      <c r="Y279" s="4"/>
      <c r="Z279" s="4"/>
    </row>
    <row r="280" ht="15.75" customHeight="1">
      <c r="A280" s="40" t="str">
        <f>archetype_prototypes!A280</f>
        <v>14</v>
      </c>
      <c r="B280" s="9" t="str">
        <f>archetype_prototypes!B280</f>
        <v>Quiet Withdrawer</v>
      </c>
      <c r="C280" s="9" t="str">
        <f>archetype_prototypes!C280</f>
        <v>DIM_PURSUIT</v>
      </c>
      <c r="D280" s="41">
        <f>archetype_prototypes!E280</f>
        <v>0.1</v>
      </c>
      <c r="E280" s="41">
        <f t="shared" si="1"/>
        <v>0.1</v>
      </c>
      <c r="F280" s="41">
        <f t="shared" si="2"/>
        <v>0.59</v>
      </c>
      <c r="G280" s="41">
        <f t="shared" si="3"/>
        <v>1</v>
      </c>
      <c r="H280" s="42" t="str">
        <f t="array" ref="H280">XLOOKUP(C280,dimensions!$A$2:$A$22,dimensions!$E$2:$E$22,0)</f>
        <v>1.4</v>
      </c>
      <c r="I280" s="41">
        <f t="shared" si="4"/>
        <v>0.14</v>
      </c>
      <c r="J280" s="41">
        <f t="shared" si="5"/>
        <v>0.826</v>
      </c>
      <c r="K280" s="41">
        <f t="shared" si="6"/>
        <v>1.4</v>
      </c>
      <c r="L280" s="4"/>
      <c r="M280" s="4"/>
      <c r="N280" s="4"/>
      <c r="O280" s="4"/>
      <c r="P280" s="4"/>
      <c r="Q280" s="4"/>
      <c r="R280" s="4"/>
      <c r="S280" s="4"/>
      <c r="T280" s="4"/>
      <c r="U280" s="4"/>
      <c r="V280" s="4"/>
      <c r="W280" s="4"/>
      <c r="X280" s="4"/>
      <c r="Y280" s="4"/>
      <c r="Z280" s="4"/>
    </row>
    <row r="281" ht="15.75" customHeight="1">
      <c r="A281" s="40" t="str">
        <f>archetype_prototypes!A281</f>
        <v>14</v>
      </c>
      <c r="B281" s="9" t="str">
        <f>archetype_prototypes!B281</f>
        <v>Quiet Withdrawer</v>
      </c>
      <c r="C281" s="9" t="str">
        <f>archetype_prototypes!C281</f>
        <v>DIM_EDGE_NEED</v>
      </c>
      <c r="D281" s="41">
        <f>archetype_prototypes!E281</f>
        <v>0.1</v>
      </c>
      <c r="E281" s="41">
        <f t="shared" si="1"/>
        <v>0.1</v>
      </c>
      <c r="F281" s="41">
        <f t="shared" si="2"/>
        <v>0.59</v>
      </c>
      <c r="G281" s="41">
        <f t="shared" si="3"/>
        <v>1</v>
      </c>
      <c r="H281" s="42" t="str">
        <f t="array" ref="H281">XLOOKUP(C281,dimensions!$A$2:$A$22,dimensions!$E$2:$E$22,0)</f>
        <v>1.8</v>
      </c>
      <c r="I281" s="41">
        <f t="shared" si="4"/>
        <v>0.18</v>
      </c>
      <c r="J281" s="41">
        <f t="shared" si="5"/>
        <v>1.062</v>
      </c>
      <c r="K281" s="41">
        <f t="shared" si="6"/>
        <v>1.8</v>
      </c>
      <c r="L281" s="4"/>
      <c r="M281" s="4"/>
      <c r="N281" s="4"/>
      <c r="O281" s="4"/>
      <c r="P281" s="4"/>
      <c r="Q281" s="4"/>
      <c r="R281" s="4"/>
      <c r="S281" s="4"/>
      <c r="T281" s="4"/>
      <c r="U281" s="4"/>
      <c r="V281" s="4"/>
      <c r="W281" s="4"/>
      <c r="X281" s="4"/>
      <c r="Y281" s="4"/>
      <c r="Z281" s="4"/>
    </row>
    <row r="282" ht="15.75" customHeight="1">
      <c r="A282" s="40" t="str">
        <f>archetype_prototypes!A282</f>
        <v>14</v>
      </c>
      <c r="B282" s="9" t="str">
        <f>archetype_prototypes!B282</f>
        <v>Quiet Withdrawer</v>
      </c>
      <c r="C282" s="9" t="str">
        <f>archetype_prototypes!C282</f>
        <v>DIM_SACRED</v>
      </c>
      <c r="D282" s="41">
        <f>archetype_prototypes!E282</f>
        <v>0.2</v>
      </c>
      <c r="E282" s="41">
        <f t="shared" si="1"/>
        <v>0.2</v>
      </c>
      <c r="F282" s="41">
        <f t="shared" si="2"/>
        <v>0.66</v>
      </c>
      <c r="G282" s="41">
        <f t="shared" si="3"/>
        <v>1</v>
      </c>
      <c r="H282" s="42" t="str">
        <f t="array" ref="H282">XLOOKUP(C282,dimensions!$A$2:$A$22,dimensions!$E$2:$E$22,0)</f>
        <v>2.0</v>
      </c>
      <c r="I282" s="41">
        <f t="shared" si="4"/>
        <v>0.4</v>
      </c>
      <c r="J282" s="41">
        <f t="shared" si="5"/>
        <v>1.32</v>
      </c>
      <c r="K282" s="41">
        <f t="shared" si="6"/>
        <v>2</v>
      </c>
      <c r="L282" s="4"/>
      <c r="M282" s="4"/>
      <c r="N282" s="4"/>
      <c r="O282" s="4"/>
      <c r="P282" s="4"/>
      <c r="Q282" s="4"/>
      <c r="R282" s="4"/>
      <c r="S282" s="4"/>
      <c r="T282" s="4"/>
      <c r="U282" s="4"/>
      <c r="V282" s="4"/>
      <c r="W282" s="4"/>
      <c r="X282" s="4"/>
      <c r="Y282" s="4"/>
      <c r="Z282" s="4"/>
    </row>
    <row r="283" ht="15.75" customHeight="1">
      <c r="A283" s="40" t="str">
        <f>archetype_prototypes!A283</f>
        <v>14</v>
      </c>
      <c r="B283" s="9" t="str">
        <f>archetype_prototypes!B283</f>
        <v>Quiet Withdrawer</v>
      </c>
      <c r="C283" s="9" t="str">
        <f>archetype_prototypes!C283</f>
        <v>DIM_RISK_PREF</v>
      </c>
      <c r="D283" s="41">
        <f>archetype_prototypes!E283</f>
        <v>0.05</v>
      </c>
      <c r="E283" s="41">
        <f t="shared" si="1"/>
        <v>0.05</v>
      </c>
      <c r="F283" s="41">
        <f t="shared" si="2"/>
        <v>0.5475</v>
      </c>
      <c r="G283" s="41">
        <f t="shared" si="3"/>
        <v>1</v>
      </c>
      <c r="H283" s="42" t="str">
        <f t="array" ref="H283">XLOOKUP(C283,dimensions!$A$2:$A$22,dimensions!$E$2:$E$22,0)</f>
        <v>1.6</v>
      </c>
      <c r="I283" s="41">
        <f t="shared" si="4"/>
        <v>0.08</v>
      </c>
      <c r="J283" s="41">
        <f t="shared" si="5"/>
        <v>0.876</v>
      </c>
      <c r="K283" s="41">
        <f t="shared" si="6"/>
        <v>1.6</v>
      </c>
      <c r="L283" s="4"/>
      <c r="M283" s="4"/>
      <c r="N283" s="4"/>
      <c r="O283" s="4"/>
      <c r="P283" s="4"/>
      <c r="Q283" s="4"/>
      <c r="R283" s="4"/>
      <c r="S283" s="4"/>
      <c r="T283" s="4"/>
      <c r="U283" s="4"/>
      <c r="V283" s="4"/>
      <c r="W283" s="4"/>
      <c r="X283" s="4"/>
      <c r="Y283" s="4"/>
      <c r="Z283" s="4"/>
    </row>
    <row r="284" ht="15.75" customHeight="1">
      <c r="A284" s="40" t="str">
        <f>archetype_prototypes!A284</f>
        <v>14</v>
      </c>
      <c r="B284" s="9" t="str">
        <f>archetype_prototypes!B284</f>
        <v>Quiet Withdrawer</v>
      </c>
      <c r="C284" s="9" t="str">
        <f>archetype_prototypes!C284</f>
        <v>DIM_FEEDBACK_DEP</v>
      </c>
      <c r="D284" s="41">
        <f>archetype_prototypes!E284</f>
        <v>0.2</v>
      </c>
      <c r="E284" s="41">
        <f t="shared" si="1"/>
        <v>0.2</v>
      </c>
      <c r="F284" s="41">
        <f t="shared" si="2"/>
        <v>0.66</v>
      </c>
      <c r="G284" s="41">
        <f t="shared" si="3"/>
        <v>1</v>
      </c>
      <c r="H284" s="42" t="str">
        <f t="array" ref="H284">XLOOKUP(C284,dimensions!$A$2:$A$22,dimensions!$E$2:$E$22,0)</f>
        <v>2.0</v>
      </c>
      <c r="I284" s="41">
        <f t="shared" si="4"/>
        <v>0.4</v>
      </c>
      <c r="J284" s="41">
        <f t="shared" si="5"/>
        <v>1.32</v>
      </c>
      <c r="K284" s="41">
        <f t="shared" si="6"/>
        <v>2</v>
      </c>
      <c r="L284" s="4"/>
      <c r="M284" s="4"/>
      <c r="N284" s="4"/>
      <c r="O284" s="4"/>
      <c r="P284" s="4"/>
      <c r="Q284" s="4"/>
      <c r="R284" s="4"/>
      <c r="S284" s="4"/>
      <c r="T284" s="4"/>
      <c r="U284" s="4"/>
      <c r="V284" s="4"/>
      <c r="W284" s="4"/>
      <c r="X284" s="4"/>
      <c r="Y284" s="4"/>
      <c r="Z284" s="4"/>
    </row>
    <row r="285" ht="15.75" customHeight="1">
      <c r="A285" s="40" t="str">
        <f>archetype_prototypes!A285</f>
        <v>14</v>
      </c>
      <c r="B285" s="9" t="str">
        <f>archetype_prototypes!B285</f>
        <v>Quiet Withdrawer</v>
      </c>
      <c r="C285" s="9" t="str">
        <f>archetype_prototypes!C285</f>
        <v>DIM_TURNON_EXPRESS</v>
      </c>
      <c r="D285" s="41">
        <f>archetype_prototypes!E285</f>
        <v>0.15</v>
      </c>
      <c r="E285" s="41">
        <f t="shared" si="1"/>
        <v>0.15</v>
      </c>
      <c r="F285" s="41">
        <f t="shared" si="2"/>
        <v>0.6275</v>
      </c>
      <c r="G285" s="41">
        <f t="shared" si="3"/>
        <v>1</v>
      </c>
      <c r="H285" s="42" t="str">
        <f t="array" ref="H285">XLOOKUP(C285,dimensions!$A$2:$A$22,dimensions!$E$2:$E$22,0)</f>
        <v>1.3</v>
      </c>
      <c r="I285" s="41">
        <f t="shared" si="4"/>
        <v>0.195</v>
      </c>
      <c r="J285" s="41">
        <f t="shared" si="5"/>
        <v>0.81575</v>
      </c>
      <c r="K285" s="41">
        <f t="shared" si="6"/>
        <v>1.3</v>
      </c>
      <c r="L285" s="4"/>
      <c r="M285" s="4"/>
      <c r="N285" s="4"/>
      <c r="O285" s="4"/>
      <c r="P285" s="4"/>
      <c r="Q285" s="4"/>
      <c r="R285" s="4"/>
      <c r="S285" s="4"/>
      <c r="T285" s="4"/>
      <c r="U285" s="4"/>
      <c r="V285" s="4"/>
      <c r="W285" s="4"/>
      <c r="X285" s="4"/>
      <c r="Y285" s="4"/>
      <c r="Z285" s="4"/>
    </row>
    <row r="286" ht="15.75" customHeight="1">
      <c r="A286" s="40" t="str">
        <f>archetype_prototypes!A286</f>
        <v>14</v>
      </c>
      <c r="B286" s="9" t="str">
        <f>archetype_prototypes!B286</f>
        <v>Quiet Withdrawer</v>
      </c>
      <c r="C286" s="9" t="str">
        <f>archetype_prototypes!C286</f>
        <v>DIM_BOUNDARY_EXPRESS</v>
      </c>
      <c r="D286" s="41">
        <f>archetype_prototypes!E286</f>
        <v>0.35</v>
      </c>
      <c r="E286" s="41">
        <f t="shared" si="1"/>
        <v>0.35</v>
      </c>
      <c r="F286" s="41">
        <f t="shared" si="2"/>
        <v>0.7275</v>
      </c>
      <c r="G286" s="41">
        <f t="shared" si="3"/>
        <v>1</v>
      </c>
      <c r="H286" s="42" t="str">
        <f t="array" ref="H286">XLOOKUP(C286,dimensions!$A$2:$A$22,dimensions!$E$2:$E$22,0)</f>
        <v>1.3</v>
      </c>
      <c r="I286" s="41">
        <f t="shared" si="4"/>
        <v>0.455</v>
      </c>
      <c r="J286" s="41">
        <f t="shared" si="5"/>
        <v>0.94575</v>
      </c>
      <c r="K286" s="41">
        <f t="shared" si="6"/>
        <v>1.3</v>
      </c>
      <c r="L286" s="4"/>
      <c r="M286" s="4"/>
      <c r="N286" s="4"/>
      <c r="O286" s="4"/>
      <c r="P286" s="4"/>
      <c r="Q286" s="4"/>
      <c r="R286" s="4"/>
      <c r="S286" s="4"/>
      <c r="T286" s="4"/>
      <c r="U286" s="4"/>
      <c r="V286" s="4"/>
      <c r="W286" s="4"/>
      <c r="X286" s="4"/>
      <c r="Y286" s="4"/>
      <c r="Z286" s="4"/>
    </row>
    <row r="287" ht="15.75" customHeight="1">
      <c r="A287" s="40" t="str">
        <f>archetype_prototypes!A287</f>
        <v>14</v>
      </c>
      <c r="B287" s="9" t="str">
        <f>archetype_prototypes!B287</f>
        <v>Quiet Withdrawer</v>
      </c>
      <c r="C287" s="9" t="str">
        <f>archetype_prototypes!C287</f>
        <v>DIM_PROTOCOL</v>
      </c>
      <c r="D287" s="41">
        <f>archetype_prototypes!E287</f>
        <v>0.15</v>
      </c>
      <c r="E287" s="41">
        <f t="shared" si="1"/>
        <v>0.15</v>
      </c>
      <c r="F287" s="41">
        <f t="shared" si="2"/>
        <v>0.6275</v>
      </c>
      <c r="G287" s="41">
        <f t="shared" si="3"/>
        <v>1</v>
      </c>
      <c r="H287" s="42" t="str">
        <f t="array" ref="H287">XLOOKUP(C287,dimensions!$A$2:$A$22,dimensions!$E$2:$E$22,0)</f>
        <v>1.6</v>
      </c>
      <c r="I287" s="41">
        <f t="shared" si="4"/>
        <v>0.24</v>
      </c>
      <c r="J287" s="41">
        <f t="shared" si="5"/>
        <v>1.004</v>
      </c>
      <c r="K287" s="41">
        <f t="shared" si="6"/>
        <v>1.6</v>
      </c>
      <c r="L287" s="4"/>
      <c r="M287" s="4"/>
      <c r="N287" s="4"/>
      <c r="O287" s="4"/>
      <c r="P287" s="4"/>
      <c r="Q287" s="4"/>
      <c r="R287" s="4"/>
      <c r="S287" s="4"/>
      <c r="T287" s="4"/>
      <c r="U287" s="4"/>
      <c r="V287" s="4"/>
      <c r="W287" s="4"/>
      <c r="X287" s="4"/>
      <c r="Y287" s="4"/>
      <c r="Z287" s="4"/>
    </row>
    <row r="288" ht="15.75" customHeight="1">
      <c r="A288" s="40" t="str">
        <f>archetype_prototypes!A288</f>
        <v>14</v>
      </c>
      <c r="B288" s="9" t="str">
        <f>archetype_prototypes!B288</f>
        <v>Quiet Withdrawer</v>
      </c>
      <c r="C288" s="9" t="str">
        <f>archetype_prototypes!C288</f>
        <v>DIM_SOOTHING</v>
      </c>
      <c r="D288" s="41">
        <f>archetype_prototypes!E288</f>
        <v>0.2</v>
      </c>
      <c r="E288" s="41">
        <f t="shared" si="1"/>
        <v>0.2</v>
      </c>
      <c r="F288" s="41">
        <f t="shared" si="2"/>
        <v>0.66</v>
      </c>
      <c r="G288" s="41">
        <f t="shared" si="3"/>
        <v>1</v>
      </c>
      <c r="H288" s="42" t="str">
        <f t="array" ref="H288">XLOOKUP(C288,dimensions!$A$2:$A$22,dimensions!$E$2:$E$22,0)</f>
        <v>1.9</v>
      </c>
      <c r="I288" s="41">
        <f t="shared" si="4"/>
        <v>0.38</v>
      </c>
      <c r="J288" s="41">
        <f t="shared" si="5"/>
        <v>1.254</v>
      </c>
      <c r="K288" s="41">
        <f t="shared" si="6"/>
        <v>1.9</v>
      </c>
      <c r="L288" s="4"/>
      <c r="M288" s="4"/>
      <c r="N288" s="4"/>
      <c r="O288" s="4"/>
      <c r="P288" s="4"/>
      <c r="Q288" s="4"/>
      <c r="R288" s="4"/>
      <c r="S288" s="4"/>
      <c r="T288" s="4"/>
      <c r="U288" s="4"/>
      <c r="V288" s="4"/>
      <c r="W288" s="4"/>
      <c r="X288" s="4"/>
      <c r="Y288" s="4"/>
      <c r="Z288" s="4"/>
    </row>
    <row r="289" ht="15.75" customHeight="1">
      <c r="A289" s="40" t="str">
        <f>archetype_prototypes!A289</f>
        <v>14</v>
      </c>
      <c r="B289" s="9" t="str">
        <f>archetype_prototypes!B289</f>
        <v>Quiet Withdrawer</v>
      </c>
      <c r="C289" s="9" t="str">
        <f>archetype_prototypes!C289</f>
        <v>DIM_SECURE</v>
      </c>
      <c r="D289" s="41">
        <f>archetype_prototypes!E289</f>
        <v>0.2</v>
      </c>
      <c r="E289" s="41">
        <f t="shared" si="1"/>
        <v>0.2</v>
      </c>
      <c r="F289" s="41">
        <f t="shared" si="2"/>
        <v>0.66</v>
      </c>
      <c r="G289" s="41">
        <f t="shared" si="3"/>
        <v>1</v>
      </c>
      <c r="H289" s="42" t="str">
        <f t="array" ref="H289">XLOOKUP(C289,dimensions!$A$2:$A$22,dimensions!$E$2:$E$22,0)</f>
        <v>1</v>
      </c>
      <c r="I289" s="41">
        <f t="shared" si="4"/>
        <v>0.2</v>
      </c>
      <c r="J289" s="41">
        <f t="shared" si="5"/>
        <v>0.66</v>
      </c>
      <c r="K289" s="41">
        <f t="shared" si="6"/>
        <v>1</v>
      </c>
      <c r="L289" s="4"/>
      <c r="M289" s="4"/>
      <c r="N289" s="4"/>
      <c r="O289" s="4"/>
      <c r="P289" s="4"/>
      <c r="Q289" s="4"/>
      <c r="R289" s="4"/>
      <c r="S289" s="4"/>
      <c r="T289" s="4"/>
      <c r="U289" s="4"/>
      <c r="V289" s="4"/>
      <c r="W289" s="4"/>
      <c r="X289" s="4"/>
      <c r="Y289" s="4"/>
      <c r="Z289" s="4"/>
    </row>
    <row r="290" ht="15.75" customHeight="1">
      <c r="A290" s="40" t="str">
        <f>archetype_prototypes!A290</f>
        <v>14</v>
      </c>
      <c r="B290" s="9" t="str">
        <f>archetype_prototypes!B290</f>
        <v>Quiet Withdrawer</v>
      </c>
      <c r="C290" s="9" t="str">
        <f>archetype_prototypes!C290</f>
        <v>DIM_REPAIR_EROTICISM</v>
      </c>
      <c r="D290" s="41">
        <f>archetype_prototypes!E290</f>
        <v>0.2</v>
      </c>
      <c r="E290" s="41">
        <f t="shared" si="1"/>
        <v>0.2</v>
      </c>
      <c r="F290" s="41">
        <f t="shared" si="2"/>
        <v>0.66</v>
      </c>
      <c r="G290" s="41">
        <f t="shared" si="3"/>
        <v>1</v>
      </c>
      <c r="H290" s="42" t="str">
        <f t="array" ref="H290">XLOOKUP(C290,dimensions!$A$2:$A$22,dimensions!$E$2:$E$22,0)</f>
        <v>1.6</v>
      </c>
      <c r="I290" s="41">
        <f t="shared" si="4"/>
        <v>0.32</v>
      </c>
      <c r="J290" s="41">
        <f t="shared" si="5"/>
        <v>1.056</v>
      </c>
      <c r="K290" s="41">
        <f t="shared" si="6"/>
        <v>1.6</v>
      </c>
      <c r="L290" s="4"/>
      <c r="M290" s="4"/>
      <c r="N290" s="4"/>
      <c r="O290" s="4"/>
      <c r="P290" s="4"/>
      <c r="Q290" s="4"/>
      <c r="R290" s="4"/>
      <c r="S290" s="4"/>
      <c r="T290" s="4"/>
      <c r="U290" s="4"/>
      <c r="V290" s="4"/>
      <c r="W290" s="4"/>
      <c r="X290" s="4"/>
      <c r="Y290" s="4"/>
      <c r="Z290" s="4"/>
    </row>
    <row r="291" ht="15.75" customHeight="1">
      <c r="A291" s="40" t="str">
        <f>archetype_prototypes!A291</f>
        <v>14</v>
      </c>
      <c r="B291" s="9" t="str">
        <f>archetype_prototypes!B291</f>
        <v>Quiet Withdrawer</v>
      </c>
      <c r="C291" s="9" t="str">
        <f>archetype_prototypes!C291</f>
        <v>DIM_PRESSURE_SHUTDOWN</v>
      </c>
      <c r="D291" s="41">
        <f>archetype_prototypes!E291</f>
        <v>0.95</v>
      </c>
      <c r="E291" s="41">
        <f t="shared" si="1"/>
        <v>0.05</v>
      </c>
      <c r="F291" s="41">
        <f t="shared" si="2"/>
        <v>0.5475</v>
      </c>
      <c r="G291" s="41">
        <f t="shared" si="3"/>
        <v>1</v>
      </c>
      <c r="H291" s="42" t="str">
        <f t="array" ref="H291">XLOOKUP(C291,dimensions!$A$2:$A$22,dimensions!$E$2:$E$22,0)</f>
        <v>2.0</v>
      </c>
      <c r="I291" s="41">
        <f t="shared" si="4"/>
        <v>0.1</v>
      </c>
      <c r="J291" s="41">
        <f t="shared" si="5"/>
        <v>1.095</v>
      </c>
      <c r="K291" s="41">
        <f t="shared" si="6"/>
        <v>2</v>
      </c>
      <c r="L291" s="4"/>
      <c r="M291" s="4"/>
      <c r="N291" s="4"/>
      <c r="O291" s="4"/>
      <c r="P291" s="4"/>
      <c r="Q291" s="4"/>
      <c r="R291" s="4"/>
      <c r="S291" s="4"/>
      <c r="T291" s="4"/>
      <c r="U291" s="4"/>
      <c r="V291" s="4"/>
      <c r="W291" s="4"/>
      <c r="X291" s="4"/>
      <c r="Y291" s="4"/>
      <c r="Z291" s="4"/>
    </row>
    <row r="292" ht="15.75" customHeight="1">
      <c r="A292" s="40" t="str">
        <f>archetype_prototypes!A292</f>
        <v>14</v>
      </c>
      <c r="B292" s="9" t="str">
        <f>archetype_prototypes!B292</f>
        <v>Quiet Withdrawer</v>
      </c>
      <c r="C292" s="9" t="str">
        <f>archetype_prototypes!C292</f>
        <v>DIM_AVOIDANT</v>
      </c>
      <c r="D292" s="41">
        <f>archetype_prototypes!E292</f>
        <v>0.75</v>
      </c>
      <c r="E292" s="41">
        <f t="shared" si="1"/>
        <v>0.25</v>
      </c>
      <c r="F292" s="41">
        <f t="shared" si="2"/>
        <v>0.6875</v>
      </c>
      <c r="G292" s="41">
        <f t="shared" si="3"/>
        <v>1</v>
      </c>
      <c r="H292" s="42" t="str">
        <f t="array" ref="H292">XLOOKUP(C292,dimensions!$A$2:$A$22,dimensions!$E$2:$E$22,0)</f>
        <v>1.3</v>
      </c>
      <c r="I292" s="41">
        <f t="shared" si="4"/>
        <v>0.325</v>
      </c>
      <c r="J292" s="41">
        <f t="shared" si="5"/>
        <v>0.89375</v>
      </c>
      <c r="K292" s="41">
        <f t="shared" si="6"/>
        <v>1.3</v>
      </c>
      <c r="L292" s="4"/>
      <c r="M292" s="4"/>
      <c r="N292" s="4"/>
      <c r="O292" s="4"/>
      <c r="P292" s="4"/>
      <c r="Q292" s="4"/>
      <c r="R292" s="4"/>
      <c r="S292" s="4"/>
      <c r="T292" s="4"/>
      <c r="U292" s="4"/>
      <c r="V292" s="4"/>
      <c r="W292" s="4"/>
      <c r="X292" s="4"/>
      <c r="Y292" s="4"/>
      <c r="Z292" s="4"/>
    </row>
    <row r="293" ht="15.75" customHeight="1">
      <c r="A293" s="40" t="str">
        <f>archetype_prototypes!A293</f>
        <v>14</v>
      </c>
      <c r="B293" s="9" t="str">
        <f>archetype_prototypes!B293</f>
        <v>Quiet Withdrawer</v>
      </c>
      <c r="C293" s="9" t="str">
        <f>archetype_prototypes!C293</f>
        <v>DIM_STRATEGY</v>
      </c>
      <c r="D293" s="41">
        <f>archetype_prototypes!E293</f>
        <v>0.05</v>
      </c>
      <c r="E293" s="41">
        <f t="shared" si="1"/>
        <v>0.05</v>
      </c>
      <c r="F293" s="41">
        <f t="shared" si="2"/>
        <v>0.5475</v>
      </c>
      <c r="G293" s="41">
        <f t="shared" si="3"/>
        <v>1</v>
      </c>
      <c r="H293" s="42" t="str">
        <f t="array" ref="H293">XLOOKUP(C293,dimensions!$A$2:$A$22,dimensions!$E$2:$E$22,0)</f>
        <v>1.2</v>
      </c>
      <c r="I293" s="41">
        <f t="shared" si="4"/>
        <v>0.06</v>
      </c>
      <c r="J293" s="41">
        <f t="shared" si="5"/>
        <v>0.657</v>
      </c>
      <c r="K293" s="41">
        <f t="shared" si="6"/>
        <v>1.2</v>
      </c>
      <c r="L293" s="4"/>
      <c r="M293" s="4"/>
      <c r="N293" s="4"/>
      <c r="O293" s="4"/>
      <c r="P293" s="4"/>
      <c r="Q293" s="4"/>
      <c r="R293" s="4"/>
      <c r="S293" s="4"/>
      <c r="T293" s="4"/>
      <c r="U293" s="4"/>
      <c r="V293" s="4"/>
      <c r="W293" s="4"/>
      <c r="X293" s="4"/>
      <c r="Y293" s="4"/>
      <c r="Z293" s="4"/>
    </row>
    <row r="294" ht="15.75" customHeight="1">
      <c r="A294" s="40" t="str">
        <f>archetype_prototypes!A294</f>
        <v>14</v>
      </c>
      <c r="B294" s="9" t="str">
        <f>archetype_prototypes!B294</f>
        <v>Quiet Withdrawer</v>
      </c>
      <c r="C294" s="9" t="str">
        <f>archetype_prototypes!C294</f>
        <v>DIM_CLOSENESS_ORIENTATION</v>
      </c>
      <c r="D294" s="41">
        <f>archetype_prototypes!E294</f>
        <v>0.15</v>
      </c>
      <c r="E294" s="41">
        <f t="shared" si="1"/>
        <v>0.15</v>
      </c>
      <c r="F294" s="41">
        <f t="shared" si="2"/>
        <v>0.6275</v>
      </c>
      <c r="G294" s="41">
        <f t="shared" si="3"/>
        <v>1</v>
      </c>
      <c r="H294" s="42">
        <f t="array" ref="H294">XLOOKUP(C294,dimensions!$A$2:$A$22,dimensions!$E$2:$E$22,0)</f>
        <v>1</v>
      </c>
      <c r="I294" s="41">
        <f t="shared" si="4"/>
        <v>0.15</v>
      </c>
      <c r="J294" s="41">
        <f t="shared" si="5"/>
        <v>0.6275</v>
      </c>
      <c r="K294" s="41">
        <f t="shared" si="6"/>
        <v>1</v>
      </c>
      <c r="L294" s="4"/>
      <c r="M294" s="4"/>
      <c r="N294" s="4"/>
      <c r="O294" s="4"/>
      <c r="P294" s="4"/>
      <c r="Q294" s="4"/>
      <c r="R294" s="4"/>
      <c r="S294" s="4"/>
      <c r="T294" s="4"/>
      <c r="U294" s="4"/>
      <c r="V294" s="4"/>
      <c r="W294" s="4"/>
      <c r="X294" s="4"/>
      <c r="Y294" s="4"/>
      <c r="Z294" s="4"/>
    </row>
    <row r="295" ht="15.75" customHeight="1">
      <c r="A295" s="40" t="str">
        <f>archetype_prototypes!A295</f>
        <v>14</v>
      </c>
      <c r="B295" s="9" t="str">
        <f>archetype_prototypes!B295</f>
        <v>Quiet Withdrawer</v>
      </c>
      <c r="C295" s="9" t="str">
        <f>archetype_prototypes!C295</f>
        <v>DIM_PARTNER_FOCUS</v>
      </c>
      <c r="D295" s="41">
        <f>archetype_prototypes!E295</f>
        <v>0.3</v>
      </c>
      <c r="E295" s="41">
        <f t="shared" si="1"/>
        <v>0.3</v>
      </c>
      <c r="F295" s="41">
        <f t="shared" si="2"/>
        <v>0.71</v>
      </c>
      <c r="G295" s="41">
        <f t="shared" si="3"/>
        <v>1</v>
      </c>
      <c r="H295" s="42">
        <f t="array" ref="H295">XLOOKUP(C295,dimensions!$A$2:$A$22,dimensions!$E$2:$E$22,0)</f>
        <v>1.2</v>
      </c>
      <c r="I295" s="41">
        <f t="shared" si="4"/>
        <v>0.36</v>
      </c>
      <c r="J295" s="41">
        <f t="shared" si="5"/>
        <v>0.852</v>
      </c>
      <c r="K295" s="41">
        <f t="shared" si="6"/>
        <v>1.2</v>
      </c>
      <c r="L295" s="4"/>
      <c r="M295" s="4"/>
      <c r="N295" s="4"/>
      <c r="O295" s="4"/>
      <c r="P295" s="4"/>
      <c r="Q295" s="4"/>
      <c r="R295" s="4"/>
      <c r="S295" s="4"/>
      <c r="T295" s="4"/>
      <c r="U295" s="4"/>
      <c r="V295" s="4"/>
      <c r="W295" s="4"/>
      <c r="X295" s="4"/>
      <c r="Y295" s="4"/>
      <c r="Z295" s="4"/>
    </row>
  </sheetData>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2.0" topLeftCell="C1" activePane="topRight" state="frozen"/>
      <selection activeCell="D2" sqref="D2" pane="topRight"/>
    </sheetView>
  </sheetViews>
  <sheetFormatPr customHeight="1" defaultColWidth="12.63" defaultRowHeight="15.0"/>
  <cols>
    <col customWidth="1" min="1" max="1" width="12.0"/>
    <col customWidth="1" min="2" max="2" width="17.75"/>
    <col customWidth="1" min="3" max="3" width="19.38"/>
    <col customWidth="1" min="4" max="4" width="20.88"/>
    <col customWidth="1" min="5" max="5" width="19.75"/>
    <col customWidth="1" min="6" max="6" width="19.63"/>
    <col customWidth="1" min="7" max="7" width="20.0"/>
    <col customWidth="1" min="8" max="8" width="10.13"/>
    <col customWidth="1" min="9" max="9" width="12.0"/>
    <col customWidth="1" min="10" max="10" width="22.5"/>
    <col customWidth="1" min="11" max="11" width="19.38"/>
    <col customWidth="1" min="12" max="12" width="20.13"/>
  </cols>
  <sheetData>
    <row r="1">
      <c r="A1" s="43" t="s">
        <v>439</v>
      </c>
      <c r="B1" s="44" t="s">
        <v>440</v>
      </c>
      <c r="C1" s="44" t="s">
        <v>476</v>
      </c>
      <c r="D1" s="44" t="s">
        <v>477</v>
      </c>
      <c r="E1" s="44" t="s">
        <v>478</v>
      </c>
      <c r="F1" s="44" t="s">
        <v>479</v>
      </c>
      <c r="G1" s="44" t="s">
        <v>480</v>
      </c>
      <c r="H1" s="44" t="s">
        <v>481</v>
      </c>
      <c r="I1" s="44" t="s">
        <v>482</v>
      </c>
      <c r="J1" s="44" t="s">
        <v>483</v>
      </c>
      <c r="K1" s="44" t="s">
        <v>484</v>
      </c>
      <c r="L1" s="44" t="s">
        <v>485</v>
      </c>
      <c r="M1" s="45"/>
      <c r="N1" s="45"/>
      <c r="O1" s="45"/>
      <c r="P1" s="45"/>
      <c r="Q1" s="45"/>
      <c r="R1" s="45"/>
      <c r="S1" s="45"/>
      <c r="T1" s="45"/>
      <c r="U1" s="45"/>
      <c r="V1" s="45"/>
      <c r="W1" s="45"/>
      <c r="X1" s="45"/>
      <c r="Y1" s="45"/>
      <c r="Z1" s="45"/>
    </row>
    <row r="2">
      <c r="A2" s="46" t="s">
        <v>431</v>
      </c>
      <c r="B2" s="47" t="s">
        <v>442</v>
      </c>
      <c r="C2" s="48">
        <f>SUMIF(prototype_helpers!$B$2:$B$295,B2,prototype_helpers!$I$2:$I$295)</f>
        <v>9.765</v>
      </c>
      <c r="D2" s="48">
        <f>SUMIF(prototype_helpers!$B$2:$B$295,B2,prototype_helpers!$J$2:$J$295)</f>
        <v>21.93425</v>
      </c>
      <c r="E2" s="48">
        <f>SUMIF(prototype_helpers!$B$2:$B$295,B2,prototype_helpers!$K$2:$K$295)</f>
        <v>31.3</v>
      </c>
      <c r="F2" s="48">
        <f t="shared" ref="F2:G2" si="1">D2-C2</f>
        <v>12.16925</v>
      </c>
      <c r="G2" s="48">
        <f t="shared" si="1"/>
        <v>9.36575</v>
      </c>
      <c r="H2" s="48">
        <f>SUMIF(archetype_bias!$A$2:$A$15,B2,archetype_bias!$B$2:$B$15)</f>
        <v>-0.3331764286</v>
      </c>
      <c r="I2" s="47" t="b">
        <v>0</v>
      </c>
      <c r="J2" s="48">
        <v>2.264</v>
      </c>
      <c r="K2" s="49">
        <v>1.1424</v>
      </c>
      <c r="L2" s="48">
        <f t="shared" ref="L2:L15" si="3">J2*K2</f>
        <v>2.5863936</v>
      </c>
      <c r="M2" s="45"/>
      <c r="N2" s="45"/>
      <c r="O2" s="45"/>
      <c r="P2" s="45"/>
      <c r="Q2" s="45"/>
      <c r="R2" s="45"/>
      <c r="S2" s="45"/>
      <c r="T2" s="45"/>
      <c r="U2" s="45"/>
      <c r="V2" s="45"/>
      <c r="W2" s="45"/>
      <c r="X2" s="45"/>
      <c r="Y2" s="45"/>
      <c r="Z2" s="45"/>
    </row>
    <row r="3">
      <c r="A3" s="46" t="s">
        <v>443</v>
      </c>
      <c r="B3" s="47" t="s">
        <v>444</v>
      </c>
      <c r="C3" s="48">
        <f>SUMIF(prototype_helpers!$B$2:$B$295,B3,prototype_helpers!$I$2:$I$295)</f>
        <v>8.587</v>
      </c>
      <c r="D3" s="48">
        <f>SUMIF(prototype_helpers!$B$2:$B$295,B3,prototype_helpers!$J$2:$J$295)</f>
        <v>21.48435</v>
      </c>
      <c r="E3" s="48">
        <f>SUMIF(prototype_helpers!$B$2:$B$295,B3,prototype_helpers!$K$2:$K$295)</f>
        <v>31.3</v>
      </c>
      <c r="F3" s="48">
        <f t="shared" ref="F3:G3" si="2">D3-C3</f>
        <v>12.89735</v>
      </c>
      <c r="G3" s="48">
        <f t="shared" si="2"/>
        <v>9.81565</v>
      </c>
      <c r="H3" s="48">
        <f>SUMIF(archetype_bias!$A$2:$A$15,B3,archetype_bias!$B$2:$B$15)</f>
        <v>0.06707357143</v>
      </c>
      <c r="I3" s="47" t="b">
        <v>0</v>
      </c>
      <c r="J3" s="48">
        <v>2.242</v>
      </c>
      <c r="K3" s="49">
        <v>1.2877</v>
      </c>
      <c r="L3" s="48">
        <f t="shared" si="3"/>
        <v>2.8870234</v>
      </c>
      <c r="M3" s="45"/>
      <c r="N3" s="45"/>
      <c r="O3" s="45"/>
      <c r="P3" s="45"/>
      <c r="Q3" s="45"/>
      <c r="R3" s="45"/>
      <c r="S3" s="45"/>
      <c r="T3" s="45"/>
      <c r="U3" s="45"/>
      <c r="V3" s="45"/>
      <c r="W3" s="45"/>
      <c r="X3" s="45"/>
      <c r="Y3" s="45"/>
      <c r="Z3" s="45"/>
    </row>
    <row r="4">
      <c r="A4" s="46" t="s">
        <v>445</v>
      </c>
      <c r="B4" s="47" t="s">
        <v>446</v>
      </c>
      <c r="C4" s="48">
        <f>SUMIF(prototype_helpers!$B$2:$B$295,B4,prototype_helpers!$I$2:$I$295)</f>
        <v>8.407</v>
      </c>
      <c r="D4" s="48">
        <f>SUMIF(prototype_helpers!$B$2:$B$295,B4,prototype_helpers!$J$2:$J$295)</f>
        <v>21.39269</v>
      </c>
      <c r="E4" s="48">
        <f>SUMIF(prototype_helpers!$B$2:$B$295,B4,prototype_helpers!$K$2:$K$295)</f>
        <v>31.3</v>
      </c>
      <c r="F4" s="48">
        <f t="shared" ref="F4:G4" si="4">D4-C4</f>
        <v>12.98569</v>
      </c>
      <c r="G4" s="48">
        <f t="shared" si="4"/>
        <v>9.90731</v>
      </c>
      <c r="H4" s="48">
        <f>SUMIF(archetype_bias!$A$2:$A$15,B4,archetype_bias!$B$2:$B$15)</f>
        <v>-0.05809642857</v>
      </c>
      <c r="I4" s="47" t="b">
        <v>0</v>
      </c>
      <c r="J4" s="48">
        <v>1.662</v>
      </c>
      <c r="K4" s="49">
        <v>1.0941</v>
      </c>
      <c r="L4" s="48">
        <f t="shared" si="3"/>
        <v>1.8183942</v>
      </c>
      <c r="M4" s="45"/>
      <c r="N4" s="45"/>
      <c r="O4" s="45"/>
      <c r="P4" s="45"/>
      <c r="Q4" s="45"/>
      <c r="R4" s="45"/>
      <c r="S4" s="45"/>
      <c r="T4" s="45"/>
      <c r="U4" s="45"/>
      <c r="V4" s="45"/>
      <c r="W4" s="45"/>
      <c r="X4" s="45"/>
      <c r="Y4" s="45"/>
      <c r="Z4" s="45"/>
    </row>
    <row r="5">
      <c r="A5" s="46" t="s">
        <v>447</v>
      </c>
      <c r="B5" s="47" t="s">
        <v>448</v>
      </c>
      <c r="C5" s="48">
        <f>SUMIF(prototype_helpers!$B$2:$B$295,B5,prototype_helpers!$I$2:$I$295)</f>
        <v>8.851</v>
      </c>
      <c r="D5" s="48">
        <f>SUMIF(prototype_helpers!$B$2:$B$295,B5,prototype_helpers!$J$2:$J$295)</f>
        <v>21.58937</v>
      </c>
      <c r="E5" s="48">
        <f>SUMIF(prototype_helpers!$B$2:$B$295,B5,prototype_helpers!$K$2:$K$295)</f>
        <v>31.3</v>
      </c>
      <c r="F5" s="48">
        <f t="shared" ref="F5:G5" si="5">D5-C5</f>
        <v>12.73837</v>
      </c>
      <c r="G5" s="48">
        <f t="shared" si="5"/>
        <v>9.71063</v>
      </c>
      <c r="H5" s="48">
        <f>SUMIF(archetype_bias!$A$2:$A$15,B5,archetype_bias!$B$2:$B$15)</f>
        <v>-0.1094264286</v>
      </c>
      <c r="I5" s="47" t="b">
        <v>0</v>
      </c>
      <c r="J5" s="48">
        <v>1.202</v>
      </c>
      <c r="K5" s="49">
        <v>1.8031</v>
      </c>
      <c r="L5" s="48">
        <f t="shared" si="3"/>
        <v>2.1673262</v>
      </c>
      <c r="M5" s="45"/>
      <c r="N5" s="45"/>
      <c r="O5" s="45"/>
      <c r="P5" s="45"/>
      <c r="Q5" s="45"/>
      <c r="R5" s="45"/>
      <c r="S5" s="45"/>
      <c r="T5" s="45"/>
      <c r="U5" s="45"/>
      <c r="V5" s="45"/>
      <c r="W5" s="45"/>
      <c r="X5" s="45"/>
      <c r="Y5" s="45"/>
      <c r="Z5" s="45"/>
    </row>
    <row r="6">
      <c r="A6" s="46" t="s">
        <v>449</v>
      </c>
      <c r="B6" s="47" t="s">
        <v>450</v>
      </c>
      <c r="C6" s="48">
        <f>SUMIF(prototype_helpers!$B$2:$B$295,B6,prototype_helpers!$I$2:$I$295)</f>
        <v>7.595</v>
      </c>
      <c r="D6" s="48">
        <f>SUMIF(prototype_helpers!$B$2:$B$295,B6,prototype_helpers!$J$2:$J$295)</f>
        <v>20.99925</v>
      </c>
      <c r="E6" s="48">
        <f>SUMIF(prototype_helpers!$B$2:$B$295,B6,prototype_helpers!$K$2:$K$295)</f>
        <v>31.3</v>
      </c>
      <c r="F6" s="48">
        <f t="shared" ref="F6:G6" si="6">D6-C6</f>
        <v>13.40425</v>
      </c>
      <c r="G6" s="48">
        <f t="shared" si="6"/>
        <v>10.30075</v>
      </c>
      <c r="H6" s="48">
        <f>SUMIF(archetype_bias!$A$2:$A$15,B6,archetype_bias!$B$2:$B$15)</f>
        <v>0.3328235714</v>
      </c>
      <c r="I6" s="47" t="b">
        <v>0</v>
      </c>
      <c r="J6" s="48">
        <v>1.904</v>
      </c>
      <c r="K6" s="49">
        <v>1.2087</v>
      </c>
      <c r="L6" s="48">
        <f t="shared" si="3"/>
        <v>2.3013648</v>
      </c>
      <c r="M6" s="45"/>
      <c r="N6" s="45"/>
      <c r="O6" s="45"/>
      <c r="P6" s="45"/>
      <c r="Q6" s="45"/>
      <c r="R6" s="45"/>
      <c r="S6" s="45"/>
      <c r="T6" s="45"/>
      <c r="U6" s="45"/>
      <c r="V6" s="45"/>
      <c r="W6" s="45"/>
      <c r="X6" s="45"/>
      <c r="Y6" s="45"/>
      <c r="Z6" s="45"/>
    </row>
    <row r="7">
      <c r="A7" s="46" t="s">
        <v>451</v>
      </c>
      <c r="B7" s="47" t="s">
        <v>452</v>
      </c>
      <c r="C7" s="48">
        <f>SUMIF(prototype_helpers!$B$2:$B$295,B7,prototype_helpers!$I$2:$I$295)</f>
        <v>11.71</v>
      </c>
      <c r="D7" s="48">
        <f>SUMIF(prototype_helpers!$B$2:$B$295,B7,prototype_helpers!$J$2:$J$295)</f>
        <v>22.707</v>
      </c>
      <c r="E7" s="48">
        <f>SUMIF(prototype_helpers!$B$2:$B$295,B7,prototype_helpers!$K$2:$K$295)</f>
        <v>31.3</v>
      </c>
      <c r="F7" s="48">
        <f t="shared" ref="F7:G7" si="7">D7-C7</f>
        <v>10.997</v>
      </c>
      <c r="G7" s="48">
        <f t="shared" si="7"/>
        <v>8.593</v>
      </c>
      <c r="H7" s="48">
        <f>SUMIF(archetype_bias!$A$2:$A$15,B7,archetype_bias!$B$2:$B$15)</f>
        <v>-0.9446764286</v>
      </c>
      <c r="I7" s="47" t="b">
        <v>0</v>
      </c>
      <c r="J7" s="48">
        <v>1.79</v>
      </c>
      <c r="K7" s="49">
        <v>0.5103</v>
      </c>
      <c r="L7" s="48">
        <f t="shared" si="3"/>
        <v>0.913437</v>
      </c>
      <c r="M7" s="45"/>
      <c r="N7" s="45"/>
      <c r="O7" s="45"/>
      <c r="P7" s="45"/>
      <c r="Q7" s="45"/>
      <c r="R7" s="45"/>
      <c r="S7" s="45"/>
      <c r="T7" s="45"/>
      <c r="U7" s="45"/>
      <c r="V7" s="45"/>
      <c r="W7" s="45"/>
      <c r="X7" s="45"/>
      <c r="Y7" s="45"/>
      <c r="Z7" s="45"/>
    </row>
    <row r="8">
      <c r="A8" s="46" t="s">
        <v>453</v>
      </c>
      <c r="B8" s="47" t="s">
        <v>454</v>
      </c>
      <c r="C8" s="48">
        <f>SUMIF(prototype_helpers!$B$2:$B$295,B8,prototype_helpers!$I$2:$I$295)</f>
        <v>8.391</v>
      </c>
      <c r="D8" s="48">
        <f>SUMIF(prototype_helpers!$B$2:$B$295,B8,prototype_helpers!$J$2:$J$295)</f>
        <v>21.26007</v>
      </c>
      <c r="E8" s="48">
        <f>SUMIF(prototype_helpers!$B$2:$B$295,B8,prototype_helpers!$K$2:$K$295)</f>
        <v>31.3</v>
      </c>
      <c r="F8" s="48">
        <f t="shared" ref="F8:G8" si="8">D8-C8</f>
        <v>12.86907</v>
      </c>
      <c r="G8" s="48">
        <f t="shared" si="8"/>
        <v>10.03993</v>
      </c>
      <c r="H8" s="48">
        <f>SUMIF(archetype_bias!$A$2:$A$15,B8,archetype_bias!$B$2:$B$15)</f>
        <v>0.3515735714</v>
      </c>
      <c r="I8" s="47" t="b">
        <v>0</v>
      </c>
      <c r="J8" s="48">
        <v>1.462</v>
      </c>
      <c r="K8" s="49">
        <v>1.0406</v>
      </c>
      <c r="L8" s="48">
        <f t="shared" si="3"/>
        <v>1.5213572</v>
      </c>
      <c r="M8" s="45"/>
      <c r="N8" s="45"/>
      <c r="O8" s="45"/>
      <c r="P8" s="45"/>
      <c r="Q8" s="45"/>
      <c r="R8" s="45"/>
      <c r="S8" s="45"/>
      <c r="T8" s="45"/>
      <c r="U8" s="45"/>
      <c r="V8" s="45"/>
      <c r="W8" s="45"/>
      <c r="X8" s="45"/>
      <c r="Y8" s="45"/>
      <c r="Z8" s="45"/>
    </row>
    <row r="9">
      <c r="A9" s="46" t="s">
        <v>455</v>
      </c>
      <c r="B9" s="47" t="s">
        <v>456</v>
      </c>
      <c r="C9" s="48">
        <f>SUMIF(prototype_helpers!$B$2:$B$295,B9,prototype_helpers!$I$2:$I$295)</f>
        <v>8.24</v>
      </c>
      <c r="D9" s="48">
        <f>SUMIF(prototype_helpers!$B$2:$B$295,B9,prototype_helpers!$J$2:$J$295)</f>
        <v>21.229</v>
      </c>
      <c r="E9" s="48">
        <f>SUMIF(prototype_helpers!$B$2:$B$295,B9,prototype_helpers!$K$2:$K$295)</f>
        <v>31.3</v>
      </c>
      <c r="F9" s="48">
        <f t="shared" ref="F9:G9" si="9">D9-C9</f>
        <v>12.989</v>
      </c>
      <c r="G9" s="48">
        <f t="shared" si="9"/>
        <v>10.071</v>
      </c>
      <c r="H9" s="48">
        <f>SUMIF(archetype_bias!$A$2:$A$15,B9,archetype_bias!$B$2:$B$15)</f>
        <v>0.2743235714</v>
      </c>
      <c r="I9" s="47" t="b">
        <v>0</v>
      </c>
      <c r="J9" s="48">
        <v>1.546</v>
      </c>
      <c r="K9" s="49">
        <v>0.5126</v>
      </c>
      <c r="L9" s="48">
        <f t="shared" si="3"/>
        <v>0.7924796</v>
      </c>
      <c r="M9" s="45"/>
      <c r="N9" s="45"/>
      <c r="O9" s="45"/>
      <c r="P9" s="45"/>
      <c r="Q9" s="45"/>
      <c r="R9" s="45"/>
      <c r="S9" s="45"/>
      <c r="T9" s="45"/>
      <c r="U9" s="45"/>
      <c r="V9" s="45"/>
      <c r="W9" s="45"/>
      <c r="X9" s="45"/>
      <c r="Y9" s="45"/>
      <c r="Z9" s="45"/>
    </row>
    <row r="10">
      <c r="A10" s="46" t="s">
        <v>457</v>
      </c>
      <c r="B10" s="47" t="s">
        <v>458</v>
      </c>
      <c r="C10" s="48">
        <f>SUMIF(prototype_helpers!$B$2:$B$295,B10,prototype_helpers!$I$2:$I$295)</f>
        <v>9.355</v>
      </c>
      <c r="D10" s="48">
        <f>SUMIF(prototype_helpers!$B$2:$B$295,B10,prototype_helpers!$J$2:$J$295)</f>
        <v>21.81025</v>
      </c>
      <c r="E10" s="48">
        <f>SUMIF(prototype_helpers!$B$2:$B$295,B10,prototype_helpers!$K$2:$K$295)</f>
        <v>31.3</v>
      </c>
      <c r="F10" s="48">
        <f t="shared" ref="F10:G10" si="10">D10-C10</f>
        <v>12.45525</v>
      </c>
      <c r="G10" s="48">
        <f t="shared" si="10"/>
        <v>9.48975</v>
      </c>
      <c r="H10" s="48">
        <f>SUMIF(archetype_bias!$A$2:$A$15,B10,archetype_bias!$B$2:$B$15)</f>
        <v>-0.3466764286</v>
      </c>
      <c r="I10" s="47" t="b">
        <v>0</v>
      </c>
      <c r="J10" s="48">
        <v>0.474</v>
      </c>
      <c r="K10" s="49">
        <v>1.3369</v>
      </c>
      <c r="L10" s="48">
        <f t="shared" si="3"/>
        <v>0.6336906</v>
      </c>
      <c r="M10" s="45"/>
      <c r="N10" s="45"/>
      <c r="O10" s="45"/>
      <c r="P10" s="45"/>
      <c r="Q10" s="45"/>
      <c r="R10" s="45"/>
      <c r="S10" s="45"/>
      <c r="T10" s="45"/>
      <c r="U10" s="45"/>
      <c r="V10" s="45"/>
      <c r="W10" s="45"/>
      <c r="X10" s="45"/>
      <c r="Y10" s="45"/>
      <c r="Z10" s="45"/>
    </row>
    <row r="11">
      <c r="A11" s="46" t="s">
        <v>459</v>
      </c>
      <c r="B11" s="47" t="s">
        <v>460</v>
      </c>
      <c r="C11" s="48">
        <f>SUMIF(prototype_helpers!$B$2:$B$295,B11,prototype_helpers!$I$2:$I$295)</f>
        <v>8.6</v>
      </c>
      <c r="D11" s="48">
        <f>SUMIF(prototype_helpers!$B$2:$B$295,B11,prototype_helpers!$J$2:$J$295)</f>
        <v>21.443</v>
      </c>
      <c r="E11" s="48">
        <f>SUMIF(prototype_helpers!$B$2:$B$295,B11,prototype_helpers!$K$2:$K$295)</f>
        <v>31.3</v>
      </c>
      <c r="F11" s="48">
        <f t="shared" ref="F11:G11" si="11">D11-C11</f>
        <v>12.843</v>
      </c>
      <c r="G11" s="48">
        <f t="shared" si="11"/>
        <v>9.857</v>
      </c>
      <c r="H11" s="48">
        <f>SUMIF(archetype_bias!$A$2:$A$15,B11,archetype_bias!$B$2:$B$15)</f>
        <v>-0.001536428571</v>
      </c>
      <c r="I11" s="47" t="b">
        <v>0</v>
      </c>
      <c r="J11" s="48">
        <v>1.256</v>
      </c>
      <c r="K11" s="49">
        <v>1.2601</v>
      </c>
      <c r="L11" s="48">
        <f t="shared" si="3"/>
        <v>1.5826856</v>
      </c>
      <c r="M11" s="45"/>
      <c r="N11" s="45"/>
      <c r="O11" s="45"/>
      <c r="P11" s="45"/>
      <c r="Q11" s="45"/>
      <c r="R11" s="45"/>
      <c r="S11" s="45"/>
      <c r="T11" s="45"/>
      <c r="U11" s="45"/>
      <c r="V11" s="45"/>
      <c r="W11" s="45"/>
      <c r="X11" s="45"/>
      <c r="Y11" s="45"/>
      <c r="Z11" s="45"/>
    </row>
    <row r="12">
      <c r="A12" s="46" t="s">
        <v>461</v>
      </c>
      <c r="B12" s="47" t="s">
        <v>462</v>
      </c>
      <c r="C12" s="48">
        <f>SUMIF(prototype_helpers!$B$2:$B$295,B12,prototype_helpers!$I$2:$I$295)</f>
        <v>9.175</v>
      </c>
      <c r="D12" s="48">
        <f>SUMIF(prototype_helpers!$B$2:$B$295,B12,prototype_helpers!$J$2:$J$295)</f>
        <v>21.68875</v>
      </c>
      <c r="E12" s="48">
        <f>SUMIF(prototype_helpers!$B$2:$B$295,B12,prototype_helpers!$K$2:$K$295)</f>
        <v>31.3</v>
      </c>
      <c r="F12" s="48">
        <f t="shared" ref="F12:G12" si="12">D12-C12</f>
        <v>12.51375</v>
      </c>
      <c r="G12" s="48">
        <f t="shared" si="12"/>
        <v>9.61125</v>
      </c>
      <c r="H12" s="48">
        <f>SUMIF(archetype_bias!$A$2:$A$15,B12,archetype_bias!$B$2:$B$15)</f>
        <v>-0.01417642857</v>
      </c>
      <c r="I12" s="47" t="b">
        <v>0</v>
      </c>
      <c r="J12" s="48">
        <v>1.298</v>
      </c>
      <c r="K12" s="49">
        <v>0.6641</v>
      </c>
      <c r="L12" s="48">
        <f t="shared" si="3"/>
        <v>0.8620018</v>
      </c>
      <c r="M12" s="45"/>
      <c r="N12" s="45"/>
      <c r="O12" s="45"/>
      <c r="P12" s="45"/>
      <c r="Q12" s="45"/>
      <c r="R12" s="45"/>
      <c r="S12" s="45"/>
      <c r="T12" s="45"/>
      <c r="U12" s="45"/>
      <c r="V12" s="45"/>
      <c r="W12" s="45"/>
      <c r="X12" s="45"/>
      <c r="Y12" s="45"/>
      <c r="Z12" s="45"/>
    </row>
    <row r="13">
      <c r="A13" s="46" t="s">
        <v>463</v>
      </c>
      <c r="B13" s="47" t="s">
        <v>464</v>
      </c>
      <c r="C13" s="48">
        <f>SUMIF(prototype_helpers!$B$2:$B$295,B13,prototype_helpers!$I$2:$I$295)</f>
        <v>8.266</v>
      </c>
      <c r="D13" s="48">
        <f>SUMIF(prototype_helpers!$B$2:$B$295,B13,prototype_helpers!$J$2:$J$295)</f>
        <v>21.31922</v>
      </c>
      <c r="E13" s="48">
        <f>SUMIF(prototype_helpers!$B$2:$B$295,B13,prototype_helpers!$K$2:$K$295)</f>
        <v>31.3</v>
      </c>
      <c r="F13" s="48">
        <f t="shared" ref="F13:G13" si="13">D13-C13</f>
        <v>13.05322</v>
      </c>
      <c r="G13" s="48">
        <f t="shared" si="13"/>
        <v>9.98078</v>
      </c>
      <c r="H13" s="48">
        <f>SUMIF(archetype_bias!$A$2:$A$15,B13,archetype_bias!$B$2:$B$15)</f>
        <v>0.005073571429</v>
      </c>
      <c r="I13" s="47" t="b">
        <v>0</v>
      </c>
      <c r="J13" s="48">
        <v>1.032</v>
      </c>
      <c r="K13" s="49">
        <v>1.2169</v>
      </c>
      <c r="L13" s="48">
        <f t="shared" si="3"/>
        <v>1.2558408</v>
      </c>
      <c r="M13" s="45"/>
      <c r="N13" s="45"/>
      <c r="O13" s="45"/>
      <c r="P13" s="45"/>
      <c r="Q13" s="45"/>
      <c r="R13" s="45"/>
      <c r="S13" s="45"/>
      <c r="T13" s="45"/>
      <c r="U13" s="45"/>
      <c r="V13" s="45"/>
      <c r="W13" s="45"/>
      <c r="X13" s="45"/>
      <c r="Y13" s="45"/>
      <c r="Z13" s="45"/>
    </row>
    <row r="14">
      <c r="A14" s="46" t="s">
        <v>465</v>
      </c>
      <c r="B14" s="47" t="s">
        <v>466</v>
      </c>
      <c r="C14" s="48">
        <f>SUMIF(prototype_helpers!$B$2:$B$295,B14,prototype_helpers!$I$2:$I$295)</f>
        <v>10.005</v>
      </c>
      <c r="D14" s="48">
        <f>SUMIF(prototype_helpers!$B$2:$B$295,B14,prototype_helpers!$J$2:$J$295)</f>
        <v>22.07525</v>
      </c>
      <c r="E14" s="48">
        <f>SUMIF(prototype_helpers!$B$2:$B$295,B14,prototype_helpers!$K$2:$K$295)</f>
        <v>31.3</v>
      </c>
      <c r="F14" s="48">
        <f t="shared" ref="F14:G14" si="14">D14-C14</f>
        <v>12.07025</v>
      </c>
      <c r="G14" s="48">
        <f t="shared" si="14"/>
        <v>9.22475</v>
      </c>
      <c r="H14" s="48">
        <f>SUMIF(archetype_bias!$A$2:$A$15,B14,archetype_bias!$B$2:$B$15)</f>
        <v>-0.4046764286</v>
      </c>
      <c r="I14" s="47" t="b">
        <v>0</v>
      </c>
      <c r="J14" s="48">
        <v>0.864</v>
      </c>
      <c r="K14" s="49">
        <v>1.0516</v>
      </c>
      <c r="L14" s="48">
        <f t="shared" si="3"/>
        <v>0.9085824</v>
      </c>
      <c r="M14" s="45"/>
      <c r="N14" s="45"/>
      <c r="O14" s="45"/>
      <c r="P14" s="45"/>
      <c r="Q14" s="45"/>
      <c r="R14" s="45"/>
      <c r="S14" s="45"/>
      <c r="T14" s="45"/>
      <c r="U14" s="45"/>
      <c r="V14" s="45"/>
      <c r="W14" s="45"/>
      <c r="X14" s="45"/>
      <c r="Y14" s="45"/>
      <c r="Z14" s="45"/>
    </row>
    <row r="15">
      <c r="A15" s="46" t="s">
        <v>467</v>
      </c>
      <c r="B15" s="47" t="s">
        <v>468</v>
      </c>
      <c r="C15" s="48">
        <f>SUMIF(prototype_helpers!$B$2:$B$295,B15,prototype_helpers!$I$2:$I$295)</f>
        <v>6.265</v>
      </c>
      <c r="D15" s="48">
        <f>SUMIF(prototype_helpers!$B$2:$B$295,B15,prototype_helpers!$J$2:$J$295)</f>
        <v>20.13425</v>
      </c>
      <c r="E15" s="48">
        <f>SUMIF(prototype_helpers!$B$2:$B$295,B15,prototype_helpers!$K$2:$K$295)</f>
        <v>31.3</v>
      </c>
      <c r="F15" s="48">
        <f t="shared" ref="F15:G15" si="15">D15-C15</f>
        <v>13.86925</v>
      </c>
      <c r="G15" s="48">
        <f t="shared" si="15"/>
        <v>11.16575</v>
      </c>
      <c r="H15" s="48">
        <f>SUMIF(archetype_bias!$A$2:$A$15,B15,archetype_bias!$B$2:$B$15)</f>
        <v>1.181573571</v>
      </c>
      <c r="I15" s="47" t="b">
        <v>0</v>
      </c>
      <c r="J15" s="48">
        <v>1.322</v>
      </c>
      <c r="K15" s="49">
        <v>1.5096</v>
      </c>
      <c r="L15" s="48">
        <f t="shared" si="3"/>
        <v>1.9956912</v>
      </c>
      <c r="M15" s="45"/>
      <c r="N15" s="45"/>
      <c r="O15" s="45"/>
      <c r="P15" s="45"/>
      <c r="Q15" s="45"/>
      <c r="R15" s="45"/>
      <c r="S15" s="45"/>
      <c r="T15" s="45"/>
      <c r="U15" s="45"/>
      <c r="V15" s="45"/>
      <c r="W15" s="45"/>
      <c r="X15" s="45"/>
      <c r="Y15" s="45"/>
      <c r="Z15" s="45"/>
    </row>
  </sheetData>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7.75"/>
    <col customWidth="1" min="2" max="2" width="19.88"/>
    <col customWidth="1" min="3" max="3" width="15.38"/>
  </cols>
  <sheetData>
    <row r="1" ht="15.75" customHeight="1">
      <c r="A1" s="50" t="s">
        <v>440</v>
      </c>
      <c r="B1" s="51" t="s">
        <v>486</v>
      </c>
      <c r="C1" s="50"/>
      <c r="D1" s="29"/>
      <c r="E1" s="29"/>
      <c r="F1" s="29"/>
      <c r="G1" s="29"/>
      <c r="H1" s="29"/>
      <c r="I1" s="29"/>
      <c r="J1" s="29"/>
      <c r="K1" s="29"/>
      <c r="L1" s="29"/>
      <c r="M1" s="29"/>
      <c r="N1" s="29"/>
      <c r="O1" s="29"/>
      <c r="P1" s="29"/>
      <c r="Q1" s="29"/>
      <c r="R1" s="29"/>
      <c r="S1" s="29"/>
      <c r="T1" s="29"/>
      <c r="U1" s="29"/>
      <c r="V1" s="29"/>
      <c r="W1" s="29"/>
      <c r="X1" s="29"/>
      <c r="Y1" s="29"/>
      <c r="Z1" s="29"/>
    </row>
    <row r="2" ht="15.75" customHeight="1">
      <c r="A2" s="52" t="s">
        <v>468</v>
      </c>
      <c r="B2" s="53">
        <v>1.18157357142857</v>
      </c>
      <c r="C2" s="52"/>
      <c r="D2" s="4"/>
      <c r="E2" s="4"/>
      <c r="F2" s="4"/>
      <c r="G2" s="4"/>
      <c r="H2" s="4"/>
      <c r="I2" s="4"/>
      <c r="J2" s="4"/>
      <c r="K2" s="4"/>
      <c r="L2" s="4"/>
      <c r="M2" s="4"/>
      <c r="N2" s="4"/>
      <c r="O2" s="4"/>
      <c r="P2" s="4"/>
      <c r="Q2" s="4"/>
      <c r="R2" s="4"/>
      <c r="S2" s="4"/>
      <c r="T2" s="4"/>
      <c r="U2" s="4"/>
      <c r="V2" s="4"/>
      <c r="W2" s="4"/>
      <c r="X2" s="4"/>
      <c r="Y2" s="4"/>
      <c r="Z2" s="4"/>
    </row>
    <row r="3" ht="15.75" customHeight="1">
      <c r="A3" s="52" t="s">
        <v>454</v>
      </c>
      <c r="B3" s="53">
        <v>0.35157357142857</v>
      </c>
      <c r="C3" s="52"/>
      <c r="D3" s="4"/>
      <c r="E3" s="4"/>
      <c r="F3" s="4"/>
      <c r="G3" s="4"/>
      <c r="H3" s="4"/>
      <c r="I3" s="4"/>
      <c r="J3" s="4"/>
      <c r="K3" s="4"/>
      <c r="L3" s="4"/>
      <c r="M3" s="4"/>
      <c r="N3" s="4"/>
      <c r="O3" s="4"/>
      <c r="P3" s="4"/>
      <c r="Q3" s="4"/>
      <c r="R3" s="4"/>
      <c r="S3" s="4"/>
      <c r="T3" s="4"/>
      <c r="U3" s="4"/>
      <c r="V3" s="4"/>
      <c r="W3" s="4"/>
      <c r="X3" s="4"/>
      <c r="Y3" s="4"/>
      <c r="Z3" s="4"/>
    </row>
    <row r="4" ht="15.75" customHeight="1">
      <c r="A4" s="52" t="s">
        <v>450</v>
      </c>
      <c r="B4" s="53">
        <v>0.332823571428573</v>
      </c>
      <c r="C4" s="52"/>
      <c r="D4" s="4"/>
      <c r="E4" s="4"/>
      <c r="F4" s="4"/>
      <c r="G4" s="4"/>
      <c r="H4" s="4"/>
      <c r="I4" s="4"/>
      <c r="J4" s="4"/>
      <c r="K4" s="4"/>
      <c r="L4" s="4"/>
      <c r="M4" s="4"/>
      <c r="N4" s="4"/>
      <c r="O4" s="4"/>
      <c r="P4" s="4"/>
      <c r="Q4" s="4"/>
      <c r="R4" s="4"/>
      <c r="S4" s="4"/>
      <c r="T4" s="4"/>
      <c r="U4" s="4"/>
      <c r="V4" s="4"/>
      <c r="W4" s="4"/>
      <c r="X4" s="4"/>
      <c r="Y4" s="4"/>
      <c r="Z4" s="4"/>
    </row>
    <row r="5" ht="15.75" customHeight="1">
      <c r="A5" s="52" t="s">
        <v>456</v>
      </c>
      <c r="B5" s="53">
        <v>0.274323571428571</v>
      </c>
      <c r="C5" s="52"/>
      <c r="D5" s="4"/>
      <c r="E5" s="4"/>
      <c r="F5" s="4"/>
      <c r="G5" s="4"/>
      <c r="H5" s="4"/>
      <c r="I5" s="4"/>
      <c r="J5" s="4"/>
      <c r="K5" s="4"/>
      <c r="L5" s="4"/>
      <c r="M5" s="4"/>
      <c r="N5" s="4"/>
      <c r="O5" s="4"/>
      <c r="P5" s="4"/>
      <c r="Q5" s="4"/>
      <c r="R5" s="4"/>
      <c r="S5" s="4"/>
      <c r="T5" s="4"/>
      <c r="U5" s="4"/>
      <c r="V5" s="4"/>
      <c r="W5" s="4"/>
      <c r="X5" s="4"/>
      <c r="Y5" s="4"/>
      <c r="Z5" s="4"/>
    </row>
    <row r="6" ht="15.75" customHeight="1">
      <c r="A6" s="52" t="s">
        <v>444</v>
      </c>
      <c r="B6" s="53">
        <v>0.067073571428569</v>
      </c>
      <c r="C6" s="52"/>
      <c r="D6" s="4"/>
      <c r="E6" s="4"/>
      <c r="F6" s="4"/>
      <c r="G6" s="4"/>
      <c r="H6" s="4"/>
      <c r="I6" s="4"/>
      <c r="J6" s="4"/>
      <c r="K6" s="4"/>
      <c r="L6" s="4"/>
      <c r="M6" s="4"/>
      <c r="N6" s="4"/>
      <c r="O6" s="4"/>
      <c r="P6" s="4"/>
      <c r="Q6" s="4"/>
      <c r="R6" s="4"/>
      <c r="S6" s="4"/>
      <c r="T6" s="4"/>
      <c r="U6" s="4"/>
      <c r="V6" s="4"/>
      <c r="W6" s="4"/>
      <c r="X6" s="4"/>
      <c r="Y6" s="4"/>
      <c r="Z6" s="4"/>
    </row>
    <row r="7" ht="15.75" customHeight="1">
      <c r="A7" s="52" t="s">
        <v>464</v>
      </c>
      <c r="B7" s="53">
        <v>0.005073571428571</v>
      </c>
      <c r="C7" s="52"/>
      <c r="D7" s="4"/>
      <c r="E7" s="4"/>
      <c r="F7" s="4"/>
      <c r="G7" s="4"/>
      <c r="H7" s="4"/>
      <c r="I7" s="4"/>
      <c r="J7" s="4"/>
      <c r="K7" s="4"/>
      <c r="L7" s="4"/>
      <c r="M7" s="4"/>
      <c r="N7" s="4"/>
      <c r="O7" s="4"/>
      <c r="P7" s="4"/>
      <c r="Q7" s="4"/>
      <c r="R7" s="4"/>
      <c r="S7" s="4"/>
      <c r="T7" s="4"/>
      <c r="U7" s="4"/>
      <c r="V7" s="4"/>
      <c r="W7" s="4"/>
      <c r="X7" s="4"/>
      <c r="Y7" s="4"/>
      <c r="Z7" s="4"/>
    </row>
    <row r="8" ht="15.75" customHeight="1">
      <c r="A8" s="52" t="s">
        <v>460</v>
      </c>
      <c r="B8" s="53">
        <v>-0.001536428571431</v>
      </c>
      <c r="C8" s="52"/>
      <c r="D8" s="4"/>
      <c r="E8" s="4"/>
      <c r="F8" s="4"/>
      <c r="G8" s="4"/>
      <c r="H8" s="4"/>
      <c r="I8" s="4"/>
      <c r="J8" s="4"/>
      <c r="K8" s="4"/>
      <c r="L8" s="4"/>
      <c r="M8" s="4"/>
      <c r="N8" s="4"/>
      <c r="O8" s="4"/>
      <c r="P8" s="4"/>
      <c r="Q8" s="4"/>
      <c r="R8" s="4"/>
      <c r="S8" s="4"/>
      <c r="T8" s="4"/>
      <c r="U8" s="4"/>
      <c r="V8" s="4"/>
      <c r="W8" s="4"/>
      <c r="X8" s="4"/>
      <c r="Y8" s="4"/>
      <c r="Z8" s="4"/>
    </row>
    <row r="9" ht="15.75" customHeight="1">
      <c r="A9" s="52" t="s">
        <v>462</v>
      </c>
      <c r="B9" s="53">
        <v>-0.014176428571428</v>
      </c>
      <c r="C9" s="52"/>
      <c r="D9" s="4"/>
      <c r="E9" s="4"/>
      <c r="F9" s="4"/>
      <c r="G9" s="4"/>
      <c r="H9" s="4"/>
      <c r="I9" s="4"/>
      <c r="J9" s="4"/>
      <c r="K9" s="4"/>
      <c r="L9" s="4"/>
      <c r="M9" s="4"/>
      <c r="N9" s="4"/>
      <c r="O9" s="4"/>
      <c r="P9" s="4"/>
      <c r="Q9" s="4"/>
      <c r="R9" s="4"/>
      <c r="S9" s="4"/>
      <c r="T9" s="4"/>
      <c r="U9" s="4"/>
      <c r="V9" s="4"/>
      <c r="W9" s="4"/>
      <c r="X9" s="4"/>
      <c r="Y9" s="4"/>
      <c r="Z9" s="4"/>
    </row>
    <row r="10" ht="15.75" customHeight="1">
      <c r="A10" s="52" t="s">
        <v>446</v>
      </c>
      <c r="B10" s="53">
        <v>-0.058096428571432</v>
      </c>
      <c r="C10" s="52"/>
      <c r="D10" s="4"/>
      <c r="E10" s="4"/>
      <c r="F10" s="4"/>
      <c r="G10" s="4"/>
      <c r="H10" s="4"/>
      <c r="I10" s="4"/>
      <c r="J10" s="4"/>
      <c r="K10" s="4"/>
      <c r="L10" s="4"/>
      <c r="M10" s="4"/>
      <c r="N10" s="4"/>
      <c r="O10" s="4"/>
      <c r="P10" s="4"/>
      <c r="Q10" s="4"/>
      <c r="R10" s="4"/>
      <c r="S10" s="4"/>
      <c r="T10" s="4"/>
      <c r="U10" s="4"/>
      <c r="V10" s="4"/>
      <c r="W10" s="4"/>
      <c r="X10" s="4"/>
      <c r="Y10" s="4"/>
      <c r="Z10" s="4"/>
    </row>
    <row r="11" ht="15.75" customHeight="1">
      <c r="A11" s="52" t="s">
        <v>448</v>
      </c>
      <c r="B11" s="53">
        <v>-0.109426428571428</v>
      </c>
      <c r="C11" s="52"/>
      <c r="D11" s="4"/>
      <c r="E11" s="4"/>
      <c r="F11" s="4"/>
      <c r="G11" s="4"/>
      <c r="H11" s="4"/>
      <c r="I11" s="4"/>
      <c r="J11" s="4"/>
      <c r="K11" s="4"/>
      <c r="L11" s="4"/>
      <c r="M11" s="4"/>
      <c r="N11" s="4"/>
      <c r="O11" s="4"/>
      <c r="P11" s="4"/>
      <c r="Q11" s="4"/>
      <c r="R11" s="4"/>
      <c r="S11" s="4"/>
      <c r="T11" s="4"/>
      <c r="U11" s="4"/>
      <c r="V11" s="4"/>
      <c r="W11" s="4"/>
      <c r="X11" s="4"/>
      <c r="Y11" s="4"/>
      <c r="Z11" s="4"/>
    </row>
    <row r="12" ht="15.75" customHeight="1">
      <c r="A12" s="52" t="s">
        <v>442</v>
      </c>
      <c r="B12" s="53">
        <v>-0.333176428571431</v>
      </c>
      <c r="C12" s="52"/>
      <c r="D12" s="4"/>
      <c r="E12" s="4"/>
      <c r="F12" s="4"/>
      <c r="G12" s="4"/>
      <c r="H12" s="4"/>
      <c r="I12" s="4"/>
      <c r="J12" s="4"/>
      <c r="K12" s="4"/>
      <c r="L12" s="4"/>
      <c r="M12" s="4"/>
      <c r="N12" s="4"/>
      <c r="O12" s="4"/>
      <c r="P12" s="4"/>
      <c r="Q12" s="4"/>
      <c r="R12" s="4"/>
      <c r="S12" s="4"/>
      <c r="T12" s="4"/>
      <c r="U12" s="4"/>
      <c r="V12" s="4"/>
      <c r="W12" s="4"/>
      <c r="X12" s="4"/>
      <c r="Y12" s="4"/>
      <c r="Z12" s="4"/>
    </row>
    <row r="13" ht="15.75" customHeight="1">
      <c r="A13" s="52" t="s">
        <v>458</v>
      </c>
      <c r="B13" s="53">
        <v>-0.346676428571431</v>
      </c>
      <c r="C13" s="52"/>
      <c r="D13" s="4"/>
      <c r="E13" s="4"/>
      <c r="F13" s="4"/>
      <c r="G13" s="4"/>
      <c r="H13" s="4"/>
      <c r="I13" s="4"/>
      <c r="J13" s="4"/>
      <c r="K13" s="4"/>
      <c r="L13" s="4"/>
      <c r="M13" s="4"/>
      <c r="N13" s="4"/>
      <c r="O13" s="4"/>
      <c r="P13" s="4"/>
      <c r="Q13" s="4"/>
      <c r="R13" s="4"/>
      <c r="S13" s="4"/>
      <c r="T13" s="4"/>
      <c r="U13" s="4"/>
      <c r="V13" s="4"/>
      <c r="W13" s="4"/>
      <c r="X13" s="4"/>
      <c r="Y13" s="4"/>
      <c r="Z13" s="4"/>
    </row>
    <row r="14" ht="15.75" customHeight="1">
      <c r="A14" s="52" t="s">
        <v>466</v>
      </c>
      <c r="B14" s="53">
        <v>-0.404676428571431</v>
      </c>
      <c r="C14" s="52"/>
      <c r="D14" s="4"/>
      <c r="E14" s="4"/>
      <c r="F14" s="4"/>
      <c r="G14" s="4"/>
      <c r="H14" s="4"/>
      <c r="I14" s="4"/>
      <c r="J14" s="4"/>
      <c r="K14" s="4"/>
      <c r="L14" s="4"/>
      <c r="M14" s="4"/>
      <c r="N14" s="4"/>
      <c r="O14" s="4"/>
      <c r="P14" s="4"/>
      <c r="Q14" s="4"/>
      <c r="R14" s="4"/>
      <c r="S14" s="4"/>
      <c r="T14" s="4"/>
      <c r="U14" s="4"/>
      <c r="V14" s="4"/>
      <c r="W14" s="4"/>
      <c r="X14" s="4"/>
      <c r="Y14" s="4"/>
      <c r="Z14" s="4"/>
    </row>
    <row r="15" ht="15.75" customHeight="1">
      <c r="A15" s="52" t="s">
        <v>452</v>
      </c>
      <c r="B15" s="53">
        <v>-0.944676428571437</v>
      </c>
      <c r="C15" s="52"/>
      <c r="D15" s="4"/>
      <c r="E15" s="4"/>
      <c r="F15" s="4"/>
      <c r="G15" s="4"/>
      <c r="H15" s="4"/>
      <c r="I15" s="4"/>
      <c r="J15" s="4"/>
      <c r="K15" s="4"/>
      <c r="L15" s="4"/>
      <c r="M15" s="4"/>
      <c r="N15" s="4"/>
      <c r="O15" s="4"/>
      <c r="P15" s="4"/>
      <c r="Q15" s="4"/>
      <c r="R15" s="4"/>
      <c r="S15" s="4"/>
      <c r="T15" s="4"/>
      <c r="U15" s="4"/>
      <c r="V15" s="4"/>
      <c r="W15" s="4"/>
      <c r="X15" s="4"/>
      <c r="Y15" s="4"/>
      <c r="Z15" s="4"/>
    </row>
  </sheetData>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6.5"/>
    <col customWidth="1" min="2" max="2" width="10.38"/>
    <col customWidth="1" min="3" max="3" width="19.13"/>
    <col customWidth="1" min="4" max="4" width="25.88"/>
    <col customWidth="1" min="5" max="5" width="18.75"/>
    <col customWidth="1" min="6" max="6" width="9.38"/>
  </cols>
  <sheetData>
    <row r="1" ht="15.75" customHeight="1">
      <c r="A1" s="54" t="s">
        <v>487</v>
      </c>
      <c r="B1" s="54" t="s">
        <v>488</v>
      </c>
      <c r="C1" s="55" t="s">
        <v>489</v>
      </c>
      <c r="D1" s="55" t="s">
        <v>490</v>
      </c>
      <c r="E1" s="55" t="s">
        <v>440</v>
      </c>
      <c r="F1" s="56" t="s">
        <v>491</v>
      </c>
      <c r="G1" s="57"/>
      <c r="H1" s="57"/>
      <c r="I1" s="57"/>
      <c r="J1" s="57"/>
      <c r="K1" s="57"/>
      <c r="L1" s="57"/>
      <c r="M1" s="57"/>
      <c r="N1" s="57"/>
      <c r="O1" s="57"/>
      <c r="P1" s="57"/>
      <c r="Q1" s="57"/>
      <c r="R1" s="57"/>
      <c r="S1" s="57"/>
      <c r="T1" s="57"/>
      <c r="U1" s="57"/>
      <c r="V1" s="57"/>
      <c r="W1" s="57"/>
    </row>
    <row r="2" ht="15.75" customHeight="1">
      <c r="A2" s="31" t="s">
        <v>431</v>
      </c>
      <c r="B2" s="58" t="s">
        <v>16</v>
      </c>
      <c r="C2" s="59" t="s">
        <v>492</v>
      </c>
      <c r="D2" s="59" t="s">
        <v>493</v>
      </c>
      <c r="E2" s="59" t="s">
        <v>442</v>
      </c>
      <c r="F2" s="60">
        <v>0.4</v>
      </c>
      <c r="G2" s="61"/>
      <c r="H2" s="61"/>
      <c r="I2" s="61"/>
      <c r="J2" s="61"/>
      <c r="K2" s="61"/>
      <c r="L2" s="61"/>
      <c r="M2" s="61"/>
      <c r="N2" s="61"/>
      <c r="O2" s="61"/>
      <c r="P2" s="61"/>
      <c r="Q2" s="61"/>
      <c r="R2" s="61"/>
      <c r="S2" s="61"/>
      <c r="T2" s="61"/>
      <c r="U2" s="61"/>
      <c r="V2" s="61"/>
      <c r="W2" s="61"/>
    </row>
    <row r="3" ht="15.75" customHeight="1">
      <c r="A3" s="31" t="s">
        <v>443</v>
      </c>
      <c r="B3" s="58" t="s">
        <v>16</v>
      </c>
      <c r="C3" s="59" t="s">
        <v>492</v>
      </c>
      <c r="D3" s="59" t="s">
        <v>493</v>
      </c>
      <c r="E3" s="59" t="s">
        <v>454</v>
      </c>
      <c r="F3" s="60">
        <v>0.2</v>
      </c>
      <c r="G3" s="61"/>
      <c r="H3" s="61"/>
      <c r="I3" s="61"/>
      <c r="J3" s="61"/>
      <c r="K3" s="61"/>
      <c r="L3" s="61"/>
      <c r="M3" s="61"/>
      <c r="N3" s="61"/>
      <c r="O3" s="61"/>
      <c r="P3" s="61"/>
      <c r="Q3" s="61"/>
      <c r="R3" s="61"/>
      <c r="S3" s="61"/>
      <c r="T3" s="61"/>
      <c r="U3" s="61"/>
      <c r="V3" s="61"/>
      <c r="W3" s="61"/>
    </row>
    <row r="4" ht="15.75" customHeight="1">
      <c r="A4" s="31" t="s">
        <v>445</v>
      </c>
      <c r="B4" s="58" t="s">
        <v>16</v>
      </c>
      <c r="C4" s="59" t="s">
        <v>492</v>
      </c>
      <c r="D4" s="59" t="s">
        <v>493</v>
      </c>
      <c r="E4" s="59" t="s">
        <v>464</v>
      </c>
      <c r="F4" s="60">
        <v>0.3</v>
      </c>
      <c r="G4" s="61"/>
      <c r="H4" s="61"/>
      <c r="I4" s="61"/>
      <c r="J4" s="61"/>
      <c r="K4" s="61"/>
      <c r="L4" s="61"/>
      <c r="M4" s="61"/>
      <c r="N4" s="61"/>
      <c r="O4" s="61"/>
      <c r="P4" s="61"/>
      <c r="Q4" s="61"/>
      <c r="R4" s="61"/>
      <c r="S4" s="61"/>
      <c r="T4" s="61"/>
      <c r="U4" s="61"/>
      <c r="V4" s="61"/>
      <c r="W4" s="61"/>
    </row>
    <row r="5" ht="15.75" customHeight="1">
      <c r="A5" s="31" t="s">
        <v>447</v>
      </c>
      <c r="B5" s="58" t="s">
        <v>16</v>
      </c>
      <c r="C5" s="59" t="s">
        <v>492</v>
      </c>
      <c r="D5" s="59" t="s">
        <v>493</v>
      </c>
      <c r="E5" s="59" t="s">
        <v>468</v>
      </c>
      <c r="F5" s="60">
        <v>0.6</v>
      </c>
      <c r="G5" s="61"/>
      <c r="H5" s="61"/>
      <c r="I5" s="61"/>
      <c r="J5" s="61"/>
      <c r="K5" s="61"/>
      <c r="L5" s="61"/>
      <c r="M5" s="61"/>
      <c r="N5" s="61"/>
      <c r="O5" s="61"/>
      <c r="P5" s="61"/>
      <c r="Q5" s="61"/>
      <c r="R5" s="61"/>
      <c r="S5" s="61"/>
      <c r="T5" s="61"/>
      <c r="U5" s="61"/>
      <c r="V5" s="61"/>
      <c r="W5" s="61"/>
    </row>
    <row r="6" ht="15.75" customHeight="1">
      <c r="A6" s="31" t="s">
        <v>449</v>
      </c>
      <c r="B6" s="58" t="s">
        <v>16</v>
      </c>
      <c r="C6" s="59" t="s">
        <v>494</v>
      </c>
      <c r="D6" s="59" t="s">
        <v>495</v>
      </c>
      <c r="E6" s="59" t="s">
        <v>446</v>
      </c>
      <c r="F6" s="60">
        <v>0.4</v>
      </c>
      <c r="G6" s="61"/>
      <c r="H6" s="61"/>
      <c r="I6" s="61"/>
      <c r="J6" s="61"/>
      <c r="K6" s="61"/>
      <c r="L6" s="61"/>
      <c r="M6" s="61"/>
      <c r="N6" s="61"/>
      <c r="O6" s="61"/>
      <c r="P6" s="61"/>
      <c r="Q6" s="61"/>
      <c r="R6" s="61"/>
      <c r="S6" s="61"/>
      <c r="T6" s="61"/>
      <c r="U6" s="61"/>
      <c r="V6" s="61"/>
      <c r="W6" s="61"/>
    </row>
    <row r="7" ht="15.75" customHeight="1">
      <c r="A7" s="31" t="s">
        <v>451</v>
      </c>
      <c r="B7" s="58" t="s">
        <v>16</v>
      </c>
      <c r="C7" s="59" t="s">
        <v>494</v>
      </c>
      <c r="D7" s="59" t="s">
        <v>495</v>
      </c>
      <c r="E7" s="59" t="s">
        <v>456</v>
      </c>
      <c r="F7" s="60">
        <v>0.4</v>
      </c>
      <c r="G7" s="61"/>
      <c r="H7" s="61"/>
      <c r="I7" s="61"/>
      <c r="J7" s="61"/>
      <c r="K7" s="61"/>
      <c r="L7" s="61"/>
      <c r="M7" s="61"/>
      <c r="N7" s="61"/>
      <c r="O7" s="61"/>
      <c r="P7" s="61"/>
      <c r="Q7" s="61"/>
      <c r="R7" s="61"/>
      <c r="S7" s="61"/>
      <c r="T7" s="61"/>
      <c r="U7" s="61"/>
      <c r="V7" s="61"/>
      <c r="W7" s="61"/>
    </row>
    <row r="8" ht="15.75" customHeight="1">
      <c r="A8" s="31" t="s">
        <v>453</v>
      </c>
      <c r="B8" s="58" t="s">
        <v>16</v>
      </c>
      <c r="C8" s="59" t="s">
        <v>494</v>
      </c>
      <c r="D8" s="59" t="s">
        <v>495</v>
      </c>
      <c r="E8" s="59" t="s">
        <v>462</v>
      </c>
      <c r="F8" s="60">
        <v>0.3</v>
      </c>
      <c r="G8" s="61"/>
      <c r="H8" s="61"/>
      <c r="I8" s="61"/>
      <c r="J8" s="61"/>
      <c r="K8" s="61"/>
      <c r="L8" s="61"/>
      <c r="M8" s="61"/>
      <c r="N8" s="61"/>
      <c r="O8" s="61"/>
      <c r="P8" s="61"/>
      <c r="Q8" s="61"/>
      <c r="R8" s="61"/>
      <c r="S8" s="61"/>
      <c r="T8" s="61"/>
      <c r="U8" s="61"/>
      <c r="V8" s="61"/>
      <c r="W8" s="61"/>
    </row>
    <row r="9" ht="15.75" customHeight="1">
      <c r="A9" s="31" t="s">
        <v>455</v>
      </c>
      <c r="B9" s="58" t="s">
        <v>16</v>
      </c>
      <c r="C9" s="59" t="s">
        <v>494</v>
      </c>
      <c r="D9" s="59" t="s">
        <v>495</v>
      </c>
      <c r="E9" s="59" t="s">
        <v>468</v>
      </c>
      <c r="F9" s="60">
        <v>0.3</v>
      </c>
      <c r="G9" s="61"/>
      <c r="H9" s="61"/>
      <c r="I9" s="61"/>
      <c r="J9" s="61"/>
      <c r="K9" s="61"/>
      <c r="L9" s="61"/>
      <c r="M9" s="61"/>
      <c r="N9" s="61"/>
      <c r="O9" s="61"/>
      <c r="P9" s="61"/>
      <c r="Q9" s="61"/>
      <c r="R9" s="61"/>
      <c r="S9" s="61"/>
      <c r="T9" s="61"/>
      <c r="U9" s="61"/>
      <c r="V9" s="61"/>
      <c r="W9" s="61"/>
    </row>
    <row r="10" ht="15.75" customHeight="1">
      <c r="A10" s="31" t="s">
        <v>457</v>
      </c>
      <c r="B10" s="58" t="s">
        <v>16</v>
      </c>
      <c r="C10" s="59" t="s">
        <v>496</v>
      </c>
      <c r="D10" s="59" t="s">
        <v>497</v>
      </c>
      <c r="E10" s="59" t="s">
        <v>442</v>
      </c>
      <c r="F10" s="60">
        <v>0.2</v>
      </c>
      <c r="G10" s="61"/>
      <c r="H10" s="61"/>
      <c r="I10" s="61"/>
      <c r="J10" s="61"/>
      <c r="K10" s="61"/>
      <c r="L10" s="61"/>
      <c r="M10" s="61"/>
      <c r="N10" s="61"/>
      <c r="O10" s="61"/>
      <c r="P10" s="61"/>
      <c r="Q10" s="61"/>
      <c r="R10" s="61"/>
      <c r="S10" s="61"/>
      <c r="T10" s="61"/>
      <c r="U10" s="61"/>
      <c r="V10" s="61"/>
      <c r="W10" s="61"/>
    </row>
    <row r="11" ht="15.75" customHeight="1">
      <c r="A11" s="31" t="s">
        <v>459</v>
      </c>
      <c r="B11" s="58" t="s">
        <v>16</v>
      </c>
      <c r="C11" s="59" t="s">
        <v>496</v>
      </c>
      <c r="D11" s="59" t="s">
        <v>497</v>
      </c>
      <c r="E11" s="59" t="s">
        <v>444</v>
      </c>
      <c r="F11" s="60">
        <v>0.3</v>
      </c>
      <c r="G11" s="61"/>
      <c r="H11" s="61"/>
      <c r="I11" s="61"/>
      <c r="J11" s="61"/>
      <c r="K11" s="61"/>
      <c r="L11" s="61"/>
      <c r="M11" s="61"/>
      <c r="N11" s="61"/>
      <c r="O11" s="61"/>
      <c r="P11" s="61"/>
      <c r="Q11" s="61"/>
      <c r="R11" s="61"/>
      <c r="S11" s="61"/>
      <c r="T11" s="61"/>
      <c r="U11" s="61"/>
      <c r="V11" s="61"/>
      <c r="W11" s="61"/>
    </row>
    <row r="12" ht="15.75" customHeight="1">
      <c r="A12" s="31" t="s">
        <v>461</v>
      </c>
      <c r="B12" s="58" t="s">
        <v>16</v>
      </c>
      <c r="C12" s="59" t="s">
        <v>496</v>
      </c>
      <c r="D12" s="59" t="s">
        <v>497</v>
      </c>
      <c r="E12" s="59" t="s">
        <v>448</v>
      </c>
      <c r="F12" s="60">
        <v>0.2</v>
      </c>
      <c r="G12" s="61"/>
      <c r="H12" s="61"/>
      <c r="I12" s="61"/>
      <c r="J12" s="61"/>
      <c r="K12" s="61"/>
      <c r="L12" s="61"/>
      <c r="M12" s="61"/>
      <c r="N12" s="61"/>
      <c r="O12" s="61"/>
      <c r="P12" s="61"/>
      <c r="Q12" s="61"/>
      <c r="R12" s="61"/>
      <c r="S12" s="61"/>
      <c r="T12" s="61"/>
      <c r="U12" s="61"/>
      <c r="V12" s="61"/>
      <c r="W12" s="61"/>
    </row>
    <row r="13" ht="15.75" customHeight="1">
      <c r="A13" s="31" t="s">
        <v>463</v>
      </c>
      <c r="B13" s="58" t="s">
        <v>16</v>
      </c>
      <c r="C13" s="59" t="s">
        <v>496</v>
      </c>
      <c r="D13" s="59" t="s">
        <v>497</v>
      </c>
      <c r="E13" s="62" t="s">
        <v>460</v>
      </c>
      <c r="F13" s="60">
        <v>0.3</v>
      </c>
      <c r="G13" s="61"/>
      <c r="H13" s="61"/>
      <c r="I13" s="61"/>
      <c r="J13" s="61"/>
      <c r="K13" s="61"/>
      <c r="L13" s="61"/>
      <c r="M13" s="61"/>
      <c r="N13" s="61"/>
      <c r="O13" s="61"/>
      <c r="P13" s="61"/>
      <c r="Q13" s="61"/>
      <c r="R13" s="61"/>
      <c r="S13" s="61"/>
      <c r="T13" s="61"/>
      <c r="U13" s="61"/>
      <c r="V13" s="61"/>
      <c r="W13" s="61"/>
    </row>
    <row r="14" ht="15.75" customHeight="1">
      <c r="A14" s="31" t="s">
        <v>465</v>
      </c>
      <c r="B14" s="58" t="s">
        <v>16</v>
      </c>
      <c r="C14" s="59" t="s">
        <v>496</v>
      </c>
      <c r="D14" s="59" t="s">
        <v>497</v>
      </c>
      <c r="E14" s="62" t="s">
        <v>462</v>
      </c>
      <c r="F14" s="63">
        <v>0.3</v>
      </c>
      <c r="G14" s="61"/>
      <c r="H14" s="61"/>
      <c r="I14" s="61"/>
      <c r="J14" s="61"/>
      <c r="K14" s="61"/>
      <c r="L14" s="61"/>
      <c r="M14" s="61"/>
      <c r="N14" s="61"/>
      <c r="O14" s="61"/>
      <c r="P14" s="61"/>
      <c r="Q14" s="61"/>
      <c r="R14" s="61"/>
      <c r="S14" s="61"/>
      <c r="T14" s="61"/>
      <c r="U14" s="61"/>
      <c r="V14" s="61"/>
      <c r="W14" s="61"/>
    </row>
    <row r="15" ht="15.75" customHeight="1">
      <c r="A15" s="31" t="s">
        <v>467</v>
      </c>
      <c r="B15" s="58" t="s">
        <v>16</v>
      </c>
      <c r="C15" s="59" t="s">
        <v>498</v>
      </c>
      <c r="D15" s="59" t="s">
        <v>499</v>
      </c>
      <c r="E15" s="59" t="s">
        <v>452</v>
      </c>
      <c r="F15" s="60">
        <v>0.5</v>
      </c>
      <c r="G15" s="61"/>
      <c r="H15" s="61"/>
      <c r="I15" s="61"/>
      <c r="J15" s="61"/>
      <c r="K15" s="61"/>
      <c r="L15" s="61"/>
      <c r="M15" s="61"/>
      <c r="N15" s="61"/>
      <c r="O15" s="61"/>
      <c r="P15" s="61"/>
      <c r="Q15" s="61"/>
      <c r="R15" s="61"/>
      <c r="S15" s="61"/>
      <c r="T15" s="61"/>
      <c r="U15" s="61"/>
      <c r="V15" s="61"/>
      <c r="W15" s="61"/>
    </row>
    <row r="16" ht="15.75" customHeight="1">
      <c r="A16" s="31" t="s">
        <v>500</v>
      </c>
      <c r="B16" s="58" t="s">
        <v>16</v>
      </c>
      <c r="C16" s="59" t="s">
        <v>498</v>
      </c>
      <c r="D16" s="59" t="s">
        <v>499</v>
      </c>
      <c r="E16" s="62" t="s">
        <v>458</v>
      </c>
      <c r="F16" s="63">
        <v>0.3</v>
      </c>
      <c r="G16" s="61"/>
      <c r="H16" s="61"/>
      <c r="I16" s="61"/>
      <c r="J16" s="61"/>
      <c r="K16" s="61"/>
      <c r="L16" s="61"/>
      <c r="M16" s="61"/>
      <c r="N16" s="61"/>
      <c r="O16" s="61"/>
      <c r="P16" s="61"/>
      <c r="Q16" s="61"/>
      <c r="R16" s="61"/>
      <c r="S16" s="61"/>
      <c r="T16" s="61"/>
      <c r="U16" s="61"/>
      <c r="V16" s="61"/>
      <c r="W16" s="61"/>
    </row>
    <row r="17" ht="15.75" customHeight="1">
      <c r="A17" s="31" t="s">
        <v>501</v>
      </c>
      <c r="B17" s="58" t="s">
        <v>16</v>
      </c>
      <c r="C17" s="59" t="s">
        <v>498</v>
      </c>
      <c r="D17" s="59" t="s">
        <v>499</v>
      </c>
      <c r="E17" s="62" t="s">
        <v>466</v>
      </c>
      <c r="F17" s="63">
        <v>0.3</v>
      </c>
      <c r="G17" s="61"/>
      <c r="H17" s="61"/>
      <c r="I17" s="61"/>
      <c r="J17" s="61"/>
      <c r="K17" s="61"/>
      <c r="L17" s="61"/>
      <c r="M17" s="61"/>
      <c r="N17" s="61"/>
      <c r="O17" s="61"/>
      <c r="P17" s="61"/>
      <c r="Q17" s="61"/>
      <c r="R17" s="61"/>
      <c r="S17" s="61"/>
      <c r="T17" s="61"/>
      <c r="U17" s="61"/>
      <c r="V17" s="61"/>
      <c r="W17" s="61"/>
    </row>
    <row r="18" ht="15.75" customHeight="1">
      <c r="A18" s="31" t="s">
        <v>502</v>
      </c>
      <c r="B18" s="58" t="s">
        <v>16</v>
      </c>
      <c r="C18" s="59" t="s">
        <v>503</v>
      </c>
      <c r="D18" s="59" t="s">
        <v>504</v>
      </c>
      <c r="E18" s="59" t="s">
        <v>442</v>
      </c>
      <c r="F18" s="60">
        <v>0.3</v>
      </c>
      <c r="G18" s="61"/>
      <c r="H18" s="61"/>
      <c r="I18" s="61"/>
      <c r="J18" s="61"/>
      <c r="K18" s="61"/>
      <c r="L18" s="61"/>
      <c r="M18" s="61"/>
      <c r="N18" s="61"/>
      <c r="O18" s="61"/>
      <c r="P18" s="61"/>
      <c r="Q18" s="61"/>
      <c r="R18" s="61"/>
      <c r="S18" s="61"/>
      <c r="T18" s="61"/>
      <c r="U18" s="61"/>
      <c r="V18" s="61"/>
      <c r="W18" s="61"/>
    </row>
    <row r="19" ht="15.75" customHeight="1">
      <c r="A19" s="31" t="s">
        <v>505</v>
      </c>
      <c r="B19" s="58" t="s">
        <v>16</v>
      </c>
      <c r="C19" s="59" t="s">
        <v>503</v>
      </c>
      <c r="D19" s="59" t="s">
        <v>504</v>
      </c>
      <c r="E19" s="59" t="s">
        <v>450</v>
      </c>
      <c r="F19" s="60">
        <v>0.4</v>
      </c>
      <c r="G19" s="61"/>
      <c r="H19" s="61"/>
      <c r="I19" s="61"/>
      <c r="J19" s="61"/>
      <c r="K19" s="61"/>
      <c r="L19" s="61"/>
      <c r="M19" s="61"/>
      <c r="N19" s="61"/>
      <c r="O19" s="61"/>
      <c r="P19" s="61"/>
      <c r="Q19" s="61"/>
      <c r="R19" s="61"/>
      <c r="S19" s="61"/>
      <c r="T19" s="61"/>
      <c r="U19" s="61"/>
      <c r="V19" s="61"/>
      <c r="W19" s="61"/>
    </row>
    <row r="20" ht="15.75" customHeight="1">
      <c r="A20" s="31" t="s">
        <v>506</v>
      </c>
      <c r="B20" s="58" t="s">
        <v>16</v>
      </c>
      <c r="C20" s="59" t="s">
        <v>503</v>
      </c>
      <c r="D20" s="59" t="s">
        <v>504</v>
      </c>
      <c r="E20" s="59" t="s">
        <v>464</v>
      </c>
      <c r="F20" s="60">
        <v>0.3</v>
      </c>
      <c r="G20" s="61"/>
      <c r="H20" s="61"/>
      <c r="I20" s="61"/>
      <c r="J20" s="61"/>
      <c r="K20" s="61"/>
      <c r="L20" s="61"/>
      <c r="M20" s="61"/>
      <c r="N20" s="61"/>
      <c r="O20" s="61"/>
      <c r="P20" s="61"/>
      <c r="Q20" s="61"/>
      <c r="R20" s="61"/>
      <c r="S20" s="61"/>
      <c r="T20" s="61"/>
      <c r="U20" s="61"/>
      <c r="V20" s="61"/>
      <c r="W20" s="61"/>
    </row>
    <row r="21" ht="15.75" customHeight="1">
      <c r="A21" s="31" t="s">
        <v>507</v>
      </c>
      <c r="B21" s="58" t="s">
        <v>16</v>
      </c>
      <c r="C21" s="59" t="s">
        <v>508</v>
      </c>
      <c r="D21" s="59" t="s">
        <v>509</v>
      </c>
      <c r="E21" s="59" t="s">
        <v>456</v>
      </c>
      <c r="F21" s="60">
        <v>0.6</v>
      </c>
      <c r="G21" s="61"/>
      <c r="H21" s="61"/>
      <c r="I21" s="61"/>
      <c r="J21" s="61"/>
      <c r="K21" s="61"/>
      <c r="L21" s="61"/>
      <c r="M21" s="61"/>
      <c r="N21" s="61"/>
      <c r="O21" s="61"/>
      <c r="P21" s="61"/>
      <c r="Q21" s="61"/>
      <c r="R21" s="61"/>
      <c r="S21" s="61"/>
      <c r="T21" s="61"/>
      <c r="U21" s="61"/>
      <c r="V21" s="61"/>
      <c r="W21" s="61"/>
    </row>
    <row r="22" ht="15.75" customHeight="1">
      <c r="A22" s="31" t="s">
        <v>510</v>
      </c>
      <c r="B22" s="58" t="s">
        <v>16</v>
      </c>
      <c r="C22" s="59" t="s">
        <v>508</v>
      </c>
      <c r="D22" s="59" t="s">
        <v>509</v>
      </c>
      <c r="E22" s="59" t="s">
        <v>468</v>
      </c>
      <c r="F22" s="60">
        <v>0.5</v>
      </c>
      <c r="G22" s="61"/>
      <c r="H22" s="61"/>
      <c r="I22" s="61"/>
      <c r="J22" s="61"/>
      <c r="K22" s="61"/>
      <c r="L22" s="61"/>
      <c r="M22" s="61"/>
      <c r="N22" s="61"/>
      <c r="O22" s="61"/>
      <c r="P22" s="61"/>
      <c r="Q22" s="61"/>
      <c r="R22" s="61"/>
      <c r="S22" s="61"/>
      <c r="T22" s="61"/>
      <c r="U22" s="61"/>
      <c r="V22" s="61"/>
      <c r="W22" s="61"/>
    </row>
    <row r="23" ht="15.75" customHeight="1">
      <c r="A23" s="31" t="s">
        <v>511</v>
      </c>
      <c r="B23" s="58" t="s">
        <v>16</v>
      </c>
      <c r="C23" s="59" t="s">
        <v>512</v>
      </c>
      <c r="D23" s="59" t="s">
        <v>513</v>
      </c>
      <c r="E23" s="59" t="s">
        <v>444</v>
      </c>
      <c r="F23" s="60">
        <v>0.3</v>
      </c>
      <c r="G23" s="61"/>
      <c r="H23" s="61"/>
      <c r="I23" s="61"/>
      <c r="J23" s="61"/>
      <c r="K23" s="61"/>
      <c r="L23" s="61"/>
      <c r="M23" s="61"/>
      <c r="N23" s="61"/>
      <c r="O23" s="61"/>
      <c r="P23" s="61"/>
      <c r="Q23" s="61"/>
      <c r="R23" s="61"/>
      <c r="S23" s="61"/>
      <c r="T23" s="61"/>
      <c r="U23" s="61"/>
      <c r="V23" s="61"/>
      <c r="W23" s="61"/>
    </row>
    <row r="24" ht="15.75" customHeight="1">
      <c r="A24" s="31" t="s">
        <v>514</v>
      </c>
      <c r="B24" s="58" t="s">
        <v>16</v>
      </c>
      <c r="C24" s="59" t="s">
        <v>512</v>
      </c>
      <c r="D24" s="59" t="s">
        <v>513</v>
      </c>
      <c r="E24" s="59" t="s">
        <v>450</v>
      </c>
      <c r="F24" s="60">
        <v>0.3</v>
      </c>
      <c r="G24" s="61"/>
      <c r="H24" s="61"/>
      <c r="I24" s="61"/>
      <c r="J24" s="61"/>
      <c r="K24" s="61"/>
      <c r="L24" s="61"/>
      <c r="M24" s="61"/>
      <c r="N24" s="61"/>
      <c r="O24" s="61"/>
      <c r="P24" s="61"/>
      <c r="Q24" s="61"/>
      <c r="R24" s="61"/>
      <c r="S24" s="61"/>
      <c r="T24" s="61"/>
      <c r="U24" s="61"/>
      <c r="V24" s="61"/>
      <c r="W24" s="61"/>
    </row>
    <row r="25" ht="15.75" customHeight="1">
      <c r="A25" s="31" t="s">
        <v>515</v>
      </c>
      <c r="B25" s="58" t="s">
        <v>16</v>
      </c>
      <c r="C25" s="59" t="s">
        <v>512</v>
      </c>
      <c r="D25" s="59" t="s">
        <v>513</v>
      </c>
      <c r="E25" s="59" t="s">
        <v>452</v>
      </c>
      <c r="F25" s="60">
        <v>0.3</v>
      </c>
      <c r="G25" s="61"/>
      <c r="H25" s="61"/>
      <c r="I25" s="61"/>
      <c r="J25" s="61"/>
      <c r="K25" s="61"/>
      <c r="L25" s="61"/>
      <c r="M25" s="61"/>
      <c r="N25" s="61"/>
      <c r="O25" s="61"/>
      <c r="P25" s="61"/>
      <c r="Q25" s="61"/>
      <c r="R25" s="61"/>
      <c r="S25" s="61"/>
      <c r="T25" s="61"/>
      <c r="U25" s="61"/>
      <c r="V25" s="61"/>
      <c r="W25" s="61"/>
    </row>
    <row r="26" ht="15.75" customHeight="1">
      <c r="A26" s="31" t="s">
        <v>516</v>
      </c>
      <c r="B26" s="58" t="s">
        <v>27</v>
      </c>
      <c r="C26" s="59" t="s">
        <v>517</v>
      </c>
      <c r="D26" s="59" t="s">
        <v>518</v>
      </c>
      <c r="E26" s="59" t="s">
        <v>442</v>
      </c>
      <c r="F26" s="60">
        <v>0.2</v>
      </c>
      <c r="G26" s="61"/>
      <c r="H26" s="61"/>
      <c r="I26" s="61"/>
      <c r="J26" s="61"/>
      <c r="K26" s="61"/>
      <c r="L26" s="61"/>
      <c r="M26" s="61"/>
      <c r="N26" s="61"/>
      <c r="O26" s="61"/>
      <c r="P26" s="61"/>
      <c r="Q26" s="61"/>
      <c r="R26" s="61"/>
      <c r="S26" s="61"/>
      <c r="T26" s="61"/>
      <c r="U26" s="61"/>
      <c r="V26" s="61"/>
      <c r="W26" s="61"/>
    </row>
    <row r="27" ht="15.75" customHeight="1">
      <c r="A27" s="31" t="s">
        <v>519</v>
      </c>
      <c r="B27" s="58" t="s">
        <v>27</v>
      </c>
      <c r="C27" s="59" t="s">
        <v>517</v>
      </c>
      <c r="D27" s="59" t="s">
        <v>518</v>
      </c>
      <c r="E27" s="59" t="s">
        <v>446</v>
      </c>
      <c r="F27" s="60">
        <v>0.2</v>
      </c>
      <c r="G27" s="61"/>
      <c r="H27" s="61"/>
      <c r="I27" s="61"/>
      <c r="J27" s="61"/>
      <c r="K27" s="61"/>
      <c r="L27" s="61"/>
      <c r="M27" s="61"/>
      <c r="N27" s="61"/>
      <c r="O27" s="61"/>
      <c r="P27" s="61"/>
      <c r="Q27" s="61"/>
      <c r="R27" s="61"/>
      <c r="S27" s="61"/>
      <c r="T27" s="61"/>
      <c r="U27" s="61"/>
      <c r="V27" s="61"/>
      <c r="W27" s="61"/>
    </row>
    <row r="28" ht="15.75" customHeight="1">
      <c r="A28" s="31" t="s">
        <v>520</v>
      </c>
      <c r="B28" s="58" t="s">
        <v>27</v>
      </c>
      <c r="C28" s="59" t="s">
        <v>517</v>
      </c>
      <c r="D28" s="59" t="s">
        <v>518</v>
      </c>
      <c r="E28" s="59" t="s">
        <v>456</v>
      </c>
      <c r="F28" s="60">
        <v>0.3</v>
      </c>
      <c r="G28" s="61"/>
      <c r="H28" s="61"/>
      <c r="I28" s="61"/>
      <c r="J28" s="61"/>
      <c r="K28" s="61"/>
      <c r="L28" s="61"/>
      <c r="M28" s="61"/>
      <c r="N28" s="61"/>
      <c r="O28" s="61"/>
      <c r="P28" s="61"/>
      <c r="Q28" s="61"/>
      <c r="R28" s="61"/>
      <c r="S28" s="61"/>
      <c r="T28" s="61"/>
      <c r="U28" s="61"/>
      <c r="V28" s="61"/>
      <c r="W28" s="61"/>
    </row>
    <row r="29" ht="15.75" customHeight="1">
      <c r="A29" s="31" t="s">
        <v>521</v>
      </c>
      <c r="B29" s="58" t="s">
        <v>27</v>
      </c>
      <c r="C29" s="59" t="s">
        <v>517</v>
      </c>
      <c r="D29" s="59" t="s">
        <v>518</v>
      </c>
      <c r="E29" s="59" t="s">
        <v>468</v>
      </c>
      <c r="F29" s="60">
        <v>0.5</v>
      </c>
      <c r="G29" s="61"/>
      <c r="H29" s="61"/>
      <c r="I29" s="61"/>
      <c r="J29" s="61"/>
      <c r="K29" s="61"/>
      <c r="L29" s="61"/>
      <c r="M29" s="61"/>
      <c r="N29" s="61"/>
      <c r="O29" s="61"/>
      <c r="P29" s="61"/>
      <c r="Q29" s="61"/>
      <c r="R29" s="61"/>
      <c r="S29" s="61"/>
      <c r="T29" s="61"/>
      <c r="U29" s="61"/>
      <c r="V29" s="61"/>
      <c r="W29" s="61"/>
    </row>
    <row r="30" ht="15.75" customHeight="1">
      <c r="A30" s="31" t="s">
        <v>522</v>
      </c>
      <c r="B30" s="58" t="s">
        <v>27</v>
      </c>
      <c r="C30" s="59" t="s">
        <v>523</v>
      </c>
      <c r="D30" s="59" t="s">
        <v>524</v>
      </c>
      <c r="E30" s="59" t="s">
        <v>452</v>
      </c>
      <c r="F30" s="60">
        <v>0.6</v>
      </c>
      <c r="G30" s="61"/>
      <c r="H30" s="61"/>
      <c r="I30" s="61"/>
      <c r="J30" s="61"/>
      <c r="K30" s="61"/>
      <c r="L30" s="61"/>
      <c r="M30" s="61"/>
      <c r="N30" s="61"/>
      <c r="O30" s="61"/>
      <c r="P30" s="61"/>
      <c r="Q30" s="61"/>
      <c r="R30" s="61"/>
      <c r="S30" s="61"/>
      <c r="T30" s="61"/>
      <c r="U30" s="61"/>
      <c r="V30" s="61"/>
      <c r="W30" s="61"/>
    </row>
    <row r="31" ht="15.75" customHeight="1">
      <c r="A31" s="31" t="s">
        <v>525</v>
      </c>
      <c r="B31" s="58" t="s">
        <v>27</v>
      </c>
      <c r="C31" s="59" t="s">
        <v>523</v>
      </c>
      <c r="D31" s="59" t="s">
        <v>524</v>
      </c>
      <c r="E31" s="59" t="s">
        <v>456</v>
      </c>
      <c r="F31" s="60">
        <v>1.0</v>
      </c>
      <c r="G31" s="61"/>
      <c r="H31" s="61"/>
      <c r="I31" s="61"/>
      <c r="J31" s="61"/>
      <c r="K31" s="61"/>
      <c r="L31" s="61"/>
      <c r="M31" s="61"/>
      <c r="N31" s="61"/>
      <c r="O31" s="61"/>
      <c r="P31" s="61"/>
      <c r="Q31" s="61"/>
      <c r="R31" s="61"/>
      <c r="S31" s="61"/>
      <c r="T31" s="61"/>
      <c r="U31" s="61"/>
      <c r="V31" s="61"/>
      <c r="W31" s="61"/>
    </row>
    <row r="32" ht="15.75" customHeight="1">
      <c r="A32" s="31" t="s">
        <v>526</v>
      </c>
      <c r="B32" s="58" t="s">
        <v>27</v>
      </c>
      <c r="C32" s="59" t="s">
        <v>523</v>
      </c>
      <c r="D32" s="59" t="s">
        <v>524</v>
      </c>
      <c r="E32" s="59" t="s">
        <v>460</v>
      </c>
      <c r="F32" s="60">
        <v>0.4</v>
      </c>
      <c r="G32" s="61"/>
      <c r="H32" s="61"/>
      <c r="I32" s="61"/>
      <c r="J32" s="61"/>
      <c r="K32" s="61"/>
      <c r="L32" s="61"/>
      <c r="M32" s="61"/>
      <c r="N32" s="61"/>
      <c r="O32" s="61"/>
      <c r="P32" s="61"/>
      <c r="Q32" s="61"/>
      <c r="R32" s="61"/>
      <c r="S32" s="61"/>
      <c r="T32" s="61"/>
      <c r="U32" s="61"/>
      <c r="V32" s="61"/>
      <c r="W32" s="61"/>
    </row>
    <row r="33" ht="15.75" customHeight="1">
      <c r="A33" s="31" t="s">
        <v>527</v>
      </c>
      <c r="B33" s="58" t="s">
        <v>27</v>
      </c>
      <c r="C33" s="59" t="s">
        <v>523</v>
      </c>
      <c r="D33" s="59" t="s">
        <v>524</v>
      </c>
      <c r="E33" s="59" t="s">
        <v>462</v>
      </c>
      <c r="F33" s="60">
        <v>1.1</v>
      </c>
      <c r="G33" s="61"/>
      <c r="H33" s="61"/>
      <c r="I33" s="61"/>
      <c r="J33" s="61"/>
      <c r="K33" s="61"/>
      <c r="L33" s="61"/>
      <c r="M33" s="61"/>
      <c r="N33" s="61"/>
      <c r="O33" s="61"/>
      <c r="P33" s="61"/>
      <c r="Q33" s="61"/>
      <c r="R33" s="61"/>
      <c r="S33" s="61"/>
      <c r="T33" s="61"/>
      <c r="U33" s="61"/>
      <c r="V33" s="61"/>
      <c r="W33" s="61"/>
    </row>
    <row r="34" ht="15.75" customHeight="1">
      <c r="A34" s="31" t="s">
        <v>528</v>
      </c>
      <c r="B34" s="58" t="s">
        <v>27</v>
      </c>
      <c r="C34" s="59" t="s">
        <v>523</v>
      </c>
      <c r="D34" s="59" t="s">
        <v>524</v>
      </c>
      <c r="E34" s="59" t="s">
        <v>466</v>
      </c>
      <c r="F34" s="60">
        <v>0.9</v>
      </c>
      <c r="G34" s="61"/>
      <c r="H34" s="61"/>
      <c r="I34" s="61"/>
      <c r="J34" s="61"/>
      <c r="K34" s="61"/>
      <c r="L34" s="61"/>
      <c r="M34" s="61"/>
      <c r="N34" s="61"/>
      <c r="O34" s="61"/>
      <c r="P34" s="61"/>
      <c r="Q34" s="61"/>
      <c r="R34" s="61"/>
      <c r="S34" s="61"/>
      <c r="T34" s="61"/>
      <c r="U34" s="61"/>
      <c r="V34" s="61"/>
      <c r="W34" s="61"/>
    </row>
    <row r="35" ht="15.75" customHeight="1">
      <c r="A35" s="31" t="s">
        <v>529</v>
      </c>
      <c r="B35" s="58" t="s">
        <v>27</v>
      </c>
      <c r="C35" s="59" t="s">
        <v>530</v>
      </c>
      <c r="D35" s="59" t="s">
        <v>531</v>
      </c>
      <c r="E35" s="59" t="s">
        <v>442</v>
      </c>
      <c r="F35" s="60">
        <v>0.9</v>
      </c>
      <c r="G35" s="61"/>
      <c r="H35" s="61"/>
      <c r="I35" s="61"/>
      <c r="J35" s="61"/>
      <c r="K35" s="61"/>
      <c r="L35" s="61"/>
      <c r="M35" s="61"/>
      <c r="N35" s="61"/>
      <c r="O35" s="61"/>
      <c r="P35" s="61"/>
      <c r="Q35" s="61"/>
      <c r="R35" s="61"/>
      <c r="S35" s="61"/>
      <c r="T35" s="61"/>
      <c r="U35" s="61"/>
      <c r="V35" s="61"/>
      <c r="W35" s="61"/>
    </row>
    <row r="36" ht="15.75" customHeight="1">
      <c r="A36" s="31" t="s">
        <v>532</v>
      </c>
      <c r="B36" s="58" t="s">
        <v>27</v>
      </c>
      <c r="C36" s="59" t="s">
        <v>530</v>
      </c>
      <c r="D36" s="59" t="s">
        <v>531</v>
      </c>
      <c r="E36" s="59" t="s">
        <v>446</v>
      </c>
      <c r="F36" s="60">
        <v>0.7</v>
      </c>
      <c r="G36" s="61"/>
      <c r="H36" s="61"/>
      <c r="I36" s="61"/>
      <c r="J36" s="61"/>
      <c r="K36" s="61"/>
      <c r="L36" s="61"/>
      <c r="M36" s="61"/>
      <c r="N36" s="61"/>
      <c r="O36" s="61"/>
      <c r="P36" s="61"/>
      <c r="Q36" s="61"/>
      <c r="R36" s="61"/>
      <c r="S36" s="61"/>
      <c r="T36" s="61"/>
      <c r="U36" s="61"/>
      <c r="V36" s="61"/>
      <c r="W36" s="61"/>
    </row>
    <row r="37" ht="15.75" customHeight="1">
      <c r="A37" s="31" t="s">
        <v>533</v>
      </c>
      <c r="B37" s="58" t="s">
        <v>27</v>
      </c>
      <c r="C37" s="59" t="s">
        <v>530</v>
      </c>
      <c r="D37" s="59" t="s">
        <v>531</v>
      </c>
      <c r="E37" s="59" t="s">
        <v>454</v>
      </c>
      <c r="F37" s="60">
        <v>0.7</v>
      </c>
      <c r="G37" s="61"/>
      <c r="H37" s="61"/>
      <c r="I37" s="61"/>
      <c r="J37" s="61"/>
      <c r="K37" s="61"/>
      <c r="L37" s="61"/>
      <c r="M37" s="61"/>
      <c r="N37" s="61"/>
      <c r="O37" s="61"/>
      <c r="P37" s="61"/>
      <c r="Q37" s="61"/>
      <c r="R37" s="61"/>
      <c r="S37" s="61"/>
      <c r="T37" s="61"/>
      <c r="U37" s="61"/>
      <c r="V37" s="61"/>
      <c r="W37" s="61"/>
    </row>
    <row r="38" ht="15.75" customHeight="1">
      <c r="A38" s="31" t="s">
        <v>534</v>
      </c>
      <c r="B38" s="58" t="s">
        <v>27</v>
      </c>
      <c r="C38" s="59" t="s">
        <v>530</v>
      </c>
      <c r="D38" s="59" t="s">
        <v>531</v>
      </c>
      <c r="E38" s="59" t="s">
        <v>462</v>
      </c>
      <c r="F38" s="60">
        <v>0.3</v>
      </c>
      <c r="G38" s="61"/>
      <c r="H38" s="61"/>
      <c r="I38" s="61"/>
      <c r="J38" s="61"/>
      <c r="K38" s="61"/>
      <c r="L38" s="61"/>
      <c r="M38" s="61"/>
      <c r="N38" s="61"/>
      <c r="O38" s="61"/>
      <c r="P38" s="61"/>
      <c r="Q38" s="61"/>
      <c r="R38" s="61"/>
      <c r="S38" s="61"/>
      <c r="T38" s="61"/>
      <c r="U38" s="61"/>
      <c r="V38" s="61"/>
      <c r="W38" s="61"/>
    </row>
    <row r="39" ht="15.75" customHeight="1">
      <c r="A39" s="31" t="s">
        <v>535</v>
      </c>
      <c r="B39" s="58" t="s">
        <v>27</v>
      </c>
      <c r="C39" s="59" t="s">
        <v>530</v>
      </c>
      <c r="D39" s="59" t="s">
        <v>531</v>
      </c>
      <c r="E39" s="59" t="s">
        <v>464</v>
      </c>
      <c r="F39" s="60">
        <v>0.6</v>
      </c>
      <c r="G39" s="61"/>
      <c r="H39" s="61"/>
      <c r="I39" s="61"/>
      <c r="J39" s="61"/>
      <c r="K39" s="61"/>
      <c r="L39" s="61"/>
      <c r="M39" s="61"/>
      <c r="N39" s="61"/>
      <c r="O39" s="61"/>
      <c r="P39" s="61"/>
      <c r="Q39" s="61"/>
      <c r="R39" s="61"/>
      <c r="S39" s="61"/>
      <c r="T39" s="61"/>
      <c r="U39" s="61"/>
      <c r="V39" s="61"/>
      <c r="W39" s="61"/>
    </row>
    <row r="40" ht="15.75" customHeight="1">
      <c r="A40" s="31" t="s">
        <v>536</v>
      </c>
      <c r="B40" s="58" t="s">
        <v>27</v>
      </c>
      <c r="C40" s="59" t="s">
        <v>537</v>
      </c>
      <c r="D40" s="59" t="s">
        <v>538</v>
      </c>
      <c r="E40" s="59" t="s">
        <v>444</v>
      </c>
      <c r="F40" s="60">
        <v>0.9</v>
      </c>
      <c r="G40" s="61"/>
      <c r="H40" s="61"/>
      <c r="I40" s="61"/>
      <c r="J40" s="61"/>
      <c r="K40" s="61"/>
      <c r="L40" s="61"/>
      <c r="M40" s="61"/>
      <c r="N40" s="61"/>
      <c r="O40" s="61"/>
      <c r="P40" s="61"/>
      <c r="Q40" s="61"/>
      <c r="R40" s="61"/>
      <c r="S40" s="61"/>
      <c r="T40" s="61"/>
      <c r="U40" s="61"/>
      <c r="V40" s="61"/>
      <c r="W40" s="61"/>
    </row>
    <row r="41" ht="15.75" customHeight="1">
      <c r="A41" s="31" t="s">
        <v>539</v>
      </c>
      <c r="B41" s="58" t="s">
        <v>27</v>
      </c>
      <c r="C41" s="59" t="s">
        <v>537</v>
      </c>
      <c r="D41" s="59" t="s">
        <v>538</v>
      </c>
      <c r="E41" s="59" t="s">
        <v>448</v>
      </c>
      <c r="F41" s="60">
        <v>0.5</v>
      </c>
      <c r="G41" s="61"/>
      <c r="H41" s="61"/>
      <c r="I41" s="61"/>
      <c r="J41" s="61"/>
      <c r="K41" s="61"/>
      <c r="L41" s="61"/>
      <c r="M41" s="61"/>
      <c r="N41" s="61"/>
      <c r="O41" s="61"/>
      <c r="P41" s="61"/>
      <c r="Q41" s="61"/>
      <c r="R41" s="61"/>
      <c r="S41" s="61"/>
      <c r="T41" s="61"/>
      <c r="U41" s="61"/>
      <c r="V41" s="61"/>
      <c r="W41" s="61"/>
    </row>
    <row r="42" ht="15.75" customHeight="1">
      <c r="A42" s="31" t="s">
        <v>540</v>
      </c>
      <c r="B42" s="58" t="s">
        <v>27</v>
      </c>
      <c r="C42" s="59" t="s">
        <v>537</v>
      </c>
      <c r="D42" s="59" t="s">
        <v>538</v>
      </c>
      <c r="E42" s="59" t="s">
        <v>450</v>
      </c>
      <c r="F42" s="60">
        <v>0.5</v>
      </c>
      <c r="G42" s="61"/>
      <c r="H42" s="61"/>
      <c r="I42" s="61"/>
      <c r="J42" s="61"/>
      <c r="K42" s="61"/>
      <c r="L42" s="61"/>
      <c r="M42" s="61"/>
      <c r="N42" s="61"/>
      <c r="O42" s="61"/>
      <c r="P42" s="61"/>
      <c r="Q42" s="61"/>
      <c r="R42" s="61"/>
      <c r="S42" s="61"/>
      <c r="T42" s="61"/>
      <c r="U42" s="61"/>
      <c r="V42" s="61"/>
      <c r="W42" s="61"/>
    </row>
    <row r="43" ht="15.75" customHeight="1">
      <c r="A43" s="31" t="s">
        <v>541</v>
      </c>
      <c r="B43" s="58" t="s">
        <v>27</v>
      </c>
      <c r="C43" s="59" t="s">
        <v>537</v>
      </c>
      <c r="D43" s="59" t="s">
        <v>538</v>
      </c>
      <c r="E43" s="59" t="s">
        <v>460</v>
      </c>
      <c r="F43" s="60">
        <v>0.6</v>
      </c>
      <c r="G43" s="61"/>
      <c r="H43" s="61"/>
      <c r="I43" s="61"/>
      <c r="J43" s="61"/>
      <c r="K43" s="61"/>
      <c r="L43" s="61"/>
      <c r="M43" s="61"/>
      <c r="N43" s="61"/>
      <c r="O43" s="61"/>
      <c r="P43" s="61"/>
      <c r="Q43" s="61"/>
      <c r="R43" s="61"/>
      <c r="S43" s="61"/>
      <c r="T43" s="61"/>
      <c r="U43" s="61"/>
      <c r="V43" s="61"/>
      <c r="W43" s="61"/>
    </row>
    <row r="44" ht="15.75" customHeight="1">
      <c r="A44" s="31" t="s">
        <v>542</v>
      </c>
      <c r="B44" s="58" t="s">
        <v>27</v>
      </c>
      <c r="C44" s="59" t="s">
        <v>543</v>
      </c>
      <c r="D44" s="59" t="s">
        <v>544</v>
      </c>
      <c r="E44" s="59" t="s">
        <v>444</v>
      </c>
      <c r="F44" s="60">
        <v>0.4</v>
      </c>
      <c r="G44" s="61"/>
      <c r="H44" s="61"/>
      <c r="I44" s="61"/>
      <c r="J44" s="61"/>
      <c r="K44" s="61"/>
      <c r="L44" s="61"/>
      <c r="M44" s="61"/>
      <c r="N44" s="61"/>
      <c r="O44" s="61"/>
      <c r="P44" s="61"/>
      <c r="Q44" s="61"/>
      <c r="R44" s="61"/>
      <c r="S44" s="61"/>
      <c r="T44" s="61"/>
      <c r="U44" s="61"/>
      <c r="V44" s="61"/>
      <c r="W44" s="61"/>
    </row>
    <row r="45" ht="15.75" customHeight="1">
      <c r="A45" s="31" t="s">
        <v>545</v>
      </c>
      <c r="B45" s="58" t="s">
        <v>27</v>
      </c>
      <c r="C45" s="59" t="s">
        <v>543</v>
      </c>
      <c r="D45" s="59" t="s">
        <v>544</v>
      </c>
      <c r="E45" s="59" t="s">
        <v>448</v>
      </c>
      <c r="F45" s="60">
        <v>0.3</v>
      </c>
      <c r="G45" s="61"/>
      <c r="H45" s="61"/>
      <c r="I45" s="61"/>
      <c r="J45" s="61"/>
      <c r="K45" s="61"/>
      <c r="L45" s="61"/>
      <c r="M45" s="61"/>
      <c r="N45" s="61"/>
      <c r="O45" s="61"/>
      <c r="P45" s="61"/>
      <c r="Q45" s="61"/>
      <c r="R45" s="61"/>
      <c r="S45" s="61"/>
      <c r="T45" s="61"/>
      <c r="U45" s="61"/>
      <c r="V45" s="61"/>
      <c r="W45" s="61"/>
    </row>
    <row r="46" ht="15.75" customHeight="1">
      <c r="A46" s="31" t="s">
        <v>546</v>
      </c>
      <c r="B46" s="58" t="s">
        <v>27</v>
      </c>
      <c r="C46" s="59" t="s">
        <v>543</v>
      </c>
      <c r="D46" s="59" t="s">
        <v>544</v>
      </c>
      <c r="E46" s="59" t="s">
        <v>452</v>
      </c>
      <c r="F46" s="60">
        <v>0.5</v>
      </c>
      <c r="G46" s="61"/>
      <c r="H46" s="61"/>
      <c r="I46" s="61"/>
      <c r="J46" s="61"/>
      <c r="K46" s="61"/>
      <c r="L46" s="61"/>
      <c r="M46" s="61"/>
      <c r="N46" s="61"/>
      <c r="O46" s="61"/>
      <c r="P46" s="61"/>
      <c r="Q46" s="61"/>
      <c r="R46" s="61"/>
      <c r="S46" s="61"/>
      <c r="T46" s="61"/>
      <c r="U46" s="61"/>
      <c r="V46" s="61"/>
      <c r="W46" s="61"/>
    </row>
    <row r="47" ht="15.75" customHeight="1">
      <c r="A47" s="31" t="s">
        <v>546</v>
      </c>
      <c r="B47" s="58" t="s">
        <v>27</v>
      </c>
      <c r="C47" s="59" t="s">
        <v>543</v>
      </c>
      <c r="D47" s="59" t="s">
        <v>544</v>
      </c>
      <c r="E47" s="62" t="s">
        <v>458</v>
      </c>
      <c r="F47" s="63">
        <v>0.3</v>
      </c>
      <c r="G47" s="61"/>
      <c r="H47" s="61"/>
      <c r="I47" s="61"/>
      <c r="J47" s="61"/>
      <c r="K47" s="61"/>
      <c r="L47" s="61"/>
      <c r="M47" s="61"/>
      <c r="N47" s="61"/>
      <c r="O47" s="61"/>
      <c r="P47" s="61"/>
      <c r="Q47" s="61"/>
      <c r="R47" s="61"/>
      <c r="S47" s="61"/>
      <c r="T47" s="61"/>
      <c r="U47" s="61"/>
      <c r="V47" s="61"/>
      <c r="W47" s="61"/>
    </row>
    <row r="48" ht="15.75" customHeight="1">
      <c r="A48" s="31" t="s">
        <v>546</v>
      </c>
      <c r="B48" s="58" t="s">
        <v>27</v>
      </c>
      <c r="C48" s="59" t="s">
        <v>543</v>
      </c>
      <c r="D48" s="59" t="s">
        <v>544</v>
      </c>
      <c r="E48" s="62" t="s">
        <v>446</v>
      </c>
      <c r="F48" s="63">
        <v>0.3</v>
      </c>
      <c r="G48" s="61"/>
      <c r="H48" s="61"/>
      <c r="I48" s="61"/>
      <c r="J48" s="61"/>
      <c r="K48" s="61"/>
      <c r="L48" s="61"/>
      <c r="M48" s="61"/>
      <c r="N48" s="61"/>
      <c r="O48" s="61"/>
      <c r="P48" s="61"/>
      <c r="Q48" s="61"/>
      <c r="R48" s="61"/>
      <c r="S48" s="61"/>
      <c r="T48" s="61"/>
      <c r="U48" s="61"/>
      <c r="V48" s="61"/>
      <c r="W48" s="61"/>
    </row>
    <row r="49" ht="15.75" customHeight="1">
      <c r="A49" s="31" t="s">
        <v>547</v>
      </c>
      <c r="B49" s="58" t="s">
        <v>35</v>
      </c>
      <c r="C49" s="59" t="s">
        <v>548</v>
      </c>
      <c r="D49" s="59" t="s">
        <v>549</v>
      </c>
      <c r="E49" s="59" t="s">
        <v>444</v>
      </c>
      <c r="F49" s="60">
        <v>0.52</v>
      </c>
      <c r="G49" s="61"/>
      <c r="H49" s="61"/>
      <c r="I49" s="61"/>
      <c r="J49" s="61"/>
      <c r="K49" s="61"/>
      <c r="L49" s="61"/>
      <c r="M49" s="61"/>
      <c r="N49" s="61"/>
      <c r="O49" s="61"/>
      <c r="P49" s="61"/>
      <c r="Q49" s="61"/>
      <c r="R49" s="61"/>
      <c r="S49" s="61"/>
      <c r="T49" s="61"/>
      <c r="U49" s="61"/>
      <c r="V49" s="61"/>
      <c r="W49" s="61"/>
    </row>
    <row r="50" ht="15.75" customHeight="1">
      <c r="A50" s="31" t="s">
        <v>550</v>
      </c>
      <c r="B50" s="58" t="s">
        <v>35</v>
      </c>
      <c r="C50" s="59" t="s">
        <v>548</v>
      </c>
      <c r="D50" s="59" t="s">
        <v>549</v>
      </c>
      <c r="E50" s="59" t="s">
        <v>448</v>
      </c>
      <c r="F50" s="60">
        <v>0.26</v>
      </c>
      <c r="G50" s="61"/>
      <c r="H50" s="61"/>
      <c r="I50" s="61"/>
      <c r="J50" s="61"/>
      <c r="K50" s="61"/>
      <c r="L50" s="61"/>
      <c r="M50" s="61"/>
      <c r="N50" s="61"/>
      <c r="O50" s="61"/>
      <c r="P50" s="61"/>
      <c r="Q50" s="61"/>
      <c r="R50" s="61"/>
      <c r="S50" s="61"/>
      <c r="T50" s="61"/>
      <c r="U50" s="61"/>
      <c r="V50" s="61"/>
      <c r="W50" s="61"/>
    </row>
    <row r="51" ht="15.75" customHeight="1">
      <c r="A51" s="31" t="s">
        <v>551</v>
      </c>
      <c r="B51" s="58" t="s">
        <v>35</v>
      </c>
      <c r="C51" s="59" t="s">
        <v>548</v>
      </c>
      <c r="D51" s="59" t="s">
        <v>549</v>
      </c>
      <c r="E51" s="59" t="s">
        <v>450</v>
      </c>
      <c r="F51" s="60">
        <v>0.26</v>
      </c>
      <c r="G51" s="61"/>
      <c r="H51" s="61"/>
      <c r="I51" s="61"/>
      <c r="J51" s="61"/>
      <c r="K51" s="61"/>
      <c r="L51" s="61"/>
      <c r="M51" s="61"/>
      <c r="N51" s="61"/>
      <c r="O51" s="61"/>
      <c r="P51" s="61"/>
      <c r="Q51" s="61"/>
      <c r="R51" s="61"/>
      <c r="S51" s="61"/>
      <c r="T51" s="61"/>
      <c r="U51" s="61"/>
      <c r="V51" s="61"/>
      <c r="W51" s="61"/>
    </row>
    <row r="52" ht="15.75" customHeight="1">
      <c r="A52" s="31" t="s">
        <v>552</v>
      </c>
      <c r="B52" s="58" t="s">
        <v>35</v>
      </c>
      <c r="C52" s="59" t="s">
        <v>548</v>
      </c>
      <c r="D52" s="59" t="s">
        <v>549</v>
      </c>
      <c r="E52" s="59" t="s">
        <v>460</v>
      </c>
      <c r="F52" s="60">
        <v>0.455</v>
      </c>
      <c r="G52" s="61"/>
      <c r="H52" s="61"/>
      <c r="I52" s="61"/>
      <c r="J52" s="61"/>
      <c r="K52" s="61"/>
      <c r="L52" s="61"/>
      <c r="M52" s="61"/>
      <c r="N52" s="61"/>
      <c r="O52" s="61"/>
      <c r="P52" s="61"/>
      <c r="Q52" s="61"/>
      <c r="R52" s="61"/>
      <c r="S52" s="61"/>
      <c r="T52" s="61"/>
      <c r="U52" s="61"/>
      <c r="V52" s="61"/>
      <c r="W52" s="61"/>
    </row>
    <row r="53" ht="15.75" customHeight="1">
      <c r="A53" s="31" t="s">
        <v>553</v>
      </c>
      <c r="B53" s="58" t="s">
        <v>35</v>
      </c>
      <c r="C53" s="59" t="s">
        <v>554</v>
      </c>
      <c r="D53" s="59" t="s">
        <v>555</v>
      </c>
      <c r="E53" s="59" t="s">
        <v>442</v>
      </c>
      <c r="F53" s="60">
        <v>0.52</v>
      </c>
      <c r="G53" s="61"/>
      <c r="H53" s="61"/>
      <c r="I53" s="61"/>
      <c r="J53" s="61"/>
      <c r="K53" s="61"/>
      <c r="L53" s="61"/>
      <c r="M53" s="61"/>
      <c r="N53" s="61"/>
      <c r="O53" s="61"/>
      <c r="P53" s="61"/>
      <c r="Q53" s="61"/>
      <c r="R53" s="61"/>
      <c r="S53" s="61"/>
      <c r="T53" s="61"/>
      <c r="U53" s="61"/>
      <c r="V53" s="61"/>
      <c r="W53" s="61"/>
    </row>
    <row r="54" ht="15.75" customHeight="1">
      <c r="A54" s="31" t="s">
        <v>556</v>
      </c>
      <c r="B54" s="58" t="s">
        <v>35</v>
      </c>
      <c r="C54" s="59" t="s">
        <v>554</v>
      </c>
      <c r="D54" s="59" t="s">
        <v>555</v>
      </c>
      <c r="E54" s="59" t="s">
        <v>446</v>
      </c>
      <c r="F54" s="60">
        <v>0.39</v>
      </c>
      <c r="G54" s="61"/>
      <c r="H54" s="61"/>
      <c r="I54" s="61"/>
      <c r="J54" s="61"/>
      <c r="K54" s="61"/>
      <c r="L54" s="61"/>
      <c r="M54" s="61"/>
      <c r="N54" s="61"/>
      <c r="O54" s="61"/>
      <c r="P54" s="61"/>
      <c r="Q54" s="61"/>
      <c r="R54" s="61"/>
      <c r="S54" s="61"/>
      <c r="T54" s="61"/>
      <c r="U54" s="61"/>
      <c r="V54" s="61"/>
      <c r="W54" s="61"/>
    </row>
    <row r="55" ht="15.75" customHeight="1">
      <c r="A55" s="31" t="s">
        <v>557</v>
      </c>
      <c r="B55" s="58" t="s">
        <v>35</v>
      </c>
      <c r="C55" s="59" t="s">
        <v>554</v>
      </c>
      <c r="D55" s="59" t="s">
        <v>555</v>
      </c>
      <c r="E55" s="59" t="s">
        <v>454</v>
      </c>
      <c r="F55" s="60">
        <v>0.39</v>
      </c>
      <c r="G55" s="61"/>
      <c r="H55" s="61"/>
      <c r="I55" s="61"/>
      <c r="J55" s="61"/>
      <c r="K55" s="61"/>
      <c r="L55" s="61"/>
      <c r="M55" s="61"/>
      <c r="N55" s="61"/>
      <c r="O55" s="61"/>
      <c r="P55" s="61"/>
      <c r="Q55" s="61"/>
      <c r="R55" s="61"/>
      <c r="S55" s="61"/>
      <c r="T55" s="61"/>
      <c r="U55" s="61"/>
      <c r="V55" s="61"/>
      <c r="W55" s="61"/>
    </row>
    <row r="56" ht="15.75" customHeight="1">
      <c r="A56" s="31" t="s">
        <v>558</v>
      </c>
      <c r="B56" s="58" t="s">
        <v>35</v>
      </c>
      <c r="C56" s="59" t="s">
        <v>554</v>
      </c>
      <c r="D56" s="59" t="s">
        <v>555</v>
      </c>
      <c r="E56" s="59" t="s">
        <v>464</v>
      </c>
      <c r="F56" s="60">
        <v>0.325</v>
      </c>
      <c r="G56" s="61"/>
      <c r="H56" s="61"/>
      <c r="I56" s="61"/>
      <c r="J56" s="61"/>
      <c r="K56" s="61"/>
      <c r="L56" s="61"/>
      <c r="M56" s="61"/>
      <c r="N56" s="61"/>
      <c r="O56" s="61"/>
      <c r="P56" s="61"/>
      <c r="Q56" s="61"/>
      <c r="R56" s="61"/>
      <c r="S56" s="61"/>
      <c r="T56" s="61"/>
      <c r="U56" s="61"/>
      <c r="V56" s="61"/>
      <c r="W56" s="61"/>
    </row>
    <row r="57" ht="15.75" customHeight="1">
      <c r="A57" s="31" t="s">
        <v>559</v>
      </c>
      <c r="B57" s="58" t="s">
        <v>35</v>
      </c>
      <c r="C57" s="59" t="s">
        <v>554</v>
      </c>
      <c r="D57" s="59" t="s">
        <v>555</v>
      </c>
      <c r="E57" s="59" t="s">
        <v>468</v>
      </c>
      <c r="F57" s="60">
        <v>0.195</v>
      </c>
      <c r="G57" s="61"/>
      <c r="H57" s="61"/>
      <c r="I57" s="61"/>
      <c r="J57" s="61"/>
      <c r="K57" s="61"/>
      <c r="L57" s="61"/>
      <c r="M57" s="61"/>
      <c r="N57" s="61"/>
      <c r="O57" s="61"/>
      <c r="P57" s="61"/>
      <c r="Q57" s="61"/>
      <c r="R57" s="61"/>
      <c r="S57" s="61"/>
      <c r="T57" s="61"/>
      <c r="U57" s="61"/>
      <c r="V57" s="61"/>
      <c r="W57" s="61"/>
    </row>
    <row r="58" ht="15.75" customHeight="1">
      <c r="A58" s="31" t="s">
        <v>560</v>
      </c>
      <c r="B58" s="58" t="s">
        <v>35</v>
      </c>
      <c r="C58" s="59" t="s">
        <v>561</v>
      </c>
      <c r="D58" s="59" t="s">
        <v>562</v>
      </c>
      <c r="E58" s="59" t="s">
        <v>452</v>
      </c>
      <c r="F58" s="60">
        <v>0.325</v>
      </c>
      <c r="G58" s="61"/>
      <c r="H58" s="61"/>
      <c r="I58" s="61"/>
      <c r="J58" s="61"/>
      <c r="K58" s="61"/>
      <c r="L58" s="61"/>
      <c r="M58" s="61"/>
      <c r="N58" s="61"/>
      <c r="O58" s="61"/>
      <c r="P58" s="61"/>
      <c r="Q58" s="61"/>
      <c r="R58" s="61"/>
      <c r="S58" s="61"/>
      <c r="T58" s="61"/>
      <c r="U58" s="61"/>
      <c r="V58" s="61"/>
      <c r="W58" s="61"/>
    </row>
    <row r="59" ht="15.75" customHeight="1">
      <c r="A59" s="31" t="s">
        <v>563</v>
      </c>
      <c r="B59" s="58" t="s">
        <v>35</v>
      </c>
      <c r="C59" s="59" t="s">
        <v>561</v>
      </c>
      <c r="D59" s="59" t="s">
        <v>562</v>
      </c>
      <c r="E59" s="59" t="s">
        <v>456</v>
      </c>
      <c r="F59" s="60">
        <v>0.52</v>
      </c>
      <c r="G59" s="61"/>
      <c r="H59" s="61"/>
      <c r="I59" s="61"/>
      <c r="J59" s="61"/>
      <c r="K59" s="61"/>
      <c r="L59" s="61"/>
      <c r="M59" s="61"/>
      <c r="N59" s="61"/>
      <c r="O59" s="61"/>
      <c r="P59" s="61"/>
      <c r="Q59" s="61"/>
      <c r="R59" s="61"/>
      <c r="S59" s="61"/>
      <c r="T59" s="61"/>
      <c r="U59" s="61"/>
      <c r="V59" s="61"/>
      <c r="W59" s="61"/>
    </row>
    <row r="60" ht="15.75" customHeight="1">
      <c r="A60" s="31" t="s">
        <v>564</v>
      </c>
      <c r="B60" s="58" t="s">
        <v>35</v>
      </c>
      <c r="C60" s="59" t="s">
        <v>561</v>
      </c>
      <c r="D60" s="59" t="s">
        <v>562</v>
      </c>
      <c r="E60" s="59" t="s">
        <v>462</v>
      </c>
      <c r="F60" s="60">
        <v>0.585</v>
      </c>
      <c r="G60" s="61"/>
      <c r="H60" s="61"/>
      <c r="I60" s="61"/>
      <c r="J60" s="61"/>
      <c r="K60" s="61"/>
      <c r="L60" s="61"/>
      <c r="M60" s="61"/>
      <c r="N60" s="61"/>
      <c r="O60" s="61"/>
      <c r="P60" s="61"/>
      <c r="Q60" s="61"/>
      <c r="R60" s="61"/>
      <c r="S60" s="61"/>
      <c r="T60" s="61"/>
      <c r="U60" s="61"/>
      <c r="V60" s="61"/>
      <c r="W60" s="61"/>
    </row>
    <row r="61" ht="15.75" customHeight="1">
      <c r="A61" s="31" t="s">
        <v>565</v>
      </c>
      <c r="B61" s="58" t="s">
        <v>35</v>
      </c>
      <c r="C61" s="59" t="s">
        <v>561</v>
      </c>
      <c r="D61" s="59" t="s">
        <v>562</v>
      </c>
      <c r="E61" s="59" t="s">
        <v>466</v>
      </c>
      <c r="F61" s="60">
        <v>0.52</v>
      </c>
      <c r="G61" s="61"/>
      <c r="H61" s="61"/>
      <c r="I61" s="61"/>
      <c r="J61" s="61"/>
      <c r="K61" s="61"/>
      <c r="L61" s="61"/>
      <c r="M61" s="61"/>
      <c r="N61" s="61"/>
      <c r="O61" s="61"/>
      <c r="P61" s="61"/>
      <c r="Q61" s="61"/>
      <c r="R61" s="61"/>
      <c r="S61" s="61"/>
      <c r="T61" s="61"/>
      <c r="U61" s="61"/>
      <c r="V61" s="61"/>
      <c r="W61" s="61"/>
    </row>
    <row r="62" ht="15.75" customHeight="1">
      <c r="A62" s="31" t="s">
        <v>566</v>
      </c>
      <c r="B62" s="58" t="s">
        <v>35</v>
      </c>
      <c r="C62" s="59" t="s">
        <v>567</v>
      </c>
      <c r="D62" s="59" t="s">
        <v>568</v>
      </c>
      <c r="E62" s="59" t="s">
        <v>444</v>
      </c>
      <c r="F62" s="60">
        <v>0.585</v>
      </c>
      <c r="G62" s="61"/>
      <c r="H62" s="61"/>
      <c r="I62" s="61"/>
      <c r="J62" s="61"/>
      <c r="K62" s="61"/>
      <c r="L62" s="61"/>
      <c r="M62" s="61"/>
      <c r="N62" s="61"/>
      <c r="O62" s="61"/>
      <c r="P62" s="61"/>
      <c r="Q62" s="61"/>
      <c r="R62" s="61"/>
      <c r="S62" s="61"/>
      <c r="T62" s="61"/>
      <c r="U62" s="61"/>
      <c r="V62" s="61"/>
      <c r="W62" s="61"/>
    </row>
    <row r="63" ht="15.75" customHeight="1">
      <c r="A63" s="31" t="s">
        <v>569</v>
      </c>
      <c r="B63" s="58" t="s">
        <v>35</v>
      </c>
      <c r="C63" s="59" t="s">
        <v>567</v>
      </c>
      <c r="D63" s="59" t="s">
        <v>568</v>
      </c>
      <c r="E63" s="59" t="s">
        <v>448</v>
      </c>
      <c r="F63" s="60">
        <v>0.26</v>
      </c>
      <c r="G63" s="61"/>
      <c r="H63" s="61"/>
      <c r="I63" s="61"/>
      <c r="J63" s="61"/>
      <c r="K63" s="61"/>
      <c r="L63" s="61"/>
      <c r="M63" s="61"/>
      <c r="N63" s="61"/>
      <c r="O63" s="61"/>
      <c r="P63" s="61"/>
      <c r="Q63" s="61"/>
      <c r="R63" s="61"/>
      <c r="S63" s="61"/>
      <c r="T63" s="61"/>
      <c r="U63" s="61"/>
      <c r="V63" s="61"/>
      <c r="W63" s="61"/>
    </row>
    <row r="64" ht="15.75" customHeight="1">
      <c r="A64" s="31" t="s">
        <v>570</v>
      </c>
      <c r="B64" s="58" t="s">
        <v>35</v>
      </c>
      <c r="C64" s="59" t="s">
        <v>567</v>
      </c>
      <c r="D64" s="59" t="s">
        <v>568</v>
      </c>
      <c r="E64" s="59" t="s">
        <v>452</v>
      </c>
      <c r="F64" s="60">
        <v>0.39</v>
      </c>
      <c r="G64" s="61"/>
      <c r="H64" s="61"/>
      <c r="I64" s="61"/>
      <c r="J64" s="61"/>
      <c r="K64" s="61"/>
      <c r="L64" s="61"/>
      <c r="M64" s="61"/>
      <c r="N64" s="61"/>
      <c r="O64" s="61"/>
      <c r="P64" s="61"/>
      <c r="Q64" s="61"/>
      <c r="R64" s="61"/>
      <c r="S64" s="61"/>
      <c r="T64" s="61"/>
      <c r="U64" s="61"/>
      <c r="V64" s="61"/>
      <c r="W64" s="61"/>
    </row>
    <row r="65" ht="15.75" customHeight="1">
      <c r="A65" s="31" t="s">
        <v>571</v>
      </c>
      <c r="B65" s="58" t="s">
        <v>37</v>
      </c>
      <c r="C65" s="59" t="s">
        <v>572</v>
      </c>
      <c r="D65" s="59" t="s">
        <v>573</v>
      </c>
      <c r="E65" s="59" t="s">
        <v>444</v>
      </c>
      <c r="F65" s="60">
        <v>0.525</v>
      </c>
      <c r="G65" s="64"/>
      <c r="H65" s="64"/>
      <c r="I65" s="64"/>
      <c r="J65" s="64"/>
      <c r="K65" s="64"/>
      <c r="L65" s="64"/>
      <c r="M65" s="64"/>
      <c r="N65" s="64"/>
      <c r="O65" s="64"/>
      <c r="P65" s="64"/>
      <c r="Q65" s="64"/>
      <c r="R65" s="64"/>
      <c r="S65" s="64"/>
      <c r="T65" s="64"/>
      <c r="U65" s="64"/>
      <c r="V65" s="64"/>
      <c r="W65" s="64"/>
    </row>
    <row r="66" ht="15.75" customHeight="1">
      <c r="A66" s="31" t="s">
        <v>574</v>
      </c>
      <c r="B66" s="58" t="s">
        <v>37</v>
      </c>
      <c r="C66" s="59" t="s">
        <v>572</v>
      </c>
      <c r="D66" s="59" t="s">
        <v>573</v>
      </c>
      <c r="E66" s="59" t="s">
        <v>448</v>
      </c>
      <c r="F66" s="60">
        <v>0.225</v>
      </c>
      <c r="G66" s="64"/>
      <c r="H66" s="64"/>
      <c r="I66" s="64"/>
      <c r="J66" s="64"/>
      <c r="K66" s="64"/>
      <c r="L66" s="64"/>
      <c r="M66" s="64"/>
      <c r="N66" s="64"/>
      <c r="O66" s="64"/>
      <c r="P66" s="64"/>
      <c r="Q66" s="64"/>
      <c r="R66" s="64"/>
      <c r="S66" s="64"/>
      <c r="T66" s="64"/>
      <c r="U66" s="64"/>
      <c r="V66" s="64"/>
      <c r="W66" s="64"/>
    </row>
    <row r="67" ht="15.75" customHeight="1">
      <c r="A67" s="31" t="s">
        <v>575</v>
      </c>
      <c r="B67" s="58" t="s">
        <v>37</v>
      </c>
      <c r="C67" s="59" t="s">
        <v>572</v>
      </c>
      <c r="D67" s="59" t="s">
        <v>573</v>
      </c>
      <c r="E67" s="59" t="s">
        <v>450</v>
      </c>
      <c r="F67" s="60">
        <v>0.45</v>
      </c>
      <c r="G67" s="64"/>
      <c r="H67" s="64"/>
      <c r="I67" s="64"/>
      <c r="J67" s="64"/>
      <c r="K67" s="64"/>
      <c r="L67" s="64"/>
      <c r="M67" s="64"/>
      <c r="N67" s="64"/>
      <c r="O67" s="64"/>
      <c r="P67" s="64"/>
      <c r="Q67" s="64"/>
      <c r="R67" s="64"/>
      <c r="S67" s="64"/>
      <c r="T67" s="64"/>
      <c r="U67" s="64"/>
      <c r="V67" s="64"/>
      <c r="W67" s="64"/>
    </row>
    <row r="68" ht="15.75" customHeight="1">
      <c r="A68" s="31" t="s">
        <v>576</v>
      </c>
      <c r="B68" s="58" t="s">
        <v>37</v>
      </c>
      <c r="C68" s="59" t="s">
        <v>572</v>
      </c>
      <c r="D68" s="59" t="s">
        <v>573</v>
      </c>
      <c r="E68" s="59" t="s">
        <v>452</v>
      </c>
      <c r="F68" s="60">
        <v>0.3</v>
      </c>
      <c r="G68" s="64"/>
      <c r="H68" s="64"/>
      <c r="I68" s="64"/>
      <c r="J68" s="64"/>
      <c r="K68" s="64"/>
      <c r="L68" s="64"/>
      <c r="M68" s="64"/>
      <c r="N68" s="64"/>
      <c r="O68" s="64"/>
      <c r="P68" s="64"/>
      <c r="Q68" s="64"/>
      <c r="R68" s="64"/>
      <c r="S68" s="64"/>
      <c r="T68" s="64"/>
      <c r="U68" s="64"/>
      <c r="V68" s="64"/>
      <c r="W68" s="64"/>
    </row>
    <row r="69" ht="15.75" customHeight="1">
      <c r="A69" s="31" t="s">
        <v>577</v>
      </c>
      <c r="B69" s="58" t="s">
        <v>37</v>
      </c>
      <c r="C69" s="59" t="s">
        <v>578</v>
      </c>
      <c r="D69" s="59" t="s">
        <v>579</v>
      </c>
      <c r="E69" s="59" t="s">
        <v>444</v>
      </c>
      <c r="F69" s="60">
        <v>0.375</v>
      </c>
      <c r="G69" s="64"/>
      <c r="H69" s="64"/>
      <c r="I69" s="64"/>
      <c r="J69" s="64"/>
      <c r="K69" s="64"/>
      <c r="L69" s="64"/>
      <c r="M69" s="64"/>
      <c r="N69" s="64"/>
      <c r="O69" s="64"/>
      <c r="P69" s="64"/>
      <c r="Q69" s="64"/>
      <c r="R69" s="64"/>
      <c r="S69" s="64"/>
      <c r="T69" s="64"/>
      <c r="U69" s="64"/>
      <c r="V69" s="64"/>
      <c r="W69" s="64"/>
    </row>
    <row r="70" ht="15.75" customHeight="1">
      <c r="A70" s="31" t="s">
        <v>580</v>
      </c>
      <c r="B70" s="58" t="s">
        <v>37</v>
      </c>
      <c r="C70" s="59" t="s">
        <v>578</v>
      </c>
      <c r="D70" s="59" t="s">
        <v>579</v>
      </c>
      <c r="E70" s="59" t="s">
        <v>448</v>
      </c>
      <c r="F70" s="60">
        <v>0.225</v>
      </c>
      <c r="G70" s="64"/>
      <c r="H70" s="64"/>
      <c r="I70" s="64"/>
      <c r="J70" s="64"/>
      <c r="K70" s="64"/>
      <c r="L70" s="64"/>
      <c r="M70" s="64"/>
      <c r="N70" s="64"/>
      <c r="O70" s="64"/>
      <c r="P70" s="64"/>
      <c r="Q70" s="64"/>
      <c r="R70" s="64"/>
      <c r="S70" s="64"/>
      <c r="T70" s="64"/>
      <c r="U70" s="64"/>
      <c r="V70" s="64"/>
      <c r="W70" s="64"/>
    </row>
    <row r="71" ht="15.75" customHeight="1">
      <c r="A71" s="31" t="s">
        <v>581</v>
      </c>
      <c r="B71" s="58" t="s">
        <v>37</v>
      </c>
      <c r="C71" s="59" t="s">
        <v>578</v>
      </c>
      <c r="D71" s="59" t="s">
        <v>579</v>
      </c>
      <c r="E71" s="59" t="s">
        <v>450</v>
      </c>
      <c r="F71" s="60">
        <v>0.6</v>
      </c>
      <c r="G71" s="64"/>
      <c r="H71" s="64"/>
      <c r="I71" s="64"/>
      <c r="J71" s="64"/>
      <c r="K71" s="64"/>
      <c r="L71" s="64"/>
      <c r="M71" s="64"/>
      <c r="N71" s="64"/>
      <c r="O71" s="64"/>
      <c r="P71" s="64"/>
      <c r="Q71" s="64"/>
      <c r="R71" s="64"/>
      <c r="S71" s="64"/>
      <c r="T71" s="64"/>
      <c r="U71" s="64"/>
      <c r="V71" s="64"/>
      <c r="W71" s="64"/>
    </row>
    <row r="72" ht="15.75" customHeight="1">
      <c r="A72" s="31" t="s">
        <v>582</v>
      </c>
      <c r="B72" s="58" t="s">
        <v>37</v>
      </c>
      <c r="C72" s="59" t="s">
        <v>578</v>
      </c>
      <c r="D72" s="59" t="s">
        <v>579</v>
      </c>
      <c r="E72" s="59" t="s">
        <v>458</v>
      </c>
      <c r="F72" s="60">
        <v>0.15</v>
      </c>
      <c r="G72" s="64"/>
      <c r="H72" s="64"/>
      <c r="I72" s="64"/>
      <c r="J72" s="64"/>
      <c r="K72" s="64"/>
      <c r="L72" s="64"/>
      <c r="M72" s="64"/>
      <c r="N72" s="64"/>
      <c r="O72" s="64"/>
      <c r="P72" s="64"/>
      <c r="Q72" s="64"/>
      <c r="R72" s="64"/>
      <c r="S72" s="64"/>
      <c r="T72" s="64"/>
      <c r="U72" s="64"/>
      <c r="V72" s="64"/>
      <c r="W72" s="64"/>
    </row>
    <row r="73" ht="15.75" customHeight="1">
      <c r="A73" s="31" t="s">
        <v>583</v>
      </c>
      <c r="B73" s="58" t="s">
        <v>37</v>
      </c>
      <c r="C73" s="59" t="s">
        <v>578</v>
      </c>
      <c r="D73" s="59" t="s">
        <v>579</v>
      </c>
      <c r="E73" s="59" t="s">
        <v>460</v>
      </c>
      <c r="F73" s="60">
        <v>0.225</v>
      </c>
      <c r="G73" s="64"/>
      <c r="H73" s="64"/>
      <c r="I73" s="64"/>
      <c r="J73" s="64"/>
      <c r="K73" s="64"/>
      <c r="L73" s="64"/>
      <c r="M73" s="64"/>
      <c r="N73" s="64"/>
      <c r="O73" s="64"/>
      <c r="P73" s="64"/>
      <c r="Q73" s="64"/>
      <c r="R73" s="64"/>
      <c r="S73" s="64"/>
      <c r="T73" s="64"/>
      <c r="U73" s="64"/>
      <c r="V73" s="64"/>
      <c r="W73" s="64"/>
    </row>
    <row r="74" ht="15.75" customHeight="1">
      <c r="A74" s="31" t="s">
        <v>584</v>
      </c>
      <c r="B74" s="58" t="s">
        <v>37</v>
      </c>
      <c r="C74" s="59" t="s">
        <v>585</v>
      </c>
      <c r="D74" s="59" t="s">
        <v>586</v>
      </c>
      <c r="E74" s="59" t="s">
        <v>452</v>
      </c>
      <c r="F74" s="60">
        <v>0.15</v>
      </c>
      <c r="G74" s="64"/>
      <c r="H74" s="64"/>
      <c r="I74" s="64"/>
      <c r="J74" s="64"/>
      <c r="K74" s="64"/>
      <c r="L74" s="64"/>
      <c r="M74" s="64"/>
      <c r="N74" s="64"/>
      <c r="O74" s="64"/>
      <c r="P74" s="64"/>
      <c r="Q74" s="64"/>
      <c r="R74" s="64"/>
      <c r="S74" s="64"/>
      <c r="T74" s="64"/>
      <c r="U74" s="64"/>
      <c r="V74" s="64"/>
      <c r="W74" s="64"/>
    </row>
    <row r="75" ht="15.75" customHeight="1">
      <c r="A75" s="31" t="s">
        <v>587</v>
      </c>
      <c r="B75" s="58" t="s">
        <v>37</v>
      </c>
      <c r="C75" s="59" t="s">
        <v>588</v>
      </c>
      <c r="D75" s="59" t="s">
        <v>589</v>
      </c>
      <c r="E75" s="59" t="s">
        <v>442</v>
      </c>
      <c r="F75" s="60">
        <v>0.225</v>
      </c>
      <c r="G75" s="64"/>
      <c r="H75" s="64"/>
      <c r="I75" s="64"/>
      <c r="J75" s="64"/>
      <c r="K75" s="64"/>
      <c r="L75" s="64"/>
      <c r="M75" s="64"/>
      <c r="N75" s="64"/>
      <c r="O75" s="64"/>
      <c r="P75" s="64"/>
      <c r="Q75" s="64"/>
      <c r="R75" s="64"/>
      <c r="S75" s="64"/>
      <c r="T75" s="64"/>
      <c r="U75" s="64"/>
      <c r="V75" s="64"/>
      <c r="W75" s="64"/>
    </row>
    <row r="76" ht="15.75" customHeight="1">
      <c r="A76" s="31" t="s">
        <v>590</v>
      </c>
      <c r="B76" s="58" t="s">
        <v>37</v>
      </c>
      <c r="C76" s="59" t="s">
        <v>588</v>
      </c>
      <c r="D76" s="59" t="s">
        <v>589</v>
      </c>
      <c r="E76" s="59" t="s">
        <v>446</v>
      </c>
      <c r="F76" s="60">
        <v>0.225</v>
      </c>
      <c r="G76" s="64"/>
      <c r="H76" s="64"/>
      <c r="I76" s="64"/>
      <c r="J76" s="64"/>
      <c r="K76" s="64"/>
      <c r="L76" s="64"/>
      <c r="M76" s="64"/>
      <c r="N76" s="64"/>
      <c r="O76" s="64"/>
      <c r="P76" s="64"/>
      <c r="Q76" s="64"/>
      <c r="R76" s="64"/>
      <c r="S76" s="64"/>
      <c r="T76" s="64"/>
      <c r="U76" s="64"/>
      <c r="V76" s="64"/>
      <c r="W76" s="64"/>
    </row>
    <row r="77" ht="15.75" customHeight="1">
      <c r="A77" s="31" t="s">
        <v>591</v>
      </c>
      <c r="B77" s="58" t="s">
        <v>37</v>
      </c>
      <c r="C77" s="59" t="s">
        <v>588</v>
      </c>
      <c r="D77" s="59" t="s">
        <v>589</v>
      </c>
      <c r="E77" s="59" t="s">
        <v>454</v>
      </c>
      <c r="F77" s="60">
        <v>0.15</v>
      </c>
      <c r="G77" s="64"/>
      <c r="H77" s="64"/>
      <c r="I77" s="64"/>
      <c r="J77" s="64"/>
      <c r="K77" s="64"/>
      <c r="L77" s="64"/>
      <c r="M77" s="64"/>
      <c r="N77" s="64"/>
      <c r="O77" s="64"/>
      <c r="P77" s="64"/>
      <c r="Q77" s="64"/>
      <c r="R77" s="64"/>
      <c r="S77" s="64"/>
      <c r="T77" s="64"/>
      <c r="U77" s="64"/>
      <c r="V77" s="64"/>
      <c r="W77" s="64"/>
    </row>
    <row r="78" ht="15.75" customHeight="1">
      <c r="A78" s="31" t="s">
        <v>592</v>
      </c>
      <c r="B78" s="58" t="s">
        <v>37</v>
      </c>
      <c r="C78" s="59" t="s">
        <v>588</v>
      </c>
      <c r="D78" s="59" t="s">
        <v>589</v>
      </c>
      <c r="E78" s="59" t="s">
        <v>456</v>
      </c>
      <c r="F78" s="60">
        <v>0.45</v>
      </c>
      <c r="G78" s="64"/>
      <c r="H78" s="64"/>
      <c r="I78" s="64"/>
      <c r="J78" s="64"/>
      <c r="K78" s="64"/>
      <c r="L78" s="64"/>
      <c r="M78" s="64"/>
      <c r="N78" s="64"/>
      <c r="O78" s="64"/>
      <c r="P78" s="64"/>
      <c r="Q78" s="64"/>
      <c r="R78" s="64"/>
      <c r="S78" s="64"/>
      <c r="T78" s="64"/>
      <c r="U78" s="64"/>
      <c r="V78" s="64"/>
      <c r="W78" s="64"/>
    </row>
    <row r="79" ht="15.75" customHeight="1">
      <c r="A79" s="31" t="s">
        <v>593</v>
      </c>
      <c r="B79" s="58" t="s">
        <v>37</v>
      </c>
      <c r="C79" s="59" t="s">
        <v>588</v>
      </c>
      <c r="D79" s="59" t="s">
        <v>589</v>
      </c>
      <c r="E79" s="59" t="s">
        <v>458</v>
      </c>
      <c r="F79" s="60">
        <v>0.375</v>
      </c>
      <c r="G79" s="64"/>
      <c r="H79" s="64"/>
      <c r="I79" s="64"/>
      <c r="J79" s="64"/>
      <c r="K79" s="64"/>
      <c r="L79" s="64"/>
      <c r="M79" s="64"/>
      <c r="N79" s="64"/>
      <c r="O79" s="64"/>
      <c r="P79" s="64"/>
      <c r="Q79" s="64"/>
      <c r="R79" s="64"/>
      <c r="S79" s="64"/>
      <c r="T79" s="64"/>
      <c r="U79" s="64"/>
      <c r="V79" s="64"/>
      <c r="W79" s="64"/>
    </row>
    <row r="80" ht="15.75" customHeight="1">
      <c r="A80" s="31" t="s">
        <v>594</v>
      </c>
      <c r="B80" s="58" t="s">
        <v>37</v>
      </c>
      <c r="C80" s="59" t="s">
        <v>588</v>
      </c>
      <c r="D80" s="59" t="s">
        <v>589</v>
      </c>
      <c r="E80" s="59" t="s">
        <v>462</v>
      </c>
      <c r="F80" s="60">
        <v>0.15</v>
      </c>
      <c r="G80" s="64"/>
      <c r="H80" s="64"/>
      <c r="I80" s="64"/>
      <c r="J80" s="64"/>
      <c r="K80" s="64"/>
      <c r="L80" s="64"/>
      <c r="M80" s="64"/>
      <c r="N80" s="64"/>
      <c r="O80" s="64"/>
      <c r="P80" s="64"/>
      <c r="Q80" s="64"/>
      <c r="R80" s="64"/>
      <c r="S80" s="64"/>
      <c r="T80" s="64"/>
      <c r="U80" s="64"/>
      <c r="V80" s="64"/>
      <c r="W80" s="64"/>
    </row>
    <row r="81" ht="15.75" customHeight="1">
      <c r="A81" s="31" t="s">
        <v>595</v>
      </c>
      <c r="B81" s="58" t="s">
        <v>37</v>
      </c>
      <c r="C81" s="59" t="s">
        <v>588</v>
      </c>
      <c r="D81" s="59" t="s">
        <v>589</v>
      </c>
      <c r="E81" s="59" t="s">
        <v>468</v>
      </c>
      <c r="F81" s="60">
        <v>0.375</v>
      </c>
      <c r="G81" s="64"/>
      <c r="H81" s="64"/>
      <c r="I81" s="64"/>
      <c r="J81" s="64"/>
      <c r="K81" s="64"/>
      <c r="L81" s="64"/>
      <c r="M81" s="64"/>
      <c r="N81" s="64"/>
      <c r="O81" s="64"/>
      <c r="P81" s="64"/>
      <c r="Q81" s="64"/>
      <c r="R81" s="64"/>
      <c r="S81" s="64"/>
      <c r="T81" s="64"/>
      <c r="U81" s="64"/>
      <c r="V81" s="64"/>
      <c r="W81" s="64"/>
    </row>
    <row r="82" ht="15.75" customHeight="1">
      <c r="A82" s="31" t="s">
        <v>596</v>
      </c>
      <c r="B82" s="58" t="s">
        <v>37</v>
      </c>
      <c r="C82" s="59" t="s">
        <v>597</v>
      </c>
      <c r="D82" s="59" t="s">
        <v>598</v>
      </c>
      <c r="E82" s="59" t="s">
        <v>442</v>
      </c>
      <c r="F82" s="60">
        <v>0.225</v>
      </c>
      <c r="G82" s="64"/>
      <c r="H82" s="64"/>
      <c r="I82" s="64"/>
      <c r="J82" s="64"/>
      <c r="K82" s="64"/>
      <c r="L82" s="64"/>
      <c r="M82" s="64"/>
      <c r="N82" s="64"/>
      <c r="O82" s="64"/>
      <c r="P82" s="64"/>
      <c r="Q82" s="64"/>
      <c r="R82" s="64"/>
      <c r="S82" s="64"/>
      <c r="T82" s="64"/>
      <c r="U82" s="64"/>
      <c r="V82" s="64"/>
      <c r="W82" s="64"/>
    </row>
    <row r="83" ht="15.75" customHeight="1">
      <c r="A83" s="31" t="s">
        <v>599</v>
      </c>
      <c r="B83" s="58" t="s">
        <v>37</v>
      </c>
      <c r="C83" s="59" t="s">
        <v>597</v>
      </c>
      <c r="D83" s="59" t="s">
        <v>598</v>
      </c>
      <c r="E83" s="59" t="s">
        <v>446</v>
      </c>
      <c r="F83" s="60">
        <v>0.15</v>
      </c>
      <c r="G83" s="64"/>
      <c r="H83" s="64"/>
      <c r="I83" s="64"/>
      <c r="J83" s="64"/>
      <c r="K83" s="64"/>
      <c r="L83" s="64"/>
      <c r="M83" s="64"/>
      <c r="N83" s="64"/>
      <c r="O83" s="64"/>
      <c r="P83" s="64"/>
      <c r="Q83" s="64"/>
      <c r="R83" s="64"/>
      <c r="S83" s="64"/>
      <c r="T83" s="64"/>
      <c r="U83" s="64"/>
      <c r="V83" s="64"/>
      <c r="W83" s="64"/>
    </row>
    <row r="84" ht="15.75" customHeight="1">
      <c r="A84" s="31" t="s">
        <v>600</v>
      </c>
      <c r="B84" s="58" t="s">
        <v>37</v>
      </c>
      <c r="C84" s="59" t="s">
        <v>597</v>
      </c>
      <c r="D84" s="59" t="s">
        <v>598</v>
      </c>
      <c r="E84" s="59" t="s">
        <v>454</v>
      </c>
      <c r="F84" s="60">
        <v>0.6</v>
      </c>
      <c r="G84" s="64"/>
      <c r="H84" s="64"/>
      <c r="I84" s="64"/>
      <c r="J84" s="64"/>
      <c r="K84" s="64"/>
      <c r="L84" s="64"/>
      <c r="M84" s="64"/>
      <c r="N84" s="64"/>
      <c r="O84" s="64"/>
      <c r="P84" s="64"/>
      <c r="Q84" s="64"/>
      <c r="R84" s="64"/>
      <c r="S84" s="64"/>
      <c r="T84" s="64"/>
      <c r="U84" s="64"/>
      <c r="V84" s="64"/>
      <c r="W84" s="64"/>
    </row>
    <row r="85" ht="15.75" customHeight="1">
      <c r="A85" s="31" t="s">
        <v>601</v>
      </c>
      <c r="B85" s="58" t="s">
        <v>37</v>
      </c>
      <c r="C85" s="59" t="s">
        <v>597</v>
      </c>
      <c r="D85" s="59" t="s">
        <v>598</v>
      </c>
      <c r="E85" s="59" t="s">
        <v>460</v>
      </c>
      <c r="F85" s="60">
        <v>0.375</v>
      </c>
      <c r="G85" s="64"/>
      <c r="H85" s="64"/>
      <c r="I85" s="64"/>
      <c r="J85" s="64"/>
      <c r="K85" s="64"/>
      <c r="L85" s="64"/>
      <c r="M85" s="64"/>
      <c r="N85" s="64"/>
      <c r="O85" s="64"/>
      <c r="P85" s="64"/>
      <c r="Q85" s="64"/>
      <c r="R85" s="64"/>
      <c r="S85" s="64"/>
      <c r="T85" s="64"/>
      <c r="U85" s="64"/>
      <c r="V85" s="64"/>
      <c r="W85" s="64"/>
    </row>
    <row r="86" ht="15.75" customHeight="1">
      <c r="A86" s="31" t="s">
        <v>602</v>
      </c>
      <c r="B86" s="58" t="s">
        <v>37</v>
      </c>
      <c r="C86" s="59" t="s">
        <v>597</v>
      </c>
      <c r="D86" s="59" t="s">
        <v>598</v>
      </c>
      <c r="E86" s="59" t="s">
        <v>462</v>
      </c>
      <c r="F86" s="60">
        <v>0.6</v>
      </c>
      <c r="G86" s="64"/>
      <c r="H86" s="64"/>
      <c r="I86" s="64"/>
      <c r="J86" s="64"/>
      <c r="K86" s="64"/>
      <c r="L86" s="64"/>
      <c r="M86" s="64"/>
      <c r="N86" s="64"/>
      <c r="O86" s="64"/>
      <c r="P86" s="64"/>
      <c r="Q86" s="64"/>
      <c r="R86" s="64"/>
      <c r="S86" s="64"/>
      <c r="T86" s="64"/>
      <c r="U86" s="64"/>
      <c r="V86" s="64"/>
      <c r="W86" s="64"/>
    </row>
    <row r="87" ht="15.75" customHeight="1">
      <c r="A87" s="31" t="s">
        <v>603</v>
      </c>
      <c r="B87" s="58" t="s">
        <v>37</v>
      </c>
      <c r="C87" s="59" t="s">
        <v>597</v>
      </c>
      <c r="D87" s="59" t="s">
        <v>598</v>
      </c>
      <c r="E87" s="59" t="s">
        <v>466</v>
      </c>
      <c r="F87" s="60">
        <v>0.3</v>
      </c>
      <c r="G87" s="64"/>
      <c r="H87" s="64"/>
      <c r="I87" s="64"/>
      <c r="J87" s="64"/>
      <c r="K87" s="64"/>
      <c r="L87" s="64"/>
      <c r="M87" s="64"/>
      <c r="N87" s="64"/>
      <c r="O87" s="64"/>
      <c r="P87" s="64"/>
      <c r="Q87" s="64"/>
      <c r="R87" s="64"/>
      <c r="S87" s="64"/>
      <c r="T87" s="64"/>
      <c r="U87" s="64"/>
      <c r="V87" s="64"/>
      <c r="W87" s="64"/>
    </row>
    <row r="88" ht="15.75" customHeight="1">
      <c r="A88" s="31" t="s">
        <v>604</v>
      </c>
      <c r="B88" s="58" t="s">
        <v>37</v>
      </c>
      <c r="C88" s="59" t="s">
        <v>537</v>
      </c>
      <c r="D88" s="59" t="s">
        <v>605</v>
      </c>
      <c r="E88" s="59" t="s">
        <v>442</v>
      </c>
      <c r="F88" s="60">
        <v>0.15</v>
      </c>
      <c r="G88" s="64"/>
      <c r="H88" s="64"/>
      <c r="I88" s="64"/>
      <c r="J88" s="64"/>
      <c r="K88" s="64"/>
      <c r="L88" s="64"/>
      <c r="M88" s="64"/>
      <c r="N88" s="64"/>
      <c r="O88" s="64"/>
      <c r="P88" s="64"/>
      <c r="Q88" s="64"/>
      <c r="R88" s="64"/>
      <c r="S88" s="64"/>
      <c r="T88" s="64"/>
      <c r="U88" s="64"/>
      <c r="V88" s="64"/>
      <c r="W88" s="64"/>
    </row>
    <row r="89" ht="15.75" customHeight="1">
      <c r="A89" s="31" t="s">
        <v>606</v>
      </c>
      <c r="B89" s="58" t="s">
        <v>37</v>
      </c>
      <c r="C89" s="59" t="s">
        <v>537</v>
      </c>
      <c r="D89" s="59" t="s">
        <v>605</v>
      </c>
      <c r="E89" s="59" t="s">
        <v>444</v>
      </c>
      <c r="F89" s="60">
        <v>0.525</v>
      </c>
      <c r="G89" s="64"/>
      <c r="H89" s="64"/>
      <c r="I89" s="64"/>
      <c r="J89" s="64"/>
      <c r="K89" s="64"/>
      <c r="L89" s="64"/>
      <c r="M89" s="64"/>
      <c r="N89" s="64"/>
      <c r="O89" s="64"/>
      <c r="P89" s="64"/>
      <c r="Q89" s="64"/>
      <c r="R89" s="64"/>
      <c r="S89" s="64"/>
      <c r="T89" s="64"/>
      <c r="U89" s="64"/>
      <c r="V89" s="64"/>
      <c r="W89" s="64"/>
    </row>
    <row r="90" ht="15.75" customHeight="1">
      <c r="A90" s="31" t="s">
        <v>607</v>
      </c>
      <c r="B90" s="58" t="s">
        <v>37</v>
      </c>
      <c r="C90" s="59" t="s">
        <v>537</v>
      </c>
      <c r="D90" s="59" t="s">
        <v>605</v>
      </c>
      <c r="E90" s="59" t="s">
        <v>448</v>
      </c>
      <c r="F90" s="60">
        <v>0.3</v>
      </c>
      <c r="G90" s="64"/>
      <c r="H90" s="64"/>
      <c r="I90" s="64"/>
      <c r="J90" s="64"/>
      <c r="K90" s="64"/>
      <c r="L90" s="64"/>
      <c r="M90" s="64"/>
      <c r="N90" s="64"/>
      <c r="O90" s="64"/>
      <c r="P90" s="64"/>
      <c r="Q90" s="64"/>
      <c r="R90" s="64"/>
      <c r="S90" s="64"/>
      <c r="T90" s="64"/>
      <c r="U90" s="64"/>
      <c r="V90" s="64"/>
      <c r="W90" s="64"/>
    </row>
    <row r="91" ht="15.75" customHeight="1">
      <c r="A91" s="31" t="s">
        <v>608</v>
      </c>
      <c r="B91" s="58" t="s">
        <v>37</v>
      </c>
      <c r="C91" s="59" t="s">
        <v>537</v>
      </c>
      <c r="D91" s="59" t="s">
        <v>605</v>
      </c>
      <c r="E91" s="59" t="s">
        <v>450</v>
      </c>
      <c r="F91" s="60">
        <v>0.3</v>
      </c>
      <c r="G91" s="64"/>
      <c r="H91" s="64"/>
      <c r="I91" s="64"/>
      <c r="J91" s="64"/>
      <c r="K91" s="64"/>
      <c r="L91" s="64"/>
      <c r="M91" s="64"/>
      <c r="N91" s="64"/>
      <c r="O91" s="64"/>
      <c r="P91" s="64"/>
      <c r="Q91" s="64"/>
      <c r="R91" s="64"/>
      <c r="S91" s="64"/>
      <c r="T91" s="64"/>
      <c r="U91" s="64"/>
      <c r="V91" s="64"/>
      <c r="W91" s="64"/>
    </row>
    <row r="92" ht="15.75" customHeight="1">
      <c r="A92" s="31" t="s">
        <v>609</v>
      </c>
      <c r="B92" s="58" t="s">
        <v>37</v>
      </c>
      <c r="C92" s="59" t="s">
        <v>537</v>
      </c>
      <c r="D92" s="59" t="s">
        <v>605</v>
      </c>
      <c r="E92" s="59" t="s">
        <v>452</v>
      </c>
      <c r="F92" s="60">
        <v>0.15</v>
      </c>
      <c r="G92" s="64"/>
      <c r="H92" s="64"/>
      <c r="I92" s="64"/>
      <c r="J92" s="64"/>
      <c r="K92" s="64"/>
      <c r="L92" s="64"/>
      <c r="M92" s="64"/>
      <c r="N92" s="64"/>
      <c r="O92" s="64"/>
      <c r="P92" s="64"/>
      <c r="Q92" s="64"/>
      <c r="R92" s="64"/>
      <c r="S92" s="64"/>
      <c r="T92" s="64"/>
      <c r="U92" s="64"/>
      <c r="V92" s="64"/>
      <c r="W92" s="64"/>
    </row>
    <row r="93" ht="15.75" customHeight="1">
      <c r="A93" s="31" t="s">
        <v>610</v>
      </c>
      <c r="B93" s="58" t="s">
        <v>37</v>
      </c>
      <c r="C93" s="59" t="s">
        <v>611</v>
      </c>
      <c r="D93" s="59" t="s">
        <v>612</v>
      </c>
      <c r="E93" s="59" t="s">
        <v>444</v>
      </c>
      <c r="F93" s="60">
        <v>0.375</v>
      </c>
      <c r="G93" s="61"/>
      <c r="H93" s="61"/>
      <c r="I93" s="61"/>
      <c r="J93" s="61"/>
      <c r="K93" s="61"/>
      <c r="L93" s="61"/>
      <c r="M93" s="61"/>
      <c r="N93" s="61"/>
      <c r="O93" s="61"/>
      <c r="P93" s="61"/>
      <c r="Q93" s="61"/>
      <c r="R93" s="61"/>
      <c r="S93" s="61"/>
      <c r="T93" s="61"/>
      <c r="U93" s="61"/>
      <c r="V93" s="61"/>
      <c r="W93" s="61"/>
    </row>
    <row r="94" ht="15.75" customHeight="1">
      <c r="A94" s="31" t="s">
        <v>613</v>
      </c>
      <c r="B94" s="58" t="s">
        <v>37</v>
      </c>
      <c r="C94" s="59" t="s">
        <v>611</v>
      </c>
      <c r="D94" s="59" t="s">
        <v>612</v>
      </c>
      <c r="E94" s="59" t="s">
        <v>448</v>
      </c>
      <c r="F94" s="60">
        <v>0.9</v>
      </c>
      <c r="G94" s="61"/>
      <c r="H94" s="61"/>
      <c r="I94" s="61"/>
      <c r="J94" s="61"/>
      <c r="K94" s="61"/>
      <c r="L94" s="61"/>
      <c r="M94" s="61"/>
      <c r="N94" s="61"/>
      <c r="O94" s="61"/>
      <c r="P94" s="61"/>
      <c r="Q94" s="61"/>
      <c r="R94" s="61"/>
      <c r="S94" s="61"/>
      <c r="T94" s="61"/>
      <c r="U94" s="61"/>
      <c r="V94" s="61"/>
      <c r="W94" s="61"/>
    </row>
    <row r="95" ht="15.75" customHeight="1">
      <c r="A95" s="31" t="s">
        <v>614</v>
      </c>
      <c r="B95" s="58" t="s">
        <v>37</v>
      </c>
      <c r="C95" s="59" t="s">
        <v>611</v>
      </c>
      <c r="D95" s="59" t="s">
        <v>612</v>
      </c>
      <c r="E95" s="59" t="s">
        <v>450</v>
      </c>
      <c r="F95" s="60">
        <v>0.3</v>
      </c>
      <c r="G95" s="61"/>
      <c r="H95" s="61"/>
      <c r="I95" s="61"/>
      <c r="J95" s="61"/>
      <c r="K95" s="61"/>
      <c r="L95" s="61"/>
      <c r="M95" s="61"/>
      <c r="N95" s="61"/>
      <c r="O95" s="61"/>
      <c r="P95" s="61"/>
      <c r="Q95" s="61"/>
      <c r="R95" s="61"/>
      <c r="S95" s="61"/>
      <c r="T95" s="61"/>
      <c r="U95" s="61"/>
      <c r="V95" s="61"/>
      <c r="W95" s="61"/>
    </row>
    <row r="96" ht="15.75" customHeight="1">
      <c r="A96" s="31" t="s">
        <v>615</v>
      </c>
      <c r="B96" s="58" t="s">
        <v>37</v>
      </c>
      <c r="C96" s="59" t="s">
        <v>611</v>
      </c>
      <c r="D96" s="59" t="s">
        <v>612</v>
      </c>
      <c r="E96" s="59" t="s">
        <v>458</v>
      </c>
      <c r="F96" s="60">
        <v>0.15</v>
      </c>
      <c r="G96" s="61"/>
      <c r="H96" s="61"/>
      <c r="I96" s="61"/>
      <c r="J96" s="61"/>
      <c r="K96" s="61"/>
      <c r="L96" s="61"/>
      <c r="M96" s="61"/>
      <c r="N96" s="61"/>
      <c r="O96" s="61"/>
      <c r="P96" s="61"/>
      <c r="Q96" s="61"/>
      <c r="R96" s="61"/>
      <c r="S96" s="61"/>
      <c r="T96" s="61"/>
      <c r="U96" s="61"/>
      <c r="V96" s="61"/>
      <c r="W96" s="61"/>
    </row>
    <row r="97" ht="15.75" customHeight="1">
      <c r="A97" s="31" t="s">
        <v>616</v>
      </c>
      <c r="B97" s="58" t="s">
        <v>37</v>
      </c>
      <c r="C97" s="59" t="s">
        <v>611</v>
      </c>
      <c r="D97" s="59" t="s">
        <v>612</v>
      </c>
      <c r="E97" s="62" t="s">
        <v>464</v>
      </c>
      <c r="F97" s="63">
        <v>0.35</v>
      </c>
      <c r="G97" s="61"/>
      <c r="H97" s="61"/>
      <c r="I97" s="61"/>
      <c r="J97" s="61"/>
      <c r="K97" s="61"/>
      <c r="L97" s="61"/>
      <c r="M97" s="61"/>
      <c r="N97" s="61"/>
      <c r="O97" s="61"/>
      <c r="P97" s="61"/>
      <c r="Q97" s="61"/>
      <c r="R97" s="61"/>
      <c r="S97" s="61"/>
      <c r="T97" s="61"/>
      <c r="U97" s="61"/>
      <c r="V97" s="61"/>
      <c r="W97" s="61"/>
    </row>
    <row r="98" ht="15.75" customHeight="1">
      <c r="A98" s="31" t="s">
        <v>617</v>
      </c>
      <c r="B98" s="58" t="s">
        <v>44</v>
      </c>
      <c r="C98" s="59" t="s">
        <v>618</v>
      </c>
      <c r="D98" s="59" t="s">
        <v>619</v>
      </c>
      <c r="E98" s="59" t="s">
        <v>442</v>
      </c>
      <c r="F98" s="60">
        <v>1.0</v>
      </c>
      <c r="G98" s="61"/>
      <c r="H98" s="61"/>
      <c r="I98" s="61"/>
      <c r="J98" s="61"/>
      <c r="K98" s="61"/>
      <c r="L98" s="61"/>
      <c r="M98" s="61"/>
      <c r="N98" s="61"/>
      <c r="O98" s="61"/>
      <c r="P98" s="61"/>
      <c r="Q98" s="61"/>
      <c r="R98" s="61"/>
      <c r="S98" s="61"/>
      <c r="T98" s="61"/>
      <c r="U98" s="61"/>
      <c r="V98" s="61"/>
      <c r="W98" s="61"/>
    </row>
    <row r="99" ht="15.75" customHeight="1">
      <c r="A99" s="31" t="s">
        <v>620</v>
      </c>
      <c r="B99" s="58" t="s">
        <v>44</v>
      </c>
      <c r="C99" s="59" t="s">
        <v>618</v>
      </c>
      <c r="D99" s="59" t="s">
        <v>619</v>
      </c>
      <c r="E99" s="59" t="s">
        <v>446</v>
      </c>
      <c r="F99" s="60">
        <v>0.8</v>
      </c>
      <c r="G99" s="61"/>
      <c r="H99" s="61"/>
      <c r="I99" s="61"/>
      <c r="J99" s="61"/>
      <c r="K99" s="61"/>
      <c r="L99" s="61"/>
      <c r="M99" s="61"/>
      <c r="N99" s="61"/>
      <c r="O99" s="61"/>
      <c r="P99" s="61"/>
      <c r="Q99" s="61"/>
      <c r="R99" s="61"/>
      <c r="S99" s="61"/>
      <c r="T99" s="61"/>
      <c r="U99" s="61"/>
      <c r="V99" s="61"/>
      <c r="W99" s="61"/>
    </row>
    <row r="100" ht="15.75" customHeight="1">
      <c r="A100" s="31" t="s">
        <v>621</v>
      </c>
      <c r="B100" s="58" t="s">
        <v>44</v>
      </c>
      <c r="C100" s="59" t="s">
        <v>618</v>
      </c>
      <c r="D100" s="59" t="s">
        <v>619</v>
      </c>
      <c r="E100" s="59" t="s">
        <v>454</v>
      </c>
      <c r="F100" s="60">
        <v>0.9</v>
      </c>
      <c r="G100" s="61"/>
      <c r="H100" s="61"/>
      <c r="I100" s="61"/>
      <c r="J100" s="61"/>
      <c r="K100" s="61"/>
      <c r="L100" s="61"/>
      <c r="M100" s="61"/>
      <c r="N100" s="61"/>
      <c r="O100" s="61"/>
      <c r="P100" s="61"/>
      <c r="Q100" s="61"/>
      <c r="R100" s="61"/>
      <c r="S100" s="61"/>
      <c r="T100" s="61"/>
      <c r="U100" s="61"/>
      <c r="V100" s="61"/>
      <c r="W100" s="61"/>
    </row>
    <row r="101" ht="15.75" customHeight="1">
      <c r="A101" s="31" t="s">
        <v>622</v>
      </c>
      <c r="B101" s="58" t="s">
        <v>44</v>
      </c>
      <c r="C101" s="59" t="s">
        <v>618</v>
      </c>
      <c r="D101" s="59" t="s">
        <v>619</v>
      </c>
      <c r="E101" s="59" t="s">
        <v>464</v>
      </c>
      <c r="F101" s="60">
        <v>0.5</v>
      </c>
      <c r="G101" s="61"/>
      <c r="H101" s="61"/>
      <c r="I101" s="61"/>
      <c r="J101" s="61"/>
      <c r="K101" s="61"/>
      <c r="L101" s="61"/>
      <c r="M101" s="61"/>
      <c r="N101" s="61"/>
      <c r="O101" s="61"/>
      <c r="P101" s="61"/>
      <c r="Q101" s="61"/>
      <c r="R101" s="61"/>
      <c r="S101" s="61"/>
      <c r="T101" s="61"/>
      <c r="U101" s="61"/>
      <c r="V101" s="61"/>
      <c r="W101" s="61"/>
    </row>
    <row r="102" ht="15.75" customHeight="1">
      <c r="A102" s="31" t="s">
        <v>623</v>
      </c>
      <c r="B102" s="58" t="s">
        <v>44</v>
      </c>
      <c r="C102" s="59" t="s">
        <v>624</v>
      </c>
      <c r="D102" s="59" t="s">
        <v>625</v>
      </c>
      <c r="E102" s="59" t="s">
        <v>448</v>
      </c>
      <c r="F102" s="60">
        <v>0.6</v>
      </c>
      <c r="G102" s="61"/>
      <c r="H102" s="61"/>
      <c r="I102" s="61"/>
      <c r="J102" s="61"/>
      <c r="K102" s="61"/>
      <c r="L102" s="61"/>
      <c r="M102" s="61"/>
      <c r="N102" s="61"/>
      <c r="O102" s="61"/>
      <c r="P102" s="61"/>
      <c r="Q102" s="61"/>
      <c r="R102" s="61"/>
      <c r="S102" s="61"/>
      <c r="T102" s="61"/>
      <c r="U102" s="61"/>
      <c r="V102" s="61"/>
      <c r="W102" s="61"/>
    </row>
    <row r="103" ht="15.75" customHeight="1">
      <c r="A103" s="31" t="s">
        <v>626</v>
      </c>
      <c r="B103" s="58" t="s">
        <v>44</v>
      </c>
      <c r="C103" s="59" t="s">
        <v>624</v>
      </c>
      <c r="D103" s="59" t="s">
        <v>625</v>
      </c>
      <c r="E103" s="59" t="s">
        <v>450</v>
      </c>
      <c r="F103" s="60">
        <v>0.9</v>
      </c>
      <c r="G103" s="61"/>
      <c r="H103" s="61"/>
      <c r="I103" s="61"/>
      <c r="J103" s="61"/>
      <c r="K103" s="61"/>
      <c r="L103" s="61"/>
      <c r="M103" s="61"/>
      <c r="N103" s="61"/>
      <c r="O103" s="61"/>
      <c r="P103" s="61"/>
      <c r="Q103" s="61"/>
      <c r="R103" s="61"/>
      <c r="S103" s="61"/>
      <c r="T103" s="61"/>
      <c r="U103" s="61"/>
      <c r="V103" s="61"/>
      <c r="W103" s="61"/>
    </row>
    <row r="104" ht="15.75" customHeight="1">
      <c r="A104" s="31" t="s">
        <v>627</v>
      </c>
      <c r="B104" s="58" t="s">
        <v>44</v>
      </c>
      <c r="C104" s="59" t="s">
        <v>624</v>
      </c>
      <c r="D104" s="59" t="s">
        <v>625</v>
      </c>
      <c r="E104" s="59" t="s">
        <v>458</v>
      </c>
      <c r="F104" s="60">
        <v>1.1</v>
      </c>
      <c r="G104" s="61"/>
      <c r="H104" s="61"/>
      <c r="I104" s="61"/>
      <c r="J104" s="61"/>
      <c r="K104" s="61"/>
      <c r="L104" s="61"/>
      <c r="M104" s="61"/>
      <c r="N104" s="61"/>
      <c r="O104" s="61"/>
      <c r="P104" s="61"/>
      <c r="Q104" s="61"/>
      <c r="R104" s="61"/>
      <c r="S104" s="61"/>
      <c r="T104" s="61"/>
      <c r="U104" s="61"/>
      <c r="V104" s="61"/>
      <c r="W104" s="61"/>
    </row>
    <row r="105" ht="15.75" customHeight="1">
      <c r="A105" s="31" t="s">
        <v>628</v>
      </c>
      <c r="B105" s="58" t="s">
        <v>44</v>
      </c>
      <c r="C105" s="59" t="s">
        <v>629</v>
      </c>
      <c r="D105" s="59" t="s">
        <v>630</v>
      </c>
      <c r="E105" s="59" t="s">
        <v>452</v>
      </c>
      <c r="F105" s="60">
        <v>0.6</v>
      </c>
      <c r="G105" s="61"/>
      <c r="H105" s="61"/>
      <c r="I105" s="61"/>
      <c r="J105" s="61"/>
      <c r="K105" s="61"/>
      <c r="L105" s="61"/>
      <c r="M105" s="61"/>
      <c r="N105" s="61"/>
      <c r="O105" s="61"/>
      <c r="P105" s="61"/>
      <c r="Q105" s="61"/>
      <c r="R105" s="61"/>
      <c r="S105" s="61"/>
      <c r="T105" s="61"/>
      <c r="U105" s="61"/>
      <c r="V105" s="61"/>
      <c r="W105" s="61"/>
    </row>
    <row r="106" ht="15.75" customHeight="1">
      <c r="A106" s="31" t="s">
        <v>631</v>
      </c>
      <c r="B106" s="58" t="s">
        <v>44</v>
      </c>
      <c r="C106" s="59" t="s">
        <v>629</v>
      </c>
      <c r="D106" s="59" t="s">
        <v>630</v>
      </c>
      <c r="E106" s="59" t="s">
        <v>460</v>
      </c>
      <c r="F106" s="60">
        <v>0.4</v>
      </c>
      <c r="G106" s="61"/>
      <c r="H106" s="61"/>
      <c r="I106" s="61"/>
      <c r="J106" s="61"/>
      <c r="K106" s="61"/>
      <c r="L106" s="61"/>
      <c r="M106" s="61"/>
      <c r="N106" s="61"/>
      <c r="O106" s="61"/>
      <c r="P106" s="61"/>
      <c r="Q106" s="61"/>
      <c r="R106" s="61"/>
      <c r="S106" s="61"/>
      <c r="T106" s="61"/>
      <c r="U106" s="61"/>
      <c r="V106" s="61"/>
      <c r="W106" s="61"/>
    </row>
    <row r="107" ht="15.75" customHeight="1">
      <c r="A107" s="31" t="s">
        <v>632</v>
      </c>
      <c r="B107" s="58" t="s">
        <v>44</v>
      </c>
      <c r="C107" s="59" t="s">
        <v>629</v>
      </c>
      <c r="D107" s="59" t="s">
        <v>630</v>
      </c>
      <c r="E107" s="59" t="s">
        <v>466</v>
      </c>
      <c r="F107" s="60">
        <v>1.2</v>
      </c>
      <c r="G107" s="61"/>
      <c r="H107" s="61"/>
      <c r="I107" s="61"/>
      <c r="J107" s="61"/>
      <c r="K107" s="61"/>
      <c r="L107" s="61"/>
      <c r="M107" s="61"/>
      <c r="N107" s="61"/>
      <c r="O107" s="61"/>
      <c r="P107" s="61"/>
      <c r="Q107" s="61"/>
      <c r="R107" s="61"/>
      <c r="S107" s="61"/>
      <c r="T107" s="61"/>
      <c r="U107" s="61"/>
      <c r="V107" s="61"/>
      <c r="W107" s="61"/>
    </row>
    <row r="108" ht="15.75" customHeight="1">
      <c r="A108" s="31" t="s">
        <v>633</v>
      </c>
      <c r="B108" s="58" t="s">
        <v>44</v>
      </c>
      <c r="C108" s="59" t="s">
        <v>634</v>
      </c>
      <c r="D108" s="59" t="s">
        <v>635</v>
      </c>
      <c r="E108" s="59" t="s">
        <v>444</v>
      </c>
      <c r="F108" s="60">
        <v>1.1</v>
      </c>
      <c r="G108" s="61"/>
      <c r="H108" s="61"/>
      <c r="I108" s="61"/>
      <c r="J108" s="61"/>
      <c r="K108" s="61"/>
      <c r="L108" s="61"/>
      <c r="M108" s="61"/>
      <c r="N108" s="61"/>
      <c r="O108" s="61"/>
      <c r="P108" s="61"/>
      <c r="Q108" s="61"/>
      <c r="R108" s="61"/>
      <c r="S108" s="61"/>
      <c r="T108" s="61"/>
      <c r="U108" s="61"/>
      <c r="V108" s="61"/>
      <c r="W108" s="61"/>
    </row>
    <row r="109" ht="15.75" customHeight="1">
      <c r="A109" s="31" t="s">
        <v>636</v>
      </c>
      <c r="B109" s="58" t="s">
        <v>44</v>
      </c>
      <c r="C109" s="59" t="s">
        <v>634</v>
      </c>
      <c r="D109" s="59" t="s">
        <v>635</v>
      </c>
      <c r="E109" s="59" t="s">
        <v>448</v>
      </c>
      <c r="F109" s="60">
        <v>0.6</v>
      </c>
      <c r="G109" s="61"/>
      <c r="H109" s="61"/>
      <c r="I109" s="61"/>
      <c r="J109" s="61"/>
      <c r="K109" s="61"/>
      <c r="L109" s="61"/>
      <c r="M109" s="61"/>
      <c r="N109" s="61"/>
      <c r="O109" s="61"/>
      <c r="P109" s="61"/>
      <c r="Q109" s="61"/>
      <c r="R109" s="61"/>
      <c r="S109" s="61"/>
      <c r="T109" s="61"/>
      <c r="U109" s="61"/>
      <c r="V109" s="61"/>
      <c r="W109" s="61"/>
    </row>
    <row r="110" ht="15.75" customHeight="1">
      <c r="A110" s="31" t="s">
        <v>637</v>
      </c>
      <c r="B110" s="58" t="s">
        <v>44</v>
      </c>
      <c r="C110" s="59" t="s">
        <v>634</v>
      </c>
      <c r="D110" s="59" t="s">
        <v>635</v>
      </c>
      <c r="E110" s="59" t="s">
        <v>450</v>
      </c>
      <c r="F110" s="60">
        <v>0.8</v>
      </c>
      <c r="G110" s="61"/>
      <c r="H110" s="61"/>
      <c r="I110" s="61"/>
      <c r="J110" s="61"/>
      <c r="K110" s="61"/>
      <c r="L110" s="61"/>
      <c r="M110" s="61"/>
      <c r="N110" s="61"/>
      <c r="O110" s="61"/>
      <c r="P110" s="61"/>
      <c r="Q110" s="61"/>
      <c r="R110" s="61"/>
      <c r="S110" s="61"/>
      <c r="T110" s="61"/>
      <c r="U110" s="61"/>
      <c r="V110" s="61"/>
      <c r="W110" s="61"/>
    </row>
    <row r="111" ht="15.75" customHeight="1">
      <c r="A111" s="31" t="s">
        <v>638</v>
      </c>
      <c r="B111" s="58" t="s">
        <v>44</v>
      </c>
      <c r="C111" s="59" t="s">
        <v>634</v>
      </c>
      <c r="D111" s="59" t="s">
        <v>635</v>
      </c>
      <c r="E111" s="59" t="s">
        <v>452</v>
      </c>
      <c r="F111" s="60">
        <v>0.6</v>
      </c>
      <c r="G111" s="61"/>
      <c r="H111" s="61"/>
      <c r="I111" s="61"/>
      <c r="J111" s="61"/>
      <c r="K111" s="61"/>
      <c r="L111" s="61"/>
      <c r="M111" s="61"/>
      <c r="N111" s="61"/>
      <c r="O111" s="61"/>
      <c r="P111" s="61"/>
      <c r="Q111" s="61"/>
      <c r="R111" s="61"/>
      <c r="S111" s="61"/>
      <c r="T111" s="61"/>
      <c r="U111" s="61"/>
      <c r="V111" s="61"/>
      <c r="W111" s="61"/>
    </row>
    <row r="112" ht="15.75" customHeight="1">
      <c r="A112" s="31" t="s">
        <v>639</v>
      </c>
      <c r="B112" s="58" t="s">
        <v>44</v>
      </c>
      <c r="C112" s="59" t="s">
        <v>640</v>
      </c>
      <c r="D112" s="59" t="s">
        <v>641</v>
      </c>
      <c r="E112" s="59" t="s">
        <v>442</v>
      </c>
      <c r="F112" s="60">
        <v>0.6</v>
      </c>
      <c r="G112" s="61"/>
      <c r="H112" s="61"/>
      <c r="I112" s="61"/>
      <c r="J112" s="61"/>
      <c r="K112" s="61"/>
      <c r="L112" s="61"/>
      <c r="M112" s="61"/>
      <c r="N112" s="61"/>
      <c r="O112" s="61"/>
      <c r="P112" s="61"/>
      <c r="Q112" s="61"/>
      <c r="R112" s="61"/>
      <c r="S112" s="61"/>
      <c r="T112" s="61"/>
      <c r="U112" s="61"/>
      <c r="V112" s="61"/>
      <c r="W112" s="61"/>
    </row>
    <row r="113" ht="15.75" customHeight="1">
      <c r="A113" s="31" t="s">
        <v>642</v>
      </c>
      <c r="B113" s="58" t="s">
        <v>44</v>
      </c>
      <c r="C113" s="59" t="s">
        <v>640</v>
      </c>
      <c r="D113" s="59" t="s">
        <v>641</v>
      </c>
      <c r="E113" s="59" t="s">
        <v>446</v>
      </c>
      <c r="F113" s="60">
        <v>0.4</v>
      </c>
      <c r="G113" s="61"/>
      <c r="H113" s="61"/>
      <c r="I113" s="61"/>
      <c r="J113" s="61"/>
      <c r="K113" s="61"/>
      <c r="L113" s="61"/>
      <c r="M113" s="61"/>
      <c r="N113" s="61"/>
      <c r="O113" s="61"/>
      <c r="P113" s="61"/>
      <c r="Q113" s="61"/>
      <c r="R113" s="61"/>
      <c r="S113" s="61"/>
      <c r="T113" s="61"/>
      <c r="U113" s="61"/>
      <c r="V113" s="61"/>
      <c r="W113" s="61"/>
    </row>
    <row r="114" ht="15.75" customHeight="1">
      <c r="A114" s="31" t="s">
        <v>643</v>
      </c>
      <c r="B114" s="58" t="s">
        <v>44</v>
      </c>
      <c r="C114" s="59" t="s">
        <v>640</v>
      </c>
      <c r="D114" s="59" t="s">
        <v>641</v>
      </c>
      <c r="E114" s="59" t="s">
        <v>456</v>
      </c>
      <c r="F114" s="60">
        <v>0.9</v>
      </c>
      <c r="G114" s="61"/>
      <c r="H114" s="61"/>
      <c r="I114" s="61"/>
      <c r="J114" s="61"/>
      <c r="K114" s="61"/>
      <c r="L114" s="61"/>
      <c r="M114" s="61"/>
      <c r="N114" s="61"/>
      <c r="O114" s="61"/>
      <c r="P114" s="61"/>
      <c r="Q114" s="61"/>
      <c r="R114" s="61"/>
      <c r="S114" s="61"/>
      <c r="T114" s="61"/>
      <c r="U114" s="61"/>
      <c r="V114" s="61"/>
      <c r="W114" s="61"/>
    </row>
    <row r="115" ht="15.75" customHeight="1">
      <c r="A115" s="31" t="s">
        <v>644</v>
      </c>
      <c r="B115" s="58" t="s">
        <v>44</v>
      </c>
      <c r="C115" s="59" t="s">
        <v>640</v>
      </c>
      <c r="D115" s="59" t="s">
        <v>641</v>
      </c>
      <c r="E115" s="59" t="s">
        <v>462</v>
      </c>
      <c r="F115" s="60">
        <v>0.5</v>
      </c>
      <c r="G115" s="61"/>
      <c r="H115" s="61"/>
      <c r="I115" s="61"/>
      <c r="J115" s="61"/>
      <c r="K115" s="61"/>
      <c r="L115" s="61"/>
      <c r="M115" s="61"/>
      <c r="N115" s="61"/>
      <c r="O115" s="61"/>
      <c r="P115" s="61"/>
      <c r="Q115" s="61"/>
      <c r="R115" s="61"/>
      <c r="S115" s="61"/>
      <c r="T115" s="61"/>
      <c r="U115" s="61"/>
      <c r="V115" s="61"/>
      <c r="W115" s="61"/>
    </row>
    <row r="116" ht="15.75" customHeight="1">
      <c r="A116" s="31" t="s">
        <v>645</v>
      </c>
      <c r="B116" s="58" t="s">
        <v>44</v>
      </c>
      <c r="C116" s="59" t="s">
        <v>640</v>
      </c>
      <c r="D116" s="59" t="s">
        <v>641</v>
      </c>
      <c r="E116" s="59" t="s">
        <v>468</v>
      </c>
      <c r="F116" s="60">
        <v>0.7</v>
      </c>
      <c r="G116" s="61"/>
      <c r="H116" s="61"/>
      <c r="I116" s="61"/>
      <c r="J116" s="61"/>
      <c r="K116" s="61"/>
      <c r="L116" s="61"/>
      <c r="M116" s="61"/>
      <c r="N116" s="61"/>
      <c r="O116" s="61"/>
      <c r="P116" s="61"/>
      <c r="Q116" s="61"/>
      <c r="R116" s="61"/>
      <c r="S116" s="61"/>
      <c r="T116" s="61"/>
      <c r="U116" s="61"/>
      <c r="V116" s="61"/>
      <c r="W116" s="61"/>
    </row>
    <row r="117" ht="15.75" customHeight="1">
      <c r="A117" s="31" t="s">
        <v>646</v>
      </c>
      <c r="B117" s="58" t="s">
        <v>44</v>
      </c>
      <c r="C117" s="59" t="s">
        <v>647</v>
      </c>
      <c r="D117" s="59" t="s">
        <v>648</v>
      </c>
      <c r="E117" s="59" t="s">
        <v>442</v>
      </c>
      <c r="F117" s="60">
        <v>0.6</v>
      </c>
      <c r="G117" s="61"/>
      <c r="H117" s="61"/>
      <c r="I117" s="61"/>
      <c r="J117" s="61"/>
      <c r="K117" s="61"/>
      <c r="L117" s="61"/>
      <c r="M117" s="61"/>
      <c r="N117" s="61"/>
      <c r="O117" s="61"/>
      <c r="P117" s="61"/>
      <c r="Q117" s="61"/>
      <c r="R117" s="61"/>
      <c r="S117" s="61"/>
      <c r="T117" s="61"/>
      <c r="U117" s="61"/>
      <c r="V117" s="61"/>
      <c r="W117" s="61"/>
    </row>
    <row r="118" ht="15.75" customHeight="1">
      <c r="A118" s="31" t="s">
        <v>649</v>
      </c>
      <c r="B118" s="58" t="s">
        <v>44</v>
      </c>
      <c r="C118" s="59" t="s">
        <v>647</v>
      </c>
      <c r="D118" s="59" t="s">
        <v>648</v>
      </c>
      <c r="E118" s="59" t="s">
        <v>444</v>
      </c>
      <c r="F118" s="60">
        <v>0.5</v>
      </c>
      <c r="G118" s="61"/>
      <c r="H118" s="61"/>
      <c r="I118" s="61"/>
      <c r="J118" s="61"/>
      <c r="K118" s="61"/>
      <c r="L118" s="61"/>
      <c r="M118" s="61"/>
      <c r="N118" s="61"/>
      <c r="O118" s="61"/>
      <c r="P118" s="61"/>
      <c r="Q118" s="61"/>
      <c r="R118" s="61"/>
      <c r="S118" s="61"/>
      <c r="T118" s="61"/>
      <c r="U118" s="61"/>
      <c r="V118" s="61"/>
      <c r="W118" s="61"/>
    </row>
    <row r="119" ht="15.75" customHeight="1">
      <c r="A119" s="31" t="s">
        <v>650</v>
      </c>
      <c r="B119" s="58" t="s">
        <v>44</v>
      </c>
      <c r="C119" s="59" t="s">
        <v>647</v>
      </c>
      <c r="D119" s="59" t="s">
        <v>648</v>
      </c>
      <c r="E119" s="59" t="s">
        <v>448</v>
      </c>
      <c r="F119" s="60">
        <v>0.4</v>
      </c>
      <c r="G119" s="61"/>
      <c r="H119" s="61"/>
      <c r="I119" s="61"/>
      <c r="J119" s="61"/>
      <c r="K119" s="61"/>
      <c r="L119" s="61"/>
      <c r="M119" s="61"/>
      <c r="N119" s="61"/>
      <c r="O119" s="61"/>
      <c r="P119" s="61"/>
      <c r="Q119" s="61"/>
      <c r="R119" s="61"/>
      <c r="S119" s="61"/>
      <c r="T119" s="61"/>
      <c r="U119" s="61"/>
      <c r="V119" s="61"/>
      <c r="W119" s="61"/>
    </row>
    <row r="120" ht="15.75" customHeight="1">
      <c r="A120" s="31" t="s">
        <v>651</v>
      </c>
      <c r="B120" s="58" t="s">
        <v>44</v>
      </c>
      <c r="C120" s="59" t="s">
        <v>543</v>
      </c>
      <c r="D120" s="59" t="s">
        <v>652</v>
      </c>
      <c r="E120" s="59" t="s">
        <v>444</v>
      </c>
      <c r="F120" s="60">
        <v>0.2</v>
      </c>
      <c r="G120" s="61"/>
      <c r="H120" s="61"/>
      <c r="I120" s="61"/>
      <c r="J120" s="61"/>
      <c r="K120" s="61"/>
      <c r="L120" s="61"/>
      <c r="M120" s="61"/>
      <c r="N120" s="61"/>
      <c r="O120" s="61"/>
      <c r="P120" s="61"/>
      <c r="Q120" s="61"/>
      <c r="R120" s="61"/>
      <c r="S120" s="61"/>
      <c r="T120" s="61"/>
      <c r="U120" s="61"/>
      <c r="V120" s="61"/>
      <c r="W120" s="61"/>
    </row>
    <row r="121" ht="15.75" customHeight="1">
      <c r="A121" s="31" t="s">
        <v>653</v>
      </c>
      <c r="B121" s="58" t="s">
        <v>44</v>
      </c>
      <c r="C121" s="59" t="s">
        <v>543</v>
      </c>
      <c r="D121" s="59" t="s">
        <v>652</v>
      </c>
      <c r="E121" s="59" t="s">
        <v>452</v>
      </c>
      <c r="F121" s="60">
        <v>0.3</v>
      </c>
      <c r="G121" s="61"/>
      <c r="H121" s="61"/>
      <c r="I121" s="61"/>
      <c r="J121" s="61"/>
      <c r="K121" s="61"/>
      <c r="L121" s="61"/>
      <c r="M121" s="61"/>
      <c r="N121" s="61"/>
      <c r="O121" s="61"/>
      <c r="P121" s="61"/>
      <c r="Q121" s="61"/>
      <c r="R121" s="61"/>
      <c r="S121" s="61"/>
      <c r="T121" s="61"/>
      <c r="U121" s="61"/>
      <c r="V121" s="61"/>
      <c r="W121" s="61"/>
    </row>
    <row r="122" ht="15.75" customHeight="1">
      <c r="A122" s="31" t="s">
        <v>654</v>
      </c>
      <c r="B122" s="58" t="s">
        <v>46</v>
      </c>
      <c r="C122" s="59" t="s">
        <v>655</v>
      </c>
      <c r="D122" s="59" t="s">
        <v>656</v>
      </c>
      <c r="E122" s="59" t="s">
        <v>452</v>
      </c>
      <c r="F122" s="60">
        <v>0.56</v>
      </c>
      <c r="G122" s="61"/>
      <c r="H122" s="61"/>
      <c r="I122" s="61"/>
      <c r="J122" s="61"/>
      <c r="K122" s="61"/>
      <c r="L122" s="61"/>
      <c r="M122" s="61"/>
      <c r="N122" s="61"/>
      <c r="O122" s="61"/>
      <c r="P122" s="61"/>
      <c r="Q122" s="61"/>
      <c r="R122" s="61"/>
      <c r="S122" s="61"/>
      <c r="T122" s="61"/>
      <c r="U122" s="61"/>
      <c r="V122" s="61"/>
      <c r="W122" s="61"/>
    </row>
    <row r="123" ht="15.75" customHeight="1">
      <c r="A123" s="31" t="s">
        <v>657</v>
      </c>
      <c r="B123" s="58" t="s">
        <v>46</v>
      </c>
      <c r="C123" s="59" t="s">
        <v>655</v>
      </c>
      <c r="D123" s="59" t="s">
        <v>656</v>
      </c>
      <c r="E123" s="59" t="s">
        <v>464</v>
      </c>
      <c r="F123" s="60">
        <v>0.28</v>
      </c>
      <c r="G123" s="61"/>
      <c r="H123" s="61"/>
      <c r="I123" s="61"/>
      <c r="J123" s="61"/>
      <c r="K123" s="61"/>
      <c r="L123" s="61"/>
      <c r="M123" s="61"/>
      <c r="N123" s="61"/>
      <c r="O123" s="61"/>
      <c r="P123" s="61"/>
      <c r="Q123" s="61"/>
      <c r="R123" s="61"/>
      <c r="S123" s="61"/>
      <c r="T123" s="61"/>
      <c r="U123" s="61"/>
      <c r="V123" s="61"/>
      <c r="W123" s="61"/>
    </row>
    <row r="124" ht="15.75" customHeight="1">
      <c r="A124" s="31" t="s">
        <v>658</v>
      </c>
      <c r="B124" s="58" t="s">
        <v>46</v>
      </c>
      <c r="C124" s="59" t="s">
        <v>655</v>
      </c>
      <c r="D124" s="59" t="s">
        <v>656</v>
      </c>
      <c r="E124" s="59" t="s">
        <v>466</v>
      </c>
      <c r="F124" s="60">
        <v>0.77</v>
      </c>
      <c r="G124" s="61"/>
      <c r="H124" s="61"/>
      <c r="I124" s="61"/>
      <c r="J124" s="61"/>
      <c r="K124" s="61"/>
      <c r="L124" s="61"/>
      <c r="M124" s="61"/>
      <c r="N124" s="61"/>
      <c r="O124" s="61"/>
      <c r="P124" s="61"/>
      <c r="Q124" s="61"/>
      <c r="R124" s="61"/>
      <c r="S124" s="61"/>
      <c r="T124" s="61"/>
      <c r="U124" s="61"/>
      <c r="V124" s="61"/>
      <c r="W124" s="61"/>
    </row>
    <row r="125" ht="15.75" customHeight="1">
      <c r="A125" s="31" t="s">
        <v>659</v>
      </c>
      <c r="B125" s="58" t="s">
        <v>46</v>
      </c>
      <c r="C125" s="59" t="s">
        <v>660</v>
      </c>
      <c r="D125" s="59" t="s">
        <v>661</v>
      </c>
      <c r="E125" s="59" t="s">
        <v>442</v>
      </c>
      <c r="F125" s="60">
        <v>0.63</v>
      </c>
      <c r="G125" s="61"/>
      <c r="H125" s="61"/>
      <c r="I125" s="61"/>
      <c r="J125" s="61"/>
      <c r="K125" s="61"/>
      <c r="L125" s="61"/>
      <c r="M125" s="61"/>
      <c r="N125" s="61"/>
      <c r="O125" s="61"/>
      <c r="P125" s="61"/>
      <c r="Q125" s="61"/>
      <c r="R125" s="61"/>
      <c r="S125" s="61"/>
      <c r="T125" s="61"/>
      <c r="U125" s="61"/>
      <c r="V125" s="61"/>
      <c r="W125" s="61"/>
    </row>
    <row r="126" ht="15.75" customHeight="1">
      <c r="A126" s="31" t="s">
        <v>662</v>
      </c>
      <c r="B126" s="58" t="s">
        <v>46</v>
      </c>
      <c r="C126" s="59" t="s">
        <v>660</v>
      </c>
      <c r="D126" s="59" t="s">
        <v>661</v>
      </c>
      <c r="E126" s="59" t="s">
        <v>446</v>
      </c>
      <c r="F126" s="60">
        <v>0.42</v>
      </c>
      <c r="G126" s="61"/>
      <c r="H126" s="61"/>
      <c r="I126" s="61"/>
      <c r="J126" s="61"/>
      <c r="K126" s="61"/>
      <c r="L126" s="61"/>
      <c r="M126" s="61"/>
      <c r="N126" s="61"/>
      <c r="O126" s="61"/>
      <c r="P126" s="61"/>
      <c r="Q126" s="61"/>
      <c r="R126" s="61"/>
      <c r="S126" s="61"/>
      <c r="T126" s="61"/>
      <c r="U126" s="61"/>
      <c r="V126" s="61"/>
      <c r="W126" s="61"/>
    </row>
    <row r="127" ht="15.75" customHeight="1">
      <c r="A127" s="31" t="s">
        <v>663</v>
      </c>
      <c r="B127" s="58" t="s">
        <v>46</v>
      </c>
      <c r="C127" s="59" t="s">
        <v>660</v>
      </c>
      <c r="D127" s="59" t="s">
        <v>661</v>
      </c>
      <c r="E127" s="59" t="s">
        <v>454</v>
      </c>
      <c r="F127" s="60">
        <v>0.49</v>
      </c>
      <c r="G127" s="61"/>
      <c r="H127" s="61"/>
      <c r="I127" s="61"/>
      <c r="J127" s="61"/>
      <c r="K127" s="61"/>
      <c r="L127" s="61"/>
      <c r="M127" s="61"/>
      <c r="N127" s="61"/>
      <c r="O127" s="61"/>
      <c r="P127" s="61"/>
      <c r="Q127" s="61"/>
      <c r="R127" s="61"/>
      <c r="S127" s="61"/>
      <c r="T127" s="61"/>
      <c r="U127" s="61"/>
      <c r="V127" s="61"/>
      <c r="W127" s="61"/>
    </row>
    <row r="128" ht="15.75" customHeight="1">
      <c r="A128" s="31" t="s">
        <v>664</v>
      </c>
      <c r="B128" s="58" t="s">
        <v>46</v>
      </c>
      <c r="C128" s="59" t="s">
        <v>660</v>
      </c>
      <c r="D128" s="59" t="s">
        <v>661</v>
      </c>
      <c r="E128" s="59" t="s">
        <v>456</v>
      </c>
      <c r="F128" s="60">
        <v>0.28</v>
      </c>
      <c r="G128" s="61"/>
      <c r="H128" s="61"/>
      <c r="I128" s="61"/>
      <c r="J128" s="61"/>
      <c r="K128" s="61"/>
      <c r="L128" s="61"/>
      <c r="M128" s="61"/>
      <c r="N128" s="61"/>
      <c r="O128" s="61"/>
      <c r="P128" s="61"/>
      <c r="Q128" s="61"/>
      <c r="R128" s="61"/>
      <c r="S128" s="61"/>
      <c r="T128" s="61"/>
      <c r="U128" s="61"/>
      <c r="V128" s="61"/>
      <c r="W128" s="61"/>
    </row>
    <row r="129" ht="15.75" customHeight="1">
      <c r="A129" s="31" t="s">
        <v>665</v>
      </c>
      <c r="B129" s="58" t="s">
        <v>46</v>
      </c>
      <c r="C129" s="59" t="s">
        <v>666</v>
      </c>
      <c r="D129" s="59" t="s">
        <v>667</v>
      </c>
      <c r="E129" s="59" t="s">
        <v>444</v>
      </c>
      <c r="F129" s="60">
        <v>0.49</v>
      </c>
      <c r="G129" s="61"/>
      <c r="H129" s="61"/>
      <c r="I129" s="61"/>
      <c r="J129" s="61"/>
      <c r="K129" s="61"/>
      <c r="L129" s="61"/>
      <c r="M129" s="61"/>
      <c r="N129" s="61"/>
      <c r="O129" s="61"/>
      <c r="P129" s="61"/>
      <c r="Q129" s="61"/>
      <c r="R129" s="61"/>
      <c r="S129" s="61"/>
      <c r="T129" s="61"/>
      <c r="U129" s="61"/>
      <c r="V129" s="61"/>
      <c r="W129" s="61"/>
    </row>
    <row r="130" ht="15.75" customHeight="1">
      <c r="A130" s="31" t="s">
        <v>668</v>
      </c>
      <c r="B130" s="58" t="s">
        <v>46</v>
      </c>
      <c r="C130" s="59" t="s">
        <v>666</v>
      </c>
      <c r="D130" s="59" t="s">
        <v>667</v>
      </c>
      <c r="E130" s="59" t="s">
        <v>448</v>
      </c>
      <c r="F130" s="60">
        <v>0.21</v>
      </c>
      <c r="G130" s="61"/>
      <c r="H130" s="61"/>
      <c r="I130" s="61"/>
      <c r="J130" s="61"/>
      <c r="K130" s="61"/>
      <c r="L130" s="61"/>
      <c r="M130" s="61"/>
      <c r="N130" s="61"/>
      <c r="O130" s="61"/>
      <c r="P130" s="61"/>
      <c r="Q130" s="61"/>
      <c r="R130" s="61"/>
      <c r="S130" s="61"/>
      <c r="T130" s="61"/>
      <c r="U130" s="61"/>
      <c r="V130" s="61"/>
      <c r="W130" s="61"/>
    </row>
    <row r="131" ht="15.75" customHeight="1">
      <c r="A131" s="31" t="s">
        <v>669</v>
      </c>
      <c r="B131" s="58" t="s">
        <v>46</v>
      </c>
      <c r="C131" s="59" t="s">
        <v>666</v>
      </c>
      <c r="D131" s="59" t="s">
        <v>667</v>
      </c>
      <c r="E131" s="59" t="s">
        <v>450</v>
      </c>
      <c r="F131" s="60">
        <v>0.42</v>
      </c>
      <c r="G131" s="61"/>
      <c r="H131" s="61"/>
      <c r="I131" s="61"/>
      <c r="J131" s="61"/>
      <c r="K131" s="61"/>
      <c r="L131" s="61"/>
      <c r="M131" s="61"/>
      <c r="N131" s="61"/>
      <c r="O131" s="61"/>
      <c r="P131" s="61"/>
      <c r="Q131" s="61"/>
      <c r="R131" s="61"/>
      <c r="S131" s="61"/>
      <c r="T131" s="61"/>
      <c r="U131" s="61"/>
      <c r="V131" s="61"/>
      <c r="W131" s="61"/>
    </row>
    <row r="132" ht="15.75" customHeight="1">
      <c r="A132" s="31" t="s">
        <v>670</v>
      </c>
      <c r="B132" s="58" t="s">
        <v>46</v>
      </c>
      <c r="C132" s="59" t="s">
        <v>666</v>
      </c>
      <c r="D132" s="59" t="s">
        <v>667</v>
      </c>
      <c r="E132" s="59" t="s">
        <v>452</v>
      </c>
      <c r="F132" s="60">
        <v>0.56</v>
      </c>
      <c r="G132" s="61"/>
      <c r="H132" s="61"/>
      <c r="I132" s="61"/>
      <c r="J132" s="61"/>
      <c r="K132" s="61"/>
      <c r="L132" s="61"/>
      <c r="M132" s="61"/>
      <c r="N132" s="61"/>
      <c r="O132" s="61"/>
      <c r="P132" s="61"/>
      <c r="Q132" s="61"/>
      <c r="R132" s="61"/>
      <c r="S132" s="61"/>
      <c r="T132" s="61"/>
      <c r="U132" s="61"/>
      <c r="V132" s="61"/>
      <c r="W132" s="61"/>
    </row>
    <row r="133" ht="15.75" customHeight="1">
      <c r="A133" s="31" t="s">
        <v>671</v>
      </c>
      <c r="B133" s="58" t="s">
        <v>46</v>
      </c>
      <c r="C133" s="59" t="s">
        <v>666</v>
      </c>
      <c r="D133" s="59" t="s">
        <v>667</v>
      </c>
      <c r="E133" s="62" t="s">
        <v>460</v>
      </c>
      <c r="F133" s="63">
        <v>0.35</v>
      </c>
      <c r="G133" s="61"/>
      <c r="H133" s="61"/>
      <c r="I133" s="61"/>
      <c r="J133" s="61"/>
      <c r="K133" s="61"/>
      <c r="L133" s="61"/>
      <c r="M133" s="61"/>
      <c r="N133" s="61"/>
      <c r="O133" s="61"/>
      <c r="P133" s="61"/>
      <c r="Q133" s="61"/>
      <c r="R133" s="61"/>
      <c r="S133" s="61"/>
      <c r="T133" s="61"/>
      <c r="U133" s="61"/>
      <c r="V133" s="61"/>
      <c r="W133" s="61"/>
    </row>
    <row r="134" ht="15.75" customHeight="1">
      <c r="A134" s="31" t="s">
        <v>672</v>
      </c>
      <c r="B134" s="58" t="s">
        <v>46</v>
      </c>
      <c r="C134" s="59" t="s">
        <v>673</v>
      </c>
      <c r="D134" s="59" t="s">
        <v>674</v>
      </c>
      <c r="E134" s="59" t="s">
        <v>456</v>
      </c>
      <c r="F134" s="60">
        <v>0.56</v>
      </c>
      <c r="G134" s="61"/>
      <c r="H134" s="61"/>
      <c r="I134" s="61"/>
      <c r="J134" s="61"/>
      <c r="K134" s="61"/>
      <c r="L134" s="61"/>
      <c r="M134" s="61"/>
      <c r="N134" s="61"/>
      <c r="O134" s="61"/>
      <c r="P134" s="61"/>
      <c r="Q134" s="61"/>
      <c r="R134" s="61"/>
      <c r="S134" s="61"/>
      <c r="T134" s="61"/>
      <c r="U134" s="61"/>
      <c r="V134" s="61"/>
      <c r="W134" s="61"/>
    </row>
    <row r="135" ht="15.75" customHeight="1">
      <c r="A135" s="31" t="s">
        <v>675</v>
      </c>
      <c r="B135" s="58" t="s">
        <v>46</v>
      </c>
      <c r="C135" s="59" t="s">
        <v>673</v>
      </c>
      <c r="D135" s="59" t="s">
        <v>674</v>
      </c>
      <c r="E135" s="59" t="s">
        <v>458</v>
      </c>
      <c r="F135" s="60">
        <v>0.28</v>
      </c>
      <c r="G135" s="61"/>
      <c r="H135" s="61"/>
      <c r="I135" s="61"/>
      <c r="J135" s="61"/>
      <c r="K135" s="61"/>
      <c r="L135" s="61"/>
      <c r="M135" s="61"/>
      <c r="N135" s="61"/>
      <c r="O135" s="61"/>
      <c r="P135" s="61"/>
      <c r="Q135" s="61"/>
      <c r="R135" s="61"/>
      <c r="S135" s="61"/>
      <c r="T135" s="61"/>
      <c r="U135" s="61"/>
      <c r="V135" s="61"/>
      <c r="W135" s="61"/>
    </row>
    <row r="136" ht="15.75" customHeight="1">
      <c r="A136" s="31" t="s">
        <v>676</v>
      </c>
      <c r="B136" s="58" t="s">
        <v>46</v>
      </c>
      <c r="C136" s="59" t="s">
        <v>673</v>
      </c>
      <c r="D136" s="59" t="s">
        <v>674</v>
      </c>
      <c r="E136" s="59" t="s">
        <v>462</v>
      </c>
      <c r="F136" s="60">
        <v>0.35</v>
      </c>
      <c r="G136" s="61"/>
      <c r="H136" s="61"/>
      <c r="I136" s="61"/>
      <c r="J136" s="61"/>
      <c r="K136" s="61"/>
      <c r="L136" s="61"/>
      <c r="M136" s="61"/>
      <c r="N136" s="61"/>
      <c r="O136" s="61"/>
      <c r="P136" s="61"/>
      <c r="Q136" s="61"/>
      <c r="R136" s="61"/>
      <c r="S136" s="61"/>
      <c r="T136" s="61"/>
      <c r="U136" s="61"/>
      <c r="V136" s="61"/>
      <c r="W136" s="61"/>
    </row>
    <row r="137" ht="15.75" customHeight="1">
      <c r="A137" s="31" t="s">
        <v>677</v>
      </c>
      <c r="B137" s="58" t="s">
        <v>46</v>
      </c>
      <c r="C137" s="59" t="s">
        <v>673</v>
      </c>
      <c r="D137" s="59" t="s">
        <v>674</v>
      </c>
      <c r="E137" s="59" t="s">
        <v>468</v>
      </c>
      <c r="F137" s="60">
        <v>0.49</v>
      </c>
      <c r="G137" s="61"/>
      <c r="H137" s="61"/>
      <c r="I137" s="61"/>
      <c r="J137" s="61"/>
      <c r="K137" s="61"/>
      <c r="L137" s="61"/>
      <c r="M137" s="61"/>
      <c r="N137" s="61"/>
      <c r="O137" s="61"/>
      <c r="P137" s="61"/>
      <c r="Q137" s="61"/>
      <c r="R137" s="61"/>
      <c r="S137" s="61"/>
      <c r="T137" s="61"/>
      <c r="U137" s="61"/>
      <c r="V137" s="61"/>
      <c r="W137" s="61"/>
    </row>
    <row r="138" ht="15.75" customHeight="1">
      <c r="A138" s="31" t="s">
        <v>678</v>
      </c>
      <c r="B138" s="58" t="s">
        <v>46</v>
      </c>
      <c r="C138" s="59" t="s">
        <v>673</v>
      </c>
      <c r="D138" s="59" t="s">
        <v>674</v>
      </c>
      <c r="E138" s="62" t="s">
        <v>458</v>
      </c>
      <c r="F138" s="63">
        <v>0.3</v>
      </c>
      <c r="G138" s="61"/>
      <c r="H138" s="61"/>
      <c r="I138" s="61"/>
      <c r="J138" s="61"/>
      <c r="K138" s="61"/>
      <c r="L138" s="61"/>
      <c r="M138" s="61"/>
      <c r="N138" s="61"/>
      <c r="O138" s="61"/>
      <c r="P138" s="61"/>
      <c r="Q138" s="61"/>
      <c r="R138" s="61"/>
      <c r="S138" s="61"/>
      <c r="T138" s="61"/>
      <c r="U138" s="61"/>
      <c r="V138" s="61"/>
      <c r="W138" s="61"/>
    </row>
    <row r="139" ht="15.75" customHeight="1">
      <c r="A139" s="31" t="s">
        <v>679</v>
      </c>
      <c r="B139" s="58" t="s">
        <v>54</v>
      </c>
      <c r="C139" s="59" t="s">
        <v>680</v>
      </c>
      <c r="D139" s="59" t="s">
        <v>681</v>
      </c>
      <c r="E139" s="59" t="s">
        <v>444</v>
      </c>
      <c r="F139" s="60">
        <v>0.14</v>
      </c>
      <c r="G139" s="61"/>
      <c r="H139" s="61"/>
      <c r="I139" s="61"/>
      <c r="J139" s="61"/>
      <c r="K139" s="61"/>
      <c r="L139" s="61"/>
      <c r="M139" s="61"/>
      <c r="N139" s="61"/>
      <c r="O139" s="61"/>
      <c r="P139" s="61"/>
      <c r="Q139" s="61"/>
      <c r="R139" s="61"/>
      <c r="S139" s="61"/>
      <c r="T139" s="61"/>
      <c r="U139" s="61"/>
      <c r="V139" s="61"/>
      <c r="W139" s="61"/>
    </row>
    <row r="140" ht="15.75" customHeight="1">
      <c r="A140" s="31" t="s">
        <v>682</v>
      </c>
      <c r="B140" s="58" t="s">
        <v>54</v>
      </c>
      <c r="C140" s="59" t="s">
        <v>680</v>
      </c>
      <c r="D140" s="59" t="s">
        <v>681</v>
      </c>
      <c r="E140" s="59" t="s">
        <v>450</v>
      </c>
      <c r="F140" s="60">
        <v>0.315</v>
      </c>
      <c r="G140" s="61"/>
      <c r="H140" s="61"/>
      <c r="I140" s="61"/>
      <c r="J140" s="61"/>
      <c r="K140" s="61"/>
      <c r="L140" s="61"/>
      <c r="M140" s="61"/>
      <c r="N140" s="61"/>
      <c r="O140" s="61"/>
      <c r="P140" s="61"/>
      <c r="Q140" s="61"/>
      <c r="R140" s="61"/>
      <c r="S140" s="61"/>
      <c r="T140" s="61"/>
      <c r="U140" s="61"/>
      <c r="V140" s="61"/>
      <c r="W140" s="61"/>
    </row>
    <row r="141" ht="15.75" customHeight="1">
      <c r="A141" s="31" t="s">
        <v>683</v>
      </c>
      <c r="B141" s="58" t="s">
        <v>54</v>
      </c>
      <c r="C141" s="59" t="s">
        <v>680</v>
      </c>
      <c r="D141" s="59" t="s">
        <v>681</v>
      </c>
      <c r="E141" s="59" t="s">
        <v>452</v>
      </c>
      <c r="F141" s="60">
        <v>0.175</v>
      </c>
      <c r="G141" s="61"/>
      <c r="H141" s="61"/>
      <c r="I141" s="61"/>
      <c r="J141" s="61"/>
      <c r="K141" s="61"/>
      <c r="L141" s="61"/>
      <c r="M141" s="61"/>
      <c r="N141" s="61"/>
      <c r="O141" s="61"/>
      <c r="P141" s="61"/>
      <c r="Q141" s="61"/>
      <c r="R141" s="61"/>
      <c r="S141" s="61"/>
      <c r="T141" s="61"/>
      <c r="U141" s="61"/>
      <c r="V141" s="61"/>
      <c r="W141" s="61"/>
    </row>
    <row r="142" ht="15.75" customHeight="1">
      <c r="A142" s="31" t="s">
        <v>684</v>
      </c>
      <c r="B142" s="58" t="s">
        <v>54</v>
      </c>
      <c r="C142" s="59" t="s">
        <v>680</v>
      </c>
      <c r="D142" s="59" t="s">
        <v>681</v>
      </c>
      <c r="E142" s="59" t="s">
        <v>460</v>
      </c>
      <c r="F142" s="60">
        <v>0.21</v>
      </c>
      <c r="G142" s="61"/>
      <c r="H142" s="61"/>
      <c r="I142" s="61"/>
      <c r="J142" s="61"/>
      <c r="K142" s="61"/>
      <c r="L142" s="61"/>
      <c r="M142" s="61"/>
      <c r="N142" s="61"/>
      <c r="O142" s="61"/>
      <c r="P142" s="61"/>
      <c r="Q142" s="61"/>
      <c r="R142" s="61"/>
      <c r="S142" s="61"/>
      <c r="T142" s="61"/>
      <c r="U142" s="61"/>
      <c r="V142" s="61"/>
      <c r="W142" s="61"/>
    </row>
    <row r="143" ht="15.75" customHeight="1">
      <c r="A143" s="31" t="s">
        <v>685</v>
      </c>
      <c r="B143" s="58" t="s">
        <v>54</v>
      </c>
      <c r="C143" s="59" t="s">
        <v>680</v>
      </c>
      <c r="D143" s="59" t="s">
        <v>681</v>
      </c>
      <c r="E143" s="62" t="s">
        <v>466</v>
      </c>
      <c r="F143" s="63">
        <v>0.4</v>
      </c>
      <c r="G143" s="61"/>
      <c r="H143" s="61"/>
      <c r="I143" s="61"/>
      <c r="J143" s="61"/>
      <c r="K143" s="61"/>
      <c r="L143" s="61"/>
      <c r="M143" s="61"/>
      <c r="N143" s="61"/>
      <c r="O143" s="61"/>
      <c r="P143" s="61"/>
      <c r="Q143" s="61"/>
      <c r="R143" s="61"/>
      <c r="S143" s="61"/>
      <c r="T143" s="61"/>
      <c r="U143" s="61"/>
      <c r="V143" s="61"/>
      <c r="W143" s="61"/>
    </row>
    <row r="144" ht="15.75" customHeight="1">
      <c r="A144" s="31" t="s">
        <v>686</v>
      </c>
      <c r="B144" s="58" t="s">
        <v>54</v>
      </c>
      <c r="C144" s="59" t="s">
        <v>687</v>
      </c>
      <c r="D144" s="59" t="s">
        <v>688</v>
      </c>
      <c r="E144" s="59" t="s">
        <v>442</v>
      </c>
      <c r="F144" s="60">
        <v>0.175</v>
      </c>
      <c r="G144" s="61"/>
      <c r="H144" s="61"/>
      <c r="I144" s="61"/>
      <c r="J144" s="61"/>
      <c r="K144" s="61"/>
      <c r="L144" s="61"/>
      <c r="M144" s="61"/>
      <c r="N144" s="61"/>
      <c r="O144" s="61"/>
      <c r="P144" s="61"/>
      <c r="Q144" s="61"/>
      <c r="R144" s="61"/>
      <c r="S144" s="61"/>
      <c r="T144" s="61"/>
      <c r="U144" s="61"/>
      <c r="V144" s="61"/>
      <c r="W144" s="61"/>
    </row>
    <row r="145" ht="15.75" customHeight="1">
      <c r="A145" s="31" t="s">
        <v>689</v>
      </c>
      <c r="B145" s="58" t="s">
        <v>54</v>
      </c>
      <c r="C145" s="59" t="s">
        <v>687</v>
      </c>
      <c r="D145" s="59" t="s">
        <v>688</v>
      </c>
      <c r="E145" s="59" t="s">
        <v>452</v>
      </c>
      <c r="F145" s="60">
        <v>0.245</v>
      </c>
      <c r="G145" s="61"/>
      <c r="H145" s="61"/>
      <c r="I145" s="61"/>
      <c r="J145" s="61"/>
      <c r="K145" s="61"/>
      <c r="L145" s="61"/>
      <c r="M145" s="61"/>
      <c r="N145" s="61"/>
      <c r="O145" s="61"/>
      <c r="P145" s="61"/>
      <c r="Q145" s="61"/>
      <c r="R145" s="61"/>
      <c r="S145" s="61"/>
      <c r="T145" s="61"/>
      <c r="U145" s="61"/>
      <c r="V145" s="61"/>
      <c r="W145" s="61"/>
    </row>
    <row r="146" ht="15.75" customHeight="1">
      <c r="A146" s="31" t="s">
        <v>690</v>
      </c>
      <c r="B146" s="58" t="s">
        <v>54</v>
      </c>
      <c r="C146" s="59" t="s">
        <v>687</v>
      </c>
      <c r="D146" s="59" t="s">
        <v>688</v>
      </c>
      <c r="E146" s="59" t="s">
        <v>454</v>
      </c>
      <c r="F146" s="60">
        <v>0.14</v>
      </c>
      <c r="G146" s="61"/>
      <c r="H146" s="61"/>
      <c r="I146" s="61"/>
      <c r="J146" s="61"/>
      <c r="K146" s="61"/>
      <c r="L146" s="61"/>
      <c r="M146" s="61"/>
      <c r="N146" s="61"/>
      <c r="O146" s="61"/>
      <c r="P146" s="61"/>
      <c r="Q146" s="61"/>
      <c r="R146" s="61"/>
      <c r="S146" s="61"/>
      <c r="T146" s="61"/>
      <c r="U146" s="61"/>
      <c r="V146" s="61"/>
      <c r="W146" s="61"/>
    </row>
    <row r="147" ht="15.75" customHeight="1">
      <c r="A147" s="31" t="s">
        <v>691</v>
      </c>
      <c r="B147" s="58" t="s">
        <v>54</v>
      </c>
      <c r="C147" s="59" t="s">
        <v>687</v>
      </c>
      <c r="D147" s="59" t="s">
        <v>688</v>
      </c>
      <c r="E147" s="62" t="s">
        <v>464</v>
      </c>
      <c r="F147" s="63">
        <v>0.3</v>
      </c>
      <c r="G147" s="61"/>
      <c r="H147" s="61"/>
      <c r="I147" s="61"/>
      <c r="J147" s="61"/>
      <c r="K147" s="61"/>
      <c r="L147" s="61"/>
      <c r="M147" s="61"/>
      <c r="N147" s="61"/>
      <c r="O147" s="61"/>
      <c r="P147" s="61"/>
      <c r="Q147" s="61"/>
      <c r="R147" s="61"/>
      <c r="S147" s="61"/>
      <c r="T147" s="61"/>
      <c r="U147" s="61"/>
      <c r="V147" s="61"/>
      <c r="W147" s="61"/>
    </row>
    <row r="148" ht="15.75" customHeight="1">
      <c r="A148" s="31" t="s">
        <v>692</v>
      </c>
      <c r="B148" s="58" t="s">
        <v>54</v>
      </c>
      <c r="C148" s="59" t="s">
        <v>578</v>
      </c>
      <c r="D148" s="59" t="s">
        <v>693</v>
      </c>
      <c r="E148" s="59" t="s">
        <v>444</v>
      </c>
      <c r="F148" s="60">
        <v>0.14</v>
      </c>
      <c r="G148" s="61"/>
      <c r="H148" s="61"/>
      <c r="I148" s="61"/>
      <c r="J148" s="61"/>
      <c r="K148" s="61"/>
      <c r="L148" s="61"/>
      <c r="M148" s="61"/>
      <c r="N148" s="61"/>
      <c r="O148" s="61"/>
      <c r="P148" s="61"/>
      <c r="Q148" s="61"/>
      <c r="R148" s="61"/>
      <c r="S148" s="61"/>
      <c r="T148" s="61"/>
      <c r="U148" s="61"/>
      <c r="V148" s="61"/>
      <c r="W148" s="61"/>
    </row>
    <row r="149" ht="15.75" customHeight="1">
      <c r="A149" s="31" t="s">
        <v>694</v>
      </c>
      <c r="B149" s="58" t="s">
        <v>54</v>
      </c>
      <c r="C149" s="59" t="s">
        <v>578</v>
      </c>
      <c r="D149" s="59" t="s">
        <v>693</v>
      </c>
      <c r="E149" s="59" t="s">
        <v>448</v>
      </c>
      <c r="F149" s="60">
        <v>0.175</v>
      </c>
      <c r="G149" s="61"/>
      <c r="H149" s="61"/>
      <c r="I149" s="61"/>
      <c r="J149" s="61"/>
      <c r="K149" s="61"/>
      <c r="L149" s="61"/>
      <c r="M149" s="61"/>
      <c r="N149" s="61"/>
      <c r="O149" s="61"/>
      <c r="P149" s="61"/>
      <c r="Q149" s="61"/>
      <c r="R149" s="61"/>
      <c r="S149" s="61"/>
      <c r="T149" s="61"/>
      <c r="U149" s="61"/>
      <c r="V149" s="61"/>
      <c r="W149" s="61"/>
    </row>
    <row r="150" ht="15.75" customHeight="1">
      <c r="A150" s="31" t="s">
        <v>695</v>
      </c>
      <c r="B150" s="58" t="s">
        <v>54</v>
      </c>
      <c r="C150" s="59" t="s">
        <v>578</v>
      </c>
      <c r="D150" s="59" t="s">
        <v>693</v>
      </c>
      <c r="E150" s="59" t="s">
        <v>450</v>
      </c>
      <c r="F150" s="60">
        <v>0.49</v>
      </c>
      <c r="G150" s="61"/>
      <c r="H150" s="61"/>
      <c r="I150" s="61"/>
      <c r="J150" s="61"/>
      <c r="K150" s="61"/>
      <c r="L150" s="61"/>
      <c r="M150" s="61"/>
      <c r="N150" s="61"/>
      <c r="O150" s="61"/>
      <c r="P150" s="61"/>
      <c r="Q150" s="61"/>
      <c r="R150" s="61"/>
      <c r="S150" s="61"/>
      <c r="T150" s="61"/>
      <c r="U150" s="61"/>
      <c r="V150" s="61"/>
      <c r="W150" s="61"/>
    </row>
    <row r="151" ht="15.75" customHeight="1">
      <c r="A151" s="31" t="s">
        <v>696</v>
      </c>
      <c r="B151" s="58" t="s">
        <v>54</v>
      </c>
      <c r="C151" s="59" t="s">
        <v>578</v>
      </c>
      <c r="D151" s="59" t="s">
        <v>693</v>
      </c>
      <c r="E151" s="59" t="s">
        <v>458</v>
      </c>
      <c r="F151" s="60">
        <v>0.175</v>
      </c>
      <c r="G151" s="61"/>
      <c r="H151" s="61"/>
      <c r="I151" s="61"/>
      <c r="J151" s="61"/>
      <c r="K151" s="61"/>
      <c r="L151" s="61"/>
      <c r="M151" s="61"/>
      <c r="N151" s="61"/>
      <c r="O151" s="61"/>
      <c r="P151" s="61"/>
      <c r="Q151" s="61"/>
      <c r="R151" s="61"/>
      <c r="S151" s="61"/>
      <c r="T151" s="61"/>
      <c r="U151" s="61"/>
      <c r="V151" s="61"/>
      <c r="W151" s="61"/>
    </row>
    <row r="152" ht="15.75" customHeight="1">
      <c r="A152" s="31" t="s">
        <v>697</v>
      </c>
      <c r="B152" s="58" t="s">
        <v>54</v>
      </c>
      <c r="C152" s="59" t="s">
        <v>578</v>
      </c>
      <c r="D152" s="59" t="s">
        <v>693</v>
      </c>
      <c r="E152" s="59" t="s">
        <v>460</v>
      </c>
      <c r="F152" s="60">
        <v>0.14</v>
      </c>
      <c r="G152" s="61"/>
      <c r="H152" s="61"/>
      <c r="I152" s="61"/>
      <c r="J152" s="61"/>
      <c r="K152" s="61"/>
      <c r="L152" s="61"/>
      <c r="M152" s="61"/>
      <c r="N152" s="61"/>
      <c r="O152" s="61"/>
      <c r="P152" s="61"/>
      <c r="Q152" s="61"/>
      <c r="R152" s="61"/>
      <c r="S152" s="61"/>
      <c r="T152" s="61"/>
      <c r="U152" s="61"/>
      <c r="V152" s="61"/>
      <c r="W152" s="61"/>
    </row>
    <row r="153" ht="15.75" customHeight="1">
      <c r="A153" s="31" t="s">
        <v>698</v>
      </c>
      <c r="B153" s="58" t="s">
        <v>54</v>
      </c>
      <c r="C153" s="59" t="s">
        <v>699</v>
      </c>
      <c r="D153" s="59" t="s">
        <v>700</v>
      </c>
      <c r="E153" s="59" t="s">
        <v>442</v>
      </c>
      <c r="F153" s="60">
        <v>0.28</v>
      </c>
      <c r="G153" s="61"/>
      <c r="H153" s="61"/>
      <c r="I153" s="61"/>
      <c r="J153" s="61"/>
      <c r="K153" s="61"/>
      <c r="L153" s="61"/>
      <c r="M153" s="61"/>
      <c r="N153" s="61"/>
      <c r="O153" s="61"/>
      <c r="P153" s="61"/>
      <c r="Q153" s="61"/>
      <c r="R153" s="61"/>
      <c r="S153" s="61"/>
      <c r="T153" s="61"/>
      <c r="U153" s="61"/>
      <c r="V153" s="61"/>
      <c r="W153" s="61"/>
    </row>
    <row r="154" ht="15.75" customHeight="1">
      <c r="A154" s="31" t="s">
        <v>701</v>
      </c>
      <c r="B154" s="58" t="s">
        <v>54</v>
      </c>
      <c r="C154" s="59" t="s">
        <v>699</v>
      </c>
      <c r="D154" s="59" t="s">
        <v>700</v>
      </c>
      <c r="E154" s="59" t="s">
        <v>446</v>
      </c>
      <c r="F154" s="60">
        <v>0.21</v>
      </c>
      <c r="G154" s="61"/>
      <c r="H154" s="61"/>
      <c r="I154" s="61"/>
      <c r="J154" s="61"/>
      <c r="K154" s="61"/>
      <c r="L154" s="61"/>
      <c r="M154" s="61"/>
      <c r="N154" s="61"/>
      <c r="O154" s="61"/>
      <c r="P154" s="61"/>
      <c r="Q154" s="61"/>
      <c r="R154" s="61"/>
      <c r="S154" s="61"/>
      <c r="T154" s="61"/>
      <c r="U154" s="61"/>
      <c r="V154" s="61"/>
      <c r="W154" s="61"/>
    </row>
    <row r="155" ht="15.75" customHeight="1">
      <c r="A155" s="31" t="s">
        <v>702</v>
      </c>
      <c r="B155" s="58" t="s">
        <v>54</v>
      </c>
      <c r="C155" s="59" t="s">
        <v>699</v>
      </c>
      <c r="D155" s="59" t="s">
        <v>700</v>
      </c>
      <c r="E155" s="59" t="s">
        <v>452</v>
      </c>
      <c r="F155" s="60">
        <v>0.105</v>
      </c>
      <c r="G155" s="61"/>
      <c r="H155" s="61"/>
      <c r="I155" s="61"/>
      <c r="J155" s="61"/>
      <c r="K155" s="61"/>
      <c r="L155" s="61"/>
      <c r="M155" s="61"/>
      <c r="N155" s="61"/>
      <c r="O155" s="61"/>
      <c r="P155" s="61"/>
      <c r="Q155" s="61"/>
      <c r="R155" s="61"/>
      <c r="S155" s="61"/>
      <c r="T155" s="61"/>
      <c r="U155" s="61"/>
      <c r="V155" s="61"/>
      <c r="W155" s="61"/>
    </row>
    <row r="156" ht="15.75" customHeight="1">
      <c r="A156" s="31" t="s">
        <v>703</v>
      </c>
      <c r="B156" s="58" t="s">
        <v>54</v>
      </c>
      <c r="C156" s="59" t="s">
        <v>699</v>
      </c>
      <c r="D156" s="59" t="s">
        <v>700</v>
      </c>
      <c r="E156" s="59" t="s">
        <v>462</v>
      </c>
      <c r="F156" s="60">
        <v>0.175</v>
      </c>
      <c r="G156" s="61"/>
      <c r="H156" s="61"/>
      <c r="I156" s="61"/>
      <c r="J156" s="61"/>
      <c r="K156" s="61"/>
      <c r="L156" s="61"/>
      <c r="M156" s="61"/>
      <c r="N156" s="61"/>
      <c r="O156" s="61"/>
      <c r="P156" s="61"/>
      <c r="Q156" s="61"/>
      <c r="R156" s="61"/>
      <c r="S156" s="61"/>
      <c r="T156" s="61"/>
      <c r="U156" s="61"/>
      <c r="V156" s="61"/>
      <c r="W156" s="61"/>
    </row>
    <row r="157" ht="15.75" customHeight="1">
      <c r="A157" s="31" t="s">
        <v>704</v>
      </c>
      <c r="B157" s="58" t="s">
        <v>54</v>
      </c>
      <c r="C157" s="59" t="s">
        <v>705</v>
      </c>
      <c r="D157" s="59" t="s">
        <v>706</v>
      </c>
      <c r="E157" s="59" t="s">
        <v>442</v>
      </c>
      <c r="F157" s="60">
        <v>0.175</v>
      </c>
      <c r="G157" s="61"/>
      <c r="H157" s="61"/>
      <c r="I157" s="61"/>
      <c r="J157" s="61"/>
      <c r="K157" s="61"/>
      <c r="L157" s="61"/>
      <c r="M157" s="61"/>
      <c r="N157" s="61"/>
      <c r="O157" s="61"/>
      <c r="P157" s="61"/>
      <c r="Q157" s="61"/>
      <c r="R157" s="61"/>
      <c r="S157" s="61"/>
      <c r="T157" s="61"/>
      <c r="U157" s="61"/>
      <c r="V157" s="61"/>
      <c r="W157" s="61"/>
    </row>
    <row r="158" ht="15.75" customHeight="1">
      <c r="A158" s="31" t="s">
        <v>707</v>
      </c>
      <c r="B158" s="58" t="s">
        <v>54</v>
      </c>
      <c r="C158" s="59" t="s">
        <v>705</v>
      </c>
      <c r="D158" s="59" t="s">
        <v>706</v>
      </c>
      <c r="E158" s="59" t="s">
        <v>456</v>
      </c>
      <c r="F158" s="60">
        <v>0.35</v>
      </c>
      <c r="G158" s="61"/>
      <c r="H158" s="61"/>
      <c r="I158" s="61"/>
      <c r="J158" s="61"/>
      <c r="K158" s="61"/>
      <c r="L158" s="61"/>
      <c r="M158" s="61"/>
      <c r="N158" s="61"/>
      <c r="O158" s="61"/>
      <c r="P158" s="61"/>
      <c r="Q158" s="61"/>
      <c r="R158" s="61"/>
      <c r="S158" s="61"/>
      <c r="T158" s="61"/>
      <c r="U158" s="61"/>
      <c r="V158" s="61"/>
      <c r="W158" s="61"/>
    </row>
    <row r="159" ht="15.75" customHeight="1">
      <c r="A159" s="31" t="s">
        <v>708</v>
      </c>
      <c r="B159" s="58" t="s">
        <v>54</v>
      </c>
      <c r="C159" s="59" t="s">
        <v>705</v>
      </c>
      <c r="D159" s="59" t="s">
        <v>706</v>
      </c>
      <c r="E159" s="59" t="s">
        <v>462</v>
      </c>
      <c r="F159" s="60">
        <v>0.315</v>
      </c>
      <c r="G159" s="61"/>
      <c r="H159" s="61"/>
      <c r="I159" s="61"/>
      <c r="J159" s="61"/>
      <c r="K159" s="61"/>
      <c r="L159" s="61"/>
      <c r="M159" s="61"/>
      <c r="N159" s="61"/>
      <c r="O159" s="61"/>
      <c r="P159" s="61"/>
      <c r="Q159" s="61"/>
      <c r="R159" s="61"/>
      <c r="S159" s="61"/>
      <c r="T159" s="61"/>
      <c r="U159" s="61"/>
      <c r="V159" s="61"/>
      <c r="W159" s="61"/>
    </row>
    <row r="160" ht="15.75" customHeight="1">
      <c r="A160" s="31" t="s">
        <v>709</v>
      </c>
      <c r="B160" s="58" t="s">
        <v>54</v>
      </c>
      <c r="C160" s="59" t="s">
        <v>705</v>
      </c>
      <c r="D160" s="59" t="s">
        <v>706</v>
      </c>
      <c r="E160" s="59" t="s">
        <v>468</v>
      </c>
      <c r="F160" s="60">
        <v>0.28</v>
      </c>
      <c r="G160" s="61"/>
      <c r="H160" s="61"/>
      <c r="I160" s="61"/>
      <c r="J160" s="61"/>
      <c r="K160" s="61"/>
      <c r="L160" s="61"/>
      <c r="M160" s="61"/>
      <c r="N160" s="61"/>
      <c r="O160" s="61"/>
      <c r="P160" s="61"/>
      <c r="Q160" s="61"/>
      <c r="R160" s="61"/>
      <c r="S160" s="61"/>
      <c r="T160" s="61"/>
      <c r="U160" s="61"/>
      <c r="V160" s="61"/>
      <c r="W160" s="61"/>
    </row>
    <row r="161" ht="15.75" customHeight="1">
      <c r="A161" s="31" t="s">
        <v>710</v>
      </c>
      <c r="B161" s="58" t="s">
        <v>64</v>
      </c>
      <c r="C161" s="59" t="s">
        <v>711</v>
      </c>
      <c r="D161" s="59" t="s">
        <v>712</v>
      </c>
      <c r="E161" s="59" t="s">
        <v>442</v>
      </c>
      <c r="F161" s="60">
        <v>0.8</v>
      </c>
      <c r="G161" s="61"/>
      <c r="H161" s="61"/>
      <c r="I161" s="61"/>
      <c r="J161" s="61"/>
      <c r="K161" s="61"/>
      <c r="L161" s="61"/>
      <c r="M161" s="61"/>
      <c r="N161" s="61"/>
      <c r="O161" s="61"/>
      <c r="P161" s="61"/>
      <c r="Q161" s="61"/>
      <c r="R161" s="61"/>
      <c r="S161" s="61"/>
      <c r="T161" s="61"/>
      <c r="U161" s="61"/>
      <c r="V161" s="61"/>
      <c r="W161" s="61"/>
    </row>
    <row r="162" ht="15.75" customHeight="1">
      <c r="A162" s="31" t="s">
        <v>713</v>
      </c>
      <c r="B162" s="58" t="s">
        <v>64</v>
      </c>
      <c r="C162" s="59" t="s">
        <v>711</v>
      </c>
      <c r="D162" s="59" t="s">
        <v>712</v>
      </c>
      <c r="E162" s="59" t="s">
        <v>446</v>
      </c>
      <c r="F162" s="60">
        <v>0.5</v>
      </c>
      <c r="G162" s="61"/>
      <c r="H162" s="61"/>
      <c r="I162" s="61"/>
      <c r="J162" s="61"/>
      <c r="K162" s="61"/>
      <c r="L162" s="61"/>
      <c r="M162" s="61"/>
      <c r="N162" s="61"/>
      <c r="O162" s="61"/>
      <c r="P162" s="61"/>
      <c r="Q162" s="61"/>
      <c r="R162" s="61"/>
      <c r="S162" s="61"/>
      <c r="T162" s="61"/>
      <c r="U162" s="61"/>
      <c r="V162" s="61"/>
      <c r="W162" s="61"/>
    </row>
    <row r="163" ht="15.75" customHeight="1">
      <c r="A163" s="31" t="s">
        <v>714</v>
      </c>
      <c r="B163" s="58" t="s">
        <v>64</v>
      </c>
      <c r="C163" s="59" t="s">
        <v>711</v>
      </c>
      <c r="D163" s="59" t="s">
        <v>712</v>
      </c>
      <c r="E163" s="59" t="s">
        <v>448</v>
      </c>
      <c r="F163" s="60">
        <v>-0.8</v>
      </c>
      <c r="G163" s="61"/>
      <c r="H163" s="61"/>
      <c r="I163" s="61"/>
      <c r="J163" s="61"/>
      <c r="K163" s="61"/>
      <c r="L163" s="61"/>
      <c r="M163" s="61"/>
      <c r="N163" s="61"/>
      <c r="O163" s="61"/>
      <c r="P163" s="61"/>
      <c r="Q163" s="61"/>
      <c r="R163" s="61"/>
      <c r="S163" s="61"/>
      <c r="T163" s="61"/>
      <c r="U163" s="61"/>
      <c r="V163" s="61"/>
      <c r="W163" s="61"/>
    </row>
    <row r="164" ht="15.75" customHeight="1">
      <c r="A164" s="31" t="s">
        <v>715</v>
      </c>
      <c r="B164" s="58" t="s">
        <v>64</v>
      </c>
      <c r="C164" s="59" t="s">
        <v>711</v>
      </c>
      <c r="D164" s="59" t="s">
        <v>712</v>
      </c>
      <c r="E164" s="59" t="s">
        <v>454</v>
      </c>
      <c r="F164" s="60">
        <v>0.7</v>
      </c>
      <c r="G164" s="61"/>
      <c r="H164" s="61"/>
      <c r="I164" s="61"/>
      <c r="J164" s="61"/>
      <c r="K164" s="61"/>
      <c r="L164" s="61"/>
      <c r="M164" s="61"/>
      <c r="N164" s="61"/>
      <c r="O164" s="61"/>
      <c r="P164" s="61"/>
      <c r="Q164" s="61"/>
      <c r="R164" s="61"/>
      <c r="S164" s="61"/>
      <c r="T164" s="61"/>
      <c r="U164" s="61"/>
      <c r="V164" s="61"/>
      <c r="W164" s="61"/>
    </row>
    <row r="165" ht="15.75" customHeight="1">
      <c r="A165" s="31" t="s">
        <v>716</v>
      </c>
      <c r="B165" s="58" t="s">
        <v>64</v>
      </c>
      <c r="C165" s="59" t="s">
        <v>711</v>
      </c>
      <c r="D165" s="59" t="s">
        <v>712</v>
      </c>
      <c r="E165" s="59" t="s">
        <v>458</v>
      </c>
      <c r="F165" s="60">
        <v>-1.0</v>
      </c>
      <c r="G165" s="61"/>
      <c r="H165" s="61"/>
      <c r="I165" s="61"/>
      <c r="J165" s="61"/>
      <c r="K165" s="61"/>
      <c r="L165" s="61"/>
      <c r="M165" s="61"/>
      <c r="N165" s="61"/>
      <c r="O165" s="61"/>
      <c r="P165" s="61"/>
      <c r="Q165" s="61"/>
      <c r="R165" s="61"/>
      <c r="S165" s="61"/>
      <c r="T165" s="61"/>
      <c r="U165" s="61"/>
      <c r="V165" s="61"/>
      <c r="W165" s="61"/>
    </row>
    <row r="166" ht="15.75" customHeight="1">
      <c r="A166" s="31" t="s">
        <v>717</v>
      </c>
      <c r="B166" s="58" t="s">
        <v>64</v>
      </c>
      <c r="C166" s="59" t="s">
        <v>711</v>
      </c>
      <c r="D166" s="59" t="s">
        <v>712</v>
      </c>
      <c r="E166" s="62" t="s">
        <v>466</v>
      </c>
      <c r="F166" s="63">
        <v>0.3</v>
      </c>
      <c r="G166" s="61"/>
      <c r="H166" s="61"/>
      <c r="I166" s="61"/>
      <c r="J166" s="61"/>
      <c r="K166" s="61"/>
      <c r="L166" s="61"/>
      <c r="M166" s="61"/>
      <c r="N166" s="61"/>
      <c r="O166" s="61"/>
      <c r="P166" s="61"/>
      <c r="Q166" s="61"/>
      <c r="R166" s="61"/>
      <c r="S166" s="61"/>
      <c r="T166" s="61"/>
      <c r="U166" s="61"/>
      <c r="V166" s="61"/>
      <c r="W166" s="61"/>
    </row>
    <row r="167" ht="15.75" customHeight="1">
      <c r="A167" s="31" t="s">
        <v>718</v>
      </c>
      <c r="B167" s="58" t="s">
        <v>64</v>
      </c>
      <c r="C167" s="59" t="s">
        <v>719</v>
      </c>
      <c r="D167" s="59" t="s">
        <v>720</v>
      </c>
      <c r="E167" s="59" t="s">
        <v>448</v>
      </c>
      <c r="F167" s="60">
        <v>-0.5</v>
      </c>
      <c r="G167" s="61"/>
      <c r="H167" s="61"/>
      <c r="I167" s="61"/>
      <c r="J167" s="61"/>
      <c r="K167" s="61"/>
      <c r="L167" s="61"/>
      <c r="M167" s="61"/>
      <c r="N167" s="61"/>
      <c r="O167" s="61"/>
      <c r="P167" s="61"/>
      <c r="Q167" s="61"/>
      <c r="R167" s="61"/>
      <c r="S167" s="61"/>
      <c r="T167" s="61"/>
      <c r="U167" s="61"/>
      <c r="V167" s="61"/>
      <c r="W167" s="61"/>
    </row>
    <row r="168" ht="15.75" customHeight="1">
      <c r="A168" s="31" t="s">
        <v>721</v>
      </c>
      <c r="B168" s="58" t="s">
        <v>64</v>
      </c>
      <c r="C168" s="59" t="s">
        <v>719</v>
      </c>
      <c r="D168" s="59" t="s">
        <v>720</v>
      </c>
      <c r="E168" s="59" t="s">
        <v>452</v>
      </c>
      <c r="F168" s="60">
        <v>0.2</v>
      </c>
      <c r="G168" s="61"/>
      <c r="H168" s="61"/>
      <c r="I168" s="61"/>
      <c r="J168" s="61"/>
      <c r="K168" s="61"/>
      <c r="L168" s="61"/>
      <c r="M168" s="61"/>
      <c r="N168" s="61"/>
      <c r="O168" s="61"/>
      <c r="P168" s="61"/>
      <c r="Q168" s="61"/>
      <c r="R168" s="61"/>
      <c r="S168" s="61"/>
      <c r="T168" s="61"/>
      <c r="U168" s="61"/>
      <c r="V168" s="61"/>
      <c r="W168" s="61"/>
    </row>
    <row r="169" ht="15.75" customHeight="1">
      <c r="A169" s="31" t="s">
        <v>722</v>
      </c>
      <c r="B169" s="58" t="s">
        <v>64</v>
      </c>
      <c r="C169" s="59" t="s">
        <v>719</v>
      </c>
      <c r="D169" s="59" t="s">
        <v>720</v>
      </c>
      <c r="E169" s="59" t="s">
        <v>458</v>
      </c>
      <c r="F169" s="60">
        <v>-0.5</v>
      </c>
      <c r="G169" s="61"/>
      <c r="H169" s="61"/>
      <c r="I169" s="61"/>
      <c r="J169" s="61"/>
      <c r="K169" s="61"/>
      <c r="L169" s="61"/>
      <c r="M169" s="61"/>
      <c r="N169" s="61"/>
      <c r="O169" s="61"/>
      <c r="P169" s="61"/>
      <c r="Q169" s="61"/>
      <c r="R169" s="61"/>
      <c r="S169" s="61"/>
      <c r="T169" s="61"/>
      <c r="U169" s="61"/>
      <c r="V169" s="61"/>
      <c r="W169" s="61"/>
    </row>
    <row r="170" ht="15.75" customHeight="1">
      <c r="A170" s="31" t="s">
        <v>722</v>
      </c>
      <c r="B170" s="58" t="s">
        <v>64</v>
      </c>
      <c r="C170" s="59" t="s">
        <v>719</v>
      </c>
      <c r="D170" s="59" t="s">
        <v>720</v>
      </c>
      <c r="E170" s="62" t="s">
        <v>464</v>
      </c>
      <c r="F170" s="63">
        <v>0.25</v>
      </c>
      <c r="G170" s="61"/>
      <c r="H170" s="61"/>
      <c r="I170" s="61"/>
      <c r="J170" s="61"/>
      <c r="K170" s="61"/>
      <c r="L170" s="61"/>
      <c r="M170" s="61"/>
      <c r="N170" s="61"/>
      <c r="O170" s="61"/>
      <c r="P170" s="61"/>
      <c r="Q170" s="61"/>
      <c r="R170" s="61"/>
      <c r="S170" s="61"/>
      <c r="T170" s="61"/>
      <c r="U170" s="61"/>
      <c r="V170" s="61"/>
      <c r="W170" s="61"/>
    </row>
    <row r="171" ht="15.75" customHeight="1">
      <c r="A171" s="31" t="s">
        <v>723</v>
      </c>
      <c r="B171" s="58" t="s">
        <v>64</v>
      </c>
      <c r="C171" s="59" t="s">
        <v>724</v>
      </c>
      <c r="D171" s="59" t="s">
        <v>725</v>
      </c>
      <c r="E171" s="59" t="s">
        <v>444</v>
      </c>
      <c r="F171" s="60">
        <v>0.4</v>
      </c>
      <c r="G171" s="61"/>
      <c r="H171" s="61"/>
      <c r="I171" s="61"/>
      <c r="J171" s="61"/>
      <c r="K171" s="61"/>
      <c r="L171" s="61"/>
      <c r="M171" s="61"/>
      <c r="N171" s="61"/>
      <c r="O171" s="61"/>
      <c r="P171" s="61"/>
      <c r="Q171" s="61"/>
      <c r="R171" s="61"/>
      <c r="S171" s="61"/>
      <c r="T171" s="61"/>
      <c r="U171" s="61"/>
      <c r="V171" s="61"/>
      <c r="W171" s="61"/>
    </row>
    <row r="172" ht="15.75" customHeight="1">
      <c r="A172" s="31" t="s">
        <v>726</v>
      </c>
      <c r="B172" s="58" t="s">
        <v>64</v>
      </c>
      <c r="C172" s="59" t="s">
        <v>724</v>
      </c>
      <c r="D172" s="59" t="s">
        <v>725</v>
      </c>
      <c r="E172" s="59" t="s">
        <v>448</v>
      </c>
      <c r="F172" s="60">
        <v>1.5</v>
      </c>
      <c r="G172" s="61"/>
      <c r="H172" s="61"/>
      <c r="I172" s="61"/>
      <c r="J172" s="61"/>
      <c r="K172" s="61"/>
      <c r="L172" s="61"/>
      <c r="M172" s="61"/>
      <c r="N172" s="61"/>
      <c r="O172" s="61"/>
      <c r="P172" s="61"/>
      <c r="Q172" s="61"/>
      <c r="R172" s="61"/>
      <c r="S172" s="61"/>
      <c r="T172" s="61"/>
      <c r="U172" s="61"/>
      <c r="V172" s="61"/>
      <c r="W172" s="61"/>
    </row>
    <row r="173" ht="15.75" customHeight="1">
      <c r="A173" s="31" t="s">
        <v>727</v>
      </c>
      <c r="B173" s="58" t="s">
        <v>64</v>
      </c>
      <c r="C173" s="59" t="s">
        <v>724</v>
      </c>
      <c r="D173" s="59" t="s">
        <v>725</v>
      </c>
      <c r="E173" s="59" t="s">
        <v>458</v>
      </c>
      <c r="F173" s="60">
        <v>-0.8</v>
      </c>
      <c r="G173" s="61"/>
      <c r="H173" s="61"/>
      <c r="I173" s="61"/>
      <c r="J173" s="61"/>
      <c r="K173" s="61"/>
      <c r="L173" s="61"/>
      <c r="M173" s="61"/>
      <c r="N173" s="61"/>
      <c r="O173" s="61"/>
      <c r="P173" s="61"/>
      <c r="Q173" s="61"/>
      <c r="R173" s="61"/>
      <c r="S173" s="61"/>
      <c r="T173" s="61"/>
      <c r="U173" s="61"/>
      <c r="V173" s="61"/>
      <c r="W173" s="61"/>
    </row>
    <row r="174" ht="15.75" customHeight="1">
      <c r="A174" s="31" t="s">
        <v>728</v>
      </c>
      <c r="B174" s="58" t="s">
        <v>64</v>
      </c>
      <c r="C174" s="59" t="s">
        <v>724</v>
      </c>
      <c r="D174" s="59" t="s">
        <v>725</v>
      </c>
      <c r="E174" s="59" t="s">
        <v>460</v>
      </c>
      <c r="F174" s="60">
        <v>0.3</v>
      </c>
      <c r="G174" s="61"/>
      <c r="H174" s="61"/>
      <c r="I174" s="61"/>
      <c r="J174" s="61"/>
      <c r="K174" s="61"/>
      <c r="L174" s="61"/>
      <c r="M174" s="61"/>
      <c r="N174" s="61"/>
      <c r="O174" s="61"/>
      <c r="P174" s="61"/>
      <c r="Q174" s="61"/>
      <c r="R174" s="61"/>
      <c r="S174" s="61"/>
      <c r="T174" s="61"/>
      <c r="U174" s="61"/>
      <c r="V174" s="61"/>
      <c r="W174" s="61"/>
    </row>
    <row r="175" ht="15.75" customHeight="1">
      <c r="A175" s="31" t="s">
        <v>728</v>
      </c>
      <c r="B175" s="58" t="s">
        <v>64</v>
      </c>
      <c r="C175" s="59" t="s">
        <v>724</v>
      </c>
      <c r="D175" s="59" t="s">
        <v>725</v>
      </c>
      <c r="E175" s="62" t="s">
        <v>464</v>
      </c>
      <c r="F175" s="63">
        <v>0.4</v>
      </c>
      <c r="G175" s="61"/>
      <c r="H175" s="61"/>
      <c r="I175" s="61"/>
      <c r="J175" s="61"/>
      <c r="K175" s="61"/>
      <c r="L175" s="61"/>
      <c r="M175" s="61"/>
      <c r="N175" s="61"/>
      <c r="O175" s="61"/>
      <c r="P175" s="61"/>
      <c r="Q175" s="61"/>
      <c r="R175" s="61"/>
      <c r="S175" s="61"/>
      <c r="T175" s="61"/>
      <c r="U175" s="61"/>
      <c r="V175" s="61"/>
      <c r="W175" s="61"/>
    </row>
    <row r="176" ht="15.75" customHeight="1">
      <c r="A176" s="31" t="s">
        <v>729</v>
      </c>
      <c r="B176" s="58" t="s">
        <v>64</v>
      </c>
      <c r="C176" s="59" t="s">
        <v>730</v>
      </c>
      <c r="D176" s="59" t="s">
        <v>731</v>
      </c>
      <c r="E176" s="59" t="s">
        <v>448</v>
      </c>
      <c r="F176" s="60">
        <v>-0.8</v>
      </c>
      <c r="G176" s="61"/>
      <c r="H176" s="61"/>
      <c r="I176" s="61"/>
      <c r="J176" s="61"/>
      <c r="K176" s="61"/>
      <c r="L176" s="61"/>
      <c r="M176" s="61"/>
      <c r="N176" s="61"/>
      <c r="O176" s="61"/>
      <c r="P176" s="61"/>
      <c r="Q176" s="61"/>
      <c r="R176" s="61"/>
      <c r="S176" s="61"/>
      <c r="T176" s="61"/>
      <c r="U176" s="61"/>
      <c r="V176" s="61"/>
      <c r="W176" s="61"/>
    </row>
    <row r="177" ht="15.75" customHeight="1">
      <c r="A177" s="31" t="s">
        <v>732</v>
      </c>
      <c r="B177" s="58" t="s">
        <v>64</v>
      </c>
      <c r="C177" s="59" t="s">
        <v>730</v>
      </c>
      <c r="D177" s="59" t="s">
        <v>731</v>
      </c>
      <c r="E177" s="59" t="s">
        <v>450</v>
      </c>
      <c r="F177" s="60">
        <v>0.4</v>
      </c>
      <c r="G177" s="61"/>
      <c r="H177" s="61"/>
      <c r="I177" s="61"/>
      <c r="J177" s="61"/>
      <c r="K177" s="61"/>
      <c r="L177" s="61"/>
      <c r="M177" s="61"/>
      <c r="N177" s="61"/>
      <c r="O177" s="61"/>
      <c r="P177" s="61"/>
      <c r="Q177" s="61"/>
      <c r="R177" s="61"/>
      <c r="S177" s="61"/>
      <c r="T177" s="61"/>
      <c r="U177" s="61"/>
      <c r="V177" s="61"/>
      <c r="W177" s="61"/>
    </row>
    <row r="178" ht="15.75" customHeight="1">
      <c r="A178" s="31" t="s">
        <v>733</v>
      </c>
      <c r="B178" s="58" t="s">
        <v>64</v>
      </c>
      <c r="C178" s="59" t="s">
        <v>730</v>
      </c>
      <c r="D178" s="59" t="s">
        <v>731</v>
      </c>
      <c r="E178" s="59" t="s">
        <v>458</v>
      </c>
      <c r="F178" s="60">
        <v>1.6</v>
      </c>
      <c r="G178" s="61"/>
      <c r="H178" s="61"/>
      <c r="I178" s="61"/>
      <c r="J178" s="61"/>
      <c r="K178" s="61"/>
      <c r="L178" s="61"/>
      <c r="M178" s="61"/>
      <c r="N178" s="61"/>
      <c r="O178" s="61"/>
      <c r="P178" s="61"/>
      <c r="Q178" s="61"/>
      <c r="R178" s="61"/>
      <c r="S178" s="61"/>
      <c r="T178" s="61"/>
      <c r="U178" s="61"/>
      <c r="V178" s="61"/>
      <c r="W178" s="61"/>
    </row>
    <row r="179" ht="15.75" customHeight="1">
      <c r="A179" s="31" t="s">
        <v>734</v>
      </c>
      <c r="B179" s="58" t="s">
        <v>72</v>
      </c>
      <c r="C179" s="59" t="s">
        <v>735</v>
      </c>
      <c r="D179" s="59" t="s">
        <v>736</v>
      </c>
      <c r="E179" s="59" t="s">
        <v>444</v>
      </c>
      <c r="F179" s="60">
        <v>0.4</v>
      </c>
      <c r="G179" s="61"/>
      <c r="H179" s="61"/>
      <c r="I179" s="61"/>
      <c r="J179" s="61"/>
      <c r="K179" s="61"/>
      <c r="L179" s="61"/>
      <c r="M179" s="61"/>
      <c r="N179" s="61"/>
      <c r="O179" s="61"/>
      <c r="P179" s="61"/>
      <c r="Q179" s="61"/>
      <c r="R179" s="61"/>
      <c r="S179" s="61"/>
      <c r="T179" s="61"/>
      <c r="U179" s="61"/>
      <c r="V179" s="61"/>
      <c r="W179" s="61"/>
    </row>
    <row r="180" ht="15.75" customHeight="1">
      <c r="A180" s="31" t="s">
        <v>737</v>
      </c>
      <c r="B180" s="58" t="s">
        <v>72</v>
      </c>
      <c r="C180" s="59" t="s">
        <v>735</v>
      </c>
      <c r="D180" s="59" t="s">
        <v>736</v>
      </c>
      <c r="E180" s="59" t="s">
        <v>450</v>
      </c>
      <c r="F180" s="60">
        <v>0.3</v>
      </c>
      <c r="G180" s="61"/>
      <c r="H180" s="61"/>
      <c r="I180" s="61"/>
      <c r="J180" s="61"/>
      <c r="K180" s="61"/>
      <c r="L180" s="61"/>
      <c r="M180" s="61"/>
      <c r="N180" s="61"/>
      <c r="O180" s="61"/>
      <c r="P180" s="61"/>
      <c r="Q180" s="61"/>
      <c r="R180" s="61"/>
      <c r="S180" s="61"/>
      <c r="T180" s="61"/>
      <c r="U180" s="61"/>
      <c r="V180" s="61"/>
      <c r="W180" s="61"/>
    </row>
    <row r="181" ht="15.75" customHeight="1">
      <c r="A181" s="31" t="s">
        <v>738</v>
      </c>
      <c r="B181" s="58" t="s">
        <v>72</v>
      </c>
      <c r="C181" s="59" t="s">
        <v>735</v>
      </c>
      <c r="D181" s="59" t="s">
        <v>736</v>
      </c>
      <c r="E181" s="59" t="s">
        <v>460</v>
      </c>
      <c r="F181" s="60">
        <v>0.4</v>
      </c>
      <c r="G181" s="61"/>
      <c r="H181" s="61"/>
      <c r="I181" s="61"/>
      <c r="J181" s="61"/>
      <c r="K181" s="61"/>
      <c r="L181" s="61"/>
      <c r="M181" s="61"/>
      <c r="N181" s="61"/>
      <c r="O181" s="61"/>
      <c r="P181" s="61"/>
      <c r="Q181" s="61"/>
      <c r="R181" s="61"/>
      <c r="S181" s="61"/>
      <c r="T181" s="61"/>
      <c r="U181" s="61"/>
      <c r="V181" s="61"/>
      <c r="W181" s="61"/>
    </row>
    <row r="182" ht="15.75" customHeight="1">
      <c r="A182" s="31" t="s">
        <v>739</v>
      </c>
      <c r="B182" s="58" t="s">
        <v>72</v>
      </c>
      <c r="C182" s="59" t="s">
        <v>740</v>
      </c>
      <c r="D182" s="59" t="s">
        <v>741</v>
      </c>
      <c r="E182" s="59" t="s">
        <v>442</v>
      </c>
      <c r="F182" s="60">
        <v>0.4</v>
      </c>
      <c r="G182" s="61"/>
      <c r="H182" s="61"/>
      <c r="I182" s="61"/>
      <c r="J182" s="61"/>
      <c r="K182" s="61"/>
      <c r="L182" s="61"/>
      <c r="M182" s="61"/>
      <c r="N182" s="61"/>
      <c r="O182" s="61"/>
      <c r="P182" s="61"/>
      <c r="Q182" s="61"/>
      <c r="R182" s="61"/>
      <c r="S182" s="61"/>
      <c r="T182" s="61"/>
      <c r="U182" s="61"/>
      <c r="V182" s="61"/>
      <c r="W182" s="61"/>
    </row>
    <row r="183" ht="15.75" customHeight="1">
      <c r="A183" s="31" t="s">
        <v>742</v>
      </c>
      <c r="B183" s="58" t="s">
        <v>72</v>
      </c>
      <c r="C183" s="59" t="s">
        <v>740</v>
      </c>
      <c r="D183" s="59" t="s">
        <v>741</v>
      </c>
      <c r="E183" s="59" t="s">
        <v>446</v>
      </c>
      <c r="F183" s="60">
        <v>0.4</v>
      </c>
      <c r="G183" s="61"/>
      <c r="H183" s="61"/>
      <c r="I183" s="61"/>
      <c r="J183" s="61"/>
      <c r="K183" s="61"/>
      <c r="L183" s="61"/>
      <c r="M183" s="61"/>
      <c r="N183" s="61"/>
      <c r="O183" s="61"/>
      <c r="P183" s="61"/>
      <c r="Q183" s="61"/>
      <c r="R183" s="61"/>
      <c r="S183" s="61"/>
      <c r="T183" s="61"/>
      <c r="U183" s="61"/>
      <c r="V183" s="61"/>
      <c r="W183" s="61"/>
    </row>
    <row r="184" ht="15.75" customHeight="1">
      <c r="A184" s="31" t="s">
        <v>743</v>
      </c>
      <c r="B184" s="58" t="s">
        <v>72</v>
      </c>
      <c r="C184" s="59" t="s">
        <v>740</v>
      </c>
      <c r="D184" s="59" t="s">
        <v>741</v>
      </c>
      <c r="E184" s="59" t="s">
        <v>452</v>
      </c>
      <c r="F184" s="60">
        <v>0.3</v>
      </c>
      <c r="G184" s="61"/>
      <c r="H184" s="61"/>
      <c r="I184" s="61"/>
      <c r="J184" s="61"/>
      <c r="K184" s="61"/>
      <c r="L184" s="61"/>
      <c r="M184" s="61"/>
      <c r="N184" s="61"/>
      <c r="O184" s="61"/>
      <c r="P184" s="61"/>
      <c r="Q184" s="61"/>
      <c r="R184" s="61"/>
      <c r="S184" s="61"/>
      <c r="T184" s="61"/>
      <c r="U184" s="61"/>
      <c r="V184" s="61"/>
      <c r="W184" s="61"/>
    </row>
    <row r="185" ht="15.75" customHeight="1">
      <c r="A185" s="31" t="s">
        <v>744</v>
      </c>
      <c r="B185" s="58" t="s">
        <v>72</v>
      </c>
      <c r="C185" s="59" t="s">
        <v>740</v>
      </c>
      <c r="D185" s="59" t="s">
        <v>741</v>
      </c>
      <c r="E185" s="59" t="s">
        <v>454</v>
      </c>
      <c r="F185" s="60">
        <v>0.5</v>
      </c>
      <c r="G185" s="61"/>
      <c r="H185" s="61"/>
      <c r="I185" s="61"/>
      <c r="J185" s="61"/>
      <c r="K185" s="61"/>
      <c r="L185" s="61"/>
      <c r="M185" s="61"/>
      <c r="N185" s="61"/>
      <c r="O185" s="61"/>
      <c r="P185" s="61"/>
      <c r="Q185" s="61"/>
      <c r="R185" s="61"/>
      <c r="S185" s="61"/>
      <c r="T185" s="61"/>
      <c r="U185" s="61"/>
      <c r="V185" s="61"/>
      <c r="W185" s="61"/>
    </row>
    <row r="186" ht="15.75" customHeight="1">
      <c r="A186" s="31" t="s">
        <v>745</v>
      </c>
      <c r="B186" s="58" t="s">
        <v>72</v>
      </c>
      <c r="C186" s="59" t="s">
        <v>740</v>
      </c>
      <c r="D186" s="59" t="s">
        <v>741</v>
      </c>
      <c r="E186" s="59" t="s">
        <v>462</v>
      </c>
      <c r="F186" s="60">
        <v>0.6</v>
      </c>
      <c r="G186" s="61"/>
      <c r="H186" s="61"/>
      <c r="I186" s="61"/>
      <c r="J186" s="61"/>
      <c r="K186" s="61"/>
      <c r="L186" s="61"/>
      <c r="M186" s="61"/>
      <c r="N186" s="61"/>
      <c r="O186" s="61"/>
      <c r="P186" s="61"/>
      <c r="Q186" s="61"/>
      <c r="R186" s="61"/>
      <c r="S186" s="61"/>
      <c r="T186" s="61"/>
      <c r="U186" s="61"/>
      <c r="V186" s="61"/>
      <c r="W186" s="61"/>
    </row>
    <row r="187" ht="15.75" customHeight="1">
      <c r="A187" s="31" t="s">
        <v>746</v>
      </c>
      <c r="B187" s="58" t="s">
        <v>72</v>
      </c>
      <c r="C187" s="59" t="s">
        <v>740</v>
      </c>
      <c r="D187" s="59" t="s">
        <v>741</v>
      </c>
      <c r="E187" s="62" t="s">
        <v>458</v>
      </c>
      <c r="F187" s="63">
        <v>0.4</v>
      </c>
      <c r="G187" s="61"/>
      <c r="H187" s="61"/>
      <c r="I187" s="61"/>
      <c r="J187" s="61"/>
      <c r="K187" s="61"/>
      <c r="L187" s="61"/>
      <c r="M187" s="61"/>
      <c r="N187" s="61"/>
      <c r="O187" s="61"/>
      <c r="P187" s="61"/>
      <c r="Q187" s="61"/>
      <c r="R187" s="61"/>
      <c r="S187" s="61"/>
      <c r="T187" s="61"/>
      <c r="U187" s="61"/>
      <c r="V187" s="61"/>
      <c r="W187" s="61"/>
    </row>
    <row r="188" ht="15.75" customHeight="1">
      <c r="A188" s="31" t="s">
        <v>747</v>
      </c>
      <c r="B188" s="58" t="s">
        <v>72</v>
      </c>
      <c r="C188" s="59" t="s">
        <v>740</v>
      </c>
      <c r="D188" s="59" t="s">
        <v>741</v>
      </c>
      <c r="E188" s="62" t="s">
        <v>466</v>
      </c>
      <c r="F188" s="63">
        <v>0.4</v>
      </c>
      <c r="G188" s="61"/>
      <c r="H188" s="61"/>
      <c r="I188" s="61"/>
      <c r="J188" s="61"/>
      <c r="K188" s="61"/>
      <c r="L188" s="61"/>
      <c r="M188" s="61"/>
      <c r="N188" s="61"/>
      <c r="O188" s="61"/>
      <c r="P188" s="61"/>
      <c r="Q188" s="61"/>
      <c r="R188" s="61"/>
      <c r="S188" s="61"/>
      <c r="T188" s="61"/>
      <c r="U188" s="61"/>
      <c r="V188" s="61"/>
      <c r="W188" s="61"/>
    </row>
    <row r="189" ht="15.75" customHeight="1">
      <c r="A189" s="31" t="s">
        <v>748</v>
      </c>
      <c r="B189" s="58" t="s">
        <v>72</v>
      </c>
      <c r="C189" s="59" t="s">
        <v>749</v>
      </c>
      <c r="D189" s="59" t="s">
        <v>750</v>
      </c>
      <c r="E189" s="59" t="s">
        <v>442</v>
      </c>
      <c r="F189" s="60">
        <v>0.4</v>
      </c>
      <c r="G189" s="61"/>
      <c r="H189" s="61"/>
      <c r="I189" s="61"/>
      <c r="J189" s="61"/>
      <c r="K189" s="61"/>
      <c r="L189" s="61"/>
      <c r="M189" s="61"/>
      <c r="N189" s="61"/>
      <c r="O189" s="61"/>
      <c r="P189" s="61"/>
      <c r="Q189" s="61"/>
      <c r="R189" s="61"/>
      <c r="S189" s="61"/>
      <c r="T189" s="61"/>
      <c r="U189" s="61"/>
      <c r="V189" s="61"/>
      <c r="W189" s="61"/>
    </row>
    <row r="190" ht="15.75" customHeight="1">
      <c r="A190" s="31" t="s">
        <v>751</v>
      </c>
      <c r="B190" s="58" t="s">
        <v>72</v>
      </c>
      <c r="C190" s="59" t="s">
        <v>749</v>
      </c>
      <c r="D190" s="59" t="s">
        <v>750</v>
      </c>
      <c r="E190" s="59" t="s">
        <v>446</v>
      </c>
      <c r="F190" s="60">
        <v>0.6</v>
      </c>
      <c r="G190" s="61"/>
      <c r="H190" s="61"/>
      <c r="I190" s="61"/>
      <c r="J190" s="61"/>
      <c r="K190" s="61"/>
      <c r="L190" s="61"/>
      <c r="M190" s="61"/>
      <c r="N190" s="61"/>
      <c r="O190" s="61"/>
      <c r="P190" s="61"/>
      <c r="Q190" s="61"/>
      <c r="R190" s="61"/>
      <c r="S190" s="61"/>
      <c r="T190" s="61"/>
      <c r="U190" s="61"/>
      <c r="V190" s="61"/>
      <c r="W190" s="61"/>
    </row>
    <row r="191" ht="15.75" customHeight="1">
      <c r="A191" s="31" t="s">
        <v>752</v>
      </c>
      <c r="B191" s="58" t="s">
        <v>72</v>
      </c>
      <c r="C191" s="59" t="s">
        <v>749</v>
      </c>
      <c r="D191" s="59" t="s">
        <v>750</v>
      </c>
      <c r="E191" s="59" t="s">
        <v>464</v>
      </c>
      <c r="F191" s="60">
        <v>0.9</v>
      </c>
      <c r="G191" s="61"/>
      <c r="H191" s="61"/>
      <c r="I191" s="61"/>
      <c r="J191" s="61"/>
      <c r="K191" s="61"/>
      <c r="L191" s="61"/>
      <c r="M191" s="61"/>
      <c r="N191" s="61"/>
      <c r="O191" s="61"/>
      <c r="P191" s="61"/>
      <c r="Q191" s="61"/>
      <c r="R191" s="61"/>
      <c r="S191" s="61"/>
      <c r="T191" s="61"/>
      <c r="U191" s="61"/>
      <c r="V191" s="61"/>
      <c r="W191" s="61"/>
    </row>
    <row r="192" ht="15.75" customHeight="1">
      <c r="A192" s="31" t="s">
        <v>753</v>
      </c>
      <c r="B192" s="58" t="s">
        <v>72</v>
      </c>
      <c r="C192" s="59" t="s">
        <v>543</v>
      </c>
      <c r="D192" s="59" t="s">
        <v>754</v>
      </c>
      <c r="E192" s="59" t="s">
        <v>452</v>
      </c>
      <c r="F192" s="60">
        <v>0.2</v>
      </c>
      <c r="G192" s="61"/>
      <c r="H192" s="61"/>
      <c r="I192" s="61"/>
      <c r="J192" s="61"/>
      <c r="K192" s="61"/>
      <c r="L192" s="61"/>
      <c r="M192" s="61"/>
      <c r="N192" s="61"/>
      <c r="O192" s="61"/>
      <c r="P192" s="61"/>
      <c r="Q192" s="61"/>
      <c r="R192" s="61"/>
      <c r="S192" s="61"/>
      <c r="T192" s="61"/>
      <c r="U192" s="61"/>
      <c r="V192" s="61"/>
      <c r="W192" s="61"/>
    </row>
    <row r="193" ht="15.75" customHeight="1">
      <c r="A193" s="31" t="s">
        <v>755</v>
      </c>
      <c r="B193" s="58" t="s">
        <v>72</v>
      </c>
      <c r="C193" s="59" t="s">
        <v>756</v>
      </c>
      <c r="D193" s="59" t="s">
        <v>757</v>
      </c>
      <c r="E193" s="59" t="s">
        <v>456</v>
      </c>
      <c r="F193" s="60">
        <v>0.6</v>
      </c>
      <c r="G193" s="61"/>
      <c r="H193" s="61"/>
      <c r="I193" s="61"/>
      <c r="J193" s="61"/>
      <c r="K193" s="61"/>
      <c r="L193" s="61"/>
      <c r="M193" s="61"/>
      <c r="N193" s="61"/>
      <c r="O193" s="61"/>
      <c r="P193" s="61"/>
      <c r="Q193" s="61"/>
      <c r="R193" s="61"/>
      <c r="S193" s="61"/>
      <c r="T193" s="61"/>
      <c r="U193" s="61"/>
      <c r="V193" s="61"/>
      <c r="W193" s="61"/>
    </row>
    <row r="194" ht="15.75" customHeight="1">
      <c r="A194" s="31" t="s">
        <v>758</v>
      </c>
      <c r="B194" s="58" t="s">
        <v>72</v>
      </c>
      <c r="C194" s="59" t="s">
        <v>756</v>
      </c>
      <c r="D194" s="59" t="s">
        <v>757</v>
      </c>
      <c r="E194" s="59" t="s">
        <v>458</v>
      </c>
      <c r="F194" s="60">
        <v>0.5</v>
      </c>
      <c r="G194" s="61"/>
      <c r="H194" s="61"/>
      <c r="I194" s="61"/>
      <c r="J194" s="61"/>
      <c r="K194" s="61"/>
      <c r="L194" s="61"/>
      <c r="M194" s="61"/>
      <c r="N194" s="61"/>
      <c r="O194" s="61"/>
      <c r="P194" s="61"/>
      <c r="Q194" s="61"/>
      <c r="R194" s="61"/>
      <c r="S194" s="61"/>
      <c r="T194" s="61"/>
      <c r="U194" s="61"/>
      <c r="V194" s="61"/>
      <c r="W194" s="61"/>
    </row>
    <row r="195" ht="15.75" customHeight="1">
      <c r="A195" s="31" t="s">
        <v>759</v>
      </c>
      <c r="B195" s="58" t="s">
        <v>72</v>
      </c>
      <c r="C195" s="59" t="s">
        <v>756</v>
      </c>
      <c r="D195" s="59" t="s">
        <v>757</v>
      </c>
      <c r="E195" s="59" t="s">
        <v>460</v>
      </c>
      <c r="F195" s="60">
        <v>0.4</v>
      </c>
      <c r="G195" s="61"/>
      <c r="H195" s="61"/>
      <c r="I195" s="61"/>
      <c r="J195" s="61"/>
      <c r="K195" s="61"/>
      <c r="L195" s="61"/>
      <c r="M195" s="61"/>
      <c r="N195" s="61"/>
      <c r="O195" s="61"/>
      <c r="P195" s="61"/>
      <c r="Q195" s="61"/>
      <c r="R195" s="61"/>
      <c r="S195" s="61"/>
      <c r="T195" s="61"/>
      <c r="U195" s="61"/>
      <c r="V195" s="61"/>
      <c r="W195" s="61"/>
    </row>
    <row r="196" ht="15.75" customHeight="1">
      <c r="A196" s="31" t="s">
        <v>760</v>
      </c>
      <c r="B196" s="58" t="s">
        <v>72</v>
      </c>
      <c r="C196" s="59" t="s">
        <v>756</v>
      </c>
      <c r="D196" s="59" t="s">
        <v>757</v>
      </c>
      <c r="E196" s="59" t="s">
        <v>468</v>
      </c>
      <c r="F196" s="60">
        <v>0.9</v>
      </c>
      <c r="G196" s="61"/>
      <c r="H196" s="61"/>
      <c r="I196" s="61"/>
      <c r="J196" s="61"/>
      <c r="K196" s="61"/>
      <c r="L196" s="61"/>
      <c r="M196" s="61"/>
      <c r="N196" s="61"/>
      <c r="O196" s="61"/>
      <c r="P196" s="61"/>
      <c r="Q196" s="61"/>
      <c r="R196" s="61"/>
      <c r="S196" s="61"/>
      <c r="T196" s="61"/>
      <c r="U196" s="61"/>
      <c r="V196" s="61"/>
      <c r="W196" s="61"/>
    </row>
    <row r="197" ht="15.75" customHeight="1">
      <c r="A197" s="31" t="s">
        <v>761</v>
      </c>
      <c r="B197" s="58" t="s">
        <v>89</v>
      </c>
      <c r="C197" s="59" t="s">
        <v>762</v>
      </c>
      <c r="D197" s="59" t="s">
        <v>763</v>
      </c>
      <c r="E197" s="59" t="s">
        <v>450</v>
      </c>
      <c r="F197" s="60">
        <v>0.8</v>
      </c>
      <c r="G197" s="61"/>
      <c r="H197" s="61"/>
      <c r="I197" s="61"/>
      <c r="J197" s="61"/>
      <c r="K197" s="61"/>
      <c r="L197" s="61"/>
      <c r="M197" s="61"/>
      <c r="N197" s="61"/>
      <c r="O197" s="61"/>
      <c r="P197" s="61"/>
      <c r="Q197" s="61"/>
      <c r="R197" s="61"/>
      <c r="S197" s="61"/>
      <c r="T197" s="61"/>
      <c r="U197" s="61"/>
      <c r="V197" s="61"/>
      <c r="W197" s="61"/>
    </row>
    <row r="198" ht="15.75" customHeight="1">
      <c r="A198" s="31" t="s">
        <v>764</v>
      </c>
      <c r="B198" s="58" t="s">
        <v>89</v>
      </c>
      <c r="C198" s="59" t="s">
        <v>762</v>
      </c>
      <c r="D198" s="59" t="s">
        <v>763</v>
      </c>
      <c r="E198" s="59" t="s">
        <v>460</v>
      </c>
      <c r="F198" s="60">
        <v>0.64</v>
      </c>
      <c r="G198" s="61"/>
      <c r="H198" s="61"/>
      <c r="I198" s="61"/>
      <c r="J198" s="61"/>
      <c r="K198" s="61"/>
      <c r="L198" s="61"/>
      <c r="M198" s="61"/>
      <c r="N198" s="61"/>
      <c r="O198" s="61"/>
      <c r="P198" s="61"/>
      <c r="Q198" s="61"/>
      <c r="R198" s="61"/>
      <c r="S198" s="61"/>
      <c r="T198" s="61"/>
      <c r="U198" s="61"/>
      <c r="V198" s="61"/>
      <c r="W198" s="61"/>
    </row>
    <row r="199" ht="15.75" customHeight="1">
      <c r="A199" s="31" t="s">
        <v>765</v>
      </c>
      <c r="B199" s="58" t="s">
        <v>89</v>
      </c>
      <c r="C199" s="59" t="s">
        <v>762</v>
      </c>
      <c r="D199" s="59" t="s">
        <v>763</v>
      </c>
      <c r="E199" s="59" t="s">
        <v>466</v>
      </c>
      <c r="F199" s="60">
        <v>0.4</v>
      </c>
      <c r="G199" s="61"/>
      <c r="H199" s="61"/>
      <c r="I199" s="61"/>
      <c r="J199" s="61"/>
      <c r="K199" s="61"/>
      <c r="L199" s="61"/>
      <c r="M199" s="61"/>
      <c r="N199" s="61"/>
      <c r="O199" s="61"/>
      <c r="P199" s="61"/>
      <c r="Q199" s="61"/>
      <c r="R199" s="61"/>
      <c r="S199" s="61"/>
      <c r="T199" s="61"/>
      <c r="U199" s="61"/>
      <c r="V199" s="61"/>
      <c r="W199" s="61"/>
    </row>
    <row r="200" ht="15.75" customHeight="1">
      <c r="A200" s="31" t="s">
        <v>766</v>
      </c>
      <c r="B200" s="58" t="s">
        <v>89</v>
      </c>
      <c r="C200" s="59" t="s">
        <v>767</v>
      </c>
      <c r="D200" s="59" t="s">
        <v>768</v>
      </c>
      <c r="E200" s="59" t="s">
        <v>444</v>
      </c>
      <c r="F200" s="60">
        <v>0.4</v>
      </c>
      <c r="G200" s="61"/>
      <c r="H200" s="61"/>
      <c r="I200" s="61"/>
      <c r="J200" s="61"/>
      <c r="K200" s="61"/>
      <c r="L200" s="61"/>
      <c r="M200" s="61"/>
      <c r="N200" s="61"/>
      <c r="O200" s="61"/>
      <c r="P200" s="61"/>
      <c r="Q200" s="61"/>
      <c r="R200" s="61"/>
      <c r="S200" s="61"/>
      <c r="T200" s="61"/>
      <c r="U200" s="61"/>
      <c r="V200" s="61"/>
      <c r="W200" s="61"/>
    </row>
    <row r="201" ht="15.75" customHeight="1">
      <c r="A201" s="31" t="s">
        <v>769</v>
      </c>
      <c r="B201" s="58" t="s">
        <v>89</v>
      </c>
      <c r="C201" s="59" t="s">
        <v>767</v>
      </c>
      <c r="D201" s="59" t="s">
        <v>768</v>
      </c>
      <c r="E201" s="59" t="s">
        <v>448</v>
      </c>
      <c r="F201" s="60">
        <v>0.88</v>
      </c>
      <c r="G201" s="61"/>
      <c r="H201" s="61"/>
      <c r="I201" s="61"/>
      <c r="J201" s="61"/>
      <c r="K201" s="61"/>
      <c r="L201" s="61"/>
      <c r="M201" s="61"/>
      <c r="N201" s="61"/>
      <c r="O201" s="61"/>
      <c r="P201" s="61"/>
      <c r="Q201" s="61"/>
      <c r="R201" s="61"/>
      <c r="S201" s="61"/>
      <c r="T201" s="61"/>
      <c r="U201" s="61"/>
      <c r="V201" s="61"/>
      <c r="W201" s="61"/>
    </row>
    <row r="202" ht="15.75" customHeight="1">
      <c r="A202" s="31" t="s">
        <v>770</v>
      </c>
      <c r="B202" s="58" t="s">
        <v>89</v>
      </c>
      <c r="C202" s="59" t="s">
        <v>767</v>
      </c>
      <c r="D202" s="59" t="s">
        <v>768</v>
      </c>
      <c r="E202" s="59" t="s">
        <v>452</v>
      </c>
      <c r="F202" s="60">
        <v>0.32</v>
      </c>
      <c r="G202" s="61"/>
      <c r="H202" s="61"/>
      <c r="I202" s="61"/>
      <c r="J202" s="61"/>
      <c r="K202" s="61"/>
      <c r="L202" s="61"/>
      <c r="M202" s="61"/>
      <c r="N202" s="61"/>
      <c r="O202" s="61"/>
      <c r="P202" s="61"/>
      <c r="Q202" s="61"/>
      <c r="R202" s="61"/>
      <c r="S202" s="61"/>
      <c r="T202" s="61"/>
      <c r="U202" s="61"/>
      <c r="V202" s="61"/>
      <c r="W202" s="61"/>
    </row>
    <row r="203" ht="15.75" customHeight="1">
      <c r="A203" s="31" t="s">
        <v>771</v>
      </c>
      <c r="B203" s="58" t="s">
        <v>89</v>
      </c>
      <c r="C203" s="59" t="s">
        <v>767</v>
      </c>
      <c r="D203" s="59" t="s">
        <v>768</v>
      </c>
      <c r="E203" s="59" t="s">
        <v>464</v>
      </c>
      <c r="F203" s="60">
        <v>0.32</v>
      </c>
      <c r="G203" s="61"/>
      <c r="H203" s="61"/>
      <c r="I203" s="61"/>
      <c r="J203" s="61"/>
      <c r="K203" s="61"/>
      <c r="L203" s="61"/>
      <c r="M203" s="61"/>
      <c r="N203" s="61"/>
      <c r="O203" s="61"/>
      <c r="P203" s="61"/>
      <c r="Q203" s="61"/>
      <c r="R203" s="61"/>
      <c r="S203" s="61"/>
      <c r="T203" s="61"/>
      <c r="U203" s="61"/>
      <c r="V203" s="61"/>
      <c r="W203" s="61"/>
    </row>
    <row r="204" ht="15.75" customHeight="1">
      <c r="A204" s="31" t="s">
        <v>772</v>
      </c>
      <c r="B204" s="58" t="s">
        <v>89</v>
      </c>
      <c r="C204" s="59" t="s">
        <v>773</v>
      </c>
      <c r="D204" s="59" t="s">
        <v>774</v>
      </c>
      <c r="E204" s="59" t="s">
        <v>454</v>
      </c>
      <c r="F204" s="60">
        <v>0.32</v>
      </c>
      <c r="G204" s="61"/>
      <c r="H204" s="61"/>
      <c r="I204" s="61"/>
      <c r="J204" s="61"/>
      <c r="K204" s="61"/>
      <c r="L204" s="61"/>
      <c r="M204" s="61"/>
      <c r="N204" s="61"/>
      <c r="O204" s="61"/>
      <c r="P204" s="61"/>
      <c r="Q204" s="61"/>
      <c r="R204" s="61"/>
      <c r="S204" s="61"/>
      <c r="T204" s="61"/>
      <c r="U204" s="61"/>
      <c r="V204" s="61"/>
      <c r="W204" s="61"/>
    </row>
    <row r="205" ht="15.75" customHeight="1">
      <c r="A205" s="31" t="s">
        <v>775</v>
      </c>
      <c r="B205" s="58" t="s">
        <v>89</v>
      </c>
      <c r="C205" s="59" t="s">
        <v>773</v>
      </c>
      <c r="D205" s="59" t="s">
        <v>774</v>
      </c>
      <c r="E205" s="59" t="s">
        <v>456</v>
      </c>
      <c r="F205" s="60">
        <v>0.4</v>
      </c>
      <c r="G205" s="61"/>
      <c r="H205" s="61"/>
      <c r="I205" s="61"/>
      <c r="J205" s="61"/>
      <c r="K205" s="61"/>
      <c r="L205" s="61"/>
      <c r="M205" s="61"/>
      <c r="N205" s="61"/>
      <c r="O205" s="61"/>
      <c r="P205" s="61"/>
      <c r="Q205" s="61"/>
      <c r="R205" s="61"/>
      <c r="S205" s="61"/>
      <c r="T205" s="61"/>
      <c r="U205" s="61"/>
      <c r="V205" s="61"/>
      <c r="W205" s="61"/>
    </row>
    <row r="206" ht="15.75" customHeight="1">
      <c r="A206" s="31" t="s">
        <v>776</v>
      </c>
      <c r="B206" s="58" t="s">
        <v>89</v>
      </c>
      <c r="C206" s="59" t="s">
        <v>773</v>
      </c>
      <c r="D206" s="59" t="s">
        <v>774</v>
      </c>
      <c r="E206" s="59" t="s">
        <v>458</v>
      </c>
      <c r="F206" s="60">
        <v>0.48</v>
      </c>
      <c r="G206" s="61"/>
      <c r="H206" s="61"/>
      <c r="I206" s="61"/>
      <c r="J206" s="61"/>
      <c r="K206" s="61"/>
      <c r="L206" s="61"/>
      <c r="M206" s="61"/>
      <c r="N206" s="61"/>
      <c r="O206" s="61"/>
      <c r="P206" s="61"/>
      <c r="Q206" s="61"/>
      <c r="R206" s="61"/>
      <c r="S206" s="61"/>
      <c r="T206" s="61"/>
      <c r="U206" s="61"/>
      <c r="V206" s="61"/>
      <c r="W206" s="61"/>
    </row>
    <row r="207" ht="15.75" customHeight="1">
      <c r="A207" s="31" t="s">
        <v>777</v>
      </c>
      <c r="B207" s="58" t="s">
        <v>89</v>
      </c>
      <c r="C207" s="59" t="s">
        <v>773</v>
      </c>
      <c r="D207" s="59" t="s">
        <v>774</v>
      </c>
      <c r="E207" s="59" t="s">
        <v>468</v>
      </c>
      <c r="F207" s="60">
        <v>0.48</v>
      </c>
      <c r="G207" s="61"/>
      <c r="H207" s="61"/>
      <c r="I207" s="61"/>
      <c r="J207" s="61"/>
      <c r="K207" s="61"/>
      <c r="L207" s="61"/>
      <c r="M207" s="61"/>
      <c r="N207" s="61"/>
      <c r="O207" s="61"/>
      <c r="P207" s="61"/>
      <c r="Q207" s="61"/>
      <c r="R207" s="61"/>
      <c r="S207" s="61"/>
      <c r="T207" s="61"/>
      <c r="U207" s="61"/>
      <c r="V207" s="61"/>
      <c r="W207" s="61"/>
    </row>
    <row r="208" ht="15.75" customHeight="1">
      <c r="A208" s="31" t="s">
        <v>778</v>
      </c>
      <c r="B208" s="58" t="s">
        <v>89</v>
      </c>
      <c r="C208" s="59" t="s">
        <v>779</v>
      </c>
      <c r="D208" s="59" t="s">
        <v>780</v>
      </c>
      <c r="E208" s="59" t="s">
        <v>442</v>
      </c>
      <c r="F208" s="60">
        <v>0.48</v>
      </c>
      <c r="G208" s="61"/>
      <c r="H208" s="61"/>
      <c r="I208" s="61"/>
      <c r="J208" s="61"/>
      <c r="K208" s="61"/>
      <c r="L208" s="61"/>
      <c r="M208" s="61"/>
      <c r="N208" s="61"/>
      <c r="O208" s="61"/>
      <c r="P208" s="61"/>
      <c r="Q208" s="61"/>
      <c r="R208" s="61"/>
      <c r="S208" s="61"/>
      <c r="T208" s="61"/>
      <c r="U208" s="61"/>
      <c r="V208" s="61"/>
      <c r="W208" s="61"/>
    </row>
    <row r="209" ht="15.75" customHeight="1">
      <c r="A209" s="31" t="s">
        <v>781</v>
      </c>
      <c r="B209" s="58" t="s">
        <v>89</v>
      </c>
      <c r="C209" s="59" t="s">
        <v>779</v>
      </c>
      <c r="D209" s="59" t="s">
        <v>780</v>
      </c>
      <c r="E209" s="59" t="s">
        <v>446</v>
      </c>
      <c r="F209" s="60">
        <v>0.8</v>
      </c>
      <c r="G209" s="61"/>
      <c r="H209" s="61"/>
      <c r="I209" s="61"/>
      <c r="J209" s="61"/>
      <c r="K209" s="61"/>
      <c r="L209" s="61"/>
      <c r="M209" s="61"/>
      <c r="N209" s="61"/>
      <c r="O209" s="61"/>
      <c r="P209" s="61"/>
      <c r="Q209" s="61"/>
      <c r="R209" s="61"/>
      <c r="S209" s="61"/>
      <c r="T209" s="61"/>
      <c r="U209" s="61"/>
      <c r="V209" s="61"/>
      <c r="W209" s="61"/>
    </row>
    <row r="210" ht="15.75" customHeight="1">
      <c r="A210" s="31" t="s">
        <v>782</v>
      </c>
      <c r="B210" s="58" t="s">
        <v>89</v>
      </c>
      <c r="C210" s="59" t="s">
        <v>779</v>
      </c>
      <c r="D210" s="59" t="s">
        <v>780</v>
      </c>
      <c r="E210" s="59" t="s">
        <v>454</v>
      </c>
      <c r="F210" s="60">
        <v>0.4</v>
      </c>
      <c r="G210" s="61"/>
      <c r="H210" s="61"/>
      <c r="I210" s="61"/>
      <c r="J210" s="61"/>
      <c r="K210" s="61"/>
      <c r="L210" s="61"/>
      <c r="M210" s="61"/>
      <c r="N210" s="61"/>
      <c r="O210" s="61"/>
      <c r="P210" s="61"/>
      <c r="Q210" s="61"/>
      <c r="R210" s="61"/>
      <c r="S210" s="61"/>
      <c r="T210" s="61"/>
      <c r="U210" s="61"/>
      <c r="V210" s="61"/>
      <c r="W210" s="61"/>
    </row>
    <row r="211" ht="15.75" customHeight="1">
      <c r="A211" s="31" t="s">
        <v>783</v>
      </c>
      <c r="B211" s="58" t="s">
        <v>89</v>
      </c>
      <c r="C211" s="59" t="s">
        <v>779</v>
      </c>
      <c r="D211" s="59" t="s">
        <v>780</v>
      </c>
      <c r="E211" s="59" t="s">
        <v>464</v>
      </c>
      <c r="F211" s="60">
        <v>0.64</v>
      </c>
      <c r="G211" s="61"/>
      <c r="H211" s="61"/>
      <c r="I211" s="61"/>
      <c r="J211" s="61"/>
      <c r="K211" s="61"/>
      <c r="L211" s="61"/>
      <c r="M211" s="61"/>
      <c r="N211" s="61"/>
      <c r="O211" s="61"/>
      <c r="P211" s="61"/>
      <c r="Q211" s="61"/>
      <c r="R211" s="61"/>
      <c r="S211" s="61"/>
      <c r="T211" s="61"/>
      <c r="U211" s="61"/>
      <c r="V211" s="61"/>
      <c r="W211" s="61"/>
    </row>
    <row r="212" ht="15.75" customHeight="1">
      <c r="A212" s="31" t="s">
        <v>784</v>
      </c>
      <c r="B212" s="58" t="s">
        <v>89</v>
      </c>
      <c r="C212" s="59" t="s">
        <v>785</v>
      </c>
      <c r="D212" s="59" t="s">
        <v>786</v>
      </c>
      <c r="E212" s="59" t="s">
        <v>442</v>
      </c>
      <c r="F212" s="60">
        <v>0.8</v>
      </c>
      <c r="G212" s="61"/>
      <c r="H212" s="61"/>
      <c r="I212" s="61"/>
      <c r="J212" s="61"/>
      <c r="K212" s="61"/>
      <c r="L212" s="61"/>
      <c r="M212" s="61"/>
      <c r="N212" s="61"/>
      <c r="O212" s="61"/>
      <c r="P212" s="61"/>
      <c r="Q212" s="61"/>
      <c r="R212" s="61"/>
      <c r="S212" s="61"/>
      <c r="T212" s="61"/>
      <c r="U212" s="61"/>
      <c r="V212" s="61"/>
      <c r="W212" s="61"/>
    </row>
    <row r="213" ht="15.75" customHeight="1">
      <c r="A213" s="31" t="s">
        <v>787</v>
      </c>
      <c r="B213" s="58" t="s">
        <v>89</v>
      </c>
      <c r="C213" s="59" t="s">
        <v>785</v>
      </c>
      <c r="D213" s="59" t="s">
        <v>786</v>
      </c>
      <c r="E213" s="59" t="s">
        <v>446</v>
      </c>
      <c r="F213" s="60">
        <v>0.48</v>
      </c>
      <c r="G213" s="61"/>
      <c r="H213" s="61"/>
      <c r="I213" s="61"/>
      <c r="J213" s="61"/>
      <c r="K213" s="61"/>
      <c r="L213" s="61"/>
      <c r="M213" s="61"/>
      <c r="N213" s="61"/>
      <c r="O213" s="61"/>
      <c r="P213" s="61"/>
      <c r="Q213" s="61"/>
      <c r="R213" s="61"/>
      <c r="S213" s="61"/>
      <c r="T213" s="61"/>
      <c r="U213" s="61"/>
      <c r="V213" s="61"/>
      <c r="W213" s="61"/>
    </row>
    <row r="214" ht="15.75" customHeight="1">
      <c r="A214" s="31" t="s">
        <v>788</v>
      </c>
      <c r="B214" s="58" t="s">
        <v>89</v>
      </c>
      <c r="C214" s="59" t="s">
        <v>785</v>
      </c>
      <c r="D214" s="59" t="s">
        <v>786</v>
      </c>
      <c r="E214" s="59" t="s">
        <v>454</v>
      </c>
      <c r="F214" s="60">
        <v>0.4</v>
      </c>
      <c r="G214" s="61"/>
      <c r="H214" s="61"/>
      <c r="I214" s="61"/>
      <c r="J214" s="61"/>
      <c r="K214" s="61"/>
      <c r="L214" s="61"/>
      <c r="M214" s="61"/>
      <c r="N214" s="61"/>
      <c r="O214" s="61"/>
      <c r="P214" s="61"/>
      <c r="Q214" s="61"/>
      <c r="R214" s="61"/>
      <c r="S214" s="61"/>
      <c r="T214" s="61"/>
      <c r="U214" s="61"/>
      <c r="V214" s="61"/>
      <c r="W214" s="61"/>
    </row>
    <row r="215" ht="15.75" customHeight="1">
      <c r="A215" s="31" t="s">
        <v>789</v>
      </c>
      <c r="B215" s="58" t="s">
        <v>89</v>
      </c>
      <c r="C215" s="59" t="s">
        <v>785</v>
      </c>
      <c r="D215" s="59" t="s">
        <v>786</v>
      </c>
      <c r="E215" s="59" t="s">
        <v>456</v>
      </c>
      <c r="F215" s="60">
        <v>0.32</v>
      </c>
      <c r="G215" s="61"/>
      <c r="H215" s="61"/>
      <c r="I215" s="61"/>
      <c r="J215" s="61"/>
      <c r="K215" s="61"/>
      <c r="L215" s="61"/>
      <c r="M215" s="61"/>
      <c r="N215" s="61"/>
      <c r="O215" s="61"/>
      <c r="P215" s="61"/>
      <c r="Q215" s="61"/>
      <c r="R215" s="61"/>
      <c r="S215" s="61"/>
      <c r="T215" s="61"/>
      <c r="U215" s="61"/>
      <c r="V215" s="61"/>
      <c r="W215" s="61"/>
    </row>
    <row r="216" ht="15.75" customHeight="1">
      <c r="A216" s="31" t="s">
        <v>790</v>
      </c>
      <c r="B216" s="58" t="s">
        <v>89</v>
      </c>
      <c r="C216" s="59" t="s">
        <v>791</v>
      </c>
      <c r="D216" s="59" t="s">
        <v>792</v>
      </c>
      <c r="E216" s="59" t="s">
        <v>456</v>
      </c>
      <c r="F216" s="60">
        <v>0.48</v>
      </c>
      <c r="G216" s="61"/>
      <c r="H216" s="61"/>
      <c r="I216" s="61"/>
      <c r="J216" s="61"/>
      <c r="K216" s="61"/>
      <c r="L216" s="61"/>
      <c r="M216" s="61"/>
      <c r="N216" s="61"/>
      <c r="O216" s="61"/>
      <c r="P216" s="61"/>
      <c r="Q216" s="61"/>
      <c r="R216" s="61"/>
      <c r="S216" s="61"/>
      <c r="T216" s="61"/>
      <c r="U216" s="61"/>
      <c r="V216" s="61"/>
      <c r="W216" s="61"/>
    </row>
    <row r="217" ht="15.75" customHeight="1">
      <c r="A217" s="31" t="s">
        <v>793</v>
      </c>
      <c r="B217" s="58" t="s">
        <v>89</v>
      </c>
      <c r="C217" s="59" t="s">
        <v>791</v>
      </c>
      <c r="D217" s="59" t="s">
        <v>792</v>
      </c>
      <c r="E217" s="59" t="s">
        <v>458</v>
      </c>
      <c r="F217" s="60">
        <v>0.56</v>
      </c>
      <c r="G217" s="61"/>
      <c r="H217" s="61"/>
      <c r="I217" s="61"/>
      <c r="J217" s="61"/>
      <c r="K217" s="61"/>
      <c r="L217" s="61"/>
      <c r="M217" s="61"/>
      <c r="N217" s="61"/>
      <c r="O217" s="61"/>
      <c r="P217" s="61"/>
      <c r="Q217" s="61"/>
      <c r="R217" s="61"/>
      <c r="S217" s="61"/>
      <c r="T217" s="61"/>
      <c r="U217" s="61"/>
      <c r="V217" s="61"/>
      <c r="W217" s="61"/>
    </row>
    <row r="218" ht="15.75" customHeight="1">
      <c r="A218" s="31" t="s">
        <v>794</v>
      </c>
      <c r="B218" s="58" t="s">
        <v>89</v>
      </c>
      <c r="C218" s="59" t="s">
        <v>791</v>
      </c>
      <c r="D218" s="59" t="s">
        <v>792</v>
      </c>
      <c r="E218" s="59" t="s">
        <v>468</v>
      </c>
      <c r="F218" s="60">
        <v>0.88</v>
      </c>
      <c r="G218" s="61"/>
      <c r="H218" s="61"/>
      <c r="I218" s="61"/>
      <c r="J218" s="61"/>
      <c r="K218" s="61"/>
      <c r="L218" s="61"/>
      <c r="M218" s="61"/>
      <c r="N218" s="61"/>
      <c r="O218" s="61"/>
      <c r="P218" s="61"/>
      <c r="Q218" s="61"/>
      <c r="R218" s="61"/>
      <c r="S218" s="61"/>
      <c r="T218" s="61"/>
      <c r="U218" s="61"/>
      <c r="V218" s="61"/>
      <c r="W218" s="61"/>
    </row>
    <row r="219" ht="15.75" customHeight="1">
      <c r="A219" s="31" t="s">
        <v>795</v>
      </c>
      <c r="B219" s="58" t="s">
        <v>100</v>
      </c>
      <c r="C219" s="59" t="s">
        <v>796</v>
      </c>
      <c r="D219" s="59" t="s">
        <v>797</v>
      </c>
      <c r="E219" s="59" t="s">
        <v>452</v>
      </c>
      <c r="F219" s="60">
        <v>0.16</v>
      </c>
      <c r="G219" s="61"/>
      <c r="H219" s="61"/>
      <c r="I219" s="61"/>
      <c r="J219" s="61"/>
      <c r="K219" s="61"/>
      <c r="L219" s="61"/>
      <c r="M219" s="61"/>
      <c r="N219" s="61"/>
      <c r="O219" s="61"/>
      <c r="P219" s="61"/>
      <c r="Q219" s="61"/>
      <c r="R219" s="61"/>
      <c r="S219" s="61"/>
      <c r="T219" s="61"/>
      <c r="U219" s="61"/>
      <c r="V219" s="61"/>
      <c r="W219" s="61"/>
    </row>
    <row r="220" ht="15.75" customHeight="1">
      <c r="A220" s="31" t="s">
        <v>798</v>
      </c>
      <c r="B220" s="58" t="s">
        <v>100</v>
      </c>
      <c r="C220" s="59" t="s">
        <v>799</v>
      </c>
      <c r="D220" s="59" t="s">
        <v>800</v>
      </c>
      <c r="E220" s="59" t="s">
        <v>442</v>
      </c>
      <c r="F220" s="60">
        <v>0.4</v>
      </c>
      <c r="G220" s="61"/>
      <c r="H220" s="61"/>
      <c r="I220" s="61"/>
      <c r="J220" s="61"/>
      <c r="K220" s="61"/>
      <c r="L220" s="61"/>
      <c r="M220" s="61"/>
      <c r="N220" s="61"/>
      <c r="O220" s="61"/>
      <c r="P220" s="61"/>
      <c r="Q220" s="61"/>
      <c r="R220" s="61"/>
      <c r="S220" s="61"/>
      <c r="T220" s="61"/>
      <c r="U220" s="61"/>
      <c r="V220" s="61"/>
      <c r="W220" s="61"/>
    </row>
    <row r="221" ht="15.75" customHeight="1">
      <c r="A221" s="31" t="s">
        <v>801</v>
      </c>
      <c r="B221" s="58" t="s">
        <v>100</v>
      </c>
      <c r="C221" s="59" t="s">
        <v>799</v>
      </c>
      <c r="D221" s="59" t="s">
        <v>800</v>
      </c>
      <c r="E221" s="59" t="s">
        <v>452</v>
      </c>
      <c r="F221" s="60">
        <v>0.24</v>
      </c>
      <c r="G221" s="61"/>
      <c r="H221" s="61"/>
      <c r="I221" s="61"/>
      <c r="J221" s="61"/>
      <c r="K221" s="61"/>
      <c r="L221" s="61"/>
      <c r="M221" s="61"/>
      <c r="N221" s="61"/>
      <c r="O221" s="61"/>
      <c r="P221" s="61"/>
      <c r="Q221" s="61"/>
      <c r="R221" s="61"/>
      <c r="S221" s="61"/>
      <c r="T221" s="61"/>
      <c r="U221" s="61"/>
      <c r="V221" s="61"/>
      <c r="W221" s="61"/>
    </row>
    <row r="222" ht="15.75" customHeight="1">
      <c r="A222" s="31" t="s">
        <v>802</v>
      </c>
      <c r="B222" s="58" t="s">
        <v>100</v>
      </c>
      <c r="C222" s="59" t="s">
        <v>799</v>
      </c>
      <c r="D222" s="59" t="s">
        <v>800</v>
      </c>
      <c r="E222" s="59" t="s">
        <v>462</v>
      </c>
      <c r="F222" s="60">
        <v>0.32</v>
      </c>
      <c r="G222" s="61"/>
      <c r="H222" s="61"/>
      <c r="I222" s="61"/>
      <c r="J222" s="61"/>
      <c r="K222" s="61"/>
      <c r="L222" s="61"/>
      <c r="M222" s="61"/>
      <c r="N222" s="61"/>
      <c r="O222" s="61"/>
      <c r="P222" s="61"/>
      <c r="Q222" s="61"/>
      <c r="R222" s="61"/>
      <c r="S222" s="61"/>
      <c r="T222" s="61"/>
      <c r="U222" s="61"/>
      <c r="V222" s="61"/>
      <c r="W222" s="61"/>
    </row>
    <row r="223" ht="15.75" customHeight="1">
      <c r="A223" s="31" t="s">
        <v>803</v>
      </c>
      <c r="B223" s="58" t="s">
        <v>100</v>
      </c>
      <c r="C223" s="59" t="s">
        <v>799</v>
      </c>
      <c r="D223" s="59" t="s">
        <v>800</v>
      </c>
      <c r="E223" s="59" t="s">
        <v>466</v>
      </c>
      <c r="F223" s="60">
        <v>0.4</v>
      </c>
      <c r="G223" s="61"/>
      <c r="H223" s="61"/>
      <c r="I223" s="61"/>
      <c r="J223" s="61"/>
      <c r="K223" s="61"/>
      <c r="L223" s="61"/>
      <c r="M223" s="61"/>
      <c r="N223" s="61"/>
      <c r="O223" s="61"/>
      <c r="P223" s="61"/>
      <c r="Q223" s="61"/>
      <c r="R223" s="61"/>
      <c r="S223" s="61"/>
      <c r="T223" s="61"/>
      <c r="U223" s="61"/>
      <c r="V223" s="61"/>
      <c r="W223" s="61"/>
    </row>
    <row r="224" ht="15.75" customHeight="1">
      <c r="A224" s="65" t="s">
        <v>803</v>
      </c>
      <c r="B224" s="65" t="s">
        <v>100</v>
      </c>
      <c r="C224" s="66" t="s">
        <v>799</v>
      </c>
      <c r="D224" s="66" t="s">
        <v>800</v>
      </c>
      <c r="E224" s="67" t="s">
        <v>458</v>
      </c>
      <c r="F224" s="63">
        <v>0.35</v>
      </c>
      <c r="G224" s="64"/>
      <c r="H224" s="64"/>
      <c r="I224" s="64"/>
      <c r="J224" s="64"/>
      <c r="K224" s="64"/>
      <c r="L224" s="64"/>
      <c r="M224" s="64"/>
      <c r="N224" s="64"/>
      <c r="O224" s="64"/>
      <c r="P224" s="64"/>
      <c r="Q224" s="64"/>
      <c r="R224" s="64"/>
      <c r="S224" s="64"/>
      <c r="T224" s="64"/>
      <c r="U224" s="64"/>
      <c r="V224" s="64"/>
      <c r="W224" s="64"/>
    </row>
    <row r="225" ht="15.75" customHeight="1">
      <c r="A225" s="31" t="s">
        <v>804</v>
      </c>
      <c r="B225" s="58" t="s">
        <v>100</v>
      </c>
      <c r="C225" s="59" t="s">
        <v>805</v>
      </c>
      <c r="D225" s="59" t="s">
        <v>806</v>
      </c>
      <c r="E225" s="59" t="s">
        <v>444</v>
      </c>
      <c r="F225" s="60">
        <v>0.32</v>
      </c>
      <c r="G225" s="61"/>
      <c r="H225" s="61"/>
      <c r="I225" s="61"/>
      <c r="J225" s="61"/>
      <c r="K225" s="61"/>
      <c r="L225" s="61"/>
      <c r="M225" s="61"/>
      <c r="N225" s="61"/>
      <c r="O225" s="61"/>
      <c r="P225" s="61"/>
      <c r="Q225" s="61"/>
      <c r="R225" s="61"/>
      <c r="S225" s="61"/>
      <c r="T225" s="61"/>
      <c r="U225" s="61"/>
      <c r="V225" s="61"/>
      <c r="W225" s="61"/>
    </row>
    <row r="226" ht="15.75" customHeight="1">
      <c r="A226" s="31" t="s">
        <v>807</v>
      </c>
      <c r="B226" s="58" t="s">
        <v>100</v>
      </c>
      <c r="C226" s="59" t="s">
        <v>805</v>
      </c>
      <c r="D226" s="59" t="s">
        <v>806</v>
      </c>
      <c r="E226" s="59" t="s">
        <v>450</v>
      </c>
      <c r="F226" s="60">
        <v>0.48</v>
      </c>
      <c r="G226" s="61"/>
      <c r="H226" s="61"/>
      <c r="I226" s="61"/>
      <c r="J226" s="61"/>
      <c r="K226" s="61"/>
      <c r="L226" s="61"/>
      <c r="M226" s="61"/>
      <c r="N226" s="61"/>
      <c r="O226" s="61"/>
      <c r="P226" s="61"/>
      <c r="Q226" s="61"/>
      <c r="R226" s="61"/>
      <c r="S226" s="61"/>
      <c r="T226" s="61"/>
      <c r="U226" s="61"/>
      <c r="V226" s="61"/>
      <c r="W226" s="61"/>
    </row>
    <row r="227" ht="15.75" customHeight="1">
      <c r="A227" s="31" t="s">
        <v>808</v>
      </c>
      <c r="B227" s="58" t="s">
        <v>100</v>
      </c>
      <c r="C227" s="59" t="s">
        <v>805</v>
      </c>
      <c r="D227" s="59" t="s">
        <v>806</v>
      </c>
      <c r="E227" s="59" t="s">
        <v>460</v>
      </c>
      <c r="F227" s="60">
        <v>1.28</v>
      </c>
      <c r="G227" s="61"/>
      <c r="H227" s="61"/>
      <c r="I227" s="61"/>
      <c r="J227" s="61"/>
      <c r="K227" s="61"/>
      <c r="L227" s="61"/>
      <c r="M227" s="61"/>
      <c r="N227" s="61"/>
      <c r="O227" s="61"/>
      <c r="P227" s="61"/>
      <c r="Q227" s="61"/>
      <c r="R227" s="61"/>
      <c r="S227" s="61"/>
      <c r="T227" s="61"/>
      <c r="U227" s="61"/>
      <c r="V227" s="61"/>
      <c r="W227" s="61"/>
    </row>
    <row r="228" ht="15.75" customHeight="1">
      <c r="A228" s="31" t="s">
        <v>809</v>
      </c>
      <c r="B228" s="58" t="s">
        <v>100</v>
      </c>
      <c r="C228" s="59" t="s">
        <v>810</v>
      </c>
      <c r="D228" s="59" t="s">
        <v>811</v>
      </c>
      <c r="E228" s="59" t="s">
        <v>446</v>
      </c>
      <c r="F228" s="60">
        <v>0.4</v>
      </c>
      <c r="G228" s="61"/>
      <c r="H228" s="61"/>
      <c r="I228" s="61"/>
      <c r="J228" s="61"/>
      <c r="K228" s="61"/>
      <c r="L228" s="61"/>
      <c r="M228" s="61"/>
      <c r="N228" s="61"/>
      <c r="O228" s="61"/>
      <c r="P228" s="61"/>
      <c r="Q228" s="61"/>
      <c r="R228" s="61"/>
      <c r="S228" s="61"/>
      <c r="T228" s="61"/>
      <c r="U228" s="61"/>
      <c r="V228" s="61"/>
      <c r="W228" s="61"/>
    </row>
    <row r="229" ht="15.75" customHeight="1">
      <c r="A229" s="31" t="s">
        <v>812</v>
      </c>
      <c r="B229" s="58" t="s">
        <v>100</v>
      </c>
      <c r="C229" s="59" t="s">
        <v>810</v>
      </c>
      <c r="D229" s="59" t="s">
        <v>811</v>
      </c>
      <c r="E229" s="59" t="s">
        <v>450</v>
      </c>
      <c r="F229" s="60">
        <v>0.32</v>
      </c>
      <c r="G229" s="61"/>
      <c r="H229" s="61"/>
      <c r="I229" s="61"/>
      <c r="J229" s="61"/>
      <c r="K229" s="61"/>
      <c r="L229" s="61"/>
      <c r="M229" s="61"/>
      <c r="N229" s="61"/>
      <c r="O229" s="61"/>
      <c r="P229" s="61"/>
      <c r="Q229" s="61"/>
      <c r="R229" s="61"/>
      <c r="S229" s="61"/>
      <c r="T229" s="61"/>
      <c r="U229" s="61"/>
      <c r="V229" s="61"/>
      <c r="W229" s="61"/>
    </row>
    <row r="230" ht="15.75" customHeight="1">
      <c r="A230" s="31" t="s">
        <v>813</v>
      </c>
      <c r="B230" s="58" t="s">
        <v>100</v>
      </c>
      <c r="C230" s="59" t="s">
        <v>810</v>
      </c>
      <c r="D230" s="59" t="s">
        <v>811</v>
      </c>
      <c r="E230" s="59" t="s">
        <v>456</v>
      </c>
      <c r="F230" s="60">
        <v>0.32</v>
      </c>
      <c r="G230" s="61"/>
      <c r="H230" s="61"/>
      <c r="I230" s="61"/>
      <c r="J230" s="61"/>
      <c r="K230" s="61"/>
      <c r="L230" s="61"/>
      <c r="M230" s="61"/>
      <c r="N230" s="61"/>
      <c r="O230" s="61"/>
      <c r="P230" s="61"/>
      <c r="Q230" s="61"/>
      <c r="R230" s="61"/>
      <c r="S230" s="61"/>
      <c r="T230" s="61"/>
      <c r="U230" s="61"/>
      <c r="V230" s="61"/>
      <c r="W230" s="61"/>
    </row>
    <row r="231" ht="15.75" customHeight="1">
      <c r="A231" s="31" t="s">
        <v>814</v>
      </c>
      <c r="B231" s="58" t="s">
        <v>100</v>
      </c>
      <c r="C231" s="59" t="s">
        <v>810</v>
      </c>
      <c r="D231" s="59" t="s">
        <v>811</v>
      </c>
      <c r="E231" s="59" t="s">
        <v>464</v>
      </c>
      <c r="F231" s="60">
        <v>0.48</v>
      </c>
      <c r="G231" s="61"/>
      <c r="H231" s="61"/>
      <c r="I231" s="61"/>
      <c r="J231" s="61"/>
      <c r="K231" s="61"/>
      <c r="L231" s="61"/>
      <c r="M231" s="61"/>
      <c r="N231" s="61"/>
      <c r="O231" s="61"/>
      <c r="P231" s="61"/>
      <c r="Q231" s="61"/>
      <c r="R231" s="61"/>
      <c r="S231" s="61"/>
      <c r="T231" s="61"/>
      <c r="U231" s="61"/>
      <c r="V231" s="61"/>
      <c r="W231" s="61"/>
    </row>
    <row r="232" ht="15.75" customHeight="1">
      <c r="A232" s="31" t="s">
        <v>815</v>
      </c>
      <c r="B232" s="58" t="s">
        <v>100</v>
      </c>
      <c r="C232" s="59" t="s">
        <v>810</v>
      </c>
      <c r="D232" s="59" t="s">
        <v>811</v>
      </c>
      <c r="E232" s="59" t="s">
        <v>468</v>
      </c>
      <c r="F232" s="60">
        <v>0.32</v>
      </c>
      <c r="G232" s="61"/>
      <c r="H232" s="61"/>
      <c r="I232" s="61"/>
      <c r="J232" s="61"/>
      <c r="K232" s="61"/>
      <c r="L232" s="61"/>
      <c r="M232" s="61"/>
      <c r="N232" s="61"/>
      <c r="O232" s="61"/>
      <c r="P232" s="61"/>
      <c r="Q232" s="61"/>
      <c r="R232" s="61"/>
      <c r="S232" s="61"/>
      <c r="T232" s="61"/>
      <c r="U232" s="61"/>
      <c r="V232" s="61"/>
      <c r="W232" s="61"/>
    </row>
    <row r="233" ht="15.75" customHeight="1">
      <c r="A233" s="31" t="s">
        <v>816</v>
      </c>
      <c r="B233" s="58" t="s">
        <v>100</v>
      </c>
      <c r="C233" s="59" t="s">
        <v>817</v>
      </c>
      <c r="D233" s="59" t="s">
        <v>818</v>
      </c>
      <c r="E233" s="59" t="s">
        <v>442</v>
      </c>
      <c r="F233" s="60">
        <v>0.24</v>
      </c>
      <c r="G233" s="61"/>
      <c r="H233" s="61"/>
      <c r="I233" s="61"/>
      <c r="J233" s="61"/>
      <c r="K233" s="61"/>
      <c r="L233" s="61"/>
      <c r="M233" s="61"/>
      <c r="N233" s="61"/>
      <c r="O233" s="61"/>
      <c r="P233" s="61"/>
      <c r="Q233" s="61"/>
      <c r="R233" s="61"/>
      <c r="S233" s="61"/>
      <c r="T233" s="61"/>
      <c r="U233" s="61"/>
      <c r="V233" s="61"/>
      <c r="W233" s="61"/>
    </row>
    <row r="234" ht="15.75" customHeight="1">
      <c r="A234" s="31" t="s">
        <v>819</v>
      </c>
      <c r="B234" s="58" t="s">
        <v>100</v>
      </c>
      <c r="C234" s="59" t="s">
        <v>817</v>
      </c>
      <c r="D234" s="59" t="s">
        <v>818</v>
      </c>
      <c r="E234" s="59" t="s">
        <v>444</v>
      </c>
      <c r="F234" s="60">
        <v>0.56</v>
      </c>
      <c r="G234" s="61"/>
      <c r="H234" s="61"/>
      <c r="I234" s="61"/>
      <c r="J234" s="61"/>
      <c r="K234" s="61"/>
      <c r="L234" s="61"/>
      <c r="M234" s="61"/>
      <c r="N234" s="61"/>
      <c r="O234" s="61"/>
      <c r="P234" s="61"/>
      <c r="Q234" s="61"/>
      <c r="R234" s="61"/>
      <c r="S234" s="61"/>
      <c r="T234" s="61"/>
      <c r="U234" s="61"/>
      <c r="V234" s="61"/>
      <c r="W234" s="61"/>
    </row>
    <row r="235" ht="15.75" customHeight="1">
      <c r="A235" s="31" t="s">
        <v>820</v>
      </c>
      <c r="B235" s="58" t="s">
        <v>100</v>
      </c>
      <c r="C235" s="59" t="s">
        <v>817</v>
      </c>
      <c r="D235" s="59" t="s">
        <v>818</v>
      </c>
      <c r="E235" s="59" t="s">
        <v>448</v>
      </c>
      <c r="F235" s="60">
        <v>0.4</v>
      </c>
      <c r="G235" s="61"/>
      <c r="H235" s="61"/>
      <c r="I235" s="61"/>
      <c r="J235" s="61"/>
      <c r="K235" s="61"/>
      <c r="L235" s="61"/>
      <c r="M235" s="61"/>
      <c r="N235" s="61"/>
      <c r="O235" s="61"/>
      <c r="P235" s="61"/>
      <c r="Q235" s="61"/>
      <c r="R235" s="61"/>
      <c r="S235" s="61"/>
      <c r="T235" s="61"/>
      <c r="U235" s="61"/>
      <c r="V235" s="61"/>
      <c r="W235" s="61"/>
    </row>
    <row r="236" ht="15.75" customHeight="1">
      <c r="A236" s="31" t="s">
        <v>821</v>
      </c>
      <c r="B236" s="58" t="s">
        <v>100</v>
      </c>
      <c r="C236" s="59" t="s">
        <v>817</v>
      </c>
      <c r="D236" s="59" t="s">
        <v>818</v>
      </c>
      <c r="E236" s="59" t="s">
        <v>450</v>
      </c>
      <c r="F236" s="60">
        <v>0.48</v>
      </c>
      <c r="G236" s="61"/>
      <c r="H236" s="61"/>
      <c r="I236" s="61"/>
      <c r="J236" s="61"/>
      <c r="K236" s="61"/>
      <c r="L236" s="61"/>
      <c r="M236" s="61"/>
      <c r="N236" s="61"/>
      <c r="O236" s="61"/>
      <c r="P236" s="61"/>
      <c r="Q236" s="61"/>
      <c r="R236" s="61"/>
      <c r="S236" s="61"/>
      <c r="T236" s="61"/>
      <c r="U236" s="61"/>
      <c r="V236" s="61"/>
      <c r="W236" s="61"/>
    </row>
    <row r="237" ht="15.75" customHeight="1">
      <c r="A237" s="31" t="s">
        <v>822</v>
      </c>
      <c r="B237" s="58" t="s">
        <v>100</v>
      </c>
      <c r="C237" s="59" t="s">
        <v>817</v>
      </c>
      <c r="D237" s="59" t="s">
        <v>818</v>
      </c>
      <c r="E237" s="59" t="s">
        <v>452</v>
      </c>
      <c r="F237" s="60">
        <v>0.32</v>
      </c>
      <c r="G237" s="61"/>
      <c r="H237" s="61"/>
      <c r="I237" s="61"/>
      <c r="J237" s="61"/>
      <c r="K237" s="61"/>
      <c r="L237" s="61"/>
      <c r="M237" s="61"/>
      <c r="N237" s="61"/>
      <c r="O237" s="61"/>
      <c r="P237" s="61"/>
      <c r="Q237" s="61"/>
      <c r="R237" s="61"/>
      <c r="S237" s="61"/>
      <c r="T237" s="61"/>
      <c r="U237" s="61"/>
      <c r="V237" s="61"/>
      <c r="W237" s="61"/>
    </row>
    <row r="238" ht="15.75" customHeight="1">
      <c r="A238" s="31" t="s">
        <v>823</v>
      </c>
      <c r="B238" s="58" t="s">
        <v>111</v>
      </c>
      <c r="C238" s="59" t="s">
        <v>824</v>
      </c>
      <c r="D238" s="59" t="s">
        <v>825</v>
      </c>
      <c r="E238" s="59" t="s">
        <v>442</v>
      </c>
      <c r="F238" s="60">
        <v>0.63</v>
      </c>
      <c r="G238" s="61"/>
      <c r="H238" s="61"/>
      <c r="I238" s="61"/>
      <c r="J238" s="61"/>
      <c r="K238" s="61"/>
      <c r="L238" s="61"/>
      <c r="M238" s="61"/>
      <c r="N238" s="61"/>
      <c r="O238" s="61"/>
      <c r="P238" s="61"/>
      <c r="Q238" s="61"/>
      <c r="R238" s="61"/>
      <c r="S238" s="61"/>
      <c r="T238" s="61"/>
      <c r="U238" s="61"/>
      <c r="V238" s="61"/>
      <c r="W238" s="61"/>
    </row>
    <row r="239" ht="15.75" customHeight="1">
      <c r="A239" s="31" t="s">
        <v>826</v>
      </c>
      <c r="B239" s="58" t="s">
        <v>111</v>
      </c>
      <c r="C239" s="59" t="s">
        <v>824</v>
      </c>
      <c r="D239" s="59" t="s">
        <v>825</v>
      </c>
      <c r="E239" s="59" t="s">
        <v>446</v>
      </c>
      <c r="F239" s="60">
        <v>0.54</v>
      </c>
      <c r="G239" s="61"/>
      <c r="H239" s="61"/>
      <c r="I239" s="61"/>
      <c r="J239" s="61"/>
      <c r="K239" s="61"/>
      <c r="L239" s="61"/>
      <c r="M239" s="61"/>
      <c r="N239" s="61"/>
      <c r="O239" s="61"/>
      <c r="P239" s="61"/>
      <c r="Q239" s="61"/>
      <c r="R239" s="61"/>
      <c r="S239" s="61"/>
      <c r="T239" s="61"/>
      <c r="U239" s="61"/>
      <c r="V239" s="61"/>
      <c r="W239" s="61"/>
    </row>
    <row r="240" ht="15.75" customHeight="1">
      <c r="A240" s="31" t="s">
        <v>827</v>
      </c>
      <c r="B240" s="58" t="s">
        <v>111</v>
      </c>
      <c r="C240" s="59" t="s">
        <v>824</v>
      </c>
      <c r="D240" s="59" t="s">
        <v>825</v>
      </c>
      <c r="E240" s="59" t="s">
        <v>454</v>
      </c>
      <c r="F240" s="60">
        <v>0.27</v>
      </c>
      <c r="G240" s="61"/>
      <c r="H240" s="61"/>
      <c r="I240" s="61"/>
      <c r="J240" s="61"/>
      <c r="K240" s="61"/>
      <c r="L240" s="61"/>
      <c r="M240" s="61"/>
      <c r="N240" s="61"/>
      <c r="O240" s="61"/>
      <c r="P240" s="61"/>
      <c r="Q240" s="61"/>
      <c r="R240" s="61"/>
      <c r="S240" s="61"/>
      <c r="T240" s="61"/>
      <c r="U240" s="61"/>
      <c r="V240" s="61"/>
      <c r="W240" s="61"/>
    </row>
    <row r="241" ht="15.75" customHeight="1">
      <c r="A241" s="31" t="s">
        <v>828</v>
      </c>
      <c r="B241" s="58" t="s">
        <v>111</v>
      </c>
      <c r="C241" s="59" t="s">
        <v>824</v>
      </c>
      <c r="D241" s="59" t="s">
        <v>825</v>
      </c>
      <c r="E241" s="59" t="s">
        <v>462</v>
      </c>
      <c r="F241" s="60">
        <v>0.27</v>
      </c>
      <c r="G241" s="61"/>
      <c r="H241" s="61"/>
      <c r="I241" s="61"/>
      <c r="J241" s="61"/>
      <c r="K241" s="61"/>
      <c r="L241" s="61"/>
      <c r="M241" s="61"/>
      <c r="N241" s="61"/>
      <c r="O241" s="61"/>
      <c r="P241" s="61"/>
      <c r="Q241" s="61"/>
      <c r="R241" s="61"/>
      <c r="S241" s="61"/>
      <c r="T241" s="61"/>
      <c r="U241" s="61"/>
      <c r="V241" s="61"/>
      <c r="W241" s="61"/>
    </row>
    <row r="242" ht="15.75" customHeight="1">
      <c r="A242" s="31" t="s">
        <v>829</v>
      </c>
      <c r="B242" s="58" t="s">
        <v>111</v>
      </c>
      <c r="C242" s="59" t="s">
        <v>824</v>
      </c>
      <c r="D242" s="59" t="s">
        <v>825</v>
      </c>
      <c r="E242" s="59" t="s">
        <v>464</v>
      </c>
      <c r="F242" s="60">
        <v>0.225</v>
      </c>
      <c r="G242" s="61"/>
      <c r="H242" s="61"/>
      <c r="I242" s="61"/>
      <c r="J242" s="61"/>
      <c r="K242" s="61"/>
      <c r="L242" s="61"/>
      <c r="M242" s="61"/>
      <c r="N242" s="61"/>
      <c r="O242" s="61"/>
      <c r="P242" s="61"/>
      <c r="Q242" s="61"/>
      <c r="R242" s="61"/>
      <c r="S242" s="61"/>
      <c r="T242" s="61"/>
      <c r="U242" s="61"/>
      <c r="V242" s="61"/>
      <c r="W242" s="61"/>
    </row>
    <row r="243" ht="15.75" customHeight="1">
      <c r="A243" s="31" t="s">
        <v>830</v>
      </c>
      <c r="B243" s="58" t="s">
        <v>111</v>
      </c>
      <c r="C243" s="59" t="s">
        <v>831</v>
      </c>
      <c r="D243" s="59" t="s">
        <v>832</v>
      </c>
      <c r="E243" s="59" t="s">
        <v>442</v>
      </c>
      <c r="F243" s="60">
        <v>0.27</v>
      </c>
      <c r="G243" s="61"/>
      <c r="H243" s="61"/>
      <c r="I243" s="61"/>
      <c r="J243" s="61"/>
      <c r="K243" s="61"/>
      <c r="L243" s="61"/>
      <c r="M243" s="61"/>
      <c r="N243" s="61"/>
      <c r="O243" s="61"/>
      <c r="P243" s="61"/>
      <c r="Q243" s="61"/>
      <c r="R243" s="61"/>
      <c r="S243" s="61"/>
      <c r="T243" s="61"/>
      <c r="U243" s="61"/>
      <c r="V243" s="61"/>
      <c r="W243" s="61"/>
    </row>
    <row r="244" ht="15.75" customHeight="1">
      <c r="A244" s="31" t="s">
        <v>833</v>
      </c>
      <c r="B244" s="58" t="s">
        <v>111</v>
      </c>
      <c r="C244" s="59" t="s">
        <v>831</v>
      </c>
      <c r="D244" s="59" t="s">
        <v>832</v>
      </c>
      <c r="E244" s="59" t="s">
        <v>456</v>
      </c>
      <c r="F244" s="60">
        <v>0.63</v>
      </c>
      <c r="G244" s="61"/>
      <c r="H244" s="61"/>
      <c r="I244" s="61"/>
      <c r="J244" s="61"/>
      <c r="K244" s="61"/>
      <c r="L244" s="61"/>
      <c r="M244" s="61"/>
      <c r="N244" s="61"/>
      <c r="O244" s="61"/>
      <c r="P244" s="61"/>
      <c r="Q244" s="61"/>
      <c r="R244" s="61"/>
      <c r="S244" s="61"/>
      <c r="T244" s="61"/>
      <c r="U244" s="61"/>
      <c r="V244" s="61"/>
      <c r="W244" s="61"/>
    </row>
    <row r="245" ht="15.75" customHeight="1">
      <c r="A245" s="31" t="s">
        <v>834</v>
      </c>
      <c r="B245" s="58" t="s">
        <v>111</v>
      </c>
      <c r="C245" s="59" t="s">
        <v>831</v>
      </c>
      <c r="D245" s="59" t="s">
        <v>832</v>
      </c>
      <c r="E245" s="59" t="s">
        <v>462</v>
      </c>
      <c r="F245" s="60">
        <v>0.72</v>
      </c>
      <c r="G245" s="61"/>
      <c r="H245" s="61"/>
      <c r="I245" s="61"/>
      <c r="J245" s="61"/>
      <c r="K245" s="61"/>
      <c r="L245" s="61"/>
      <c r="M245" s="61"/>
      <c r="N245" s="61"/>
      <c r="O245" s="61"/>
      <c r="P245" s="61"/>
      <c r="Q245" s="61"/>
      <c r="R245" s="61"/>
      <c r="S245" s="61"/>
      <c r="T245" s="61"/>
      <c r="U245" s="61"/>
      <c r="V245" s="61"/>
      <c r="W245" s="61"/>
    </row>
    <row r="246" ht="15.75" customHeight="1">
      <c r="A246" s="31" t="s">
        <v>835</v>
      </c>
      <c r="B246" s="58" t="s">
        <v>111</v>
      </c>
      <c r="C246" s="59" t="s">
        <v>836</v>
      </c>
      <c r="D246" s="59" t="s">
        <v>837</v>
      </c>
      <c r="E246" s="59" t="s">
        <v>444</v>
      </c>
      <c r="F246" s="60">
        <v>0.36</v>
      </c>
      <c r="G246" s="61"/>
      <c r="H246" s="61"/>
      <c r="I246" s="61"/>
      <c r="J246" s="61"/>
      <c r="K246" s="61"/>
      <c r="L246" s="61"/>
      <c r="M246" s="61"/>
      <c r="N246" s="61"/>
      <c r="O246" s="61"/>
      <c r="P246" s="61"/>
      <c r="Q246" s="61"/>
      <c r="R246" s="61"/>
      <c r="S246" s="61"/>
      <c r="T246" s="61"/>
      <c r="U246" s="61"/>
      <c r="V246" s="61"/>
      <c r="W246" s="61"/>
    </row>
    <row r="247" ht="15.75" customHeight="1">
      <c r="A247" s="31" t="s">
        <v>838</v>
      </c>
      <c r="B247" s="58" t="s">
        <v>111</v>
      </c>
      <c r="C247" s="59" t="s">
        <v>836</v>
      </c>
      <c r="D247" s="59" t="s">
        <v>837</v>
      </c>
      <c r="E247" s="59" t="s">
        <v>450</v>
      </c>
      <c r="F247" s="60">
        <v>0.72</v>
      </c>
      <c r="G247" s="61"/>
      <c r="H247" s="61"/>
      <c r="I247" s="61"/>
      <c r="J247" s="61"/>
      <c r="K247" s="61"/>
      <c r="L247" s="61"/>
      <c r="M247" s="61"/>
      <c r="N247" s="61"/>
      <c r="O247" s="61"/>
      <c r="P247" s="61"/>
      <c r="Q247" s="61"/>
      <c r="R247" s="61"/>
      <c r="S247" s="61"/>
      <c r="T247" s="61"/>
      <c r="U247" s="61"/>
      <c r="V247" s="61"/>
      <c r="W247" s="61"/>
    </row>
    <row r="248" ht="15.75" customHeight="1">
      <c r="A248" s="31" t="s">
        <v>839</v>
      </c>
      <c r="B248" s="58" t="s">
        <v>111</v>
      </c>
      <c r="C248" s="59" t="s">
        <v>836</v>
      </c>
      <c r="D248" s="59" t="s">
        <v>837</v>
      </c>
      <c r="E248" s="59" t="s">
        <v>458</v>
      </c>
      <c r="F248" s="60">
        <v>0.18</v>
      </c>
      <c r="G248" s="61"/>
      <c r="H248" s="61"/>
      <c r="I248" s="61"/>
      <c r="J248" s="61"/>
      <c r="K248" s="61"/>
      <c r="L248" s="61"/>
      <c r="M248" s="61"/>
      <c r="N248" s="61"/>
      <c r="O248" s="61"/>
      <c r="P248" s="61"/>
      <c r="Q248" s="61"/>
      <c r="R248" s="61"/>
      <c r="S248" s="61"/>
      <c r="T248" s="61"/>
      <c r="U248" s="61"/>
      <c r="V248" s="61"/>
      <c r="W248" s="61"/>
    </row>
    <row r="249" ht="15.75" customHeight="1">
      <c r="A249" s="31" t="s">
        <v>840</v>
      </c>
      <c r="B249" s="58" t="s">
        <v>111</v>
      </c>
      <c r="C249" s="59" t="s">
        <v>836</v>
      </c>
      <c r="D249" s="59" t="s">
        <v>837</v>
      </c>
      <c r="E249" s="59" t="s">
        <v>468</v>
      </c>
      <c r="F249" s="60">
        <v>0.225</v>
      </c>
      <c r="G249" s="61"/>
      <c r="H249" s="61"/>
      <c r="I249" s="61"/>
      <c r="J249" s="61"/>
      <c r="K249" s="61"/>
      <c r="L249" s="61"/>
      <c r="M249" s="61"/>
      <c r="N249" s="61"/>
      <c r="O249" s="61"/>
      <c r="P249" s="61"/>
      <c r="Q249" s="61"/>
      <c r="R249" s="61"/>
      <c r="S249" s="61"/>
      <c r="T249" s="61"/>
      <c r="U249" s="61"/>
      <c r="V249" s="61"/>
      <c r="W249" s="61"/>
    </row>
    <row r="250" ht="15.75" customHeight="1">
      <c r="A250" s="31" t="s">
        <v>841</v>
      </c>
      <c r="B250" s="58" t="s">
        <v>111</v>
      </c>
      <c r="C250" s="59" t="s">
        <v>842</v>
      </c>
      <c r="D250" s="59" t="s">
        <v>843</v>
      </c>
      <c r="E250" s="59" t="s">
        <v>442</v>
      </c>
      <c r="F250" s="60">
        <v>0.405</v>
      </c>
      <c r="G250" s="61"/>
      <c r="H250" s="61"/>
      <c r="I250" s="61"/>
      <c r="J250" s="61"/>
      <c r="K250" s="61"/>
      <c r="L250" s="61"/>
      <c r="M250" s="61"/>
      <c r="N250" s="61"/>
      <c r="O250" s="61"/>
      <c r="P250" s="61"/>
      <c r="Q250" s="61"/>
      <c r="R250" s="61"/>
      <c r="S250" s="61"/>
      <c r="T250" s="61"/>
      <c r="U250" s="61"/>
      <c r="V250" s="61"/>
      <c r="W250" s="61"/>
    </row>
    <row r="251" ht="15.75" customHeight="1">
      <c r="A251" s="31" t="s">
        <v>844</v>
      </c>
      <c r="B251" s="58" t="s">
        <v>111</v>
      </c>
      <c r="C251" s="59" t="s">
        <v>842</v>
      </c>
      <c r="D251" s="59" t="s">
        <v>843</v>
      </c>
      <c r="E251" s="59" t="s">
        <v>446</v>
      </c>
      <c r="F251" s="60">
        <v>0.765</v>
      </c>
      <c r="G251" s="61"/>
      <c r="H251" s="61"/>
      <c r="I251" s="61"/>
      <c r="J251" s="61"/>
      <c r="K251" s="61"/>
      <c r="L251" s="61"/>
      <c r="M251" s="61"/>
      <c r="N251" s="61"/>
      <c r="O251" s="61"/>
      <c r="P251" s="61"/>
      <c r="Q251" s="61"/>
      <c r="R251" s="61"/>
      <c r="S251" s="61"/>
      <c r="T251" s="61"/>
      <c r="U251" s="61"/>
      <c r="V251" s="61"/>
      <c r="W251" s="61"/>
    </row>
    <row r="252" ht="15.75" customHeight="1">
      <c r="A252" s="31" t="s">
        <v>845</v>
      </c>
      <c r="B252" s="58" t="s">
        <v>111</v>
      </c>
      <c r="C252" s="59" t="s">
        <v>842</v>
      </c>
      <c r="D252" s="59" t="s">
        <v>843</v>
      </c>
      <c r="E252" s="59" t="s">
        <v>468</v>
      </c>
      <c r="F252" s="60">
        <v>0.18</v>
      </c>
      <c r="G252" s="61"/>
      <c r="H252" s="61"/>
      <c r="I252" s="61"/>
      <c r="J252" s="61"/>
      <c r="K252" s="61"/>
      <c r="L252" s="61"/>
      <c r="M252" s="61"/>
      <c r="N252" s="61"/>
      <c r="O252" s="61"/>
      <c r="P252" s="61"/>
      <c r="Q252" s="61"/>
      <c r="R252" s="61"/>
      <c r="S252" s="61"/>
      <c r="T252" s="61"/>
      <c r="U252" s="61"/>
      <c r="V252" s="61"/>
      <c r="W252" s="61"/>
    </row>
    <row r="253" ht="15.75" customHeight="1">
      <c r="A253" s="31" t="s">
        <v>846</v>
      </c>
      <c r="B253" s="58" t="s">
        <v>111</v>
      </c>
      <c r="C253" s="59" t="s">
        <v>847</v>
      </c>
      <c r="D253" s="59" t="s">
        <v>848</v>
      </c>
      <c r="E253" s="59" t="s">
        <v>444</v>
      </c>
      <c r="F253" s="60">
        <v>0.585</v>
      </c>
      <c r="G253" s="61"/>
      <c r="H253" s="61"/>
      <c r="I253" s="61"/>
      <c r="J253" s="61"/>
      <c r="K253" s="61"/>
      <c r="L253" s="61"/>
      <c r="M253" s="61"/>
      <c r="N253" s="61"/>
      <c r="O253" s="61"/>
      <c r="P253" s="61"/>
      <c r="Q253" s="61"/>
      <c r="R253" s="61"/>
      <c r="S253" s="61"/>
      <c r="T253" s="61"/>
      <c r="U253" s="61"/>
      <c r="V253" s="61"/>
      <c r="W253" s="61"/>
    </row>
    <row r="254" ht="15.75" customHeight="1">
      <c r="A254" s="31" t="s">
        <v>849</v>
      </c>
      <c r="B254" s="58" t="s">
        <v>111</v>
      </c>
      <c r="C254" s="59" t="s">
        <v>847</v>
      </c>
      <c r="D254" s="59" t="s">
        <v>848</v>
      </c>
      <c r="E254" s="59" t="s">
        <v>448</v>
      </c>
      <c r="F254" s="60">
        <v>0.315</v>
      </c>
      <c r="G254" s="61"/>
      <c r="H254" s="61"/>
      <c r="I254" s="61"/>
      <c r="J254" s="61"/>
      <c r="K254" s="61"/>
      <c r="L254" s="61"/>
      <c r="M254" s="61"/>
      <c r="N254" s="61"/>
      <c r="O254" s="61"/>
      <c r="P254" s="61"/>
      <c r="Q254" s="61"/>
      <c r="R254" s="61"/>
      <c r="S254" s="61"/>
      <c r="T254" s="61"/>
      <c r="U254" s="61"/>
      <c r="V254" s="61"/>
      <c r="W254" s="61"/>
    </row>
    <row r="255" ht="15.75" customHeight="1">
      <c r="A255" s="31" t="s">
        <v>850</v>
      </c>
      <c r="B255" s="58" t="s">
        <v>111</v>
      </c>
      <c r="C255" s="59" t="s">
        <v>847</v>
      </c>
      <c r="D255" s="59" t="s">
        <v>848</v>
      </c>
      <c r="E255" s="59" t="s">
        <v>450</v>
      </c>
      <c r="F255" s="60">
        <v>0.72</v>
      </c>
      <c r="G255" s="61"/>
      <c r="H255" s="61"/>
      <c r="I255" s="61"/>
      <c r="J255" s="61"/>
      <c r="K255" s="61"/>
      <c r="L255" s="61"/>
      <c r="M255" s="61"/>
      <c r="N255" s="61"/>
      <c r="O255" s="61"/>
      <c r="P255" s="61"/>
      <c r="Q255" s="61"/>
      <c r="R255" s="61"/>
      <c r="S255" s="61"/>
      <c r="T255" s="61"/>
      <c r="U255" s="61"/>
      <c r="V255" s="61"/>
      <c r="W255" s="61"/>
    </row>
    <row r="256" ht="15.75" customHeight="1">
      <c r="A256" s="31" t="s">
        <v>851</v>
      </c>
      <c r="B256" s="58" t="s">
        <v>111</v>
      </c>
      <c r="C256" s="59" t="s">
        <v>847</v>
      </c>
      <c r="D256" s="59" t="s">
        <v>848</v>
      </c>
      <c r="E256" s="59" t="s">
        <v>460</v>
      </c>
      <c r="F256" s="60">
        <v>0.36</v>
      </c>
      <c r="G256" s="61"/>
      <c r="H256" s="61"/>
      <c r="I256" s="61"/>
      <c r="J256" s="61"/>
      <c r="K256" s="61"/>
      <c r="L256" s="61"/>
      <c r="M256" s="61"/>
      <c r="N256" s="61"/>
      <c r="O256" s="61"/>
      <c r="P256" s="61"/>
      <c r="Q256" s="61"/>
      <c r="R256" s="61"/>
      <c r="S256" s="61"/>
      <c r="T256" s="61"/>
      <c r="U256" s="61"/>
      <c r="V256" s="61"/>
      <c r="W256" s="61"/>
    </row>
    <row r="257" ht="15.75" customHeight="1">
      <c r="A257" s="31" t="s">
        <v>852</v>
      </c>
      <c r="B257" s="58" t="s">
        <v>111</v>
      </c>
      <c r="C257" s="59" t="s">
        <v>853</v>
      </c>
      <c r="D257" s="59" t="s">
        <v>854</v>
      </c>
      <c r="E257" s="59" t="s">
        <v>442</v>
      </c>
      <c r="F257" s="60">
        <v>0.36</v>
      </c>
      <c r="G257" s="61"/>
      <c r="H257" s="61"/>
      <c r="I257" s="61"/>
      <c r="J257" s="61"/>
      <c r="K257" s="61"/>
      <c r="L257" s="61"/>
      <c r="M257" s="61"/>
      <c r="N257" s="61"/>
      <c r="O257" s="61"/>
      <c r="P257" s="61"/>
      <c r="Q257" s="61"/>
      <c r="R257" s="61"/>
      <c r="S257" s="61"/>
      <c r="T257" s="61"/>
      <c r="U257" s="61"/>
      <c r="V257" s="61"/>
      <c r="W257" s="61"/>
    </row>
    <row r="258" ht="15.75" customHeight="1">
      <c r="A258" s="31" t="s">
        <v>855</v>
      </c>
      <c r="B258" s="58" t="s">
        <v>111</v>
      </c>
      <c r="C258" s="59" t="s">
        <v>853</v>
      </c>
      <c r="D258" s="59" t="s">
        <v>854</v>
      </c>
      <c r="E258" s="59" t="s">
        <v>446</v>
      </c>
      <c r="F258" s="60">
        <v>0.225</v>
      </c>
      <c r="G258" s="61"/>
      <c r="H258" s="61"/>
      <c r="I258" s="61"/>
      <c r="J258" s="61"/>
      <c r="K258" s="61"/>
      <c r="L258" s="61"/>
      <c r="M258" s="61"/>
      <c r="N258" s="61"/>
      <c r="O258" s="61"/>
      <c r="P258" s="61"/>
      <c r="Q258" s="61"/>
      <c r="R258" s="61"/>
      <c r="S258" s="61"/>
      <c r="T258" s="61"/>
      <c r="U258" s="61"/>
      <c r="V258" s="61"/>
      <c r="W258" s="61"/>
    </row>
    <row r="259" ht="15.75" customHeight="1">
      <c r="A259" s="31" t="s">
        <v>856</v>
      </c>
      <c r="B259" s="58" t="s">
        <v>111</v>
      </c>
      <c r="C259" s="59" t="s">
        <v>853</v>
      </c>
      <c r="D259" s="59" t="s">
        <v>854</v>
      </c>
      <c r="E259" s="59" t="s">
        <v>454</v>
      </c>
      <c r="F259" s="60">
        <v>0.81</v>
      </c>
      <c r="G259" s="61"/>
      <c r="H259" s="61"/>
      <c r="I259" s="61"/>
      <c r="J259" s="61"/>
      <c r="K259" s="61"/>
      <c r="L259" s="61"/>
      <c r="M259" s="61"/>
      <c r="N259" s="61"/>
      <c r="O259" s="61"/>
      <c r="P259" s="61"/>
      <c r="Q259" s="61"/>
      <c r="R259" s="61"/>
      <c r="S259" s="61"/>
      <c r="T259" s="61"/>
      <c r="U259" s="61"/>
      <c r="V259" s="61"/>
      <c r="W259" s="61"/>
    </row>
    <row r="260" ht="15.75" customHeight="1">
      <c r="A260" s="31" t="s">
        <v>857</v>
      </c>
      <c r="B260" s="58" t="s">
        <v>111</v>
      </c>
      <c r="C260" s="59" t="s">
        <v>853</v>
      </c>
      <c r="D260" s="59" t="s">
        <v>854</v>
      </c>
      <c r="E260" s="59" t="s">
        <v>462</v>
      </c>
      <c r="F260" s="60">
        <v>0.27</v>
      </c>
      <c r="G260" s="61"/>
      <c r="H260" s="61"/>
      <c r="I260" s="61"/>
      <c r="J260" s="61"/>
      <c r="K260" s="61"/>
      <c r="L260" s="61"/>
      <c r="M260" s="61"/>
      <c r="N260" s="61"/>
      <c r="O260" s="61"/>
      <c r="P260" s="61"/>
      <c r="Q260" s="61"/>
      <c r="R260" s="61"/>
      <c r="S260" s="61"/>
      <c r="T260" s="61"/>
      <c r="U260" s="61"/>
      <c r="V260" s="61"/>
      <c r="W260" s="61"/>
    </row>
    <row r="261" ht="15.75" customHeight="1">
      <c r="A261" s="31" t="s">
        <v>858</v>
      </c>
      <c r="B261" s="58" t="s">
        <v>111</v>
      </c>
      <c r="C261" s="59" t="s">
        <v>853</v>
      </c>
      <c r="D261" s="59" t="s">
        <v>854</v>
      </c>
      <c r="E261" s="62" t="s">
        <v>466</v>
      </c>
      <c r="F261" s="63">
        <v>0.35</v>
      </c>
      <c r="G261" s="61"/>
      <c r="H261" s="61"/>
      <c r="I261" s="61"/>
      <c r="J261" s="61"/>
      <c r="K261" s="61"/>
      <c r="L261" s="61"/>
      <c r="M261" s="61"/>
      <c r="N261" s="61"/>
      <c r="O261" s="61"/>
      <c r="P261" s="61"/>
      <c r="Q261" s="61"/>
      <c r="R261" s="61"/>
      <c r="S261" s="61"/>
      <c r="T261" s="61"/>
      <c r="U261" s="61"/>
      <c r="V261" s="61"/>
      <c r="W261" s="61"/>
    </row>
    <row r="262" ht="15.75" customHeight="1">
      <c r="A262" s="31" t="s">
        <v>859</v>
      </c>
      <c r="B262" s="58" t="s">
        <v>111</v>
      </c>
      <c r="C262" s="59" t="s">
        <v>634</v>
      </c>
      <c r="D262" s="59" t="s">
        <v>860</v>
      </c>
      <c r="E262" s="59" t="s">
        <v>444</v>
      </c>
      <c r="F262" s="60">
        <v>0.54</v>
      </c>
      <c r="G262" s="61"/>
      <c r="H262" s="61"/>
      <c r="I262" s="61"/>
      <c r="J262" s="61"/>
      <c r="K262" s="61"/>
      <c r="L262" s="61"/>
      <c r="M262" s="61"/>
      <c r="N262" s="61"/>
      <c r="O262" s="61"/>
      <c r="P262" s="61"/>
      <c r="Q262" s="61"/>
      <c r="R262" s="61"/>
      <c r="S262" s="61"/>
      <c r="T262" s="61"/>
      <c r="U262" s="61"/>
      <c r="V262" s="61"/>
      <c r="W262" s="61"/>
    </row>
    <row r="263" ht="15.75" customHeight="1">
      <c r="A263" s="31" t="s">
        <v>861</v>
      </c>
      <c r="B263" s="58" t="s">
        <v>111</v>
      </c>
      <c r="C263" s="59" t="s">
        <v>634</v>
      </c>
      <c r="D263" s="59" t="s">
        <v>860</v>
      </c>
      <c r="E263" s="59" t="s">
        <v>448</v>
      </c>
      <c r="F263" s="60">
        <v>0.27</v>
      </c>
      <c r="G263" s="61"/>
      <c r="H263" s="61"/>
      <c r="I263" s="61"/>
      <c r="J263" s="61"/>
      <c r="K263" s="61"/>
      <c r="L263" s="61"/>
      <c r="M263" s="61"/>
      <c r="N263" s="61"/>
      <c r="O263" s="61"/>
      <c r="P263" s="61"/>
      <c r="Q263" s="61"/>
      <c r="R263" s="61"/>
      <c r="S263" s="61"/>
      <c r="T263" s="61"/>
      <c r="U263" s="61"/>
      <c r="V263" s="61"/>
      <c r="W263" s="61"/>
    </row>
    <row r="264" ht="15.75" customHeight="1">
      <c r="A264" s="31" t="s">
        <v>862</v>
      </c>
      <c r="B264" s="58" t="s">
        <v>111</v>
      </c>
      <c r="C264" s="59" t="s">
        <v>634</v>
      </c>
      <c r="D264" s="59" t="s">
        <v>860</v>
      </c>
      <c r="E264" s="59" t="s">
        <v>450</v>
      </c>
      <c r="F264" s="60">
        <v>0.45</v>
      </c>
      <c r="G264" s="61"/>
      <c r="H264" s="61"/>
      <c r="I264" s="61"/>
      <c r="J264" s="61"/>
      <c r="K264" s="61"/>
      <c r="L264" s="61"/>
      <c r="M264" s="61"/>
      <c r="N264" s="61"/>
      <c r="O264" s="61"/>
      <c r="P264" s="61"/>
      <c r="Q264" s="61"/>
      <c r="R264" s="61"/>
      <c r="S264" s="61"/>
      <c r="T264" s="61"/>
      <c r="U264" s="61"/>
      <c r="V264" s="61"/>
      <c r="W264" s="61"/>
    </row>
    <row r="265" ht="15.75" customHeight="1">
      <c r="A265" s="31" t="s">
        <v>863</v>
      </c>
      <c r="B265" s="58" t="s">
        <v>111</v>
      </c>
      <c r="C265" s="59" t="s">
        <v>634</v>
      </c>
      <c r="D265" s="59" t="s">
        <v>860</v>
      </c>
      <c r="E265" s="59" t="s">
        <v>452</v>
      </c>
      <c r="F265" s="60">
        <v>0.585</v>
      </c>
      <c r="G265" s="68"/>
      <c r="H265" s="68"/>
      <c r="I265" s="68"/>
      <c r="J265" s="68"/>
      <c r="K265" s="68"/>
      <c r="L265" s="68"/>
      <c r="M265" s="68"/>
      <c r="N265" s="68"/>
      <c r="O265" s="68"/>
      <c r="P265" s="68"/>
      <c r="Q265" s="68"/>
      <c r="R265" s="68"/>
      <c r="S265" s="68"/>
      <c r="T265" s="68"/>
      <c r="U265" s="68"/>
      <c r="V265" s="68"/>
      <c r="W265" s="68"/>
    </row>
    <row r="266" ht="15.75" customHeight="1">
      <c r="A266" s="31" t="s">
        <v>864</v>
      </c>
      <c r="B266" s="58" t="s">
        <v>111</v>
      </c>
      <c r="C266" s="59" t="s">
        <v>865</v>
      </c>
      <c r="D266" s="59" t="s">
        <v>866</v>
      </c>
      <c r="E266" s="59" t="s">
        <v>444</v>
      </c>
      <c r="F266" s="60">
        <v>0.72</v>
      </c>
      <c r="G266" s="68"/>
      <c r="H266" s="68"/>
      <c r="I266" s="68"/>
      <c r="J266" s="68"/>
      <c r="K266" s="68"/>
      <c r="L266" s="68"/>
      <c r="M266" s="68"/>
      <c r="N266" s="68"/>
      <c r="O266" s="68"/>
      <c r="P266" s="68"/>
      <c r="Q266" s="68"/>
      <c r="R266" s="68"/>
      <c r="S266" s="68"/>
      <c r="T266" s="68"/>
      <c r="U266" s="68"/>
      <c r="V266" s="68"/>
      <c r="W266" s="68"/>
    </row>
    <row r="267" ht="15.75" customHeight="1">
      <c r="A267" s="31" t="s">
        <v>867</v>
      </c>
      <c r="B267" s="58" t="s">
        <v>111</v>
      </c>
      <c r="C267" s="59" t="s">
        <v>865</v>
      </c>
      <c r="D267" s="59" t="s">
        <v>866</v>
      </c>
      <c r="E267" s="59" t="s">
        <v>448</v>
      </c>
      <c r="F267" s="60">
        <v>0.36</v>
      </c>
      <c r="G267" s="61"/>
      <c r="H267" s="61"/>
      <c r="I267" s="61"/>
      <c r="J267" s="61"/>
      <c r="K267" s="61"/>
      <c r="L267" s="61"/>
      <c r="M267" s="61"/>
      <c r="N267" s="61"/>
      <c r="O267" s="61"/>
      <c r="P267" s="61"/>
      <c r="Q267" s="61"/>
      <c r="R267" s="61"/>
      <c r="S267" s="61"/>
      <c r="T267" s="61"/>
      <c r="U267" s="61"/>
      <c r="V267" s="61"/>
      <c r="W267" s="61"/>
    </row>
    <row r="268" ht="15.75" customHeight="1">
      <c r="A268" s="31" t="s">
        <v>868</v>
      </c>
      <c r="B268" s="58" t="s">
        <v>111</v>
      </c>
      <c r="C268" s="59" t="s">
        <v>865</v>
      </c>
      <c r="D268" s="59" t="s">
        <v>866</v>
      </c>
      <c r="E268" s="59" t="s">
        <v>452</v>
      </c>
      <c r="F268" s="60">
        <v>0.27</v>
      </c>
      <c r="G268" s="61"/>
      <c r="H268" s="61"/>
      <c r="I268" s="61"/>
      <c r="J268" s="61"/>
      <c r="K268" s="61"/>
      <c r="L268" s="61"/>
      <c r="M268" s="61"/>
      <c r="N268" s="61"/>
      <c r="O268" s="61"/>
      <c r="P268" s="61"/>
      <c r="Q268" s="61"/>
      <c r="R268" s="61"/>
      <c r="S268" s="61"/>
      <c r="T268" s="61"/>
      <c r="U268" s="61"/>
      <c r="V268" s="61"/>
      <c r="W268" s="61"/>
    </row>
    <row r="269" ht="15.75" customHeight="1">
      <c r="A269" s="31" t="s">
        <v>869</v>
      </c>
      <c r="B269" s="58" t="s">
        <v>111</v>
      </c>
      <c r="C269" s="59" t="s">
        <v>870</v>
      </c>
      <c r="D269" s="59" t="s">
        <v>871</v>
      </c>
      <c r="E269" s="59" t="s">
        <v>444</v>
      </c>
      <c r="F269" s="60">
        <v>0.36</v>
      </c>
      <c r="G269" s="61"/>
      <c r="H269" s="61"/>
      <c r="I269" s="61"/>
      <c r="J269" s="61"/>
      <c r="K269" s="61"/>
      <c r="L269" s="61"/>
      <c r="M269" s="61"/>
      <c r="N269" s="61"/>
      <c r="O269" s="61"/>
      <c r="P269" s="61"/>
      <c r="Q269" s="61"/>
      <c r="R269" s="61"/>
      <c r="S269" s="61"/>
      <c r="T269" s="61"/>
      <c r="U269" s="61"/>
      <c r="V269" s="61"/>
      <c r="W269" s="61"/>
    </row>
    <row r="270" ht="15.75" customHeight="1">
      <c r="A270" s="31" t="s">
        <v>872</v>
      </c>
      <c r="B270" s="58" t="s">
        <v>111</v>
      </c>
      <c r="C270" s="59" t="s">
        <v>870</v>
      </c>
      <c r="D270" s="59" t="s">
        <v>871</v>
      </c>
      <c r="E270" s="59" t="s">
        <v>450</v>
      </c>
      <c r="F270" s="60">
        <v>0.45</v>
      </c>
      <c r="G270" s="61"/>
      <c r="H270" s="61"/>
      <c r="I270" s="61"/>
      <c r="J270" s="61"/>
      <c r="K270" s="61"/>
      <c r="L270" s="61"/>
      <c r="M270" s="61"/>
      <c r="N270" s="61"/>
      <c r="O270" s="61"/>
      <c r="P270" s="61"/>
      <c r="Q270" s="61"/>
      <c r="R270" s="61"/>
      <c r="S270" s="61"/>
      <c r="T270" s="61"/>
      <c r="U270" s="61"/>
      <c r="V270" s="61"/>
      <c r="W270" s="61"/>
    </row>
    <row r="271" ht="15.75" customHeight="1">
      <c r="A271" s="31" t="s">
        <v>873</v>
      </c>
      <c r="B271" s="58" t="s">
        <v>111</v>
      </c>
      <c r="C271" s="59" t="s">
        <v>870</v>
      </c>
      <c r="D271" s="59" t="s">
        <v>871</v>
      </c>
      <c r="E271" s="59" t="s">
        <v>460</v>
      </c>
      <c r="F271" s="60">
        <v>0.765</v>
      </c>
      <c r="G271" s="61"/>
      <c r="H271" s="61"/>
      <c r="I271" s="61"/>
      <c r="J271" s="61"/>
      <c r="K271" s="61"/>
      <c r="L271" s="61"/>
      <c r="M271" s="61"/>
      <c r="N271" s="61"/>
      <c r="O271" s="61"/>
      <c r="P271" s="61"/>
      <c r="Q271" s="61"/>
      <c r="R271" s="61"/>
      <c r="S271" s="61"/>
      <c r="T271" s="61"/>
      <c r="U271" s="61"/>
      <c r="V271" s="61"/>
      <c r="W271" s="61"/>
    </row>
    <row r="272" ht="15.75" customHeight="1">
      <c r="A272" s="31" t="s">
        <v>874</v>
      </c>
      <c r="B272" s="58" t="s">
        <v>111</v>
      </c>
      <c r="C272" s="59" t="s">
        <v>875</v>
      </c>
      <c r="D272" s="59" t="s">
        <v>876</v>
      </c>
      <c r="E272" s="59" t="s">
        <v>446</v>
      </c>
      <c r="F272" s="60">
        <v>0.72</v>
      </c>
      <c r="G272" s="61"/>
      <c r="H272" s="61"/>
      <c r="I272" s="61"/>
      <c r="J272" s="61"/>
      <c r="K272" s="61"/>
      <c r="L272" s="61"/>
      <c r="M272" s="61"/>
      <c r="N272" s="61"/>
      <c r="O272" s="61"/>
      <c r="P272" s="61"/>
      <c r="Q272" s="61"/>
      <c r="R272" s="61"/>
      <c r="S272" s="61"/>
      <c r="T272" s="61"/>
      <c r="U272" s="61"/>
      <c r="V272" s="61"/>
      <c r="W272" s="61"/>
    </row>
    <row r="273" ht="15.75" customHeight="1">
      <c r="A273" s="31" t="s">
        <v>877</v>
      </c>
      <c r="B273" s="58" t="s">
        <v>111</v>
      </c>
      <c r="C273" s="59" t="s">
        <v>875</v>
      </c>
      <c r="D273" s="59" t="s">
        <v>876</v>
      </c>
      <c r="E273" s="59" t="s">
        <v>464</v>
      </c>
      <c r="F273" s="60">
        <v>0.36</v>
      </c>
      <c r="G273" s="61"/>
      <c r="H273" s="61"/>
      <c r="I273" s="61"/>
      <c r="J273" s="61"/>
      <c r="K273" s="61"/>
      <c r="L273" s="61"/>
      <c r="M273" s="61"/>
      <c r="N273" s="61"/>
      <c r="O273" s="61"/>
      <c r="P273" s="61"/>
      <c r="Q273" s="61"/>
      <c r="R273" s="61"/>
      <c r="S273" s="61"/>
      <c r="T273" s="61"/>
      <c r="U273" s="61"/>
      <c r="V273" s="61"/>
      <c r="W273" s="61"/>
    </row>
    <row r="274" ht="15.75" customHeight="1">
      <c r="A274" s="31" t="s">
        <v>878</v>
      </c>
      <c r="B274" s="58" t="s">
        <v>111</v>
      </c>
      <c r="C274" s="59" t="s">
        <v>879</v>
      </c>
      <c r="D274" s="59" t="s">
        <v>880</v>
      </c>
      <c r="E274" s="59" t="s">
        <v>444</v>
      </c>
      <c r="F274" s="60">
        <v>0.225</v>
      </c>
      <c r="G274" s="61"/>
      <c r="H274" s="61"/>
      <c r="I274" s="61"/>
      <c r="J274" s="61"/>
      <c r="K274" s="61"/>
      <c r="L274" s="61"/>
      <c r="M274" s="61"/>
      <c r="N274" s="61"/>
      <c r="O274" s="61"/>
      <c r="P274" s="61"/>
      <c r="Q274" s="61"/>
      <c r="R274" s="61"/>
      <c r="S274" s="61"/>
      <c r="T274" s="61"/>
      <c r="U274" s="61"/>
      <c r="V274" s="61"/>
      <c r="W274" s="61"/>
    </row>
    <row r="275" ht="15.75" customHeight="1">
      <c r="A275" s="31" t="s">
        <v>881</v>
      </c>
      <c r="B275" s="58" t="s">
        <v>111</v>
      </c>
      <c r="C275" s="59" t="s">
        <v>879</v>
      </c>
      <c r="D275" s="59" t="s">
        <v>880</v>
      </c>
      <c r="E275" s="59" t="s">
        <v>448</v>
      </c>
      <c r="F275" s="60">
        <v>0.765</v>
      </c>
      <c r="G275" s="61"/>
      <c r="H275" s="61"/>
      <c r="I275" s="61"/>
      <c r="J275" s="61"/>
      <c r="K275" s="61"/>
      <c r="L275" s="61"/>
      <c r="M275" s="61"/>
      <c r="N275" s="61"/>
      <c r="O275" s="61"/>
      <c r="P275" s="61"/>
      <c r="Q275" s="61"/>
      <c r="R275" s="61"/>
      <c r="S275" s="61"/>
      <c r="T275" s="61"/>
      <c r="U275" s="61"/>
      <c r="V275" s="61"/>
      <c r="W275" s="61"/>
    </row>
    <row r="276" ht="15.75" customHeight="1">
      <c r="A276" s="31" t="s">
        <v>882</v>
      </c>
      <c r="B276" s="58" t="s">
        <v>111</v>
      </c>
      <c r="C276" s="59" t="s">
        <v>879</v>
      </c>
      <c r="D276" s="59" t="s">
        <v>880</v>
      </c>
      <c r="E276" s="59" t="s">
        <v>460</v>
      </c>
      <c r="F276" s="60">
        <v>0.315</v>
      </c>
      <c r="G276" s="61"/>
      <c r="H276" s="61"/>
      <c r="I276" s="61"/>
      <c r="J276" s="61"/>
      <c r="K276" s="61"/>
      <c r="L276" s="61"/>
      <c r="M276" s="61"/>
      <c r="N276" s="61"/>
      <c r="O276" s="61"/>
      <c r="P276" s="61"/>
      <c r="Q276" s="61"/>
      <c r="R276" s="61"/>
      <c r="S276" s="61"/>
      <c r="T276" s="61"/>
      <c r="U276" s="61"/>
      <c r="V276" s="61"/>
      <c r="W276" s="61"/>
    </row>
    <row r="277" ht="15.75" customHeight="1">
      <c r="A277" s="31" t="s">
        <v>883</v>
      </c>
      <c r="B277" s="58" t="s">
        <v>111</v>
      </c>
      <c r="C277" s="59" t="s">
        <v>879</v>
      </c>
      <c r="D277" s="59" t="s">
        <v>880</v>
      </c>
      <c r="E277" s="59" t="s">
        <v>464</v>
      </c>
      <c r="F277" s="60">
        <v>0.72</v>
      </c>
      <c r="G277" s="61"/>
      <c r="H277" s="61"/>
      <c r="I277" s="61"/>
      <c r="J277" s="61"/>
      <c r="K277" s="61"/>
      <c r="L277" s="61"/>
      <c r="M277" s="61"/>
      <c r="N277" s="61"/>
      <c r="O277" s="61"/>
      <c r="P277" s="61"/>
      <c r="Q277" s="61"/>
      <c r="R277" s="61"/>
      <c r="S277" s="61"/>
      <c r="T277" s="61"/>
      <c r="U277" s="61"/>
      <c r="V277" s="61"/>
      <c r="W277" s="61"/>
    </row>
    <row r="278" ht="15.75" customHeight="1">
      <c r="A278" s="31" t="s">
        <v>884</v>
      </c>
      <c r="B278" s="58" t="s">
        <v>161</v>
      </c>
      <c r="C278" s="59" t="s">
        <v>885</v>
      </c>
      <c r="D278" s="59" t="s">
        <v>886</v>
      </c>
      <c r="E278" s="59" t="s">
        <v>444</v>
      </c>
      <c r="F278" s="60">
        <v>0.3</v>
      </c>
      <c r="G278" s="61"/>
      <c r="H278" s="61"/>
      <c r="I278" s="61"/>
      <c r="J278" s="61"/>
      <c r="K278" s="61"/>
      <c r="L278" s="61"/>
      <c r="M278" s="61"/>
      <c r="N278" s="61"/>
      <c r="O278" s="61"/>
      <c r="P278" s="61"/>
      <c r="Q278" s="61"/>
      <c r="R278" s="61"/>
      <c r="S278" s="61"/>
      <c r="T278" s="61"/>
      <c r="U278" s="61"/>
      <c r="V278" s="61"/>
      <c r="W278" s="61"/>
    </row>
    <row r="279" ht="15.75" customHeight="1">
      <c r="A279" s="31" t="s">
        <v>887</v>
      </c>
      <c r="B279" s="58" t="s">
        <v>161</v>
      </c>
      <c r="C279" s="59" t="s">
        <v>885</v>
      </c>
      <c r="D279" s="59" t="s">
        <v>886</v>
      </c>
      <c r="E279" s="59" t="s">
        <v>452</v>
      </c>
      <c r="F279" s="60">
        <v>0.6</v>
      </c>
      <c r="G279" s="61"/>
      <c r="H279" s="61"/>
      <c r="I279" s="61"/>
      <c r="J279" s="61"/>
      <c r="K279" s="61"/>
      <c r="L279" s="61"/>
      <c r="M279" s="61"/>
      <c r="N279" s="61"/>
      <c r="O279" s="61"/>
      <c r="P279" s="61"/>
      <c r="Q279" s="61"/>
      <c r="R279" s="61"/>
      <c r="S279" s="61"/>
      <c r="T279" s="61"/>
      <c r="U279" s="61"/>
      <c r="V279" s="61"/>
      <c r="W279" s="61"/>
    </row>
    <row r="280" ht="15.75" customHeight="1">
      <c r="A280" s="31" t="s">
        <v>888</v>
      </c>
      <c r="B280" s="58" t="s">
        <v>161</v>
      </c>
      <c r="C280" s="59" t="s">
        <v>889</v>
      </c>
      <c r="D280" s="59" t="s">
        <v>890</v>
      </c>
      <c r="E280" s="59" t="s">
        <v>442</v>
      </c>
      <c r="F280" s="60">
        <v>0.2</v>
      </c>
      <c r="G280" s="61"/>
      <c r="H280" s="61"/>
      <c r="I280" s="61"/>
      <c r="J280" s="61"/>
      <c r="K280" s="61"/>
      <c r="L280" s="61"/>
      <c r="M280" s="61"/>
      <c r="N280" s="61"/>
      <c r="O280" s="61"/>
      <c r="P280" s="61"/>
      <c r="Q280" s="61"/>
      <c r="R280" s="61"/>
      <c r="S280" s="61"/>
      <c r="T280" s="61"/>
      <c r="U280" s="61"/>
      <c r="V280" s="61"/>
      <c r="W280" s="61"/>
    </row>
    <row r="281" ht="15.75" customHeight="1">
      <c r="A281" s="31" t="s">
        <v>891</v>
      </c>
      <c r="B281" s="58" t="s">
        <v>161</v>
      </c>
      <c r="C281" s="59" t="s">
        <v>889</v>
      </c>
      <c r="D281" s="59" t="s">
        <v>890</v>
      </c>
      <c r="E281" s="59" t="s">
        <v>454</v>
      </c>
      <c r="F281" s="60">
        <v>0.9</v>
      </c>
      <c r="G281" s="61"/>
      <c r="H281" s="61"/>
      <c r="I281" s="61"/>
      <c r="J281" s="61"/>
      <c r="K281" s="61"/>
      <c r="L281" s="61"/>
      <c r="M281" s="61"/>
      <c r="N281" s="61"/>
      <c r="O281" s="61"/>
      <c r="P281" s="61"/>
      <c r="Q281" s="61"/>
      <c r="R281" s="61"/>
      <c r="S281" s="61"/>
      <c r="T281" s="61"/>
      <c r="U281" s="61"/>
      <c r="V281" s="61"/>
      <c r="W281" s="61"/>
    </row>
    <row r="282" ht="15.75" customHeight="1">
      <c r="A282" s="31" t="s">
        <v>892</v>
      </c>
      <c r="B282" s="58" t="s">
        <v>161</v>
      </c>
      <c r="C282" s="59" t="s">
        <v>893</v>
      </c>
      <c r="D282" s="59" t="s">
        <v>894</v>
      </c>
      <c r="E282" s="59" t="s">
        <v>444</v>
      </c>
      <c r="F282" s="60">
        <v>0.6</v>
      </c>
      <c r="G282" s="61"/>
      <c r="H282" s="61"/>
      <c r="I282" s="61"/>
      <c r="J282" s="61"/>
      <c r="K282" s="61"/>
      <c r="L282" s="61"/>
      <c r="M282" s="61"/>
      <c r="N282" s="61"/>
      <c r="O282" s="61"/>
      <c r="P282" s="61"/>
      <c r="Q282" s="61"/>
      <c r="R282" s="61"/>
      <c r="S282" s="61"/>
      <c r="T282" s="61"/>
      <c r="U282" s="61"/>
      <c r="V282" s="61"/>
      <c r="W282" s="61"/>
    </row>
    <row r="283" ht="15.75" customHeight="1">
      <c r="A283" s="31" t="s">
        <v>895</v>
      </c>
      <c r="B283" s="58" t="s">
        <v>161</v>
      </c>
      <c r="C283" s="59" t="s">
        <v>893</v>
      </c>
      <c r="D283" s="59" t="s">
        <v>894</v>
      </c>
      <c r="E283" s="59" t="s">
        <v>448</v>
      </c>
      <c r="F283" s="60">
        <v>0.4</v>
      </c>
      <c r="G283" s="61"/>
      <c r="H283" s="61"/>
      <c r="I283" s="61"/>
      <c r="J283" s="61"/>
      <c r="K283" s="61"/>
      <c r="L283" s="61"/>
      <c r="M283" s="61"/>
      <c r="N283" s="61"/>
      <c r="O283" s="61"/>
      <c r="P283" s="61"/>
      <c r="Q283" s="61"/>
      <c r="R283" s="61"/>
      <c r="S283" s="61"/>
      <c r="T283" s="61"/>
      <c r="U283" s="61"/>
      <c r="V283" s="61"/>
      <c r="W283" s="61"/>
    </row>
    <row r="284" ht="15.75" customHeight="1">
      <c r="A284" s="31" t="s">
        <v>896</v>
      </c>
      <c r="B284" s="58" t="s">
        <v>161</v>
      </c>
      <c r="C284" s="59" t="s">
        <v>893</v>
      </c>
      <c r="D284" s="59" t="s">
        <v>894</v>
      </c>
      <c r="E284" s="59" t="s">
        <v>450</v>
      </c>
      <c r="F284" s="60">
        <v>0.5</v>
      </c>
      <c r="G284" s="61"/>
      <c r="H284" s="61"/>
      <c r="I284" s="61"/>
      <c r="J284" s="61"/>
      <c r="K284" s="61"/>
      <c r="L284" s="61"/>
      <c r="M284" s="61"/>
      <c r="N284" s="61"/>
      <c r="O284" s="61"/>
      <c r="P284" s="61"/>
      <c r="Q284" s="61"/>
      <c r="R284" s="61"/>
      <c r="S284" s="61"/>
      <c r="T284" s="61"/>
      <c r="U284" s="61"/>
      <c r="V284" s="61"/>
      <c r="W284" s="61"/>
    </row>
    <row r="285" ht="15.75" customHeight="1">
      <c r="A285" s="31" t="s">
        <v>897</v>
      </c>
      <c r="B285" s="58" t="s">
        <v>161</v>
      </c>
      <c r="C285" s="59" t="s">
        <v>893</v>
      </c>
      <c r="D285" s="59" t="s">
        <v>894</v>
      </c>
      <c r="E285" s="62" t="s">
        <v>460</v>
      </c>
      <c r="F285" s="63">
        <v>0.4</v>
      </c>
      <c r="G285" s="61"/>
      <c r="H285" s="61"/>
      <c r="I285" s="61"/>
      <c r="J285" s="61"/>
      <c r="K285" s="61"/>
      <c r="L285" s="61"/>
      <c r="M285" s="61"/>
      <c r="N285" s="61"/>
      <c r="O285" s="61"/>
      <c r="P285" s="61"/>
      <c r="Q285" s="61"/>
      <c r="R285" s="61"/>
      <c r="S285" s="61"/>
      <c r="T285" s="61"/>
      <c r="U285" s="61"/>
      <c r="V285" s="61"/>
      <c r="W285" s="61"/>
    </row>
    <row r="286" ht="15.75" customHeight="1">
      <c r="A286" s="31" t="s">
        <v>897</v>
      </c>
      <c r="B286" s="58" t="s">
        <v>161</v>
      </c>
      <c r="C286" s="59" t="s">
        <v>893</v>
      </c>
      <c r="D286" s="59" t="s">
        <v>894</v>
      </c>
      <c r="E286" s="62" t="s">
        <v>466</v>
      </c>
      <c r="F286" s="63">
        <v>0.35</v>
      </c>
      <c r="G286" s="61"/>
      <c r="H286" s="61"/>
      <c r="I286" s="61"/>
      <c r="J286" s="61"/>
      <c r="K286" s="61"/>
      <c r="L286" s="61"/>
      <c r="M286" s="61"/>
      <c r="N286" s="61"/>
      <c r="O286" s="61"/>
      <c r="P286" s="61"/>
      <c r="Q286" s="61"/>
      <c r="R286" s="61"/>
      <c r="S286" s="61"/>
      <c r="T286" s="61"/>
      <c r="U286" s="61"/>
      <c r="V286" s="61"/>
      <c r="W286" s="61"/>
    </row>
    <row r="287" ht="15.75" customHeight="1">
      <c r="A287" s="31" t="s">
        <v>898</v>
      </c>
      <c r="B287" s="58" t="s">
        <v>161</v>
      </c>
      <c r="C287" s="59" t="s">
        <v>899</v>
      </c>
      <c r="D287" s="59" t="s">
        <v>900</v>
      </c>
      <c r="E287" s="62" t="s">
        <v>466</v>
      </c>
      <c r="F287" s="63">
        <v>0.4</v>
      </c>
      <c r="G287" s="61"/>
      <c r="H287" s="61"/>
      <c r="I287" s="61"/>
      <c r="J287" s="61"/>
      <c r="K287" s="61"/>
      <c r="L287" s="61"/>
      <c r="M287" s="61"/>
      <c r="N287" s="61"/>
      <c r="O287" s="61"/>
      <c r="P287" s="61"/>
      <c r="Q287" s="61"/>
      <c r="R287" s="61"/>
      <c r="S287" s="61"/>
      <c r="T287" s="61"/>
      <c r="U287" s="61"/>
      <c r="V287" s="61"/>
      <c r="W287" s="61"/>
    </row>
    <row r="288" ht="15.75" customHeight="1">
      <c r="A288" s="31" t="s">
        <v>898</v>
      </c>
      <c r="B288" s="58" t="s">
        <v>161</v>
      </c>
      <c r="C288" s="59" t="s">
        <v>899</v>
      </c>
      <c r="D288" s="59" t="s">
        <v>900</v>
      </c>
      <c r="E288" s="59" t="s">
        <v>442</v>
      </c>
      <c r="F288" s="60">
        <v>0.3</v>
      </c>
      <c r="G288" s="61"/>
      <c r="H288" s="61"/>
      <c r="I288" s="61"/>
      <c r="J288" s="61"/>
      <c r="K288" s="61"/>
      <c r="L288" s="61"/>
      <c r="M288" s="61"/>
      <c r="N288" s="61"/>
      <c r="O288" s="61"/>
      <c r="P288" s="61"/>
      <c r="Q288" s="61"/>
      <c r="R288" s="61"/>
      <c r="S288" s="61"/>
      <c r="T288" s="61"/>
      <c r="U288" s="61"/>
      <c r="V288" s="61"/>
      <c r="W288" s="61"/>
    </row>
    <row r="289" ht="15.75" customHeight="1">
      <c r="A289" s="31" t="s">
        <v>901</v>
      </c>
      <c r="B289" s="58" t="s">
        <v>161</v>
      </c>
      <c r="C289" s="59" t="s">
        <v>899</v>
      </c>
      <c r="D289" s="59" t="s">
        <v>900</v>
      </c>
      <c r="E289" s="59" t="s">
        <v>462</v>
      </c>
      <c r="F289" s="60">
        <v>0.6</v>
      </c>
      <c r="G289" s="61"/>
      <c r="H289" s="61"/>
      <c r="I289" s="61"/>
      <c r="J289" s="61"/>
      <c r="K289" s="61"/>
      <c r="L289" s="61"/>
      <c r="M289" s="61"/>
      <c r="N289" s="61"/>
      <c r="O289" s="61"/>
      <c r="P289" s="61"/>
      <c r="Q289" s="61"/>
      <c r="R289" s="61"/>
      <c r="S289" s="61"/>
      <c r="T289" s="61"/>
      <c r="U289" s="61"/>
      <c r="V289" s="61"/>
      <c r="W289" s="61"/>
    </row>
    <row r="290" ht="15.75" customHeight="1">
      <c r="A290" s="31" t="s">
        <v>902</v>
      </c>
      <c r="B290" s="58" t="s">
        <v>161</v>
      </c>
      <c r="C290" s="59" t="s">
        <v>903</v>
      </c>
      <c r="D290" s="59" t="s">
        <v>904</v>
      </c>
      <c r="E290" s="59" t="s">
        <v>456</v>
      </c>
      <c r="F290" s="60">
        <v>0.4</v>
      </c>
      <c r="G290" s="61"/>
      <c r="H290" s="61"/>
      <c r="I290" s="61"/>
      <c r="J290" s="61"/>
      <c r="K290" s="61"/>
      <c r="L290" s="61"/>
      <c r="M290" s="61"/>
      <c r="N290" s="61"/>
      <c r="O290" s="61"/>
      <c r="P290" s="61"/>
      <c r="Q290" s="61"/>
      <c r="R290" s="61"/>
      <c r="S290" s="61"/>
      <c r="T290" s="61"/>
      <c r="U290" s="61"/>
      <c r="V290" s="61"/>
      <c r="W290" s="61"/>
    </row>
    <row r="291" ht="15.75" customHeight="1">
      <c r="A291" s="31" t="s">
        <v>905</v>
      </c>
      <c r="B291" s="58" t="s">
        <v>161</v>
      </c>
      <c r="C291" s="59" t="s">
        <v>903</v>
      </c>
      <c r="D291" s="59" t="s">
        <v>904</v>
      </c>
      <c r="E291" s="59" t="s">
        <v>468</v>
      </c>
      <c r="F291" s="60">
        <v>0.5</v>
      </c>
      <c r="G291" s="61"/>
      <c r="H291" s="61"/>
      <c r="I291" s="61"/>
      <c r="J291" s="61"/>
      <c r="K291" s="61"/>
      <c r="L291" s="61"/>
      <c r="M291" s="61"/>
      <c r="N291" s="61"/>
      <c r="O291" s="61"/>
      <c r="P291" s="61"/>
      <c r="Q291" s="61"/>
      <c r="R291" s="61"/>
      <c r="S291" s="61"/>
      <c r="T291" s="61"/>
      <c r="U291" s="61"/>
      <c r="V291" s="61"/>
      <c r="W291" s="61"/>
    </row>
    <row r="292" ht="15.75" customHeight="1">
      <c r="A292" s="31" t="s">
        <v>906</v>
      </c>
      <c r="B292" s="58" t="s">
        <v>161</v>
      </c>
      <c r="C292" s="59" t="s">
        <v>903</v>
      </c>
      <c r="D292" s="59" t="s">
        <v>904</v>
      </c>
      <c r="E292" s="62" t="s">
        <v>458</v>
      </c>
      <c r="F292" s="63">
        <v>0.3</v>
      </c>
      <c r="G292" s="61"/>
      <c r="H292" s="61"/>
      <c r="I292" s="61"/>
      <c r="J292" s="61"/>
      <c r="K292" s="61"/>
      <c r="L292" s="61"/>
      <c r="M292" s="61"/>
      <c r="N292" s="61"/>
      <c r="O292" s="61"/>
      <c r="P292" s="61"/>
      <c r="Q292" s="61"/>
      <c r="R292" s="61"/>
      <c r="S292" s="61"/>
      <c r="T292" s="61"/>
      <c r="U292" s="61"/>
      <c r="V292" s="61"/>
      <c r="W292" s="61"/>
    </row>
    <row r="293" ht="15.75" customHeight="1">
      <c r="A293" s="31" t="s">
        <v>907</v>
      </c>
      <c r="B293" s="58" t="s">
        <v>161</v>
      </c>
      <c r="C293" s="59" t="s">
        <v>908</v>
      </c>
      <c r="D293" s="59" t="s">
        <v>909</v>
      </c>
      <c r="E293" s="59" t="s">
        <v>442</v>
      </c>
      <c r="F293" s="60">
        <v>0.4</v>
      </c>
      <c r="G293" s="61"/>
      <c r="H293" s="61"/>
      <c r="I293" s="61"/>
      <c r="J293" s="61"/>
      <c r="K293" s="61"/>
      <c r="L293" s="61"/>
      <c r="M293" s="61"/>
      <c r="N293" s="61"/>
      <c r="O293" s="61"/>
      <c r="P293" s="61"/>
      <c r="Q293" s="61"/>
      <c r="R293" s="61"/>
      <c r="S293" s="61"/>
      <c r="T293" s="61"/>
      <c r="U293" s="61"/>
      <c r="V293" s="61"/>
      <c r="W293" s="61"/>
    </row>
    <row r="294" ht="15.75" customHeight="1">
      <c r="A294" s="31" t="s">
        <v>910</v>
      </c>
      <c r="B294" s="58" t="s">
        <v>161</v>
      </c>
      <c r="C294" s="59" t="s">
        <v>908</v>
      </c>
      <c r="D294" s="59" t="s">
        <v>909</v>
      </c>
      <c r="E294" s="59" t="s">
        <v>446</v>
      </c>
      <c r="F294" s="60">
        <v>0.5</v>
      </c>
      <c r="G294" s="61"/>
      <c r="H294" s="61"/>
      <c r="I294" s="61"/>
      <c r="J294" s="61"/>
      <c r="K294" s="61"/>
      <c r="L294" s="61"/>
      <c r="M294" s="61"/>
      <c r="N294" s="61"/>
      <c r="O294" s="61"/>
      <c r="P294" s="61"/>
      <c r="Q294" s="61"/>
      <c r="R294" s="61"/>
      <c r="S294" s="61"/>
      <c r="T294" s="61"/>
      <c r="U294" s="61"/>
      <c r="V294" s="61"/>
      <c r="W294" s="61"/>
    </row>
    <row r="295" ht="15.75" customHeight="1">
      <c r="A295" s="31" t="s">
        <v>911</v>
      </c>
      <c r="B295" s="58" t="s">
        <v>161</v>
      </c>
      <c r="C295" s="59" t="s">
        <v>908</v>
      </c>
      <c r="D295" s="59" t="s">
        <v>909</v>
      </c>
      <c r="E295" s="59" t="s">
        <v>464</v>
      </c>
      <c r="F295" s="60">
        <v>0.3</v>
      </c>
      <c r="G295" s="61"/>
      <c r="H295" s="61"/>
      <c r="I295" s="61"/>
      <c r="J295" s="61"/>
      <c r="K295" s="61"/>
      <c r="L295" s="61"/>
      <c r="M295" s="61"/>
      <c r="N295" s="61"/>
      <c r="O295" s="61"/>
      <c r="P295" s="61"/>
      <c r="Q295" s="61"/>
      <c r="R295" s="61"/>
      <c r="S295" s="61"/>
      <c r="T295" s="61"/>
      <c r="U295" s="61"/>
      <c r="V295" s="61"/>
      <c r="W295" s="61"/>
    </row>
    <row r="296" ht="15.75" customHeight="1">
      <c r="A296" s="31" t="s">
        <v>912</v>
      </c>
      <c r="B296" s="58" t="s">
        <v>165</v>
      </c>
      <c r="C296" s="59" t="s">
        <v>885</v>
      </c>
      <c r="D296" s="59" t="s">
        <v>886</v>
      </c>
      <c r="E296" s="59" t="s">
        <v>444</v>
      </c>
      <c r="F296" s="60">
        <v>0.2</v>
      </c>
      <c r="G296" s="61"/>
      <c r="H296" s="61"/>
      <c r="I296" s="61"/>
      <c r="J296" s="61"/>
      <c r="K296" s="61"/>
      <c r="L296" s="61"/>
      <c r="M296" s="61"/>
      <c r="N296" s="61"/>
      <c r="O296" s="61"/>
      <c r="P296" s="61"/>
      <c r="Q296" s="61"/>
      <c r="R296" s="61"/>
      <c r="S296" s="61"/>
      <c r="T296" s="61"/>
      <c r="U296" s="61"/>
      <c r="V296" s="61"/>
      <c r="W296" s="61"/>
    </row>
    <row r="297" ht="15.75" customHeight="1">
      <c r="A297" s="31" t="s">
        <v>913</v>
      </c>
      <c r="B297" s="58" t="s">
        <v>165</v>
      </c>
      <c r="C297" s="59" t="s">
        <v>885</v>
      </c>
      <c r="D297" s="59" t="s">
        <v>886</v>
      </c>
      <c r="E297" s="59" t="s">
        <v>452</v>
      </c>
      <c r="F297" s="60">
        <v>0.4</v>
      </c>
      <c r="G297" s="61"/>
      <c r="H297" s="61"/>
      <c r="I297" s="61"/>
      <c r="J297" s="61"/>
      <c r="K297" s="61"/>
      <c r="L297" s="61"/>
      <c r="M297" s="61"/>
      <c r="N297" s="61"/>
      <c r="O297" s="61"/>
      <c r="P297" s="61"/>
      <c r="Q297" s="61"/>
      <c r="R297" s="61"/>
      <c r="S297" s="61"/>
      <c r="T297" s="61"/>
      <c r="U297" s="61"/>
      <c r="V297" s="61"/>
      <c r="W297" s="61"/>
    </row>
    <row r="298" ht="15.75" customHeight="1">
      <c r="A298" s="31" t="s">
        <v>914</v>
      </c>
      <c r="B298" s="58" t="s">
        <v>165</v>
      </c>
      <c r="C298" s="59" t="s">
        <v>889</v>
      </c>
      <c r="D298" s="59" t="s">
        <v>890</v>
      </c>
      <c r="E298" s="59" t="s">
        <v>442</v>
      </c>
      <c r="F298" s="60">
        <v>0.2</v>
      </c>
      <c r="G298" s="68"/>
      <c r="H298" s="68"/>
      <c r="I298" s="68"/>
      <c r="J298" s="68"/>
      <c r="K298" s="68"/>
      <c r="L298" s="68"/>
      <c r="M298" s="68"/>
      <c r="N298" s="68"/>
      <c r="O298" s="68"/>
      <c r="P298" s="68"/>
      <c r="Q298" s="68"/>
      <c r="R298" s="68"/>
      <c r="S298" s="68"/>
      <c r="T298" s="68"/>
      <c r="U298" s="68"/>
      <c r="V298" s="68"/>
      <c r="W298" s="68"/>
    </row>
    <row r="299" ht="15.75" customHeight="1">
      <c r="A299" s="31" t="s">
        <v>915</v>
      </c>
      <c r="B299" s="58" t="s">
        <v>165</v>
      </c>
      <c r="C299" s="59" t="s">
        <v>889</v>
      </c>
      <c r="D299" s="59" t="s">
        <v>890</v>
      </c>
      <c r="E299" s="59" t="s">
        <v>454</v>
      </c>
      <c r="F299" s="60">
        <v>0.6</v>
      </c>
      <c r="G299" s="68"/>
      <c r="H299" s="68"/>
      <c r="I299" s="68"/>
      <c r="J299" s="68"/>
      <c r="K299" s="68"/>
      <c r="L299" s="68"/>
      <c r="M299" s="68"/>
      <c r="N299" s="68"/>
      <c r="O299" s="68"/>
      <c r="P299" s="68"/>
      <c r="Q299" s="68"/>
      <c r="R299" s="68"/>
      <c r="S299" s="68"/>
      <c r="T299" s="68"/>
      <c r="U299" s="68"/>
      <c r="V299" s="68"/>
      <c r="W299" s="68"/>
    </row>
    <row r="300" ht="15.75" customHeight="1">
      <c r="A300" s="31" t="s">
        <v>916</v>
      </c>
      <c r="B300" s="58" t="s">
        <v>165</v>
      </c>
      <c r="C300" s="59" t="s">
        <v>893</v>
      </c>
      <c r="D300" s="59" t="s">
        <v>894</v>
      </c>
      <c r="E300" s="59" t="s">
        <v>444</v>
      </c>
      <c r="F300" s="60">
        <v>0.4</v>
      </c>
      <c r="G300" s="68"/>
      <c r="H300" s="68"/>
      <c r="I300" s="68"/>
      <c r="J300" s="68"/>
      <c r="K300" s="68"/>
      <c r="L300" s="68"/>
      <c r="M300" s="68"/>
      <c r="N300" s="68"/>
      <c r="O300" s="68"/>
      <c r="P300" s="68"/>
      <c r="Q300" s="68"/>
      <c r="R300" s="68"/>
      <c r="S300" s="68"/>
      <c r="T300" s="68"/>
      <c r="U300" s="68"/>
      <c r="V300" s="68"/>
      <c r="W300" s="68"/>
    </row>
    <row r="301" ht="15.75" customHeight="1">
      <c r="A301" s="31" t="s">
        <v>917</v>
      </c>
      <c r="B301" s="58" t="s">
        <v>165</v>
      </c>
      <c r="C301" s="59" t="s">
        <v>893</v>
      </c>
      <c r="D301" s="59" t="s">
        <v>894</v>
      </c>
      <c r="E301" s="59" t="s">
        <v>448</v>
      </c>
      <c r="F301" s="60">
        <v>0.2</v>
      </c>
      <c r="G301" s="68"/>
      <c r="H301" s="68"/>
      <c r="I301" s="68"/>
      <c r="J301" s="68"/>
      <c r="K301" s="68"/>
      <c r="L301" s="68"/>
      <c r="M301" s="68"/>
      <c r="N301" s="68"/>
      <c r="O301" s="68"/>
      <c r="P301" s="68"/>
      <c r="Q301" s="68"/>
      <c r="R301" s="68"/>
      <c r="S301" s="68"/>
      <c r="T301" s="68"/>
      <c r="U301" s="68"/>
      <c r="V301" s="68"/>
      <c r="W301" s="68"/>
    </row>
    <row r="302" ht="15.75" customHeight="1">
      <c r="A302" s="31" t="s">
        <v>918</v>
      </c>
      <c r="B302" s="58" t="s">
        <v>165</v>
      </c>
      <c r="C302" s="59" t="s">
        <v>893</v>
      </c>
      <c r="D302" s="59" t="s">
        <v>894</v>
      </c>
      <c r="E302" s="59" t="s">
        <v>450</v>
      </c>
      <c r="F302" s="60">
        <v>0.3</v>
      </c>
      <c r="G302" s="68"/>
      <c r="H302" s="68"/>
      <c r="I302" s="68"/>
      <c r="J302" s="68"/>
      <c r="K302" s="68"/>
      <c r="L302" s="68"/>
      <c r="M302" s="68"/>
      <c r="N302" s="68"/>
      <c r="O302" s="68"/>
      <c r="P302" s="68"/>
      <c r="Q302" s="68"/>
      <c r="R302" s="68"/>
      <c r="S302" s="68"/>
      <c r="T302" s="68"/>
      <c r="U302" s="68"/>
      <c r="V302" s="68"/>
      <c r="W302" s="68"/>
    </row>
    <row r="303" ht="15.75" customHeight="1">
      <c r="A303" s="31" t="s">
        <v>918</v>
      </c>
      <c r="B303" s="58" t="s">
        <v>165</v>
      </c>
      <c r="C303" s="59" t="s">
        <v>893</v>
      </c>
      <c r="D303" s="59" t="s">
        <v>894</v>
      </c>
      <c r="E303" s="62" t="s">
        <v>466</v>
      </c>
      <c r="F303" s="60">
        <v>0.3</v>
      </c>
      <c r="G303" s="68"/>
      <c r="H303" s="68"/>
      <c r="I303" s="68"/>
      <c r="J303" s="68"/>
      <c r="K303" s="68"/>
      <c r="L303" s="68"/>
      <c r="M303" s="68"/>
      <c r="N303" s="68"/>
      <c r="O303" s="68"/>
      <c r="P303" s="68"/>
      <c r="Q303" s="68"/>
      <c r="R303" s="68"/>
      <c r="S303" s="68"/>
      <c r="T303" s="68"/>
      <c r="U303" s="68"/>
      <c r="V303" s="68"/>
      <c r="W303" s="68"/>
    </row>
    <row r="304" ht="15.75" customHeight="1">
      <c r="A304" s="31" t="s">
        <v>919</v>
      </c>
      <c r="B304" s="58" t="s">
        <v>165</v>
      </c>
      <c r="C304" s="59" t="s">
        <v>899</v>
      </c>
      <c r="D304" s="59" t="s">
        <v>900</v>
      </c>
      <c r="E304" s="62" t="s">
        <v>466</v>
      </c>
      <c r="F304" s="63">
        <v>0.35</v>
      </c>
      <c r="G304" s="68"/>
      <c r="H304" s="68"/>
      <c r="I304" s="68"/>
      <c r="J304" s="68"/>
      <c r="K304" s="68"/>
      <c r="L304" s="68"/>
      <c r="M304" s="68"/>
      <c r="N304" s="68"/>
      <c r="O304" s="68"/>
      <c r="P304" s="68"/>
      <c r="Q304" s="68"/>
      <c r="R304" s="68"/>
      <c r="S304" s="68"/>
      <c r="T304" s="68"/>
      <c r="U304" s="68"/>
      <c r="V304" s="68"/>
      <c r="W304" s="68"/>
    </row>
    <row r="305" ht="15.75" customHeight="1">
      <c r="A305" s="31" t="s">
        <v>919</v>
      </c>
      <c r="B305" s="58" t="s">
        <v>165</v>
      </c>
      <c r="C305" s="59" t="s">
        <v>899</v>
      </c>
      <c r="D305" s="59" t="s">
        <v>900</v>
      </c>
      <c r="E305" s="59" t="s">
        <v>442</v>
      </c>
      <c r="F305" s="60">
        <v>0.2</v>
      </c>
      <c r="G305" s="68"/>
      <c r="H305" s="68"/>
      <c r="I305" s="68"/>
      <c r="J305" s="68"/>
      <c r="K305" s="68"/>
      <c r="L305" s="68"/>
      <c r="M305" s="68"/>
      <c r="N305" s="68"/>
      <c r="O305" s="68"/>
      <c r="P305" s="68"/>
      <c r="Q305" s="68"/>
      <c r="R305" s="68"/>
      <c r="S305" s="68"/>
      <c r="T305" s="68"/>
      <c r="U305" s="68"/>
      <c r="V305" s="68"/>
      <c r="W305" s="68"/>
    </row>
    <row r="306" ht="15.75" customHeight="1">
      <c r="A306" s="31" t="s">
        <v>920</v>
      </c>
      <c r="B306" s="58" t="s">
        <v>165</v>
      </c>
      <c r="C306" s="59" t="s">
        <v>899</v>
      </c>
      <c r="D306" s="59" t="s">
        <v>900</v>
      </c>
      <c r="E306" s="59" t="s">
        <v>462</v>
      </c>
      <c r="F306" s="63">
        <v>0.5</v>
      </c>
      <c r="G306" s="68"/>
      <c r="H306" s="68"/>
      <c r="I306" s="68"/>
      <c r="J306" s="68"/>
      <c r="K306" s="68"/>
      <c r="L306" s="68"/>
      <c r="M306" s="68"/>
      <c r="N306" s="68"/>
      <c r="O306" s="68"/>
      <c r="P306" s="68"/>
      <c r="Q306" s="68"/>
      <c r="R306" s="68"/>
      <c r="S306" s="68"/>
      <c r="T306" s="68"/>
      <c r="U306" s="68"/>
      <c r="V306" s="68"/>
      <c r="W306" s="68"/>
    </row>
    <row r="307" ht="15.75" customHeight="1">
      <c r="A307" s="31" t="s">
        <v>921</v>
      </c>
      <c r="B307" s="58" t="s">
        <v>165</v>
      </c>
      <c r="C307" s="59" t="s">
        <v>903</v>
      </c>
      <c r="D307" s="59" t="s">
        <v>904</v>
      </c>
      <c r="E307" s="59" t="s">
        <v>456</v>
      </c>
      <c r="F307" s="60">
        <v>0.2</v>
      </c>
      <c r="G307" s="68"/>
      <c r="H307" s="68"/>
      <c r="I307" s="68"/>
      <c r="J307" s="68"/>
      <c r="K307" s="68"/>
      <c r="L307" s="68"/>
      <c r="M307" s="68"/>
      <c r="N307" s="68"/>
      <c r="O307" s="68"/>
      <c r="P307" s="68"/>
      <c r="Q307" s="68"/>
      <c r="R307" s="68"/>
      <c r="S307" s="68"/>
      <c r="T307" s="68"/>
      <c r="U307" s="68"/>
      <c r="V307" s="68"/>
      <c r="W307" s="68"/>
    </row>
    <row r="308" ht="15.75" customHeight="1">
      <c r="A308" s="31" t="s">
        <v>922</v>
      </c>
      <c r="B308" s="58" t="s">
        <v>165</v>
      </c>
      <c r="C308" s="59" t="s">
        <v>903</v>
      </c>
      <c r="D308" s="59" t="s">
        <v>904</v>
      </c>
      <c r="E308" s="59" t="s">
        <v>468</v>
      </c>
      <c r="F308" s="60">
        <v>0.3</v>
      </c>
      <c r="G308" s="68"/>
      <c r="H308" s="68"/>
      <c r="I308" s="68"/>
      <c r="J308" s="68"/>
      <c r="K308" s="68"/>
      <c r="L308" s="68"/>
      <c r="M308" s="68"/>
      <c r="N308" s="68"/>
      <c r="O308" s="68"/>
      <c r="P308" s="68"/>
      <c r="Q308" s="68"/>
      <c r="R308" s="68"/>
      <c r="S308" s="68"/>
      <c r="T308" s="68"/>
      <c r="U308" s="68"/>
      <c r="V308" s="68"/>
      <c r="W308" s="68"/>
    </row>
    <row r="309" ht="15.75" customHeight="1">
      <c r="A309" s="31" t="s">
        <v>923</v>
      </c>
      <c r="B309" s="58" t="s">
        <v>165</v>
      </c>
      <c r="C309" s="59" t="s">
        <v>908</v>
      </c>
      <c r="D309" s="59" t="s">
        <v>909</v>
      </c>
      <c r="E309" s="59" t="s">
        <v>442</v>
      </c>
      <c r="F309" s="60">
        <v>0.2</v>
      </c>
      <c r="G309" s="68"/>
      <c r="H309" s="68"/>
      <c r="I309" s="68"/>
      <c r="J309" s="68"/>
      <c r="K309" s="68"/>
      <c r="L309" s="68"/>
      <c r="M309" s="68"/>
      <c r="N309" s="68"/>
      <c r="O309" s="68"/>
      <c r="P309" s="68"/>
      <c r="Q309" s="68"/>
      <c r="R309" s="68"/>
      <c r="S309" s="68"/>
      <c r="T309" s="68"/>
      <c r="U309" s="68"/>
      <c r="V309" s="68"/>
      <c r="W309" s="68"/>
    </row>
    <row r="310" ht="15.75" customHeight="1">
      <c r="A310" s="31" t="s">
        <v>924</v>
      </c>
      <c r="B310" s="58" t="s">
        <v>165</v>
      </c>
      <c r="C310" s="59" t="s">
        <v>908</v>
      </c>
      <c r="D310" s="59" t="s">
        <v>909</v>
      </c>
      <c r="E310" s="62" t="s">
        <v>464</v>
      </c>
      <c r="F310" s="63">
        <v>0.3</v>
      </c>
      <c r="G310" s="68"/>
      <c r="H310" s="68"/>
      <c r="I310" s="68"/>
      <c r="J310" s="68"/>
      <c r="K310" s="68"/>
      <c r="L310" s="68"/>
      <c r="M310" s="68"/>
      <c r="N310" s="68"/>
      <c r="O310" s="68"/>
      <c r="P310" s="68"/>
      <c r="Q310" s="68"/>
      <c r="R310" s="68"/>
      <c r="S310" s="68"/>
      <c r="T310" s="68"/>
      <c r="U310" s="68"/>
      <c r="V310" s="68"/>
      <c r="W310" s="68"/>
    </row>
    <row r="311" ht="15.75" customHeight="1">
      <c r="A311" s="31" t="s">
        <v>925</v>
      </c>
      <c r="B311" s="58" t="s">
        <v>165</v>
      </c>
      <c r="C311" s="59" t="s">
        <v>908</v>
      </c>
      <c r="D311" s="59" t="s">
        <v>909</v>
      </c>
      <c r="E311" s="59" t="s">
        <v>446</v>
      </c>
      <c r="F311" s="60">
        <v>0.3</v>
      </c>
      <c r="G311" s="68"/>
      <c r="H311" s="68"/>
      <c r="I311" s="68"/>
      <c r="J311" s="68"/>
      <c r="K311" s="68"/>
      <c r="L311" s="68"/>
      <c r="M311" s="68"/>
      <c r="N311" s="68"/>
      <c r="O311" s="68"/>
      <c r="P311" s="68"/>
      <c r="Q311" s="68"/>
      <c r="R311" s="68"/>
      <c r="S311" s="68"/>
      <c r="T311" s="68"/>
      <c r="U311" s="68"/>
      <c r="V311" s="68"/>
      <c r="W311" s="68"/>
    </row>
  </sheetData>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3.38"/>
    <col customWidth="1" min="2" max="2" width="7.75"/>
    <col customWidth="1" min="4" max="4" width="24.88"/>
  </cols>
  <sheetData>
    <row r="1" ht="15.75" customHeight="1">
      <c r="A1" s="69" t="s">
        <v>926</v>
      </c>
      <c r="B1" s="69" t="s">
        <v>927</v>
      </c>
      <c r="C1" s="70" t="s">
        <v>928</v>
      </c>
      <c r="D1" s="69" t="s">
        <v>403</v>
      </c>
      <c r="E1" s="70" t="s">
        <v>929</v>
      </c>
      <c r="F1" s="69"/>
      <c r="G1" s="69"/>
      <c r="H1" s="69"/>
      <c r="I1" s="69"/>
      <c r="J1" s="69"/>
      <c r="K1" s="69"/>
      <c r="L1" s="69"/>
      <c r="M1" s="69"/>
      <c r="N1" s="69"/>
      <c r="O1" s="69"/>
      <c r="P1" s="69"/>
      <c r="Q1" s="69"/>
      <c r="R1" s="69"/>
      <c r="S1" s="69"/>
      <c r="T1" s="69"/>
      <c r="U1" s="69"/>
      <c r="V1" s="69"/>
      <c r="W1" s="69"/>
      <c r="X1" s="69"/>
      <c r="Y1" s="4"/>
      <c r="Z1" s="4"/>
    </row>
    <row r="2" ht="27.75" customHeight="1">
      <c r="A2" s="71" t="s">
        <v>133</v>
      </c>
      <c r="B2" s="71" t="s">
        <v>930</v>
      </c>
      <c r="C2" s="72">
        <v>0.75</v>
      </c>
      <c r="D2" s="71" t="s">
        <v>82</v>
      </c>
      <c r="E2" s="72">
        <v>0.75</v>
      </c>
      <c r="F2" s="71"/>
      <c r="G2" s="71"/>
      <c r="H2" s="71"/>
      <c r="I2" s="71"/>
      <c r="J2" s="71"/>
      <c r="K2" s="71"/>
      <c r="L2" s="71"/>
      <c r="M2" s="71"/>
      <c r="N2" s="71"/>
      <c r="O2" s="71"/>
      <c r="P2" s="71"/>
      <c r="Q2" s="71"/>
      <c r="R2" s="71"/>
      <c r="S2" s="71"/>
      <c r="T2" s="71"/>
      <c r="U2" s="71"/>
      <c r="V2" s="71"/>
      <c r="W2" s="71"/>
      <c r="X2" s="71"/>
      <c r="Y2" s="4"/>
      <c r="Z2" s="4"/>
    </row>
    <row r="3" ht="26.25" customHeight="1">
      <c r="A3" s="71" t="s">
        <v>133</v>
      </c>
      <c r="B3" s="71" t="s">
        <v>930</v>
      </c>
      <c r="C3" s="72">
        <v>0.75</v>
      </c>
      <c r="D3" s="71" t="s">
        <v>31</v>
      </c>
      <c r="E3" s="72">
        <v>0.8</v>
      </c>
      <c r="F3" s="71"/>
      <c r="G3" s="71"/>
      <c r="H3" s="71"/>
      <c r="I3" s="71"/>
      <c r="J3" s="71"/>
      <c r="K3" s="71"/>
      <c r="L3" s="71"/>
      <c r="M3" s="71"/>
      <c r="N3" s="71"/>
      <c r="O3" s="71"/>
      <c r="P3" s="71"/>
      <c r="Q3" s="71"/>
      <c r="R3" s="71"/>
      <c r="S3" s="71"/>
      <c r="T3" s="71"/>
      <c r="U3" s="71"/>
      <c r="V3" s="71"/>
      <c r="W3" s="71"/>
      <c r="X3" s="71"/>
      <c r="Y3" s="4"/>
      <c r="Z3" s="4"/>
    </row>
    <row r="4" ht="26.25" customHeight="1">
      <c r="A4" s="71" t="s">
        <v>133</v>
      </c>
      <c r="B4" s="71" t="s">
        <v>930</v>
      </c>
      <c r="C4" s="72">
        <v>0.75</v>
      </c>
      <c r="D4" s="71" t="s">
        <v>23</v>
      </c>
      <c r="E4" s="72">
        <v>0.9</v>
      </c>
      <c r="F4" s="71"/>
      <c r="G4" s="71"/>
      <c r="H4" s="71"/>
      <c r="I4" s="71"/>
      <c r="J4" s="71"/>
      <c r="K4" s="71"/>
      <c r="L4" s="71"/>
      <c r="M4" s="71"/>
      <c r="N4" s="71"/>
      <c r="O4" s="71"/>
      <c r="P4" s="71"/>
      <c r="Q4" s="71"/>
      <c r="R4" s="71"/>
      <c r="S4" s="71"/>
      <c r="T4" s="71"/>
      <c r="U4" s="71"/>
      <c r="V4" s="71"/>
      <c r="W4" s="71"/>
      <c r="X4" s="71"/>
      <c r="Y4" s="4"/>
      <c r="Z4" s="4"/>
    </row>
    <row r="5" ht="26.25" customHeight="1">
      <c r="A5" s="71" t="s">
        <v>133</v>
      </c>
      <c r="B5" s="71" t="s">
        <v>930</v>
      </c>
      <c r="C5" s="72">
        <v>0.75</v>
      </c>
      <c r="D5" s="71" t="s">
        <v>50</v>
      </c>
      <c r="E5" s="72">
        <v>0.9</v>
      </c>
      <c r="F5" s="71"/>
      <c r="G5" s="71"/>
      <c r="H5" s="71"/>
      <c r="I5" s="71"/>
      <c r="J5" s="71"/>
      <c r="K5" s="71"/>
      <c r="L5" s="71"/>
      <c r="M5" s="71"/>
      <c r="N5" s="71"/>
      <c r="O5" s="71"/>
      <c r="P5" s="71"/>
      <c r="Q5" s="71"/>
      <c r="R5" s="71"/>
      <c r="S5" s="71"/>
      <c r="T5" s="71"/>
      <c r="U5" s="71"/>
      <c r="V5" s="71"/>
      <c r="W5" s="71"/>
      <c r="X5" s="71"/>
      <c r="Y5" s="4"/>
      <c r="Z5" s="4"/>
    </row>
    <row r="6" ht="15.75" customHeight="1">
      <c r="A6" s="71" t="s">
        <v>26</v>
      </c>
      <c r="B6" s="71" t="s">
        <v>930</v>
      </c>
      <c r="C6" s="72">
        <v>0.6</v>
      </c>
      <c r="D6" s="71" t="s">
        <v>50</v>
      </c>
      <c r="E6" s="72">
        <v>0.8</v>
      </c>
      <c r="F6" s="71"/>
      <c r="G6" s="71"/>
      <c r="H6" s="71"/>
      <c r="I6" s="71"/>
      <c r="J6" s="71"/>
      <c r="K6" s="71"/>
      <c r="L6" s="71"/>
      <c r="M6" s="71"/>
      <c r="N6" s="71"/>
      <c r="O6" s="71"/>
      <c r="P6" s="71"/>
      <c r="Q6" s="71"/>
      <c r="R6" s="71"/>
      <c r="S6" s="71"/>
      <c r="T6" s="71"/>
      <c r="U6" s="71"/>
      <c r="V6" s="71"/>
      <c r="W6" s="71"/>
      <c r="X6" s="71"/>
      <c r="Y6" s="4"/>
      <c r="Z6" s="4"/>
    </row>
    <row r="7" ht="15.75" customHeight="1">
      <c r="A7" s="71" t="s">
        <v>26</v>
      </c>
      <c r="B7" s="71" t="s">
        <v>930</v>
      </c>
      <c r="C7" s="72">
        <v>0.6</v>
      </c>
      <c r="D7" s="71" t="s">
        <v>63</v>
      </c>
      <c r="E7" s="72">
        <v>0.8</v>
      </c>
      <c r="F7" s="71"/>
      <c r="G7" s="71"/>
      <c r="H7" s="71"/>
      <c r="I7" s="71"/>
      <c r="J7" s="71"/>
      <c r="K7" s="71"/>
      <c r="L7" s="71"/>
      <c r="M7" s="71"/>
      <c r="N7" s="71"/>
      <c r="O7" s="71"/>
      <c r="P7" s="71"/>
      <c r="Q7" s="71"/>
      <c r="R7" s="71"/>
      <c r="S7" s="71"/>
      <c r="T7" s="71"/>
      <c r="U7" s="71"/>
      <c r="V7" s="71"/>
      <c r="W7" s="71"/>
      <c r="X7" s="71"/>
      <c r="Y7" s="4"/>
      <c r="Z7" s="4"/>
    </row>
    <row r="8" ht="15.75" customHeight="1">
      <c r="A8" s="71" t="s">
        <v>26</v>
      </c>
      <c r="B8" s="71" t="s">
        <v>930</v>
      </c>
      <c r="C8" s="72">
        <v>0.6</v>
      </c>
      <c r="D8" s="71" t="s">
        <v>57</v>
      </c>
      <c r="E8" s="72">
        <v>0.9</v>
      </c>
      <c r="F8" s="71"/>
      <c r="G8" s="71"/>
      <c r="H8" s="71"/>
      <c r="I8" s="71"/>
      <c r="J8" s="71"/>
      <c r="K8" s="71"/>
      <c r="L8" s="71"/>
      <c r="M8" s="71"/>
      <c r="N8" s="71"/>
      <c r="O8" s="71"/>
      <c r="P8" s="71"/>
      <c r="Q8" s="71"/>
      <c r="R8" s="71"/>
      <c r="S8" s="71"/>
      <c r="T8" s="71"/>
      <c r="U8" s="71"/>
      <c r="V8" s="71"/>
      <c r="W8" s="71"/>
      <c r="X8" s="71"/>
      <c r="Y8" s="4"/>
      <c r="Z8" s="4"/>
    </row>
    <row r="9" ht="15.75" customHeight="1">
      <c r="A9" s="71" t="s">
        <v>26</v>
      </c>
      <c r="B9" s="71" t="s">
        <v>930</v>
      </c>
      <c r="C9" s="72">
        <v>0.6</v>
      </c>
      <c r="D9" s="71" t="s">
        <v>82</v>
      </c>
      <c r="E9" s="72">
        <v>0.85</v>
      </c>
      <c r="F9" s="71"/>
      <c r="G9" s="71"/>
      <c r="H9" s="71"/>
      <c r="I9" s="71"/>
      <c r="J9" s="71"/>
      <c r="K9" s="71"/>
      <c r="L9" s="71"/>
      <c r="M9" s="71"/>
      <c r="N9" s="71"/>
      <c r="O9" s="71"/>
      <c r="P9" s="71"/>
      <c r="Q9" s="71"/>
      <c r="R9" s="71"/>
      <c r="S9" s="71"/>
      <c r="T9" s="71"/>
      <c r="U9" s="71"/>
      <c r="V9" s="71"/>
      <c r="W9" s="71"/>
      <c r="X9" s="71"/>
      <c r="Y9" s="4"/>
      <c r="Z9" s="4"/>
    </row>
    <row r="10" ht="15.75" customHeight="1">
      <c r="A10" s="71" t="s">
        <v>136</v>
      </c>
      <c r="B10" s="71" t="s">
        <v>931</v>
      </c>
      <c r="C10" s="72">
        <v>0.3</v>
      </c>
      <c r="D10" s="71" t="s">
        <v>23</v>
      </c>
      <c r="E10" s="72">
        <v>0.9</v>
      </c>
      <c r="F10" s="71"/>
      <c r="G10" s="71"/>
      <c r="H10" s="71"/>
      <c r="I10" s="71"/>
      <c r="J10" s="71"/>
      <c r="K10" s="71"/>
      <c r="L10" s="71"/>
      <c r="M10" s="71"/>
      <c r="N10" s="71"/>
      <c r="O10" s="71"/>
      <c r="P10" s="71"/>
      <c r="Q10" s="71"/>
      <c r="R10" s="71"/>
      <c r="S10" s="71"/>
      <c r="T10" s="71"/>
      <c r="U10" s="71"/>
      <c r="V10" s="71"/>
      <c r="W10" s="71"/>
      <c r="X10" s="71"/>
      <c r="Y10" s="4"/>
      <c r="Z10" s="4"/>
    </row>
    <row r="11" ht="15.75" customHeight="1">
      <c r="A11" s="71" t="s">
        <v>136</v>
      </c>
      <c r="B11" s="71" t="s">
        <v>931</v>
      </c>
      <c r="C11" s="72">
        <v>0.3</v>
      </c>
      <c r="D11" s="71" t="s">
        <v>50</v>
      </c>
      <c r="E11" s="72">
        <v>0.9</v>
      </c>
      <c r="F11" s="71"/>
      <c r="G11" s="71"/>
      <c r="H11" s="71"/>
      <c r="I11" s="71"/>
      <c r="J11" s="71"/>
      <c r="K11" s="71"/>
      <c r="L11" s="71"/>
      <c r="M11" s="71"/>
      <c r="N11" s="71"/>
      <c r="O11" s="71"/>
      <c r="P11" s="71"/>
      <c r="Q11" s="71"/>
      <c r="R11" s="71"/>
      <c r="S11" s="71"/>
      <c r="T11" s="71"/>
      <c r="U11" s="71"/>
      <c r="V11" s="71"/>
      <c r="W11" s="71"/>
      <c r="X11" s="71"/>
      <c r="Y11" s="4"/>
      <c r="Z11" s="4"/>
    </row>
    <row r="12" ht="15.75" customHeight="1">
      <c r="A12" s="71" t="s">
        <v>136</v>
      </c>
      <c r="B12" s="71" t="s">
        <v>931</v>
      </c>
      <c r="C12" s="72">
        <v>0.3</v>
      </c>
      <c r="D12" s="71" t="s">
        <v>31</v>
      </c>
      <c r="E12" s="72">
        <v>0.9</v>
      </c>
      <c r="F12" s="71"/>
      <c r="G12" s="71"/>
      <c r="H12" s="71"/>
      <c r="I12" s="71"/>
      <c r="J12" s="71"/>
      <c r="K12" s="71"/>
      <c r="L12" s="71"/>
      <c r="M12" s="71"/>
      <c r="N12" s="71"/>
      <c r="O12" s="71"/>
      <c r="P12" s="71"/>
      <c r="Q12" s="71"/>
      <c r="R12" s="71"/>
      <c r="S12" s="71"/>
      <c r="T12" s="71"/>
      <c r="U12" s="71"/>
      <c r="V12" s="71"/>
      <c r="W12" s="71"/>
      <c r="X12" s="71"/>
      <c r="Y12" s="4"/>
      <c r="Z12" s="4"/>
    </row>
    <row r="13" ht="15.75" customHeight="1">
      <c r="A13" s="71" t="s">
        <v>139</v>
      </c>
      <c r="B13" s="71" t="s">
        <v>930</v>
      </c>
      <c r="C13" s="72">
        <v>0.6</v>
      </c>
      <c r="D13" s="71" t="s">
        <v>50</v>
      </c>
      <c r="E13" s="72">
        <v>0.85</v>
      </c>
      <c r="F13" s="71"/>
      <c r="G13" s="71"/>
      <c r="H13" s="71"/>
      <c r="I13" s="71"/>
      <c r="J13" s="71"/>
      <c r="K13" s="71"/>
      <c r="L13" s="71"/>
      <c r="M13" s="71"/>
      <c r="N13" s="71"/>
      <c r="O13" s="71"/>
      <c r="P13" s="71"/>
      <c r="Q13" s="71"/>
      <c r="R13" s="71"/>
      <c r="S13" s="71"/>
      <c r="T13" s="71"/>
      <c r="U13" s="71"/>
      <c r="V13" s="71"/>
      <c r="W13" s="71"/>
      <c r="X13" s="71"/>
      <c r="Y13" s="4"/>
      <c r="Z13" s="4"/>
    </row>
    <row r="14" ht="15.75" customHeight="1">
      <c r="A14" s="71" t="s">
        <v>139</v>
      </c>
      <c r="B14" s="71" t="s">
        <v>930</v>
      </c>
      <c r="C14" s="72">
        <v>0.6</v>
      </c>
      <c r="D14" s="71" t="s">
        <v>23</v>
      </c>
      <c r="E14" s="72">
        <v>0.9</v>
      </c>
      <c r="F14" s="71"/>
      <c r="G14" s="71"/>
      <c r="H14" s="71"/>
      <c r="I14" s="71"/>
      <c r="J14" s="71"/>
      <c r="K14" s="71"/>
      <c r="L14" s="71"/>
      <c r="M14" s="71"/>
      <c r="N14" s="71"/>
      <c r="O14" s="71"/>
      <c r="P14" s="71"/>
      <c r="Q14" s="71"/>
      <c r="R14" s="71"/>
      <c r="S14" s="71"/>
      <c r="T14" s="71"/>
      <c r="U14" s="71"/>
      <c r="V14" s="71"/>
      <c r="W14" s="71"/>
      <c r="X14" s="71"/>
      <c r="Y14" s="4"/>
      <c r="Z14" s="4"/>
    </row>
    <row r="15" ht="15.75" customHeight="1">
      <c r="A15" s="71" t="s">
        <v>139</v>
      </c>
      <c r="B15" s="71" t="s">
        <v>930</v>
      </c>
      <c r="C15" s="72">
        <v>0.6</v>
      </c>
      <c r="D15" s="71" t="s">
        <v>82</v>
      </c>
      <c r="E15" s="72">
        <v>0.9</v>
      </c>
      <c r="F15" s="71"/>
      <c r="G15" s="71"/>
      <c r="H15" s="71"/>
      <c r="I15" s="71"/>
      <c r="J15" s="71"/>
      <c r="K15" s="71"/>
      <c r="L15" s="71"/>
      <c r="M15" s="71"/>
      <c r="N15" s="71"/>
      <c r="O15" s="71"/>
      <c r="P15" s="71"/>
      <c r="Q15" s="71"/>
      <c r="R15" s="71"/>
      <c r="S15" s="71"/>
      <c r="T15" s="71"/>
      <c r="U15" s="71"/>
      <c r="V15" s="71"/>
      <c r="W15" s="71"/>
      <c r="X15" s="71"/>
      <c r="Y15" s="4"/>
      <c r="Z15" s="4"/>
    </row>
    <row r="16" ht="15.75" customHeight="1">
      <c r="A16" s="71" t="s">
        <v>130</v>
      </c>
      <c r="B16" s="71" t="s">
        <v>930</v>
      </c>
      <c r="C16" s="72">
        <v>0.75</v>
      </c>
      <c r="D16" s="71" t="s">
        <v>34</v>
      </c>
      <c r="E16" s="72">
        <v>0.95</v>
      </c>
      <c r="F16" s="71"/>
      <c r="G16" s="71"/>
      <c r="H16" s="71"/>
      <c r="I16" s="71"/>
      <c r="J16" s="71"/>
      <c r="K16" s="71"/>
      <c r="L16" s="71"/>
      <c r="M16" s="71"/>
      <c r="N16" s="71"/>
      <c r="O16" s="71"/>
      <c r="P16" s="71"/>
      <c r="Q16" s="71"/>
      <c r="R16" s="71"/>
      <c r="S16" s="71"/>
      <c r="T16" s="71"/>
      <c r="U16" s="71"/>
      <c r="V16" s="71"/>
      <c r="W16" s="71"/>
      <c r="X16" s="71"/>
      <c r="Y16" s="4"/>
      <c r="Z16" s="4"/>
    </row>
    <row r="17" ht="15.75" customHeight="1">
      <c r="A17" s="71" t="s">
        <v>115</v>
      </c>
      <c r="B17" s="71" t="s">
        <v>930</v>
      </c>
      <c r="C17" s="72">
        <v>0.75</v>
      </c>
      <c r="D17" s="71" t="s">
        <v>63</v>
      </c>
      <c r="E17" s="72">
        <v>0.95</v>
      </c>
      <c r="F17" s="71"/>
      <c r="G17" s="71"/>
      <c r="H17" s="71"/>
      <c r="I17" s="71"/>
      <c r="J17" s="71"/>
      <c r="K17" s="71"/>
      <c r="L17" s="71"/>
      <c r="M17" s="71"/>
      <c r="N17" s="71"/>
      <c r="O17" s="71"/>
      <c r="P17" s="71"/>
      <c r="Q17" s="71"/>
      <c r="R17" s="71"/>
      <c r="S17" s="71"/>
      <c r="T17" s="71"/>
      <c r="U17" s="71"/>
      <c r="V17" s="71"/>
      <c r="W17" s="71"/>
      <c r="X17" s="71"/>
      <c r="Y17" s="4"/>
      <c r="Z17" s="4"/>
    </row>
    <row r="18" ht="15.75" customHeight="1">
      <c r="A18" s="71" t="s">
        <v>115</v>
      </c>
      <c r="B18" s="71" t="s">
        <v>930</v>
      </c>
      <c r="C18" s="72">
        <v>0.75</v>
      </c>
      <c r="D18" s="71" t="s">
        <v>50</v>
      </c>
      <c r="E18" s="72">
        <v>0.95</v>
      </c>
      <c r="F18" s="71"/>
      <c r="G18" s="71"/>
      <c r="H18" s="71"/>
      <c r="I18" s="71"/>
      <c r="J18" s="71"/>
      <c r="K18" s="71"/>
      <c r="L18" s="71"/>
      <c r="M18" s="71"/>
      <c r="N18" s="71"/>
      <c r="O18" s="71"/>
      <c r="P18" s="71"/>
      <c r="Q18" s="71"/>
      <c r="R18" s="71"/>
      <c r="S18" s="71"/>
      <c r="T18" s="71"/>
      <c r="U18" s="71"/>
      <c r="V18" s="71"/>
      <c r="W18" s="71"/>
      <c r="X18" s="71"/>
      <c r="Y18" s="4"/>
      <c r="Z18" s="4"/>
    </row>
    <row r="19" ht="15.75" customHeight="1">
      <c r="A19" s="4" t="s">
        <v>142</v>
      </c>
      <c r="B19" s="71" t="s">
        <v>930</v>
      </c>
      <c r="C19" s="72">
        <v>0.6</v>
      </c>
      <c r="D19" s="71" t="s">
        <v>31</v>
      </c>
      <c r="E19" s="73">
        <v>0.9</v>
      </c>
      <c r="F19" s="4"/>
      <c r="G19" s="4"/>
      <c r="H19" s="4"/>
      <c r="I19" s="4"/>
      <c r="J19" s="4"/>
      <c r="K19" s="4"/>
      <c r="L19" s="4"/>
      <c r="M19" s="4"/>
      <c r="N19" s="4"/>
      <c r="O19" s="4"/>
      <c r="P19" s="4"/>
      <c r="Q19" s="4"/>
      <c r="R19" s="4"/>
      <c r="S19" s="4"/>
      <c r="T19" s="4"/>
      <c r="U19" s="4"/>
      <c r="V19" s="4"/>
      <c r="W19" s="4"/>
      <c r="X19" s="4"/>
      <c r="Y19" s="4"/>
      <c r="Z19" s="4"/>
    </row>
    <row r="20" ht="15.75" customHeight="1">
      <c r="A20" s="4" t="s">
        <v>142</v>
      </c>
      <c r="B20" s="71" t="s">
        <v>930</v>
      </c>
      <c r="C20" s="72">
        <v>0.6</v>
      </c>
      <c r="D20" s="71" t="s">
        <v>50</v>
      </c>
      <c r="E20" s="73">
        <v>0.9</v>
      </c>
      <c r="F20" s="4"/>
      <c r="G20" s="4"/>
      <c r="H20" s="4"/>
      <c r="I20" s="4"/>
      <c r="J20" s="4"/>
      <c r="K20" s="4"/>
      <c r="L20" s="4"/>
      <c r="M20" s="4"/>
      <c r="N20" s="4"/>
      <c r="O20" s="4"/>
      <c r="P20" s="4"/>
      <c r="Q20" s="4"/>
      <c r="R20" s="4"/>
      <c r="S20" s="4"/>
      <c r="T20" s="4"/>
      <c r="U20" s="4"/>
      <c r="V20" s="4"/>
      <c r="W20" s="4"/>
      <c r="X20" s="4"/>
      <c r="Y20" s="4"/>
      <c r="Z20" s="4"/>
    </row>
  </sheetData>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25"/>
    <col customWidth="1" min="2" max="2" width="19.25"/>
    <col customWidth="1" min="3" max="3" width="24.88"/>
    <col customWidth="1" min="4" max="4" width="7.75"/>
    <col customWidth="1" min="5" max="5" width="5.25"/>
    <col customWidth="1" min="6" max="6" width="20.5"/>
  </cols>
  <sheetData>
    <row r="1" ht="15.75" customHeight="1">
      <c r="A1" s="74" t="s">
        <v>439</v>
      </c>
      <c r="B1" s="29" t="s">
        <v>440</v>
      </c>
      <c r="C1" s="29" t="s">
        <v>403</v>
      </c>
      <c r="D1" s="29" t="s">
        <v>927</v>
      </c>
      <c r="E1" s="75" t="s">
        <v>187</v>
      </c>
      <c r="F1" s="76" t="s">
        <v>932</v>
      </c>
      <c r="G1" s="29"/>
      <c r="H1" s="29"/>
      <c r="I1" s="29"/>
      <c r="J1" s="29"/>
      <c r="K1" s="29"/>
      <c r="L1" s="29"/>
      <c r="M1" s="29"/>
      <c r="N1" s="29"/>
      <c r="O1" s="29"/>
      <c r="P1" s="29"/>
      <c r="Q1" s="29"/>
      <c r="R1" s="29"/>
      <c r="S1" s="29"/>
      <c r="T1" s="29"/>
      <c r="U1" s="29"/>
      <c r="V1" s="4"/>
      <c r="W1" s="4"/>
      <c r="X1" s="4"/>
      <c r="Y1" s="4"/>
      <c r="Z1" s="4"/>
    </row>
    <row r="2" ht="15.75" customHeight="1">
      <c r="A2" s="40" t="s">
        <v>445</v>
      </c>
      <c r="B2" s="9" t="s">
        <v>446</v>
      </c>
      <c r="C2" s="9" t="s">
        <v>110</v>
      </c>
      <c r="D2" s="9" t="s">
        <v>930</v>
      </c>
      <c r="E2" s="77">
        <v>0.65</v>
      </c>
      <c r="F2" s="78">
        <v>-1.8</v>
      </c>
      <c r="G2" s="4"/>
      <c r="H2" s="4"/>
      <c r="I2" s="4"/>
      <c r="J2" s="4"/>
      <c r="K2" s="4"/>
      <c r="L2" s="4"/>
      <c r="M2" s="4"/>
      <c r="N2" s="4"/>
      <c r="O2" s="4"/>
      <c r="P2" s="4"/>
      <c r="Q2" s="4"/>
      <c r="R2" s="4"/>
      <c r="S2" s="4"/>
      <c r="T2" s="4"/>
      <c r="U2" s="4"/>
      <c r="V2" s="4"/>
      <c r="W2" s="4"/>
      <c r="X2" s="4"/>
      <c r="Y2" s="4"/>
      <c r="Z2" s="4"/>
    </row>
    <row r="3" ht="15.75" customHeight="1">
      <c r="A3" s="40" t="s">
        <v>447</v>
      </c>
      <c r="B3" s="9" t="s">
        <v>448</v>
      </c>
      <c r="C3" s="9" t="s">
        <v>99</v>
      </c>
      <c r="D3" s="9" t="s">
        <v>930</v>
      </c>
      <c r="E3" s="77">
        <v>0.65</v>
      </c>
      <c r="F3" s="78">
        <v>-0.8</v>
      </c>
      <c r="G3" s="4"/>
      <c r="H3" s="4"/>
      <c r="I3" s="4"/>
      <c r="J3" s="4"/>
      <c r="K3" s="4"/>
      <c r="L3" s="4"/>
      <c r="M3" s="4"/>
      <c r="N3" s="4"/>
      <c r="O3" s="4"/>
      <c r="P3" s="4"/>
      <c r="Q3" s="4"/>
      <c r="R3" s="4"/>
      <c r="S3" s="4"/>
      <c r="T3" s="4"/>
      <c r="U3" s="4"/>
      <c r="V3" s="4"/>
      <c r="W3" s="4"/>
      <c r="X3" s="4"/>
      <c r="Y3" s="4"/>
      <c r="Z3" s="4"/>
    </row>
    <row r="4" ht="15.75" customHeight="1">
      <c r="A4" s="40" t="s">
        <v>449</v>
      </c>
      <c r="B4" s="9" t="s">
        <v>450</v>
      </c>
      <c r="C4" s="9" t="s">
        <v>63</v>
      </c>
      <c r="D4" s="9" t="s">
        <v>930</v>
      </c>
      <c r="E4" s="79">
        <v>0.6</v>
      </c>
      <c r="F4" s="78">
        <v>-1.0</v>
      </c>
      <c r="G4" s="4"/>
      <c r="H4" s="4"/>
      <c r="I4" s="4"/>
      <c r="J4" s="4"/>
      <c r="K4" s="4"/>
      <c r="L4" s="4"/>
      <c r="M4" s="4"/>
      <c r="N4" s="4"/>
      <c r="O4" s="4"/>
      <c r="P4" s="4"/>
      <c r="Q4" s="4"/>
      <c r="R4" s="4"/>
      <c r="S4" s="4"/>
      <c r="T4" s="4"/>
      <c r="U4" s="4"/>
      <c r="V4" s="4"/>
      <c r="W4" s="4"/>
      <c r="X4" s="4"/>
      <c r="Y4" s="4"/>
      <c r="Z4" s="4"/>
    </row>
    <row r="5" ht="15.75" customHeight="1">
      <c r="A5" s="40" t="s">
        <v>449</v>
      </c>
      <c r="B5" s="9" t="s">
        <v>450</v>
      </c>
      <c r="C5" s="9" t="s">
        <v>96</v>
      </c>
      <c r="D5" s="9" t="s">
        <v>930</v>
      </c>
      <c r="E5" s="77">
        <v>0.65</v>
      </c>
      <c r="F5" s="78">
        <v>-0.69</v>
      </c>
      <c r="G5" s="4"/>
      <c r="H5" s="4"/>
      <c r="I5" s="4"/>
      <c r="J5" s="4"/>
      <c r="K5" s="4"/>
      <c r="L5" s="4"/>
      <c r="M5" s="4"/>
      <c r="N5" s="4"/>
      <c r="O5" s="4"/>
      <c r="P5" s="4"/>
      <c r="Q5" s="4"/>
      <c r="R5" s="4"/>
      <c r="S5" s="4"/>
      <c r="T5" s="4"/>
      <c r="U5" s="4"/>
      <c r="V5" s="4"/>
      <c r="W5" s="4"/>
      <c r="X5" s="4"/>
      <c r="Y5" s="4"/>
      <c r="Z5" s="4"/>
    </row>
    <row r="6" ht="15.75" customHeight="1">
      <c r="A6" s="80" t="s">
        <v>451</v>
      </c>
      <c r="B6" s="81" t="s">
        <v>452</v>
      </c>
      <c r="C6" s="81" t="s">
        <v>93</v>
      </c>
      <c r="D6" s="81" t="s">
        <v>930</v>
      </c>
      <c r="E6" s="79">
        <v>0.5</v>
      </c>
      <c r="F6" s="78">
        <v>-1.41</v>
      </c>
      <c r="G6" s="4"/>
      <c r="H6" s="4"/>
      <c r="I6" s="4"/>
      <c r="J6" s="4"/>
      <c r="K6" s="4"/>
      <c r="L6" s="4"/>
      <c r="M6" s="4"/>
      <c r="N6" s="4"/>
      <c r="O6" s="4"/>
      <c r="P6" s="4"/>
      <c r="Q6" s="4"/>
      <c r="R6" s="4"/>
      <c r="S6" s="4"/>
      <c r="T6" s="4"/>
      <c r="U6" s="4"/>
      <c r="V6" s="4"/>
      <c r="W6" s="4"/>
      <c r="X6" s="4"/>
      <c r="Y6" s="4"/>
      <c r="Z6" s="4"/>
    </row>
    <row r="7" ht="15.75" customHeight="1">
      <c r="A7" s="40" t="s">
        <v>453</v>
      </c>
      <c r="B7" s="9" t="s">
        <v>454</v>
      </c>
      <c r="C7" s="9" t="s">
        <v>60</v>
      </c>
      <c r="D7" s="9" t="s">
        <v>930</v>
      </c>
      <c r="E7" s="77">
        <v>0.7</v>
      </c>
      <c r="F7" s="78">
        <v>-2.16</v>
      </c>
      <c r="G7" s="4"/>
      <c r="H7" s="4"/>
      <c r="I7" s="4"/>
      <c r="J7" s="4"/>
      <c r="K7" s="4"/>
      <c r="L7" s="4"/>
      <c r="M7" s="4"/>
      <c r="N7" s="4"/>
      <c r="O7" s="4"/>
      <c r="P7" s="4"/>
      <c r="Q7" s="4"/>
      <c r="R7" s="4"/>
      <c r="S7" s="4"/>
      <c r="T7" s="4"/>
      <c r="U7" s="4"/>
      <c r="V7" s="4"/>
      <c r="W7" s="4"/>
      <c r="X7" s="4"/>
      <c r="Y7" s="4"/>
      <c r="Z7" s="4"/>
    </row>
    <row r="8" ht="15.75" customHeight="1">
      <c r="A8" s="40" t="s">
        <v>455</v>
      </c>
      <c r="B8" s="9" t="s">
        <v>456</v>
      </c>
      <c r="C8" s="9" t="s">
        <v>34</v>
      </c>
      <c r="D8" s="9" t="s">
        <v>930</v>
      </c>
      <c r="E8" s="77">
        <v>0.55</v>
      </c>
      <c r="F8" s="78">
        <v>-2.2</v>
      </c>
      <c r="G8" s="4"/>
      <c r="H8" s="4"/>
      <c r="I8" s="4"/>
      <c r="J8" s="4"/>
      <c r="K8" s="4"/>
      <c r="L8" s="4"/>
      <c r="M8" s="4"/>
      <c r="N8" s="4"/>
      <c r="O8" s="4"/>
      <c r="P8" s="4"/>
      <c r="Q8" s="4"/>
      <c r="R8" s="4"/>
      <c r="S8" s="4"/>
      <c r="T8" s="4"/>
      <c r="U8" s="4"/>
      <c r="V8" s="4"/>
      <c r="W8" s="4"/>
      <c r="X8" s="4"/>
      <c r="Y8" s="4"/>
      <c r="Z8" s="4"/>
    </row>
    <row r="9" ht="15.75" customHeight="1">
      <c r="A9" s="80" t="s">
        <v>457</v>
      </c>
      <c r="B9" s="81" t="s">
        <v>458</v>
      </c>
      <c r="C9" s="82" t="s">
        <v>63</v>
      </c>
      <c r="D9" s="81" t="s">
        <v>930</v>
      </c>
      <c r="E9" s="79">
        <v>0.35</v>
      </c>
      <c r="F9" s="78">
        <v>-0.5</v>
      </c>
      <c r="G9" s="4"/>
      <c r="H9" s="4"/>
      <c r="I9" s="4"/>
      <c r="J9" s="4"/>
      <c r="K9" s="4"/>
      <c r="L9" s="4"/>
      <c r="M9" s="4"/>
      <c r="N9" s="4"/>
      <c r="O9" s="4"/>
      <c r="P9" s="4"/>
      <c r="Q9" s="4"/>
      <c r="R9" s="4"/>
      <c r="S9" s="4"/>
      <c r="T9" s="4"/>
      <c r="U9" s="4"/>
      <c r="V9" s="4"/>
      <c r="W9" s="4"/>
      <c r="X9" s="4"/>
      <c r="Y9" s="4"/>
      <c r="Z9" s="4"/>
    </row>
    <row r="10" ht="15.75" customHeight="1">
      <c r="A10" s="80" t="s">
        <v>457</v>
      </c>
      <c r="B10" s="81" t="s">
        <v>458</v>
      </c>
      <c r="C10" s="82" t="s">
        <v>85</v>
      </c>
      <c r="D10" s="81" t="s">
        <v>930</v>
      </c>
      <c r="E10" s="79">
        <v>0.55</v>
      </c>
      <c r="F10" s="78">
        <v>-1.5</v>
      </c>
      <c r="G10" s="4"/>
      <c r="H10" s="4"/>
      <c r="I10" s="4"/>
      <c r="J10" s="4"/>
      <c r="K10" s="4"/>
      <c r="L10" s="4"/>
      <c r="M10" s="4"/>
      <c r="N10" s="4"/>
      <c r="O10" s="4"/>
      <c r="P10" s="4"/>
      <c r="Q10" s="4"/>
      <c r="R10" s="4"/>
      <c r="S10" s="4"/>
      <c r="T10" s="4"/>
      <c r="U10" s="4"/>
      <c r="V10" s="4"/>
      <c r="W10" s="4"/>
      <c r="X10" s="4"/>
      <c r="Y10" s="4"/>
      <c r="Z10" s="4"/>
    </row>
    <row r="11" ht="15.75" customHeight="1">
      <c r="A11" s="40" t="s">
        <v>459</v>
      </c>
      <c r="B11" s="9" t="s">
        <v>460</v>
      </c>
      <c r="C11" s="9" t="s">
        <v>88</v>
      </c>
      <c r="D11" s="9" t="s">
        <v>930</v>
      </c>
      <c r="E11" s="77">
        <v>0.35</v>
      </c>
      <c r="F11" s="78">
        <v>-1.8</v>
      </c>
      <c r="G11" s="4"/>
      <c r="H11" s="4"/>
      <c r="I11" s="4"/>
      <c r="J11" s="4"/>
      <c r="K11" s="4"/>
      <c r="L11" s="4"/>
      <c r="M11" s="4"/>
      <c r="N11" s="4"/>
      <c r="O11" s="4"/>
      <c r="P11" s="4"/>
      <c r="Q11" s="4"/>
      <c r="R11" s="4"/>
      <c r="S11" s="4"/>
      <c r="T11" s="4"/>
      <c r="U11" s="4"/>
      <c r="V11" s="4"/>
      <c r="W11" s="4"/>
      <c r="X11" s="4"/>
      <c r="Y11" s="4"/>
      <c r="Z11" s="4"/>
    </row>
    <row r="12" ht="15.75" customHeight="1">
      <c r="A12" s="40" t="s">
        <v>461</v>
      </c>
      <c r="B12" s="9" t="s">
        <v>462</v>
      </c>
      <c r="C12" s="9" t="s">
        <v>104</v>
      </c>
      <c r="D12" s="9" t="s">
        <v>930</v>
      </c>
      <c r="E12" s="77">
        <v>0.55</v>
      </c>
      <c r="F12" s="78">
        <v>-1.5</v>
      </c>
      <c r="G12" s="4"/>
      <c r="H12" s="4"/>
      <c r="I12" s="4"/>
      <c r="J12" s="4"/>
      <c r="K12" s="4"/>
      <c r="L12" s="4"/>
      <c r="M12" s="4"/>
      <c r="N12" s="4"/>
      <c r="O12" s="4"/>
      <c r="P12" s="4"/>
      <c r="Q12" s="4"/>
      <c r="R12" s="4"/>
      <c r="S12" s="4"/>
      <c r="T12" s="4"/>
      <c r="U12" s="4"/>
      <c r="V12" s="4"/>
      <c r="W12" s="4"/>
      <c r="X12" s="4"/>
      <c r="Y12" s="4"/>
      <c r="Z12" s="4"/>
    </row>
    <row r="13" ht="15.75" customHeight="1">
      <c r="A13" s="40" t="s">
        <v>467</v>
      </c>
      <c r="B13" s="9" t="s">
        <v>468</v>
      </c>
      <c r="C13" s="9" t="s">
        <v>82</v>
      </c>
      <c r="D13" s="9" t="s">
        <v>930</v>
      </c>
      <c r="E13" s="77">
        <v>0.6</v>
      </c>
      <c r="F13" s="83">
        <v>-3.06</v>
      </c>
      <c r="G13" s="4"/>
      <c r="H13" s="4"/>
      <c r="I13" s="4"/>
      <c r="J13" s="4"/>
      <c r="K13" s="4"/>
      <c r="L13" s="4"/>
      <c r="M13" s="4"/>
      <c r="N13" s="4"/>
      <c r="O13" s="4"/>
      <c r="P13" s="4"/>
      <c r="Q13" s="4"/>
      <c r="R13" s="4"/>
      <c r="S13" s="4"/>
      <c r="T13" s="4"/>
      <c r="U13" s="4"/>
      <c r="V13" s="4"/>
      <c r="W13" s="4"/>
      <c r="X13" s="4"/>
      <c r="Y13" s="4"/>
      <c r="Z13" s="4"/>
    </row>
  </sheetData>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2.25"/>
    <col customWidth="1" min="2" max="2" width="33.38"/>
    <col customWidth="1" min="3" max="3" width="17.38"/>
    <col customWidth="1" min="4" max="4" width="23.0"/>
    <col customWidth="1" min="11" max="11" width="85.63"/>
  </cols>
  <sheetData>
    <row r="1" ht="15.75" customHeight="1">
      <c r="A1" s="21" t="s">
        <v>926</v>
      </c>
      <c r="B1" s="21" t="s">
        <v>933</v>
      </c>
      <c r="C1" s="84" t="s">
        <v>405</v>
      </c>
      <c r="D1" s="21" t="s">
        <v>406</v>
      </c>
      <c r="E1" s="71"/>
      <c r="F1" s="71"/>
      <c r="G1" s="71"/>
      <c r="H1" s="71"/>
      <c r="I1" s="71"/>
      <c r="J1" s="71"/>
      <c r="K1" s="71"/>
      <c r="L1" s="71"/>
      <c r="M1" s="71"/>
      <c r="N1" s="71"/>
      <c r="O1" s="71"/>
      <c r="P1" s="71"/>
      <c r="Q1" s="71"/>
      <c r="R1" s="71"/>
      <c r="S1" s="71"/>
      <c r="T1" s="71"/>
      <c r="U1" s="71"/>
      <c r="V1" s="71"/>
      <c r="W1" s="71"/>
      <c r="X1" s="4"/>
      <c r="Y1" s="4"/>
      <c r="Z1" s="4"/>
    </row>
    <row r="2" ht="15.75" customHeight="1">
      <c r="A2" s="30" t="s">
        <v>115</v>
      </c>
      <c r="B2" s="30" t="s">
        <v>934</v>
      </c>
      <c r="C2" s="31" t="s">
        <v>113</v>
      </c>
      <c r="D2" s="30" t="s">
        <v>409</v>
      </c>
      <c r="E2" s="4"/>
      <c r="F2" s="4"/>
      <c r="G2" s="4"/>
      <c r="H2" s="4"/>
      <c r="I2" s="4"/>
      <c r="J2" s="4"/>
      <c r="K2" s="4"/>
      <c r="L2" s="4"/>
      <c r="M2" s="4"/>
      <c r="N2" s="4"/>
      <c r="O2" s="4"/>
      <c r="P2" s="4"/>
      <c r="Q2" s="4"/>
      <c r="R2" s="4"/>
      <c r="S2" s="4"/>
      <c r="T2" s="4"/>
      <c r="U2" s="4"/>
      <c r="V2" s="4"/>
      <c r="W2" s="4"/>
      <c r="X2" s="4"/>
      <c r="Y2" s="4"/>
      <c r="Z2" s="4"/>
    </row>
    <row r="3" ht="15.75" customHeight="1">
      <c r="A3" s="30" t="s">
        <v>15</v>
      </c>
      <c r="B3" s="30" t="s">
        <v>935</v>
      </c>
      <c r="C3" s="31" t="s">
        <v>11</v>
      </c>
      <c r="D3" s="30" t="s">
        <v>409</v>
      </c>
      <c r="E3" s="4"/>
      <c r="F3" s="4"/>
      <c r="G3" s="4"/>
      <c r="H3" s="4"/>
      <c r="I3" s="4"/>
      <c r="J3" s="4"/>
      <c r="K3" s="4"/>
      <c r="L3" s="4"/>
      <c r="M3" s="4"/>
      <c r="N3" s="4"/>
      <c r="O3" s="4"/>
      <c r="P3" s="4"/>
      <c r="Q3" s="4"/>
      <c r="R3" s="4"/>
      <c r="S3" s="4"/>
      <c r="T3" s="4"/>
      <c r="U3" s="4"/>
      <c r="V3" s="4"/>
      <c r="W3" s="4"/>
      <c r="X3" s="4"/>
      <c r="Y3" s="4"/>
      <c r="Z3" s="4"/>
    </row>
    <row r="4" ht="15.75" customHeight="1">
      <c r="A4" s="30" t="s">
        <v>26</v>
      </c>
      <c r="B4" s="30" t="s">
        <v>936</v>
      </c>
      <c r="C4" s="31" t="s">
        <v>24</v>
      </c>
      <c r="D4" s="30" t="s">
        <v>409</v>
      </c>
      <c r="E4" s="4"/>
      <c r="F4" s="4"/>
      <c r="G4" s="4"/>
      <c r="H4" s="4"/>
      <c r="I4" s="4"/>
      <c r="J4" s="4"/>
      <c r="K4" s="4"/>
      <c r="L4" s="4"/>
      <c r="M4" s="4"/>
      <c r="N4" s="4"/>
      <c r="O4" s="4"/>
      <c r="P4" s="4"/>
      <c r="Q4" s="4"/>
      <c r="R4" s="4"/>
      <c r="S4" s="4"/>
      <c r="T4" s="4"/>
      <c r="U4" s="4"/>
      <c r="V4" s="4"/>
      <c r="W4" s="4"/>
      <c r="X4" s="4"/>
      <c r="Y4" s="4"/>
      <c r="Z4" s="4"/>
    </row>
    <row r="5" ht="15.75" customHeight="1">
      <c r="A5" s="30" t="s">
        <v>68</v>
      </c>
      <c r="B5" s="30" t="s">
        <v>937</v>
      </c>
      <c r="C5" s="31" t="s">
        <v>66</v>
      </c>
      <c r="D5" s="30" t="s">
        <v>409</v>
      </c>
      <c r="E5" s="4"/>
      <c r="F5" s="4"/>
      <c r="G5" s="4"/>
      <c r="H5" s="4"/>
      <c r="I5" s="4"/>
      <c r="J5" s="4"/>
      <c r="K5" s="4"/>
      <c r="L5" s="4"/>
      <c r="M5" s="4"/>
      <c r="N5" s="4"/>
      <c r="O5" s="4"/>
      <c r="P5" s="4"/>
      <c r="Q5" s="4"/>
      <c r="R5" s="4"/>
      <c r="S5" s="4"/>
      <c r="T5" s="4"/>
      <c r="U5" s="4"/>
      <c r="V5" s="4"/>
      <c r="W5" s="4"/>
      <c r="X5" s="4"/>
      <c r="Y5" s="4"/>
      <c r="Z5" s="4"/>
    </row>
    <row r="6" ht="15.75" customHeight="1">
      <c r="A6" s="30" t="s">
        <v>118</v>
      </c>
      <c r="B6" s="30" t="s">
        <v>938</v>
      </c>
      <c r="C6" s="31" t="s">
        <v>116</v>
      </c>
      <c r="D6" s="30" t="s">
        <v>939</v>
      </c>
      <c r="E6" s="4"/>
      <c r="F6" s="4"/>
      <c r="G6" s="4"/>
      <c r="H6" s="4"/>
      <c r="I6" s="4"/>
      <c r="J6" s="4"/>
      <c r="K6" s="4"/>
      <c r="L6" s="4"/>
      <c r="M6" s="4"/>
      <c r="N6" s="4"/>
      <c r="O6" s="4"/>
      <c r="P6" s="4"/>
      <c r="Q6" s="4"/>
      <c r="R6" s="4"/>
      <c r="S6" s="4"/>
      <c r="T6" s="4"/>
      <c r="U6" s="4"/>
      <c r="V6" s="4"/>
      <c r="W6" s="4"/>
      <c r="X6" s="4"/>
      <c r="Y6" s="4"/>
      <c r="Z6" s="4"/>
    </row>
    <row r="7" ht="15.75" customHeight="1">
      <c r="A7" s="30" t="s">
        <v>121</v>
      </c>
      <c r="B7" s="30" t="s">
        <v>940</v>
      </c>
      <c r="C7" s="31" t="s">
        <v>119</v>
      </c>
      <c r="D7" s="30" t="s">
        <v>941</v>
      </c>
      <c r="E7" s="4"/>
      <c r="F7" s="4"/>
      <c r="G7" s="4"/>
      <c r="H7" s="4"/>
      <c r="I7" s="4"/>
      <c r="J7" s="4"/>
      <c r="K7" s="4"/>
      <c r="L7" s="4"/>
      <c r="M7" s="4"/>
      <c r="N7" s="4"/>
      <c r="O7" s="4"/>
      <c r="P7" s="4"/>
      <c r="Q7" s="4"/>
      <c r="R7" s="4"/>
      <c r="S7" s="4"/>
      <c r="T7" s="4"/>
      <c r="U7" s="4"/>
      <c r="V7" s="4"/>
      <c r="W7" s="4"/>
      <c r="X7" s="4"/>
      <c r="Y7" s="4"/>
      <c r="Z7" s="4"/>
    </row>
    <row r="8" ht="15.75" customHeight="1">
      <c r="A8" s="30" t="s">
        <v>124</v>
      </c>
      <c r="B8" s="30" t="s">
        <v>942</v>
      </c>
      <c r="C8" s="31" t="s">
        <v>122</v>
      </c>
      <c r="D8" s="30" t="s">
        <v>939</v>
      </c>
      <c r="E8" s="4"/>
      <c r="F8" s="4"/>
      <c r="G8" s="4"/>
      <c r="H8" s="4"/>
      <c r="I8" s="4"/>
      <c r="J8" s="4"/>
      <c r="K8" s="4"/>
      <c r="L8" s="4"/>
      <c r="M8" s="4"/>
      <c r="N8" s="4"/>
      <c r="O8" s="4"/>
      <c r="P8" s="4"/>
      <c r="Q8" s="4"/>
      <c r="R8" s="4"/>
      <c r="S8" s="4"/>
      <c r="T8" s="4"/>
      <c r="U8" s="4"/>
      <c r="V8" s="4"/>
      <c r="W8" s="4"/>
      <c r="X8" s="4"/>
      <c r="Y8" s="4"/>
      <c r="Z8" s="4"/>
    </row>
    <row r="9" ht="15.75" customHeight="1">
      <c r="A9" s="30" t="s">
        <v>127</v>
      </c>
      <c r="B9" s="30" t="s">
        <v>943</v>
      </c>
      <c r="C9" s="31" t="s">
        <v>125</v>
      </c>
      <c r="D9" s="30" t="s">
        <v>939</v>
      </c>
      <c r="E9" s="4"/>
      <c r="F9" s="4"/>
      <c r="G9" s="4"/>
      <c r="H9" s="4"/>
      <c r="I9" s="4"/>
      <c r="J9" s="4"/>
      <c r="K9" s="4"/>
      <c r="L9" s="4"/>
      <c r="M9" s="4"/>
      <c r="N9" s="4"/>
      <c r="O9" s="4"/>
      <c r="P9" s="4"/>
      <c r="Q9" s="4"/>
      <c r="R9" s="4"/>
      <c r="S9" s="4"/>
      <c r="T9" s="4"/>
      <c r="U9" s="4"/>
      <c r="V9" s="4"/>
      <c r="W9" s="4"/>
      <c r="X9" s="4"/>
      <c r="Y9" s="4"/>
      <c r="Z9" s="4"/>
    </row>
    <row r="10" ht="15.75" customHeight="1">
      <c r="A10" s="9" t="s">
        <v>130</v>
      </c>
      <c r="B10" s="9" t="s">
        <v>944</v>
      </c>
      <c r="C10" s="85" t="s">
        <v>128</v>
      </c>
      <c r="D10" s="9" t="s">
        <v>423</v>
      </c>
      <c r="E10" s="4"/>
      <c r="F10" s="4"/>
      <c r="G10" s="4"/>
      <c r="H10" s="4"/>
      <c r="I10" s="4"/>
      <c r="J10" s="4"/>
      <c r="K10" s="4"/>
      <c r="L10" s="4"/>
      <c r="M10" s="4"/>
      <c r="N10" s="4"/>
      <c r="O10" s="4"/>
      <c r="P10" s="4"/>
      <c r="Q10" s="4"/>
      <c r="R10" s="4"/>
      <c r="S10" s="4"/>
      <c r="T10" s="4"/>
      <c r="U10" s="4"/>
      <c r="V10" s="4"/>
      <c r="W10" s="4"/>
      <c r="X10" s="4"/>
      <c r="Y10" s="4"/>
      <c r="Z10" s="4"/>
    </row>
    <row r="11" ht="15.75" customHeight="1">
      <c r="A11" s="30" t="s">
        <v>133</v>
      </c>
      <c r="B11" s="30" t="s">
        <v>945</v>
      </c>
      <c r="C11" s="31" t="s">
        <v>131</v>
      </c>
      <c r="D11" s="30" t="s">
        <v>946</v>
      </c>
      <c r="E11" s="4"/>
      <c r="F11" s="4"/>
      <c r="G11" s="4"/>
      <c r="H11" s="4"/>
      <c r="I11" s="4"/>
      <c r="J11" s="4"/>
      <c r="K11" s="4"/>
      <c r="L11" s="4"/>
      <c r="M11" s="4"/>
      <c r="N11" s="4"/>
      <c r="O11" s="4"/>
      <c r="P11" s="4"/>
      <c r="Q11" s="4"/>
      <c r="R11" s="4"/>
      <c r="S11" s="4"/>
      <c r="T11" s="4"/>
      <c r="U11" s="4"/>
      <c r="V11" s="4"/>
      <c r="W11" s="4"/>
      <c r="X11" s="4"/>
      <c r="Y11" s="4"/>
      <c r="Z11" s="4"/>
    </row>
    <row r="12" ht="15.75" customHeight="1">
      <c r="A12" s="30" t="s">
        <v>136</v>
      </c>
      <c r="B12" s="30" t="s">
        <v>947</v>
      </c>
      <c r="C12" s="31" t="s">
        <v>134</v>
      </c>
      <c r="D12" s="30" t="s">
        <v>946</v>
      </c>
      <c r="E12" s="4"/>
      <c r="F12" s="4"/>
      <c r="G12" s="4"/>
      <c r="H12" s="4"/>
      <c r="I12" s="4"/>
      <c r="J12" s="4"/>
      <c r="K12" s="4"/>
      <c r="L12" s="4"/>
      <c r="M12" s="4"/>
      <c r="N12" s="4"/>
      <c r="O12" s="4"/>
      <c r="P12" s="4"/>
      <c r="Q12" s="4"/>
      <c r="R12" s="4"/>
      <c r="S12" s="4"/>
      <c r="T12" s="4"/>
      <c r="U12" s="4"/>
      <c r="V12" s="4"/>
      <c r="W12" s="4"/>
      <c r="X12" s="4"/>
      <c r="Y12" s="4"/>
      <c r="Z12" s="4"/>
    </row>
    <row r="13" ht="15.75" customHeight="1">
      <c r="A13" s="9" t="s">
        <v>139</v>
      </c>
      <c r="B13" s="9" t="s">
        <v>948</v>
      </c>
      <c r="C13" s="85" t="s">
        <v>137</v>
      </c>
      <c r="D13" s="9" t="s">
        <v>423</v>
      </c>
      <c r="E13" s="4"/>
      <c r="F13" s="4"/>
      <c r="G13" s="4"/>
      <c r="H13" s="4"/>
      <c r="I13" s="4"/>
      <c r="J13" s="4"/>
      <c r="K13" s="4"/>
      <c r="L13" s="4"/>
      <c r="M13" s="4"/>
      <c r="N13" s="4"/>
      <c r="O13" s="4"/>
      <c r="P13" s="4"/>
      <c r="Q13" s="4"/>
      <c r="R13" s="4"/>
      <c r="S13" s="4"/>
      <c r="T13" s="4"/>
      <c r="U13" s="4"/>
      <c r="V13" s="4"/>
      <c r="W13" s="4"/>
      <c r="X13" s="4"/>
      <c r="Y13" s="4"/>
      <c r="Z13" s="4"/>
    </row>
    <row r="14" ht="15.75" customHeight="1">
      <c r="A14" s="9" t="s">
        <v>142</v>
      </c>
      <c r="B14" s="9" t="s">
        <v>949</v>
      </c>
      <c r="C14" s="85" t="s">
        <v>140</v>
      </c>
      <c r="D14" s="9" t="s">
        <v>423</v>
      </c>
      <c r="E14" s="4"/>
      <c r="F14" s="4"/>
      <c r="G14" s="4"/>
      <c r="H14" s="4"/>
      <c r="I14" s="4"/>
      <c r="J14" s="4"/>
      <c r="K14" s="4"/>
      <c r="L14" s="4"/>
      <c r="M14" s="4"/>
      <c r="N14" s="4"/>
      <c r="O14" s="4"/>
      <c r="P14" s="4"/>
      <c r="Q14" s="4"/>
      <c r="R14" s="4"/>
      <c r="S14" s="4"/>
      <c r="T14" s="4"/>
      <c r="U14" s="4"/>
      <c r="V14" s="4"/>
      <c r="W14" s="4"/>
      <c r="X14" s="4"/>
      <c r="Y14" s="4"/>
      <c r="Z14" s="4"/>
    </row>
    <row r="15" ht="15.75" customHeight="1">
      <c r="A15" s="30" t="s">
        <v>145</v>
      </c>
      <c r="B15" s="30" t="s">
        <v>950</v>
      </c>
      <c r="C15" s="31" t="s">
        <v>143</v>
      </c>
      <c r="D15" s="30" t="s">
        <v>939</v>
      </c>
      <c r="E15" s="4"/>
      <c r="F15" s="4"/>
      <c r="G15" s="4"/>
      <c r="H15" s="4"/>
      <c r="I15" s="4"/>
      <c r="J15" s="4"/>
      <c r="K15" s="4"/>
      <c r="L15" s="4"/>
      <c r="M15" s="4"/>
      <c r="N15" s="4"/>
      <c r="O15" s="4"/>
      <c r="P15" s="4"/>
      <c r="Q15" s="4"/>
      <c r="R15" s="4"/>
      <c r="S15" s="4"/>
      <c r="T15" s="4"/>
      <c r="U15" s="4"/>
      <c r="V15" s="4"/>
      <c r="W15" s="4"/>
      <c r="X15" s="4"/>
      <c r="Y15" s="4"/>
      <c r="Z15" s="4"/>
    </row>
    <row r="16" ht="15.75" customHeight="1">
      <c r="A16" s="30" t="s">
        <v>148</v>
      </c>
      <c r="B16" s="30" t="s">
        <v>951</v>
      </c>
      <c r="C16" s="31" t="s">
        <v>146</v>
      </c>
      <c r="D16" s="30" t="s">
        <v>939</v>
      </c>
      <c r="E16" s="4"/>
      <c r="F16" s="4"/>
      <c r="G16" s="4"/>
      <c r="H16" s="4"/>
      <c r="I16" s="4"/>
      <c r="J16" s="4"/>
      <c r="K16" s="4"/>
      <c r="L16" s="4"/>
      <c r="M16" s="4"/>
      <c r="N16" s="4"/>
      <c r="O16" s="4"/>
      <c r="P16" s="4"/>
      <c r="Q16" s="4"/>
      <c r="R16" s="4"/>
      <c r="S16" s="4"/>
      <c r="T16" s="4"/>
      <c r="U16" s="4"/>
      <c r="V16" s="4"/>
      <c r="W16" s="4"/>
      <c r="X16" s="4"/>
      <c r="Y16" s="4"/>
      <c r="Z16" s="4"/>
    </row>
    <row r="17" ht="15.75" customHeight="1">
      <c r="A17" s="9" t="s">
        <v>151</v>
      </c>
      <c r="B17" s="9" t="s">
        <v>952</v>
      </c>
      <c r="C17" s="31" t="s">
        <v>149</v>
      </c>
      <c r="D17" s="30" t="s">
        <v>939</v>
      </c>
      <c r="E17" s="4"/>
      <c r="F17" s="4"/>
      <c r="G17" s="4"/>
      <c r="H17" s="4"/>
      <c r="I17" s="4"/>
      <c r="J17" s="4"/>
      <c r="K17" s="4"/>
      <c r="L17" s="4"/>
      <c r="M17" s="4"/>
      <c r="N17" s="4"/>
      <c r="O17" s="4"/>
      <c r="P17" s="4"/>
      <c r="Q17" s="4"/>
      <c r="R17" s="4"/>
      <c r="S17" s="4"/>
      <c r="T17" s="4"/>
      <c r="U17" s="4"/>
      <c r="V17" s="4"/>
      <c r="W17" s="4"/>
      <c r="X17" s="4"/>
      <c r="Y17" s="4"/>
      <c r="Z17" s="4"/>
    </row>
    <row r="18" ht="15.75" customHeight="1">
      <c r="A18" s="9" t="s">
        <v>154</v>
      </c>
      <c r="B18" s="9" t="s">
        <v>953</v>
      </c>
      <c r="C18" s="31" t="s">
        <v>152</v>
      </c>
      <c r="D18" s="30" t="s">
        <v>409</v>
      </c>
      <c r="E18" s="4"/>
      <c r="F18" s="4"/>
      <c r="G18" s="4"/>
      <c r="H18" s="4"/>
      <c r="I18" s="4"/>
      <c r="J18" s="4"/>
      <c r="K18" s="4"/>
      <c r="L18" s="4"/>
      <c r="M18" s="4"/>
      <c r="N18" s="4"/>
      <c r="O18" s="4"/>
      <c r="P18" s="4"/>
      <c r="Q18" s="4"/>
      <c r="R18" s="4"/>
      <c r="S18" s="4"/>
      <c r="T18" s="4"/>
      <c r="U18" s="4"/>
      <c r="V18" s="4"/>
      <c r="W18" s="4"/>
      <c r="X18" s="4"/>
      <c r="Y18" s="4"/>
      <c r="Z18" s="4"/>
    </row>
    <row r="19" ht="15.75" customHeight="1">
      <c r="A19" s="9" t="s">
        <v>157</v>
      </c>
      <c r="B19" s="9" t="s">
        <v>954</v>
      </c>
      <c r="C19" s="31" t="s">
        <v>155</v>
      </c>
      <c r="D19" s="30" t="s">
        <v>409</v>
      </c>
      <c r="E19" s="4"/>
      <c r="F19" s="4"/>
      <c r="G19" s="4"/>
      <c r="H19" s="4"/>
      <c r="I19" s="4"/>
      <c r="J19" s="4"/>
      <c r="K19" s="4"/>
      <c r="L19" s="4"/>
      <c r="M19" s="4"/>
      <c r="N19" s="4"/>
      <c r="O19" s="4"/>
      <c r="P19" s="4"/>
      <c r="Q19" s="4"/>
      <c r="R19" s="4"/>
      <c r="S19" s="4"/>
      <c r="T19" s="4"/>
      <c r="U19" s="4"/>
      <c r="V19" s="4"/>
      <c r="W19" s="4"/>
      <c r="X19" s="4"/>
      <c r="Y19" s="4"/>
      <c r="Z19" s="4"/>
    </row>
    <row r="20" ht="15.75" customHeight="1">
      <c r="A20" s="9" t="s">
        <v>160</v>
      </c>
      <c r="B20" s="9" t="s">
        <v>955</v>
      </c>
      <c r="C20" s="31" t="s">
        <v>158</v>
      </c>
      <c r="D20" s="9" t="s">
        <v>423</v>
      </c>
      <c r="E20" s="4"/>
      <c r="F20" s="4"/>
      <c r="G20" s="4"/>
      <c r="H20" s="4"/>
      <c r="I20" s="4"/>
      <c r="J20" s="4"/>
      <c r="K20" s="4"/>
      <c r="L20" s="4"/>
      <c r="M20" s="4"/>
      <c r="N20" s="4"/>
      <c r="O20" s="4"/>
      <c r="P20" s="4"/>
      <c r="Q20" s="4"/>
      <c r="R20" s="4"/>
      <c r="S20" s="4"/>
      <c r="T20" s="4"/>
      <c r="U20" s="4"/>
      <c r="V20" s="4"/>
      <c r="W20" s="4"/>
      <c r="X20" s="4"/>
      <c r="Y20" s="4"/>
      <c r="Z20" s="4"/>
    </row>
    <row r="21" ht="15.75" customHeight="1">
      <c r="A21" s="30" t="s">
        <v>164</v>
      </c>
      <c r="B21" s="30" t="s">
        <v>956</v>
      </c>
      <c r="C21" s="31" t="s">
        <v>161</v>
      </c>
      <c r="D21" s="30" t="s">
        <v>957</v>
      </c>
      <c r="E21" s="4"/>
      <c r="F21" s="4"/>
      <c r="G21" s="4"/>
      <c r="H21" s="4"/>
      <c r="I21" s="4"/>
      <c r="J21" s="4"/>
      <c r="K21" s="4"/>
      <c r="L21" s="4"/>
      <c r="M21" s="4"/>
      <c r="N21" s="4"/>
      <c r="O21" s="4"/>
      <c r="P21" s="4"/>
      <c r="Q21" s="4"/>
      <c r="R21" s="4"/>
      <c r="S21" s="4"/>
      <c r="T21" s="4"/>
      <c r="U21" s="4"/>
      <c r="V21" s="4"/>
      <c r="W21" s="4"/>
      <c r="X21" s="4"/>
      <c r="Y21" s="4"/>
      <c r="Z21" s="4"/>
    </row>
    <row r="22" ht="15.75" customHeight="1">
      <c r="A22" s="30" t="s">
        <v>167</v>
      </c>
      <c r="B22" s="30" t="s">
        <v>958</v>
      </c>
      <c r="C22" s="31" t="s">
        <v>165</v>
      </c>
      <c r="D22" s="30" t="s">
        <v>957</v>
      </c>
      <c r="E22" s="4"/>
      <c r="F22" s="4"/>
      <c r="G22" s="4"/>
      <c r="H22" s="4"/>
      <c r="I22" s="4"/>
      <c r="J22" s="4"/>
      <c r="K22" s="4"/>
      <c r="L22" s="4"/>
      <c r="M22" s="4"/>
      <c r="N22" s="4"/>
      <c r="O22" s="4"/>
      <c r="P22" s="4"/>
      <c r="Q22" s="4"/>
      <c r="R22" s="4"/>
      <c r="S22" s="4"/>
      <c r="T22" s="4"/>
      <c r="U22" s="4"/>
      <c r="V22" s="4"/>
      <c r="W22" s="4"/>
      <c r="X22" s="4"/>
      <c r="Y22" s="4"/>
      <c r="Z22" s="4"/>
    </row>
    <row r="23" ht="15.75" customHeight="1">
      <c r="A23" s="9" t="s">
        <v>170</v>
      </c>
      <c r="B23" s="9" t="s">
        <v>959</v>
      </c>
      <c r="C23" s="31" t="s">
        <v>168</v>
      </c>
      <c r="D23" s="30" t="s">
        <v>939</v>
      </c>
      <c r="E23" s="4"/>
      <c r="F23" s="4"/>
      <c r="G23" s="4"/>
      <c r="H23" s="4"/>
      <c r="I23" s="4"/>
      <c r="J23" s="4"/>
      <c r="K23" s="4"/>
      <c r="L23" s="4"/>
      <c r="M23" s="4"/>
      <c r="N23" s="4"/>
      <c r="O23" s="4"/>
      <c r="P23" s="4"/>
      <c r="Q23" s="4"/>
      <c r="R23" s="4"/>
      <c r="S23" s="4"/>
      <c r="T23" s="4"/>
      <c r="U23" s="4"/>
      <c r="V23" s="4"/>
      <c r="W23" s="4"/>
      <c r="X23" s="4"/>
      <c r="Y23" s="4"/>
      <c r="Z23" s="4"/>
    </row>
    <row r="24" ht="15.75" customHeight="1">
      <c r="A24" s="9" t="s">
        <v>173</v>
      </c>
      <c r="B24" s="9" t="s">
        <v>960</v>
      </c>
      <c r="C24" s="31" t="s">
        <v>171</v>
      </c>
      <c r="D24" s="9" t="s">
        <v>961</v>
      </c>
      <c r="E24" s="4"/>
      <c r="F24" s="4"/>
      <c r="G24" s="4"/>
      <c r="H24" s="4"/>
      <c r="I24" s="4"/>
      <c r="J24" s="4"/>
      <c r="K24" s="4"/>
      <c r="L24" s="4"/>
      <c r="M24" s="4"/>
      <c r="N24" s="4"/>
      <c r="O24" s="4"/>
      <c r="P24" s="4"/>
      <c r="Q24" s="4"/>
      <c r="R24" s="4"/>
      <c r="S24" s="4"/>
      <c r="T24" s="4"/>
      <c r="U24" s="4"/>
      <c r="V24" s="4"/>
      <c r="W24" s="4"/>
      <c r="X24" s="4"/>
      <c r="Y24" s="4"/>
      <c r="Z24" s="4"/>
    </row>
    <row r="25" ht="15.75" customHeight="1">
      <c r="A25" s="9" t="s">
        <v>181</v>
      </c>
      <c r="B25" s="9" t="s">
        <v>962</v>
      </c>
      <c r="C25" s="31" t="s">
        <v>179</v>
      </c>
      <c r="D25" s="30" t="s">
        <v>409</v>
      </c>
      <c r="E25" s="4"/>
      <c r="F25" s="4"/>
      <c r="G25" s="4"/>
      <c r="H25" s="4"/>
      <c r="I25" s="4"/>
      <c r="J25" s="4"/>
      <c r="K25" s="4"/>
      <c r="L25" s="4"/>
      <c r="M25" s="4"/>
      <c r="N25" s="4"/>
      <c r="O25" s="4"/>
      <c r="P25" s="4"/>
      <c r="Q25" s="4"/>
      <c r="R25" s="4"/>
      <c r="S25" s="4"/>
      <c r="T25" s="4"/>
      <c r="U25" s="4"/>
      <c r="V25" s="4"/>
      <c r="W25" s="4"/>
      <c r="X25" s="4"/>
      <c r="Y25" s="4"/>
      <c r="Z25" s="4"/>
    </row>
    <row r="26" ht="15.75" customHeight="1">
      <c r="A26" s="9" t="s">
        <v>184</v>
      </c>
      <c r="B26" s="9" t="s">
        <v>963</v>
      </c>
      <c r="C26" s="31" t="s">
        <v>182</v>
      </c>
      <c r="D26" s="9" t="s">
        <v>964</v>
      </c>
      <c r="E26" s="4"/>
      <c r="F26" s="4"/>
      <c r="G26" s="4"/>
      <c r="H26" s="4"/>
      <c r="I26" s="4"/>
      <c r="J26" s="4"/>
      <c r="K26" s="4"/>
      <c r="L26" s="4"/>
      <c r="M26" s="4"/>
      <c r="N26" s="4"/>
      <c r="O26" s="4"/>
      <c r="P26" s="4"/>
      <c r="Q26" s="4"/>
      <c r="R26" s="4"/>
      <c r="S26" s="4"/>
      <c r="T26" s="4"/>
      <c r="U26" s="4"/>
      <c r="V26" s="4"/>
      <c r="W26" s="4"/>
      <c r="X26" s="4"/>
      <c r="Y26" s="4"/>
      <c r="Z26" s="4"/>
    </row>
  </sheetData>
  <printOptions/>
  <pageMargins bottom="0.75" footer="0.0" header="0.0" left="0.7" right="0.7" top="0.75"/>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4.25"/>
    <col customWidth="1" min="2" max="2" width="10.38"/>
    <col customWidth="1" min="3" max="3" width="20.25"/>
    <col customWidth="1" min="4" max="4" width="36.25"/>
  </cols>
  <sheetData>
    <row r="1" ht="15.75" customHeight="1">
      <c r="A1" s="26" t="s">
        <v>965</v>
      </c>
      <c r="B1" s="27" t="s">
        <v>488</v>
      </c>
      <c r="C1" s="26" t="s">
        <v>489</v>
      </c>
      <c r="D1" s="26" t="s">
        <v>490</v>
      </c>
      <c r="E1" s="33" t="s">
        <v>966</v>
      </c>
      <c r="F1" s="26"/>
      <c r="G1" s="29"/>
      <c r="H1" s="29"/>
      <c r="I1" s="29"/>
      <c r="J1" s="29"/>
      <c r="K1" s="29"/>
      <c r="L1" s="29"/>
      <c r="M1" s="29"/>
      <c r="N1" s="29"/>
      <c r="O1" s="29"/>
      <c r="P1" s="29"/>
      <c r="Q1" s="29"/>
      <c r="R1" s="29"/>
      <c r="S1" s="29"/>
      <c r="T1" s="29"/>
      <c r="U1" s="29"/>
      <c r="V1" s="29"/>
      <c r="W1" s="29"/>
      <c r="X1" s="29"/>
      <c r="Y1" s="29"/>
      <c r="Z1" s="29"/>
    </row>
    <row r="2" ht="15.75" customHeight="1">
      <c r="A2" s="59" t="s">
        <v>57</v>
      </c>
      <c r="B2" s="58" t="s">
        <v>54</v>
      </c>
      <c r="C2" s="59" t="s">
        <v>705</v>
      </c>
      <c r="D2" s="59" t="s">
        <v>706</v>
      </c>
      <c r="E2" s="86">
        <v>0.0</v>
      </c>
      <c r="F2" s="30"/>
      <c r="G2" s="4"/>
      <c r="H2" s="4"/>
      <c r="I2" s="4"/>
      <c r="J2" s="4"/>
      <c r="K2" s="4"/>
      <c r="L2" s="4"/>
      <c r="M2" s="4"/>
      <c r="N2" s="4"/>
      <c r="O2" s="4"/>
      <c r="P2" s="4"/>
      <c r="Q2" s="4"/>
      <c r="R2" s="4"/>
      <c r="S2" s="4"/>
      <c r="T2" s="4"/>
      <c r="U2" s="4"/>
      <c r="V2" s="4"/>
      <c r="W2" s="4"/>
      <c r="X2" s="4"/>
      <c r="Y2" s="4"/>
      <c r="Z2" s="4"/>
    </row>
    <row r="3" ht="15.75" customHeight="1">
      <c r="A3" s="59" t="s">
        <v>57</v>
      </c>
      <c r="B3" s="58" t="s">
        <v>54</v>
      </c>
      <c r="C3" s="59" t="s">
        <v>699</v>
      </c>
      <c r="D3" s="59" t="s">
        <v>700</v>
      </c>
      <c r="E3" s="86">
        <v>0.25</v>
      </c>
      <c r="F3" s="30"/>
      <c r="G3" s="4"/>
      <c r="H3" s="4"/>
      <c r="I3" s="4"/>
      <c r="J3" s="4"/>
      <c r="K3" s="4"/>
      <c r="L3" s="4"/>
      <c r="M3" s="4"/>
      <c r="N3" s="4"/>
      <c r="O3" s="4"/>
      <c r="P3" s="4"/>
      <c r="Q3" s="4"/>
      <c r="R3" s="4"/>
      <c r="S3" s="4"/>
      <c r="T3" s="4"/>
      <c r="U3" s="4"/>
      <c r="V3" s="4"/>
      <c r="W3" s="4"/>
      <c r="X3" s="4"/>
      <c r="Y3" s="4"/>
      <c r="Z3" s="4"/>
    </row>
    <row r="4" ht="15.75" customHeight="1">
      <c r="A4" s="59" t="s">
        <v>57</v>
      </c>
      <c r="B4" s="58" t="s">
        <v>54</v>
      </c>
      <c r="C4" s="59" t="s">
        <v>687</v>
      </c>
      <c r="D4" s="59" t="s">
        <v>688</v>
      </c>
      <c r="E4" s="86">
        <v>0.5</v>
      </c>
      <c r="F4" s="30"/>
      <c r="G4" s="4"/>
      <c r="H4" s="4"/>
      <c r="I4" s="4"/>
      <c r="J4" s="4"/>
      <c r="K4" s="4"/>
      <c r="L4" s="4"/>
      <c r="M4" s="4"/>
      <c r="N4" s="4"/>
      <c r="O4" s="4"/>
      <c r="P4" s="4"/>
      <c r="Q4" s="4"/>
      <c r="R4" s="4"/>
      <c r="S4" s="4"/>
      <c r="T4" s="4"/>
      <c r="U4" s="4"/>
      <c r="V4" s="4"/>
      <c r="W4" s="4"/>
      <c r="X4" s="4"/>
      <c r="Y4" s="4"/>
      <c r="Z4" s="4"/>
    </row>
    <row r="5" ht="15.75" customHeight="1">
      <c r="A5" s="59" t="s">
        <v>57</v>
      </c>
      <c r="B5" s="58" t="s">
        <v>54</v>
      </c>
      <c r="C5" s="59" t="s">
        <v>680</v>
      </c>
      <c r="D5" s="59" t="s">
        <v>681</v>
      </c>
      <c r="E5" s="86">
        <v>0.75</v>
      </c>
      <c r="F5" s="30"/>
      <c r="G5" s="4"/>
      <c r="H5" s="4"/>
      <c r="I5" s="4"/>
      <c r="J5" s="4"/>
      <c r="K5" s="4"/>
      <c r="L5" s="4"/>
      <c r="M5" s="4"/>
      <c r="N5" s="4"/>
      <c r="O5" s="4"/>
      <c r="P5" s="4"/>
      <c r="Q5" s="4"/>
      <c r="R5" s="4"/>
      <c r="S5" s="4"/>
      <c r="T5" s="4"/>
      <c r="U5" s="4"/>
      <c r="V5" s="4"/>
      <c r="W5" s="4"/>
      <c r="X5" s="4"/>
      <c r="Y5" s="4"/>
      <c r="Z5" s="4"/>
    </row>
    <row r="6" ht="15.75" customHeight="1">
      <c r="A6" s="59" t="s">
        <v>57</v>
      </c>
      <c r="B6" s="58" t="s">
        <v>54</v>
      </c>
      <c r="C6" s="59" t="s">
        <v>578</v>
      </c>
      <c r="D6" s="59" t="s">
        <v>693</v>
      </c>
      <c r="E6" s="86">
        <v>1.0</v>
      </c>
      <c r="F6" s="30"/>
      <c r="G6" s="4"/>
      <c r="H6" s="4"/>
      <c r="I6" s="4"/>
      <c r="J6" s="4"/>
      <c r="K6" s="4"/>
      <c r="L6" s="4"/>
      <c r="M6" s="4"/>
      <c r="N6" s="4"/>
      <c r="O6" s="4"/>
      <c r="P6" s="4"/>
      <c r="Q6" s="4"/>
      <c r="R6" s="4"/>
      <c r="S6" s="4"/>
      <c r="T6" s="4"/>
      <c r="U6" s="4"/>
      <c r="V6" s="4"/>
      <c r="W6" s="4"/>
      <c r="X6" s="4"/>
      <c r="Y6" s="4"/>
      <c r="Z6" s="4"/>
    </row>
    <row r="7" ht="15.75" customHeight="1">
      <c r="A7" s="30" t="s">
        <v>136</v>
      </c>
      <c r="B7" s="31" t="s">
        <v>134</v>
      </c>
      <c r="C7" s="30" t="s">
        <v>967</v>
      </c>
      <c r="D7" s="30" t="s">
        <v>968</v>
      </c>
      <c r="E7" s="87">
        <v>0.0</v>
      </c>
      <c r="F7" s="30"/>
      <c r="G7" s="4"/>
      <c r="H7" s="4"/>
      <c r="I7" s="4"/>
      <c r="J7" s="4"/>
      <c r="K7" s="4"/>
      <c r="L7" s="4"/>
      <c r="M7" s="4"/>
      <c r="N7" s="4"/>
      <c r="O7" s="4"/>
      <c r="P7" s="4"/>
      <c r="Q7" s="4"/>
      <c r="R7" s="4"/>
      <c r="S7" s="4"/>
      <c r="T7" s="4"/>
      <c r="U7" s="4"/>
      <c r="V7" s="4"/>
      <c r="W7" s="4"/>
      <c r="X7" s="4"/>
      <c r="Y7" s="4"/>
      <c r="Z7" s="4"/>
    </row>
    <row r="8" ht="15.75" customHeight="1">
      <c r="A8" s="30" t="s">
        <v>136</v>
      </c>
      <c r="B8" s="31" t="s">
        <v>134</v>
      </c>
      <c r="C8" s="30" t="s">
        <v>969</v>
      </c>
      <c r="D8" s="30" t="s">
        <v>970</v>
      </c>
      <c r="E8" s="87">
        <v>0.25</v>
      </c>
      <c r="F8" s="30"/>
      <c r="G8" s="4"/>
      <c r="H8" s="4"/>
      <c r="I8" s="4"/>
      <c r="J8" s="4"/>
      <c r="K8" s="4"/>
      <c r="L8" s="4"/>
      <c r="M8" s="4"/>
      <c r="N8" s="4"/>
      <c r="O8" s="4"/>
      <c r="P8" s="4"/>
      <c r="Q8" s="4"/>
      <c r="R8" s="4"/>
      <c r="S8" s="4"/>
      <c r="T8" s="4"/>
      <c r="U8" s="4"/>
      <c r="V8" s="4"/>
      <c r="W8" s="4"/>
      <c r="X8" s="4"/>
      <c r="Y8" s="4"/>
      <c r="Z8" s="4"/>
    </row>
    <row r="9" ht="15.75" customHeight="1">
      <c r="A9" s="30" t="s">
        <v>136</v>
      </c>
      <c r="B9" s="31" t="s">
        <v>134</v>
      </c>
      <c r="C9" s="30" t="s">
        <v>971</v>
      </c>
      <c r="D9" s="30" t="s">
        <v>972</v>
      </c>
      <c r="E9" s="87">
        <v>0.5</v>
      </c>
      <c r="F9" s="30"/>
      <c r="G9" s="4"/>
      <c r="H9" s="4"/>
      <c r="I9" s="4"/>
      <c r="J9" s="4"/>
      <c r="K9" s="4"/>
      <c r="L9" s="4"/>
      <c r="M9" s="4"/>
      <c r="N9" s="4"/>
      <c r="O9" s="4"/>
      <c r="P9" s="4"/>
      <c r="Q9" s="4"/>
      <c r="R9" s="4"/>
      <c r="S9" s="4"/>
      <c r="T9" s="4"/>
      <c r="U9" s="4"/>
      <c r="V9" s="4"/>
      <c r="W9" s="4"/>
      <c r="X9" s="4"/>
      <c r="Y9" s="4"/>
      <c r="Z9" s="4"/>
    </row>
    <row r="10" ht="15.75" customHeight="1">
      <c r="A10" s="30" t="s">
        <v>136</v>
      </c>
      <c r="B10" s="31" t="s">
        <v>134</v>
      </c>
      <c r="C10" s="30" t="s">
        <v>973</v>
      </c>
      <c r="D10" s="30" t="s">
        <v>974</v>
      </c>
      <c r="E10" s="87">
        <v>0.75</v>
      </c>
      <c r="F10" s="30"/>
      <c r="G10" s="4"/>
      <c r="H10" s="4"/>
      <c r="I10" s="4"/>
      <c r="J10" s="4"/>
      <c r="K10" s="4"/>
      <c r="L10" s="4"/>
      <c r="M10" s="4"/>
      <c r="N10" s="4"/>
      <c r="O10" s="4"/>
      <c r="P10" s="4"/>
      <c r="Q10" s="4"/>
      <c r="R10" s="4"/>
      <c r="S10" s="4"/>
      <c r="T10" s="4"/>
      <c r="U10" s="4"/>
      <c r="V10" s="4"/>
      <c r="W10" s="4"/>
      <c r="X10" s="4"/>
      <c r="Y10" s="4"/>
      <c r="Z10" s="4"/>
    </row>
    <row r="11" ht="15.75" customHeight="1">
      <c r="A11" s="30" t="s">
        <v>136</v>
      </c>
      <c r="B11" s="31" t="s">
        <v>134</v>
      </c>
      <c r="C11" s="30" t="s">
        <v>975</v>
      </c>
      <c r="D11" s="30" t="s">
        <v>976</v>
      </c>
      <c r="E11" s="87">
        <v>1.0</v>
      </c>
      <c r="F11" s="30"/>
      <c r="G11" s="4"/>
      <c r="H11" s="4"/>
      <c r="I11" s="4"/>
      <c r="J11" s="4"/>
      <c r="K11" s="4"/>
      <c r="L11" s="4"/>
      <c r="M11" s="4"/>
      <c r="N11" s="4"/>
      <c r="O11" s="4"/>
      <c r="P11" s="4"/>
      <c r="Q11" s="4"/>
      <c r="R11" s="4"/>
      <c r="S11" s="4"/>
      <c r="T11" s="4"/>
      <c r="U11" s="4"/>
      <c r="V11" s="4"/>
      <c r="W11" s="4"/>
      <c r="X11" s="4"/>
      <c r="Y11" s="4"/>
      <c r="Z11" s="4"/>
    </row>
    <row r="12" ht="15.75" customHeight="1">
      <c r="A12" s="30" t="s">
        <v>133</v>
      </c>
      <c r="B12" s="31" t="s">
        <v>131</v>
      </c>
      <c r="C12" s="30" t="s">
        <v>977</v>
      </c>
      <c r="D12" s="30" t="s">
        <v>978</v>
      </c>
      <c r="E12" s="87">
        <v>0.0</v>
      </c>
      <c r="F12" s="30"/>
      <c r="G12" s="4"/>
      <c r="H12" s="4"/>
      <c r="I12" s="4"/>
      <c r="J12" s="4"/>
      <c r="K12" s="4"/>
      <c r="L12" s="4"/>
      <c r="M12" s="4"/>
      <c r="N12" s="4"/>
      <c r="O12" s="4"/>
      <c r="P12" s="4"/>
      <c r="Q12" s="4"/>
      <c r="R12" s="4"/>
      <c r="S12" s="4"/>
      <c r="T12" s="4"/>
      <c r="U12" s="4"/>
      <c r="V12" s="4"/>
      <c r="W12" s="4"/>
      <c r="X12" s="4"/>
      <c r="Y12" s="4"/>
      <c r="Z12" s="4"/>
    </row>
    <row r="13" ht="15.75" customHeight="1">
      <c r="A13" s="30" t="s">
        <v>133</v>
      </c>
      <c r="B13" s="31" t="s">
        <v>131</v>
      </c>
      <c r="C13" s="30" t="s">
        <v>979</v>
      </c>
      <c r="D13" s="30" t="s">
        <v>980</v>
      </c>
      <c r="E13" s="87">
        <v>0.25</v>
      </c>
      <c r="F13" s="30"/>
      <c r="G13" s="4"/>
      <c r="H13" s="4"/>
      <c r="I13" s="4"/>
      <c r="J13" s="4"/>
      <c r="K13" s="4"/>
      <c r="L13" s="4"/>
      <c r="M13" s="4"/>
      <c r="N13" s="4"/>
      <c r="O13" s="4"/>
      <c r="P13" s="4"/>
      <c r="Q13" s="4"/>
      <c r="R13" s="4"/>
      <c r="S13" s="4"/>
      <c r="T13" s="4"/>
      <c r="U13" s="4"/>
      <c r="V13" s="4"/>
      <c r="W13" s="4"/>
      <c r="X13" s="4"/>
      <c r="Y13" s="4"/>
      <c r="Z13" s="4"/>
    </row>
    <row r="14" ht="15.75" customHeight="1">
      <c r="A14" s="30" t="s">
        <v>133</v>
      </c>
      <c r="B14" s="31" t="s">
        <v>131</v>
      </c>
      <c r="C14" s="30" t="s">
        <v>981</v>
      </c>
      <c r="D14" s="30" t="s">
        <v>982</v>
      </c>
      <c r="E14" s="87">
        <v>0.5</v>
      </c>
      <c r="F14" s="30"/>
      <c r="G14" s="4"/>
      <c r="H14" s="4"/>
      <c r="I14" s="4"/>
      <c r="J14" s="4"/>
      <c r="K14" s="4"/>
      <c r="L14" s="4"/>
      <c r="M14" s="4"/>
      <c r="N14" s="4"/>
      <c r="O14" s="4"/>
      <c r="P14" s="4"/>
      <c r="Q14" s="4"/>
      <c r="R14" s="4"/>
      <c r="S14" s="4"/>
      <c r="T14" s="4"/>
      <c r="U14" s="4"/>
      <c r="V14" s="4"/>
      <c r="W14" s="4"/>
      <c r="X14" s="4"/>
      <c r="Y14" s="4"/>
      <c r="Z14" s="4"/>
    </row>
    <row r="15" ht="15.75" customHeight="1">
      <c r="A15" s="30" t="s">
        <v>133</v>
      </c>
      <c r="B15" s="31" t="s">
        <v>131</v>
      </c>
      <c r="C15" s="30" t="s">
        <v>983</v>
      </c>
      <c r="D15" s="30" t="s">
        <v>984</v>
      </c>
      <c r="E15" s="87">
        <v>0.75</v>
      </c>
      <c r="F15" s="30"/>
      <c r="G15" s="4"/>
      <c r="H15" s="4"/>
      <c r="I15" s="4"/>
      <c r="J15" s="4"/>
      <c r="K15" s="4"/>
      <c r="L15" s="4"/>
      <c r="M15" s="4"/>
      <c r="N15" s="4"/>
      <c r="O15" s="4"/>
      <c r="P15" s="4"/>
      <c r="Q15" s="4"/>
      <c r="R15" s="4"/>
      <c r="S15" s="4"/>
      <c r="T15" s="4"/>
      <c r="U15" s="4"/>
      <c r="V15" s="4"/>
      <c r="W15" s="4"/>
      <c r="X15" s="4"/>
      <c r="Y15" s="4"/>
      <c r="Z15" s="4"/>
    </row>
    <row r="16" ht="20.25" customHeight="1">
      <c r="A16" s="30" t="s">
        <v>133</v>
      </c>
      <c r="B16" s="31" t="s">
        <v>131</v>
      </c>
      <c r="C16" s="30" t="s">
        <v>985</v>
      </c>
      <c r="D16" s="30" t="s">
        <v>986</v>
      </c>
      <c r="E16" s="87">
        <v>1.0</v>
      </c>
      <c r="F16" s="30"/>
      <c r="G16" s="4"/>
      <c r="H16" s="4"/>
      <c r="I16" s="4"/>
      <c r="J16" s="4"/>
      <c r="K16" s="4"/>
      <c r="L16" s="4"/>
      <c r="M16" s="4"/>
      <c r="N16" s="4"/>
      <c r="O16" s="4"/>
      <c r="P16" s="4"/>
      <c r="Q16" s="4"/>
      <c r="R16" s="4"/>
      <c r="S16" s="4"/>
      <c r="T16" s="4"/>
      <c r="U16" s="4"/>
      <c r="V16" s="4"/>
      <c r="W16" s="4"/>
      <c r="X16" s="4"/>
      <c r="Y16" s="4"/>
      <c r="Z16" s="4"/>
    </row>
    <row r="17" ht="15.75" customHeight="1">
      <c r="A17" s="30" t="s">
        <v>130</v>
      </c>
      <c r="B17" s="31" t="s">
        <v>128</v>
      </c>
      <c r="C17" s="30" t="s">
        <v>987</v>
      </c>
      <c r="D17" s="30" t="s">
        <v>988</v>
      </c>
      <c r="E17" s="87">
        <v>0.0</v>
      </c>
      <c r="F17" s="30"/>
      <c r="G17" s="4"/>
      <c r="H17" s="4"/>
      <c r="I17" s="4"/>
      <c r="J17" s="4"/>
      <c r="K17" s="4"/>
      <c r="L17" s="4"/>
      <c r="M17" s="4"/>
      <c r="N17" s="4"/>
      <c r="O17" s="4"/>
      <c r="P17" s="4"/>
      <c r="Q17" s="4"/>
      <c r="R17" s="4"/>
      <c r="S17" s="4"/>
      <c r="T17" s="4"/>
      <c r="U17" s="4"/>
      <c r="V17" s="4"/>
      <c r="W17" s="4"/>
      <c r="X17" s="4"/>
      <c r="Y17" s="4"/>
      <c r="Z17" s="4"/>
    </row>
    <row r="18" ht="15.75" customHeight="1">
      <c r="A18" s="30" t="s">
        <v>130</v>
      </c>
      <c r="B18" s="31" t="s">
        <v>128</v>
      </c>
      <c r="C18" s="30" t="s">
        <v>989</v>
      </c>
      <c r="D18" s="30" t="s">
        <v>990</v>
      </c>
      <c r="E18" s="87">
        <v>0.2</v>
      </c>
      <c r="F18" s="30"/>
      <c r="G18" s="4"/>
      <c r="H18" s="4"/>
      <c r="I18" s="4"/>
      <c r="J18" s="4"/>
      <c r="K18" s="4"/>
      <c r="L18" s="4"/>
      <c r="M18" s="4"/>
      <c r="N18" s="4"/>
      <c r="O18" s="4"/>
      <c r="P18" s="4"/>
      <c r="Q18" s="4"/>
      <c r="R18" s="4"/>
      <c r="S18" s="4"/>
      <c r="T18" s="4"/>
      <c r="U18" s="4"/>
      <c r="V18" s="4"/>
      <c r="W18" s="4"/>
      <c r="X18" s="4"/>
      <c r="Y18" s="4"/>
      <c r="Z18" s="4"/>
    </row>
    <row r="19" ht="15.75" customHeight="1">
      <c r="A19" s="30" t="s">
        <v>130</v>
      </c>
      <c r="B19" s="31" t="s">
        <v>128</v>
      </c>
      <c r="C19" s="30" t="s">
        <v>991</v>
      </c>
      <c r="D19" s="30" t="s">
        <v>992</v>
      </c>
      <c r="E19" s="87">
        <v>0.35</v>
      </c>
      <c r="F19" s="30"/>
      <c r="G19" s="4"/>
      <c r="H19" s="4"/>
      <c r="I19" s="4"/>
      <c r="J19" s="4"/>
      <c r="K19" s="4"/>
      <c r="L19" s="4"/>
      <c r="M19" s="4"/>
      <c r="N19" s="4"/>
      <c r="O19" s="4"/>
      <c r="P19" s="4"/>
      <c r="Q19" s="4"/>
      <c r="R19" s="4"/>
      <c r="S19" s="4"/>
      <c r="T19" s="4"/>
      <c r="U19" s="4"/>
      <c r="V19" s="4"/>
      <c r="W19" s="4"/>
      <c r="X19" s="4"/>
      <c r="Y19" s="4"/>
      <c r="Z19" s="4"/>
    </row>
    <row r="20" ht="15.75" customHeight="1">
      <c r="A20" s="30" t="s">
        <v>130</v>
      </c>
      <c r="B20" s="31" t="s">
        <v>128</v>
      </c>
      <c r="C20" s="30" t="s">
        <v>993</v>
      </c>
      <c r="D20" s="30" t="s">
        <v>994</v>
      </c>
      <c r="E20" s="87">
        <v>0.55</v>
      </c>
      <c r="F20" s="30"/>
      <c r="G20" s="4"/>
      <c r="H20" s="4"/>
      <c r="I20" s="4"/>
      <c r="J20" s="4"/>
      <c r="K20" s="4"/>
      <c r="L20" s="4"/>
      <c r="M20" s="4"/>
      <c r="N20" s="4"/>
      <c r="O20" s="4"/>
      <c r="P20" s="4"/>
      <c r="Q20" s="4"/>
      <c r="R20" s="4"/>
      <c r="S20" s="4"/>
      <c r="T20" s="4"/>
      <c r="U20" s="4"/>
      <c r="V20" s="4"/>
      <c r="W20" s="4"/>
      <c r="X20" s="4"/>
      <c r="Y20" s="4"/>
      <c r="Z20" s="4"/>
    </row>
    <row r="21" ht="15.75" customHeight="1">
      <c r="A21" s="30" t="s">
        <v>130</v>
      </c>
      <c r="B21" s="31" t="s">
        <v>128</v>
      </c>
      <c r="C21" s="30" t="s">
        <v>995</v>
      </c>
      <c r="D21" s="30" t="s">
        <v>996</v>
      </c>
      <c r="E21" s="87">
        <v>0.75</v>
      </c>
      <c r="F21" s="30"/>
      <c r="G21" s="4"/>
      <c r="H21" s="4"/>
      <c r="I21" s="4"/>
      <c r="J21" s="4"/>
      <c r="K21" s="4"/>
      <c r="L21" s="4"/>
      <c r="M21" s="4"/>
      <c r="N21" s="4"/>
      <c r="O21" s="4"/>
      <c r="P21" s="4"/>
      <c r="Q21" s="4"/>
      <c r="R21" s="4"/>
      <c r="S21" s="4"/>
      <c r="T21" s="4"/>
      <c r="U21" s="4"/>
      <c r="V21" s="4"/>
      <c r="W21" s="4"/>
      <c r="X21" s="4"/>
      <c r="Y21" s="4"/>
      <c r="Z21" s="4"/>
    </row>
    <row r="22" ht="15.75" customHeight="1">
      <c r="A22" s="30" t="s">
        <v>130</v>
      </c>
      <c r="B22" s="31" t="s">
        <v>128</v>
      </c>
      <c r="C22" s="30" t="s">
        <v>997</v>
      </c>
      <c r="D22" s="30" t="s">
        <v>998</v>
      </c>
      <c r="E22" s="87">
        <v>1.0</v>
      </c>
      <c r="F22" s="30"/>
      <c r="G22" s="4"/>
      <c r="H22" s="4"/>
      <c r="I22" s="4"/>
      <c r="J22" s="4"/>
      <c r="K22" s="4"/>
      <c r="L22" s="4"/>
      <c r="M22" s="4"/>
      <c r="N22" s="4"/>
      <c r="O22" s="4"/>
      <c r="P22" s="4"/>
      <c r="Q22" s="4"/>
      <c r="R22" s="4"/>
      <c r="S22" s="4"/>
      <c r="T22" s="4"/>
      <c r="U22" s="4"/>
      <c r="V22" s="4"/>
      <c r="W22" s="4"/>
      <c r="X22" s="4"/>
      <c r="Y22" s="4"/>
      <c r="Z22" s="4"/>
    </row>
    <row r="23" ht="15.75" customHeight="1">
      <c r="A23" s="30" t="s">
        <v>130</v>
      </c>
      <c r="B23" s="31" t="s">
        <v>131</v>
      </c>
      <c r="C23" s="30" t="s">
        <v>999</v>
      </c>
      <c r="D23" s="30" t="s">
        <v>1000</v>
      </c>
      <c r="E23" s="87">
        <v>0.0</v>
      </c>
      <c r="F23" s="30"/>
      <c r="G23" s="4"/>
      <c r="H23" s="4"/>
      <c r="I23" s="4"/>
      <c r="J23" s="4"/>
      <c r="K23" s="4"/>
      <c r="L23" s="4"/>
      <c r="M23" s="4"/>
      <c r="N23" s="4"/>
      <c r="O23" s="4"/>
      <c r="P23" s="4"/>
      <c r="Q23" s="4"/>
      <c r="R23" s="4"/>
      <c r="S23" s="4"/>
      <c r="T23" s="4"/>
      <c r="U23" s="4"/>
      <c r="V23" s="4"/>
      <c r="W23" s="4"/>
      <c r="X23" s="4"/>
      <c r="Y23" s="4"/>
      <c r="Z23" s="4"/>
    </row>
    <row r="24" ht="15.75" customHeight="1">
      <c r="A24" s="30" t="s">
        <v>139</v>
      </c>
      <c r="B24" s="31" t="s">
        <v>137</v>
      </c>
      <c r="C24" s="30" t="s">
        <v>1001</v>
      </c>
      <c r="D24" s="30" t="s">
        <v>988</v>
      </c>
      <c r="E24" s="87">
        <v>0.0</v>
      </c>
      <c r="F24" s="30"/>
      <c r="G24" s="4"/>
      <c r="H24" s="4"/>
      <c r="I24" s="4"/>
      <c r="J24" s="4"/>
      <c r="K24" s="4"/>
      <c r="L24" s="4"/>
      <c r="M24" s="4"/>
      <c r="N24" s="4"/>
      <c r="O24" s="4"/>
      <c r="P24" s="4"/>
      <c r="Q24" s="4"/>
      <c r="R24" s="4"/>
      <c r="S24" s="4"/>
      <c r="T24" s="4"/>
      <c r="U24" s="4"/>
      <c r="V24" s="4"/>
      <c r="W24" s="4"/>
      <c r="X24" s="4"/>
      <c r="Y24" s="4"/>
      <c r="Z24" s="4"/>
    </row>
    <row r="25" ht="15.75" customHeight="1">
      <c r="A25" s="30" t="s">
        <v>139</v>
      </c>
      <c r="B25" s="31" t="s">
        <v>137</v>
      </c>
      <c r="C25" s="30" t="s">
        <v>1002</v>
      </c>
      <c r="D25" s="30" t="s">
        <v>1003</v>
      </c>
      <c r="E25" s="87">
        <v>0.6</v>
      </c>
      <c r="F25" s="30"/>
      <c r="G25" s="4"/>
      <c r="H25" s="4"/>
      <c r="I25" s="4"/>
      <c r="J25" s="4"/>
      <c r="K25" s="4"/>
      <c r="L25" s="4"/>
      <c r="M25" s="4"/>
      <c r="N25" s="4"/>
      <c r="O25" s="4"/>
      <c r="P25" s="4"/>
      <c r="Q25" s="4"/>
      <c r="R25" s="4"/>
      <c r="S25" s="4"/>
      <c r="T25" s="4"/>
      <c r="U25" s="4"/>
      <c r="V25" s="4"/>
      <c r="W25" s="4"/>
      <c r="X25" s="4"/>
      <c r="Y25" s="4"/>
      <c r="Z25" s="4"/>
    </row>
    <row r="26" ht="15.75" customHeight="1">
      <c r="A26" s="30" t="s">
        <v>139</v>
      </c>
      <c r="B26" s="31" t="s">
        <v>137</v>
      </c>
      <c r="C26" s="30" t="s">
        <v>1004</v>
      </c>
      <c r="D26" s="30" t="s">
        <v>1005</v>
      </c>
      <c r="E26" s="87">
        <v>0.6</v>
      </c>
      <c r="F26" s="30"/>
      <c r="G26" s="4"/>
      <c r="H26" s="4"/>
      <c r="I26" s="4"/>
      <c r="J26" s="4"/>
      <c r="K26" s="4"/>
      <c r="L26" s="4"/>
      <c r="M26" s="4"/>
      <c r="N26" s="4"/>
      <c r="O26" s="4"/>
      <c r="P26" s="4"/>
      <c r="Q26" s="4"/>
      <c r="R26" s="4"/>
      <c r="S26" s="4"/>
      <c r="T26" s="4"/>
      <c r="U26" s="4"/>
      <c r="V26" s="4"/>
      <c r="W26" s="4"/>
      <c r="X26" s="4"/>
      <c r="Y26" s="4"/>
      <c r="Z26" s="4"/>
    </row>
    <row r="27" ht="15.75" customHeight="1">
      <c r="A27" s="30" t="s">
        <v>139</v>
      </c>
      <c r="B27" s="31" t="s">
        <v>137</v>
      </c>
      <c r="C27" s="30" t="s">
        <v>1006</v>
      </c>
      <c r="D27" s="30" t="s">
        <v>1007</v>
      </c>
      <c r="E27" s="87">
        <v>0.9</v>
      </c>
      <c r="F27" s="30"/>
      <c r="G27" s="4"/>
      <c r="H27" s="4"/>
      <c r="I27" s="4"/>
      <c r="J27" s="4"/>
      <c r="K27" s="4"/>
      <c r="L27" s="4"/>
      <c r="M27" s="4"/>
      <c r="N27" s="4"/>
      <c r="O27" s="4"/>
      <c r="P27" s="4"/>
      <c r="Q27" s="4"/>
      <c r="R27" s="4"/>
      <c r="S27" s="4"/>
      <c r="T27" s="4"/>
      <c r="U27" s="4"/>
      <c r="V27" s="4"/>
      <c r="W27" s="4"/>
      <c r="X27" s="4"/>
      <c r="Y27" s="4"/>
      <c r="Z27" s="4"/>
    </row>
    <row r="28" ht="15.75" customHeight="1">
      <c r="A28" s="30" t="s">
        <v>139</v>
      </c>
      <c r="B28" s="31" t="s">
        <v>137</v>
      </c>
      <c r="C28" s="30" t="s">
        <v>719</v>
      </c>
      <c r="D28" s="30" t="s">
        <v>1008</v>
      </c>
      <c r="E28" s="87">
        <v>0.4</v>
      </c>
      <c r="F28" s="30"/>
      <c r="G28" s="4"/>
      <c r="H28" s="4"/>
      <c r="I28" s="4"/>
      <c r="J28" s="4"/>
      <c r="K28" s="4"/>
      <c r="L28" s="4"/>
      <c r="M28" s="4"/>
      <c r="N28" s="4"/>
      <c r="O28" s="4"/>
      <c r="P28" s="4"/>
      <c r="Q28" s="4"/>
      <c r="R28" s="4"/>
      <c r="S28" s="4"/>
      <c r="T28" s="4"/>
      <c r="U28" s="4"/>
      <c r="V28" s="4"/>
      <c r="W28" s="4"/>
      <c r="X28" s="4"/>
      <c r="Y28" s="4"/>
      <c r="Z28" s="4"/>
    </row>
    <row r="29" ht="15.75" customHeight="1">
      <c r="A29" s="30" t="s">
        <v>139</v>
      </c>
      <c r="B29" s="31" t="s">
        <v>137</v>
      </c>
      <c r="C29" s="30" t="s">
        <v>1009</v>
      </c>
      <c r="D29" s="30" t="s">
        <v>1000</v>
      </c>
      <c r="E29" s="87">
        <v>0.0</v>
      </c>
      <c r="F29" s="30"/>
      <c r="G29" s="4"/>
      <c r="H29" s="4"/>
      <c r="I29" s="4"/>
      <c r="J29" s="4"/>
      <c r="K29" s="4"/>
      <c r="L29" s="4"/>
      <c r="M29" s="4"/>
      <c r="N29" s="4"/>
      <c r="O29" s="4"/>
      <c r="P29" s="4"/>
      <c r="Q29" s="4"/>
      <c r="R29" s="4"/>
      <c r="S29" s="4"/>
      <c r="T29" s="4"/>
      <c r="U29" s="4"/>
      <c r="V29" s="4"/>
      <c r="W29" s="4"/>
      <c r="X29" s="4"/>
      <c r="Y29" s="4"/>
      <c r="Z29" s="4"/>
    </row>
    <row r="30" ht="15.75" customHeight="1">
      <c r="A30" s="30" t="s">
        <v>160</v>
      </c>
      <c r="B30" s="31" t="s">
        <v>158</v>
      </c>
      <c r="C30" s="30" t="s">
        <v>1010</v>
      </c>
      <c r="D30" s="30" t="s">
        <v>1011</v>
      </c>
      <c r="E30" s="87">
        <v>1.0</v>
      </c>
      <c r="F30" s="30"/>
      <c r="G30" s="4"/>
      <c r="H30" s="4"/>
      <c r="I30" s="4"/>
      <c r="J30" s="4"/>
      <c r="K30" s="4"/>
      <c r="L30" s="4"/>
      <c r="M30" s="4"/>
      <c r="N30" s="4"/>
      <c r="O30" s="4"/>
      <c r="P30" s="4"/>
      <c r="Q30" s="4"/>
      <c r="R30" s="4"/>
      <c r="S30" s="4"/>
      <c r="T30" s="4"/>
      <c r="U30" s="4"/>
      <c r="V30" s="4"/>
      <c r="W30" s="4"/>
      <c r="X30" s="4"/>
      <c r="Y30" s="4"/>
      <c r="Z30" s="4"/>
    </row>
    <row r="31" ht="15.75" customHeight="1">
      <c r="A31" s="30" t="s">
        <v>160</v>
      </c>
      <c r="B31" s="31" t="s">
        <v>158</v>
      </c>
      <c r="C31" s="30" t="s">
        <v>1012</v>
      </c>
      <c r="D31" s="30" t="s">
        <v>1013</v>
      </c>
      <c r="E31" s="87">
        <v>0.85</v>
      </c>
      <c r="F31" s="30"/>
      <c r="G31" s="4"/>
      <c r="H31" s="4"/>
      <c r="I31" s="4"/>
      <c r="J31" s="4"/>
      <c r="K31" s="4"/>
      <c r="L31" s="4"/>
      <c r="M31" s="4"/>
      <c r="N31" s="4"/>
      <c r="O31" s="4"/>
      <c r="P31" s="4"/>
      <c r="Q31" s="4"/>
      <c r="R31" s="4"/>
      <c r="S31" s="4"/>
      <c r="T31" s="4"/>
      <c r="U31" s="4"/>
      <c r="V31" s="4"/>
      <c r="W31" s="4"/>
      <c r="X31" s="4"/>
      <c r="Y31" s="4"/>
      <c r="Z31" s="4"/>
    </row>
    <row r="32" ht="15.75" customHeight="1">
      <c r="A32" s="30" t="s">
        <v>160</v>
      </c>
      <c r="B32" s="31" t="s">
        <v>158</v>
      </c>
      <c r="C32" s="30" t="s">
        <v>1014</v>
      </c>
      <c r="D32" s="30" t="s">
        <v>1015</v>
      </c>
      <c r="E32" s="87">
        <v>0.65</v>
      </c>
      <c r="F32" s="30"/>
      <c r="G32" s="4"/>
      <c r="H32" s="4"/>
      <c r="I32" s="4"/>
      <c r="J32" s="4"/>
      <c r="K32" s="4"/>
      <c r="L32" s="4"/>
      <c r="M32" s="4"/>
      <c r="N32" s="4"/>
      <c r="O32" s="4"/>
      <c r="P32" s="4"/>
      <c r="Q32" s="4"/>
      <c r="R32" s="4"/>
      <c r="S32" s="4"/>
      <c r="T32" s="4"/>
      <c r="U32" s="4"/>
      <c r="V32" s="4"/>
      <c r="W32" s="4"/>
      <c r="X32" s="4"/>
      <c r="Y32" s="4"/>
      <c r="Z32" s="4"/>
    </row>
    <row r="33" ht="15.75" customHeight="1">
      <c r="A33" s="30" t="s">
        <v>160</v>
      </c>
      <c r="B33" s="31" t="s">
        <v>158</v>
      </c>
      <c r="C33" s="30" t="s">
        <v>1016</v>
      </c>
      <c r="D33" s="30" t="s">
        <v>1017</v>
      </c>
      <c r="E33" s="87">
        <v>0.45</v>
      </c>
      <c r="F33" s="30"/>
      <c r="G33" s="4"/>
      <c r="H33" s="4"/>
      <c r="I33" s="4"/>
      <c r="J33" s="4"/>
      <c r="K33" s="4"/>
      <c r="L33" s="4"/>
      <c r="M33" s="4"/>
      <c r="N33" s="4"/>
      <c r="O33" s="4"/>
      <c r="P33" s="4"/>
      <c r="Q33" s="4"/>
      <c r="R33" s="4"/>
      <c r="S33" s="4"/>
      <c r="T33" s="4"/>
      <c r="U33" s="4"/>
      <c r="V33" s="4"/>
      <c r="W33" s="4"/>
      <c r="X33" s="4"/>
      <c r="Y33" s="4"/>
      <c r="Z33" s="4"/>
    </row>
    <row r="34" ht="15.75" customHeight="1">
      <c r="A34" s="30" t="s">
        <v>160</v>
      </c>
      <c r="B34" s="31" t="s">
        <v>158</v>
      </c>
      <c r="C34" s="30" t="s">
        <v>1018</v>
      </c>
      <c r="D34" s="30" t="s">
        <v>1019</v>
      </c>
      <c r="E34" s="87">
        <v>0.2</v>
      </c>
      <c r="F34" s="30"/>
      <c r="G34" s="4"/>
      <c r="H34" s="4"/>
      <c r="I34" s="4"/>
      <c r="J34" s="4"/>
      <c r="K34" s="4"/>
      <c r="L34" s="4"/>
      <c r="M34" s="4"/>
      <c r="N34" s="4"/>
      <c r="O34" s="4"/>
      <c r="P34" s="4"/>
      <c r="Q34" s="4"/>
      <c r="R34" s="4"/>
      <c r="S34" s="4"/>
      <c r="T34" s="4"/>
      <c r="U34" s="4"/>
      <c r="V34" s="4"/>
      <c r="W34" s="4"/>
      <c r="X34" s="4"/>
      <c r="Y34" s="4"/>
      <c r="Z34" s="4"/>
    </row>
    <row r="35" ht="15.75" customHeight="1">
      <c r="A35" s="30" t="s">
        <v>160</v>
      </c>
      <c r="B35" s="31" t="s">
        <v>158</v>
      </c>
      <c r="C35" s="30" t="s">
        <v>1020</v>
      </c>
      <c r="D35" s="30" t="s">
        <v>1021</v>
      </c>
      <c r="E35" s="87">
        <v>0.05</v>
      </c>
      <c r="F35" s="30"/>
      <c r="G35" s="4"/>
      <c r="H35" s="4"/>
      <c r="I35" s="4"/>
      <c r="J35" s="4"/>
      <c r="K35" s="4"/>
      <c r="L35" s="4"/>
      <c r="M35" s="4"/>
      <c r="N35" s="4"/>
      <c r="O35" s="4"/>
      <c r="P35" s="4"/>
      <c r="Q35" s="4"/>
      <c r="R35" s="4"/>
      <c r="S35" s="4"/>
      <c r="T35" s="4"/>
      <c r="U35" s="4"/>
      <c r="V35" s="4"/>
      <c r="W35" s="4"/>
      <c r="X35" s="4"/>
      <c r="Y35" s="4"/>
      <c r="Z35" s="4"/>
    </row>
    <row r="36" ht="15.75" customHeight="1">
      <c r="A36" s="30" t="s">
        <v>160</v>
      </c>
      <c r="B36" s="31" t="s">
        <v>158</v>
      </c>
      <c r="C36" s="30" t="s">
        <v>1022</v>
      </c>
      <c r="D36" s="30" t="s">
        <v>1023</v>
      </c>
      <c r="E36" s="87">
        <v>0.35</v>
      </c>
      <c r="F36" s="30"/>
      <c r="G36" s="4"/>
      <c r="H36" s="4"/>
      <c r="I36" s="4"/>
      <c r="J36" s="4"/>
      <c r="K36" s="4"/>
      <c r="L36" s="4"/>
      <c r="M36" s="4"/>
      <c r="N36" s="4"/>
      <c r="O36" s="4"/>
      <c r="P36" s="4"/>
      <c r="Q36" s="4"/>
      <c r="R36" s="4"/>
      <c r="S36" s="4"/>
      <c r="T36" s="4"/>
      <c r="U36" s="4"/>
      <c r="V36" s="4"/>
      <c r="W36" s="4"/>
      <c r="X36" s="4"/>
      <c r="Y36" s="4"/>
      <c r="Z36" s="4"/>
    </row>
    <row r="37" ht="15.75" customHeight="1">
      <c r="A37" s="4" t="s">
        <v>142</v>
      </c>
      <c r="B37" s="88" t="s">
        <v>140</v>
      </c>
      <c r="C37" s="4" t="s">
        <v>1001</v>
      </c>
      <c r="D37" s="4" t="s">
        <v>988</v>
      </c>
      <c r="E37" s="89">
        <v>0.0</v>
      </c>
      <c r="F37" s="4"/>
      <c r="G37" s="4"/>
      <c r="H37" s="4"/>
      <c r="I37" s="4"/>
      <c r="J37" s="4"/>
      <c r="K37" s="4"/>
      <c r="L37" s="4"/>
      <c r="M37" s="4"/>
      <c r="N37" s="4"/>
      <c r="O37" s="4"/>
      <c r="P37" s="4"/>
      <c r="Q37" s="4"/>
      <c r="R37" s="4"/>
      <c r="S37" s="4"/>
      <c r="T37" s="4"/>
      <c r="U37" s="4"/>
      <c r="V37" s="4"/>
      <c r="W37" s="4"/>
      <c r="X37" s="4"/>
      <c r="Y37" s="4"/>
      <c r="Z37" s="4"/>
    </row>
    <row r="38" ht="15.75" customHeight="1">
      <c r="A38" s="4" t="s">
        <v>142</v>
      </c>
      <c r="B38" s="88" t="s">
        <v>140</v>
      </c>
      <c r="C38" s="4" t="s">
        <v>1024</v>
      </c>
      <c r="D38" s="4" t="s">
        <v>1025</v>
      </c>
      <c r="E38" s="89">
        <v>1.0</v>
      </c>
      <c r="F38" s="4"/>
      <c r="G38" s="4"/>
      <c r="H38" s="4"/>
      <c r="I38" s="4"/>
      <c r="J38" s="4"/>
      <c r="K38" s="4"/>
      <c r="L38" s="4"/>
      <c r="M38" s="4"/>
      <c r="N38" s="4"/>
      <c r="O38" s="4"/>
      <c r="P38" s="4"/>
      <c r="Q38" s="4"/>
      <c r="R38" s="4"/>
      <c r="S38" s="4"/>
      <c r="T38" s="4"/>
      <c r="U38" s="4"/>
      <c r="V38" s="4"/>
      <c r="W38" s="4"/>
      <c r="X38" s="4"/>
      <c r="Y38" s="4"/>
      <c r="Z38" s="4"/>
    </row>
    <row r="39" ht="15.75" customHeight="1">
      <c r="A39" s="4" t="s">
        <v>142</v>
      </c>
      <c r="B39" s="88" t="s">
        <v>140</v>
      </c>
      <c r="C39" s="4" t="s">
        <v>1026</v>
      </c>
      <c r="D39" s="4" t="s">
        <v>1027</v>
      </c>
      <c r="E39" s="89">
        <v>1.0</v>
      </c>
      <c r="F39" s="4"/>
      <c r="G39" s="4"/>
      <c r="H39" s="4"/>
      <c r="I39" s="4"/>
      <c r="J39" s="4"/>
      <c r="K39" s="4"/>
      <c r="L39" s="4"/>
      <c r="M39" s="4"/>
      <c r="N39" s="4"/>
      <c r="O39" s="4"/>
      <c r="P39" s="4"/>
      <c r="Q39" s="4"/>
      <c r="R39" s="4"/>
      <c r="S39" s="4"/>
      <c r="T39" s="4"/>
      <c r="U39" s="4"/>
      <c r="V39" s="4"/>
      <c r="W39" s="4"/>
      <c r="X39" s="4"/>
      <c r="Y39" s="4"/>
      <c r="Z39" s="4"/>
    </row>
    <row r="40" ht="15.75" customHeight="1">
      <c r="A40" s="4" t="s">
        <v>142</v>
      </c>
      <c r="B40" s="88" t="s">
        <v>140</v>
      </c>
      <c r="C40" s="4" t="s">
        <v>1028</v>
      </c>
      <c r="D40" s="4" t="s">
        <v>1029</v>
      </c>
      <c r="E40" s="89">
        <v>0.6</v>
      </c>
      <c r="F40" s="4"/>
      <c r="G40" s="4"/>
      <c r="H40" s="4"/>
      <c r="I40" s="4"/>
      <c r="J40" s="4"/>
      <c r="K40" s="4"/>
      <c r="L40" s="4"/>
      <c r="M40" s="4"/>
      <c r="N40" s="4"/>
      <c r="O40" s="4"/>
      <c r="P40" s="4"/>
      <c r="Q40" s="4"/>
      <c r="R40" s="4"/>
      <c r="S40" s="4"/>
      <c r="T40" s="4"/>
      <c r="U40" s="4"/>
      <c r="V40" s="4"/>
      <c r="W40" s="4"/>
      <c r="X40" s="4"/>
      <c r="Y40" s="4"/>
      <c r="Z40" s="4"/>
    </row>
    <row r="41" ht="15.75" customHeight="1">
      <c r="A41" s="4" t="s">
        <v>142</v>
      </c>
      <c r="B41" s="88" t="s">
        <v>140</v>
      </c>
      <c r="C41" s="4" t="s">
        <v>1009</v>
      </c>
      <c r="D41" s="4" t="s">
        <v>1000</v>
      </c>
      <c r="E41" s="89">
        <v>0.0</v>
      </c>
      <c r="F41" s="4"/>
      <c r="G41" s="4"/>
      <c r="H41" s="4"/>
      <c r="I41" s="4"/>
      <c r="J41" s="4"/>
      <c r="K41" s="4"/>
      <c r="L41" s="4"/>
      <c r="M41" s="4"/>
      <c r="N41" s="4"/>
      <c r="O41" s="4"/>
      <c r="P41" s="4"/>
      <c r="Q41" s="4"/>
      <c r="R41" s="4"/>
      <c r="S41" s="4"/>
      <c r="T41" s="4"/>
      <c r="U41" s="4"/>
      <c r="V41" s="4"/>
      <c r="W41" s="4"/>
      <c r="X41" s="4"/>
      <c r="Y41" s="4"/>
      <c r="Z41" s="4"/>
    </row>
  </sheetData>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5"/>
    <col customWidth="1" min="2" max="2" width="10.38"/>
    <col customWidth="1" min="4" max="4" width="20.88"/>
  </cols>
  <sheetData>
    <row r="1" ht="15.75" customHeight="1">
      <c r="A1" s="26" t="s">
        <v>965</v>
      </c>
      <c r="B1" s="27" t="s">
        <v>488</v>
      </c>
      <c r="C1" s="26" t="s">
        <v>489</v>
      </c>
      <c r="D1" s="26" t="s">
        <v>490</v>
      </c>
      <c r="E1" s="30"/>
      <c r="F1" s="30"/>
      <c r="G1" s="30"/>
      <c r="H1" s="30"/>
      <c r="I1" s="30"/>
      <c r="J1" s="30"/>
      <c r="K1" s="30"/>
      <c r="L1" s="30"/>
      <c r="M1" s="30"/>
      <c r="N1" s="30"/>
      <c r="O1" s="30"/>
      <c r="P1" s="30"/>
      <c r="Q1" s="30"/>
      <c r="R1" s="30"/>
      <c r="S1" s="30"/>
      <c r="T1" s="30"/>
      <c r="U1" s="30"/>
      <c r="V1" s="30"/>
      <c r="W1" s="30"/>
      <c r="X1" s="30"/>
      <c r="Y1" s="30"/>
      <c r="Z1" s="30"/>
    </row>
    <row r="2" ht="15.75" customHeight="1">
      <c r="A2" s="30" t="s">
        <v>164</v>
      </c>
      <c r="B2" s="31" t="s">
        <v>161</v>
      </c>
      <c r="C2" s="30" t="s">
        <v>903</v>
      </c>
      <c r="D2" s="30" t="s">
        <v>904</v>
      </c>
      <c r="E2" s="30"/>
      <c r="F2" s="30"/>
      <c r="G2" s="30"/>
      <c r="H2" s="30"/>
      <c r="I2" s="30"/>
      <c r="J2" s="30"/>
      <c r="K2" s="30"/>
      <c r="L2" s="30"/>
      <c r="M2" s="30"/>
      <c r="N2" s="30"/>
      <c r="O2" s="30"/>
      <c r="P2" s="30"/>
      <c r="Q2" s="30"/>
      <c r="R2" s="30"/>
      <c r="S2" s="30"/>
      <c r="T2" s="30"/>
      <c r="U2" s="30"/>
      <c r="V2" s="30"/>
      <c r="W2" s="30"/>
      <c r="X2" s="30"/>
      <c r="Y2" s="30"/>
      <c r="Z2" s="30"/>
    </row>
    <row r="3" ht="15.75" customHeight="1">
      <c r="A3" s="30" t="s">
        <v>167</v>
      </c>
      <c r="B3" s="31" t="s">
        <v>165</v>
      </c>
      <c r="C3" s="30" t="s">
        <v>903</v>
      </c>
      <c r="D3" s="30" t="s">
        <v>904</v>
      </c>
      <c r="E3" s="30"/>
      <c r="F3" s="30"/>
      <c r="G3" s="30"/>
      <c r="H3" s="30"/>
      <c r="I3" s="30"/>
      <c r="J3" s="30"/>
      <c r="K3" s="30"/>
      <c r="L3" s="30"/>
      <c r="M3" s="30"/>
      <c r="N3" s="30"/>
      <c r="O3" s="30"/>
      <c r="P3" s="30"/>
      <c r="Q3" s="30"/>
      <c r="R3" s="30"/>
      <c r="S3" s="30"/>
      <c r="T3" s="30"/>
      <c r="U3" s="30"/>
      <c r="V3" s="30"/>
      <c r="W3" s="30"/>
      <c r="X3" s="30"/>
      <c r="Y3" s="30"/>
      <c r="Z3" s="30"/>
    </row>
    <row r="4" ht="15.75" customHeight="1">
      <c r="A4" s="30" t="s">
        <v>164</v>
      </c>
      <c r="B4" s="31" t="s">
        <v>161</v>
      </c>
      <c r="C4" s="30" t="s">
        <v>908</v>
      </c>
      <c r="D4" s="30" t="s">
        <v>909</v>
      </c>
      <c r="E4" s="30"/>
      <c r="F4" s="30"/>
      <c r="G4" s="30"/>
      <c r="H4" s="30"/>
      <c r="I4" s="30"/>
      <c r="J4" s="30"/>
      <c r="K4" s="30"/>
      <c r="L4" s="30"/>
      <c r="M4" s="30"/>
      <c r="N4" s="30"/>
      <c r="O4" s="30"/>
      <c r="P4" s="30"/>
      <c r="Q4" s="30"/>
      <c r="R4" s="30"/>
      <c r="S4" s="30"/>
      <c r="T4" s="30"/>
      <c r="U4" s="30"/>
      <c r="V4" s="30"/>
      <c r="W4" s="30"/>
      <c r="X4" s="30"/>
      <c r="Y4" s="30"/>
      <c r="Z4" s="30"/>
    </row>
    <row r="5" ht="15.75" customHeight="1">
      <c r="A5" s="30" t="s">
        <v>167</v>
      </c>
      <c r="B5" s="31" t="s">
        <v>165</v>
      </c>
      <c r="C5" s="30" t="s">
        <v>908</v>
      </c>
      <c r="D5" s="30" t="s">
        <v>909</v>
      </c>
      <c r="E5" s="30"/>
      <c r="F5" s="30"/>
      <c r="G5" s="30"/>
      <c r="H5" s="30"/>
      <c r="I5" s="30"/>
      <c r="J5" s="30"/>
      <c r="K5" s="30"/>
      <c r="L5" s="30"/>
      <c r="M5" s="30"/>
      <c r="N5" s="30"/>
      <c r="O5" s="30"/>
      <c r="P5" s="30"/>
      <c r="Q5" s="30"/>
      <c r="R5" s="30"/>
      <c r="S5" s="30"/>
      <c r="T5" s="30"/>
      <c r="U5" s="30"/>
      <c r="V5" s="30"/>
      <c r="W5" s="30"/>
      <c r="X5" s="30"/>
      <c r="Y5" s="30"/>
      <c r="Z5" s="30"/>
    </row>
    <row r="6" ht="15.75" customHeight="1">
      <c r="A6" s="30" t="s">
        <v>164</v>
      </c>
      <c r="B6" s="31" t="s">
        <v>161</v>
      </c>
      <c r="C6" s="30" t="s">
        <v>885</v>
      </c>
      <c r="D6" s="30" t="s">
        <v>886</v>
      </c>
      <c r="E6" s="30"/>
      <c r="F6" s="30"/>
      <c r="G6" s="30"/>
      <c r="H6" s="30"/>
      <c r="I6" s="30"/>
      <c r="J6" s="30"/>
      <c r="K6" s="30"/>
      <c r="L6" s="30"/>
      <c r="M6" s="30"/>
      <c r="N6" s="30"/>
      <c r="O6" s="30"/>
      <c r="P6" s="30"/>
      <c r="Q6" s="30"/>
      <c r="R6" s="30"/>
      <c r="S6" s="30"/>
      <c r="T6" s="30"/>
      <c r="U6" s="30"/>
      <c r="V6" s="30"/>
      <c r="W6" s="30"/>
      <c r="X6" s="30"/>
      <c r="Y6" s="30"/>
      <c r="Z6" s="30"/>
    </row>
    <row r="7" ht="15.75" customHeight="1">
      <c r="A7" s="30" t="s">
        <v>167</v>
      </c>
      <c r="B7" s="31" t="s">
        <v>165</v>
      </c>
      <c r="C7" s="30" t="s">
        <v>885</v>
      </c>
      <c r="D7" s="30" t="s">
        <v>886</v>
      </c>
      <c r="E7" s="30"/>
      <c r="F7" s="30"/>
      <c r="G7" s="30"/>
      <c r="H7" s="30"/>
      <c r="I7" s="30"/>
      <c r="J7" s="30"/>
      <c r="K7" s="30"/>
      <c r="L7" s="30"/>
      <c r="M7" s="30"/>
      <c r="N7" s="30"/>
      <c r="O7" s="30"/>
      <c r="P7" s="30"/>
      <c r="Q7" s="30"/>
      <c r="R7" s="30"/>
      <c r="S7" s="30"/>
      <c r="T7" s="30"/>
      <c r="U7" s="30"/>
      <c r="V7" s="30"/>
      <c r="W7" s="30"/>
      <c r="X7" s="30"/>
      <c r="Y7" s="30"/>
      <c r="Z7" s="30"/>
    </row>
    <row r="8" ht="15.75" customHeight="1">
      <c r="A8" s="30" t="s">
        <v>164</v>
      </c>
      <c r="B8" s="31" t="s">
        <v>161</v>
      </c>
      <c r="C8" s="30" t="s">
        <v>893</v>
      </c>
      <c r="D8" s="30" t="s">
        <v>894</v>
      </c>
      <c r="E8" s="30"/>
      <c r="F8" s="30"/>
      <c r="G8" s="30"/>
      <c r="H8" s="30"/>
      <c r="I8" s="30"/>
      <c r="J8" s="30"/>
      <c r="K8" s="30"/>
      <c r="L8" s="30"/>
      <c r="M8" s="30"/>
      <c r="N8" s="30"/>
      <c r="O8" s="30"/>
      <c r="P8" s="30"/>
      <c r="Q8" s="30"/>
      <c r="R8" s="30"/>
      <c r="S8" s="30"/>
      <c r="T8" s="30"/>
      <c r="U8" s="30"/>
      <c r="V8" s="30"/>
      <c r="W8" s="30"/>
      <c r="X8" s="30"/>
      <c r="Y8" s="30"/>
      <c r="Z8" s="30"/>
    </row>
    <row r="9" ht="15.75" customHeight="1">
      <c r="A9" s="30" t="s">
        <v>167</v>
      </c>
      <c r="B9" s="31" t="s">
        <v>165</v>
      </c>
      <c r="C9" s="30" t="s">
        <v>893</v>
      </c>
      <c r="D9" s="30" t="s">
        <v>894</v>
      </c>
      <c r="E9" s="30"/>
      <c r="F9" s="30"/>
      <c r="G9" s="30"/>
      <c r="H9" s="30"/>
      <c r="I9" s="30"/>
      <c r="J9" s="30"/>
      <c r="K9" s="30"/>
      <c r="L9" s="30"/>
      <c r="M9" s="30"/>
      <c r="N9" s="30"/>
      <c r="O9" s="30"/>
      <c r="P9" s="30"/>
      <c r="Q9" s="30"/>
      <c r="R9" s="30"/>
      <c r="S9" s="30"/>
      <c r="T9" s="30"/>
      <c r="U9" s="30"/>
      <c r="V9" s="30"/>
      <c r="W9" s="30"/>
      <c r="X9" s="30"/>
      <c r="Y9" s="30"/>
      <c r="Z9" s="30"/>
    </row>
    <row r="10" ht="15.75" customHeight="1">
      <c r="A10" s="30" t="s">
        <v>164</v>
      </c>
      <c r="B10" s="31" t="s">
        <v>161</v>
      </c>
      <c r="C10" s="30" t="s">
        <v>899</v>
      </c>
      <c r="D10" s="30" t="s">
        <v>900</v>
      </c>
      <c r="E10" s="30"/>
      <c r="F10" s="30"/>
      <c r="G10" s="30"/>
      <c r="H10" s="30"/>
      <c r="I10" s="30"/>
      <c r="J10" s="30"/>
      <c r="K10" s="30"/>
      <c r="L10" s="30"/>
      <c r="M10" s="30"/>
      <c r="N10" s="30"/>
      <c r="O10" s="30"/>
      <c r="P10" s="30"/>
      <c r="Q10" s="30"/>
      <c r="R10" s="30"/>
      <c r="S10" s="30"/>
      <c r="T10" s="30"/>
      <c r="U10" s="30"/>
      <c r="V10" s="30"/>
      <c r="W10" s="30"/>
      <c r="X10" s="30"/>
      <c r="Y10" s="30"/>
      <c r="Z10" s="30"/>
    </row>
    <row r="11" ht="15.75" customHeight="1">
      <c r="A11" s="30" t="s">
        <v>167</v>
      </c>
      <c r="B11" s="31" t="s">
        <v>165</v>
      </c>
      <c r="C11" s="30" t="s">
        <v>899</v>
      </c>
      <c r="D11" s="30" t="s">
        <v>900</v>
      </c>
      <c r="E11" s="30"/>
      <c r="F11" s="30"/>
      <c r="G11" s="30"/>
      <c r="H11" s="30"/>
      <c r="I11" s="30"/>
      <c r="J11" s="30"/>
      <c r="K11" s="30"/>
      <c r="L11" s="30"/>
      <c r="M11" s="30"/>
      <c r="N11" s="30"/>
      <c r="O11" s="30"/>
      <c r="P11" s="30"/>
      <c r="Q11" s="30"/>
      <c r="R11" s="30"/>
      <c r="S11" s="30"/>
      <c r="T11" s="30"/>
      <c r="U11" s="30"/>
      <c r="V11" s="30"/>
      <c r="W11" s="30"/>
      <c r="X11" s="30"/>
      <c r="Y11" s="30"/>
      <c r="Z11" s="30"/>
    </row>
    <row r="12" ht="15.75" customHeight="1">
      <c r="A12" s="30" t="s">
        <v>164</v>
      </c>
      <c r="B12" s="31" t="s">
        <v>161</v>
      </c>
      <c r="C12" s="30" t="s">
        <v>889</v>
      </c>
      <c r="D12" s="30" t="s">
        <v>890</v>
      </c>
      <c r="E12" s="30"/>
      <c r="F12" s="30"/>
      <c r="G12" s="30"/>
      <c r="H12" s="30"/>
      <c r="I12" s="30"/>
      <c r="J12" s="30"/>
      <c r="K12" s="30"/>
      <c r="L12" s="30"/>
      <c r="M12" s="30"/>
      <c r="N12" s="30"/>
      <c r="O12" s="30"/>
      <c r="P12" s="30"/>
      <c r="Q12" s="30"/>
      <c r="R12" s="30"/>
      <c r="S12" s="30"/>
      <c r="T12" s="30"/>
      <c r="U12" s="30"/>
      <c r="V12" s="30"/>
      <c r="W12" s="30"/>
      <c r="X12" s="30"/>
      <c r="Y12" s="30"/>
      <c r="Z12" s="30"/>
    </row>
    <row r="13" ht="15.75" customHeight="1">
      <c r="A13" s="30" t="s">
        <v>167</v>
      </c>
      <c r="B13" s="31" t="s">
        <v>165</v>
      </c>
      <c r="C13" s="30" t="s">
        <v>889</v>
      </c>
      <c r="D13" s="30" t="s">
        <v>890</v>
      </c>
      <c r="E13" s="30"/>
      <c r="F13" s="30"/>
      <c r="G13" s="30"/>
      <c r="H13" s="30"/>
      <c r="I13" s="30"/>
      <c r="J13" s="30"/>
      <c r="K13" s="30"/>
      <c r="L13" s="30"/>
      <c r="M13" s="30"/>
      <c r="N13" s="30"/>
      <c r="O13" s="30"/>
      <c r="P13" s="30"/>
      <c r="Q13" s="30"/>
      <c r="R13" s="30"/>
      <c r="S13" s="30"/>
      <c r="T13" s="30"/>
      <c r="U13" s="30"/>
      <c r="V13" s="30"/>
      <c r="W13" s="30"/>
      <c r="X13" s="30"/>
      <c r="Y13" s="30"/>
      <c r="Z13" s="30"/>
    </row>
  </sheetData>
  <printOptions/>
  <pageMargins bottom="0.75" footer="0.0" header="0.0" left="0.7" right="0.7" top="0.75"/>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0"/>
    <col customWidth="1" min="2" max="3" width="16.0"/>
    <col customWidth="1" min="4" max="4" width="22.0"/>
    <col customWidth="1" min="5" max="5" width="24.0"/>
    <col customWidth="1" min="6" max="6" width="28.0"/>
    <col customWidth="1" min="7" max="7" width="46.0"/>
    <col customWidth="1" min="8" max="8" width="70.0"/>
    <col customWidth="1" min="9" max="26" width="8.63"/>
  </cols>
  <sheetData>
    <row r="1">
      <c r="A1" s="90" t="s">
        <v>488</v>
      </c>
      <c r="B1" s="91" t="s">
        <v>1030</v>
      </c>
      <c r="C1" s="91" t="s">
        <v>1031</v>
      </c>
      <c r="D1" s="91" t="s">
        <v>1032</v>
      </c>
      <c r="E1" s="91" t="s">
        <v>1033</v>
      </c>
      <c r="F1" s="91" t="s">
        <v>1034</v>
      </c>
      <c r="G1" s="91" t="s">
        <v>1035</v>
      </c>
      <c r="H1" s="91" t="s">
        <v>1036</v>
      </c>
    </row>
    <row r="2">
      <c r="A2" s="92" t="s">
        <v>35</v>
      </c>
      <c r="B2" s="93" t="s">
        <v>18</v>
      </c>
      <c r="C2" s="93" t="s">
        <v>18</v>
      </c>
      <c r="D2" s="93" t="s">
        <v>328</v>
      </c>
      <c r="E2" s="93"/>
      <c r="F2" s="93" t="s">
        <v>1037</v>
      </c>
      <c r="G2" s="93" t="s">
        <v>1038</v>
      </c>
      <c r="H2" s="93" t="s">
        <v>1039</v>
      </c>
    </row>
    <row r="3">
      <c r="A3" s="92" t="s">
        <v>37</v>
      </c>
      <c r="B3" s="93" t="s">
        <v>18</v>
      </c>
      <c r="C3" s="93" t="s">
        <v>39</v>
      </c>
      <c r="D3" s="93" t="s">
        <v>328</v>
      </c>
      <c r="E3" s="93"/>
      <c r="F3" s="93" t="s">
        <v>1040</v>
      </c>
      <c r="G3" s="93" t="s">
        <v>1041</v>
      </c>
      <c r="H3" s="93" t="s">
        <v>1042</v>
      </c>
    </row>
    <row r="4">
      <c r="A4" s="92" t="s">
        <v>46</v>
      </c>
      <c r="B4" s="93" t="s">
        <v>18</v>
      </c>
      <c r="C4" s="93" t="s">
        <v>18</v>
      </c>
      <c r="D4" s="93" t="s">
        <v>328</v>
      </c>
      <c r="E4" s="93"/>
      <c r="F4" s="93" t="s">
        <v>1037</v>
      </c>
      <c r="G4" s="93" t="s">
        <v>1043</v>
      </c>
      <c r="H4" s="93" t="s">
        <v>1044</v>
      </c>
    </row>
    <row r="5">
      <c r="A5" s="92" t="s">
        <v>74</v>
      </c>
      <c r="B5" s="93" t="s">
        <v>18</v>
      </c>
      <c r="C5" s="93" t="s">
        <v>13</v>
      </c>
      <c r="D5" s="93" t="s">
        <v>1045</v>
      </c>
      <c r="E5" s="93" t="s">
        <v>76</v>
      </c>
      <c r="F5" s="93"/>
      <c r="G5" s="93" t="s">
        <v>1046</v>
      </c>
      <c r="H5" s="93" t="s">
        <v>1047</v>
      </c>
    </row>
    <row r="6">
      <c r="A6" s="92" t="s">
        <v>89</v>
      </c>
      <c r="B6" s="93" t="s">
        <v>18</v>
      </c>
      <c r="C6" s="93" t="s">
        <v>39</v>
      </c>
      <c r="D6" s="93" t="s">
        <v>328</v>
      </c>
      <c r="E6" s="93"/>
      <c r="F6" s="93" t="s">
        <v>1040</v>
      </c>
      <c r="G6" s="93" t="s">
        <v>1048</v>
      </c>
      <c r="H6" s="93" t="s">
        <v>1049</v>
      </c>
    </row>
    <row r="7">
      <c r="A7" s="92" t="s">
        <v>105</v>
      </c>
      <c r="B7" s="93" t="s">
        <v>18</v>
      </c>
      <c r="C7" s="93" t="s">
        <v>13</v>
      </c>
      <c r="D7" s="93" t="s">
        <v>1045</v>
      </c>
      <c r="E7" s="93" t="s">
        <v>107</v>
      </c>
      <c r="F7" s="93"/>
      <c r="G7" s="93" t="s">
        <v>1050</v>
      </c>
      <c r="H7" s="93" t="s">
        <v>1051</v>
      </c>
    </row>
    <row r="8">
      <c r="A8" s="92" t="s">
        <v>111</v>
      </c>
      <c r="B8" s="93" t="s">
        <v>18</v>
      </c>
      <c r="C8" s="93" t="s">
        <v>39</v>
      </c>
      <c r="D8" s="93" t="s">
        <v>328</v>
      </c>
      <c r="E8" s="93"/>
      <c r="F8" s="93" t="s">
        <v>1040</v>
      </c>
      <c r="G8" s="93" t="s">
        <v>1052</v>
      </c>
      <c r="H8" s="93" t="s">
        <v>1053</v>
      </c>
    </row>
    <row r="9">
      <c r="A9" s="92" t="s">
        <v>149</v>
      </c>
      <c r="B9" s="93" t="s">
        <v>39</v>
      </c>
      <c r="C9" s="93" t="s">
        <v>39</v>
      </c>
      <c r="D9" s="93" t="s">
        <v>1054</v>
      </c>
      <c r="E9" s="93"/>
      <c r="F9" s="93"/>
      <c r="G9" s="93" t="s">
        <v>1055</v>
      </c>
      <c r="H9" s="93" t="s">
        <v>1056</v>
      </c>
    </row>
    <row r="10">
      <c r="A10" s="92" t="s">
        <v>174</v>
      </c>
      <c r="B10" s="93" t="s">
        <v>39</v>
      </c>
      <c r="C10" s="93" t="s">
        <v>39</v>
      </c>
      <c r="D10" s="93" t="s">
        <v>1057</v>
      </c>
      <c r="E10" s="93"/>
      <c r="F10" s="93"/>
      <c r="G10" s="93" t="s">
        <v>1058</v>
      </c>
      <c r="H10" s="93" t="s">
        <v>1056</v>
      </c>
    </row>
  </sheetData>
  <printOptions/>
  <pageMargins bottom="0.75" footer="0.0" header="0.0" left="0.7" right="0.7" top="0.75"/>
  <pageSetup orientation="landscape"/>
  <drawing r:id="rId1"/>
</worksheet>
</file>