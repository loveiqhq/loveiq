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ADME" sheetId="1" r:id="rId4"/>
    <sheet state="visible" name="changelog" sheetId="2" r:id="rId5"/>
    <sheet state="visible" name="questions" sheetId="3" r:id="rId6"/>
    <sheet state="visible" name="sheet_info" sheetId="4" r:id="rId7"/>
    <sheet state="visible" name="model_params" sheetId="5" r:id="rId8"/>
    <sheet state="visible" name="independent_params" sheetId="6" r:id="rId9"/>
    <sheet state="visible" name="dimensions" sheetId="7" r:id="rId10"/>
    <sheet state="visible" name="archetype_prototypes" sheetId="8" r:id="rId11"/>
    <sheet state="visible" name="prototype_helpers" sheetId="9" r:id="rId12"/>
    <sheet state="visible" name="archetype_calibration" sheetId="10" r:id="rId13"/>
    <sheet state="visible" name="archetype_bias" sheetId="11" r:id="rId14"/>
    <sheet state="visible" name="categorical_boost_rules" sheetId="12" r:id="rId15"/>
    <sheet state="visible" name="weight_modifiers" sheetId="13" r:id="rId16"/>
    <sheet state="visible" name="gates" sheetId="14" r:id="rId17"/>
    <sheet state="visible" name="overlays" sheetId="15" r:id="rId18"/>
    <sheet state="visible" name="categorical_map" sheetId="16" r:id="rId19"/>
    <sheet state="visible" name="enum_map" sheetId="17" r:id="rId20"/>
    <sheet state="visible" name="question_logic" sheetId="18" r:id="rId21"/>
  </sheets>
  <definedNames/>
  <calcPr/>
  <extLst>
    <ext uri="GoogleSheetsCustomDataVersion2">
      <go:sheetsCustomData xmlns:go="http://customooxmlschemas.google.com/" r:id="rId22" roundtripDataChecksum="e/V2q7RnwATH5gLL0DSmNisT4OrsDtnRRlLm6fS17pk="/>
    </ext>
  </extLst>
</workbook>
</file>

<file path=xl/sharedStrings.xml><?xml version="1.0" encoding="utf-8"?>
<sst xmlns="http://schemas.openxmlformats.org/spreadsheetml/2006/main" count="3695" uniqueCount="917">
  <si>
    <t>OVERVIEW</t>
  </si>
  <si>
    <t>Workbook</t>
  </si>
  <si>
    <t>Scoring engine v9 — new questionnaire on V5 architecture.</t>
  </si>
  <si>
    <t>Engine sheets (do not rename)</t>
  </si>
  <si>
    <t>questions, model_params, independent_params, dimensions, archetype_prototypes, prototype_helpers, archetype_calibration, archetype_bias, categorical_boost_rules, weight_modifiers, gates, overlays, categorical_map, enum_map, question_logic.</t>
  </si>
  <si>
    <t>Output 1 (V4)</t>
  </si>
  <si>
    <t>Softmax probability per archetype that sums to 100%. See model_params row "softmax_temperature".</t>
  </si>
  <si>
    <t>Output 2 (V5)</t>
  </si>
  <si>
    <t>Independent match % per archetype (0–100) with deterministic 3.0–4.0 rank spacing. See independent_params.</t>
  </si>
  <si>
    <t>SCORE FUNCTION</t>
  </si>
  <si>
    <t>Per-archetype raw</t>
  </si>
  <si>
    <t>raw_a = Σ_d w_d · (1 − |u_d − p_a,d|) + Σ_q categorical_boost_q,a + Σ_g gate_adjustment_g,a</t>
  </si>
  <si>
    <t>w_d</t>
  </si>
  <si>
    <t>Dimension weight from `dimensions`, optionally multiplied by `weight_modifiers` rules that fired.</t>
  </si>
  <si>
    <t>u_d</t>
  </si>
  <si>
    <t>User value for dimension d, scaled to 0..1. Missing scalar → 0.5.</t>
  </si>
  <si>
    <t>p_a,d</t>
  </si>
  <si>
    <t>Archetype prototype value from `archetype_prototypes`.</t>
  </si>
  <si>
    <t>Categorical boost</t>
  </si>
  <si>
    <t>Lookup in `categorical_boost_rules` by (question_id, answer_code, archetype). Multiselect: take MAX boost across selected answers per archetype (per `question_logic`).</t>
  </si>
  <si>
    <t>Gates</t>
  </si>
  <si>
    <t>Per-archetype penalty if a key dimension fails its threshold. See `gates`.</t>
  </si>
  <si>
    <t>V4 final</t>
  </si>
  <si>
    <t>softmax(raw + archetype_bias) using softmax_temperature.</t>
  </si>
  <si>
    <t>V5 final</t>
  </si>
  <si>
    <t>Anchor-calibrated % then deterministic rank spacing. Formulas in `independent_params`.</t>
  </si>
  <si>
    <t>V9 CHANGES vs v6/v7</t>
  </si>
  <si>
    <t>Retired</t>
  </si>
  <si>
    <t>Q01003 (relationship with sexuality) → 24 boost rules removed. Q16003 (OVL_CHANGE_EFFICACY) and Q16004 (OVL_START_HORIZON) → overlays removed.</t>
  </si>
  <si>
    <t>Added</t>
  </si>
  <si>
    <t>Q16015 marketing opt-in (not scored). 6 new boost rules on Q16005 to recover the Q01003 signal: recharging → Quiet Withdrawer (+0.4), Minimalist Companion (+0.2), Tender Devotee (+0.2); awakening → Curious Apprentice (+0.4), Spark Seeker (+0.2), Explorer of Edges (+0.2).</t>
  </si>
  <si>
    <t>Refreshed</t>
  </si>
  <si>
    <t>Question wording and answer labels in `questions` and `categorical_boost_rules`. Answer CODES unchanged — every existing score_add value still applies.</t>
  </si>
  <si>
    <t>Unchanged</t>
  </si>
  <si>
    <t>Dimensions, prototypes, weights, gates, archetype_bias, weight_modifiers, V4/V5 formulas. Continuous scoring is byte-identical.</t>
  </si>
  <si>
    <t>Portability fix</t>
  </si>
  <si>
    <t>Replaced 294 XLOOKUP array formulas in `prototype_helpers` with INDEX/MATCH so the workbook recalculates outside Excel.</t>
  </si>
  <si>
    <t>INTEGRATION CONTRACT</t>
  </si>
  <si>
    <t>Input</t>
  </si>
  <si>
    <t>JSON of {question_id: answer} where answer is a 1–7 integer for scale questions, an answer_code string for single-choice, or a list of answer_codes for multiselect.</t>
  </si>
  <si>
    <t>Lookup keys</t>
  </si>
  <si>
    <t>question_id is the 5-digit zero-padded string from `questions` col A. answer_code is the snake_case value from `categorical_boost_rules` col C and `categorical_map` col C.</t>
  </si>
  <si>
    <t>Question 16015</t>
  </si>
  <si>
    <t>Read but do NOT feed into the scoring engine. Route to CRM/marketing as a boolean opt-in.</t>
  </si>
  <si>
    <t>Output schema</t>
  </si>
  <si>
    <t>{ v4_probability_pct: {archetype_name: float}, v5_final_match_pct: {archetype_name: float} }. Both maps have all 14 archetypes.</t>
  </si>
  <si>
    <t>Versioning</t>
  </si>
  <si>
    <t>Emit config_version = v9_questionnaire_on_v5_architecture alongside every score payload for downstream auditing.</t>
  </si>
  <si>
    <t>IMPLEMENTATION NOTES</t>
  </si>
  <si>
    <t>Multiselect aggregation</t>
  </si>
  <si>
    <t>Q03003, Q10002, Q14020, Q16005 single-select: per `question_logic`. For each multiselect, take MAX score_add per archetype across selected answers (NOT a sum).</t>
  </si>
  <si>
    <t>Missing answers</t>
  </si>
  <si>
    <t>Scalar 1–7: substitute 0.5 after rescaling. Categorical: skip the boost (no contribution).</t>
  </si>
  <si>
    <t>Weight modifiers</t>
  </si>
  <si>
    <t>Multiply w_d by all matching multipliers in `weight_modifiers` whose overlay threshold is met. Clamp the product to [weight_modifiers_clamp_min, weight_modifiers_clamp_max] from `model_params`.</t>
  </si>
  <si>
    <t>V5 rank spacing seed</t>
  </si>
  <si>
    <t>Build the seed string per `independent_params` row gap_seed_canonicalization. Sort selected-answer codes ascending before joining; this canonicalization is required for deterministic output.</t>
  </si>
  <si>
    <t>Rounding</t>
  </si>
  <si>
    <t>Do not round V5 raw percentages. Round only the final emitted V5 score to 1 decimal.</t>
  </si>
  <si>
    <t>Item</t>
  </si>
  <si>
    <t>Change</t>
  </si>
  <si>
    <t>Scoring impact</t>
  </si>
  <si>
    <t>config_version</t>
  </si>
  <si>
    <t>v6 → v9</t>
  </si>
  <si>
    <t>Stamp only.</t>
  </si>
  <si>
    <t>Q01003 retired</t>
  </si>
  <si>
    <t>24 boost rules removed from categorical_boost_rules.</t>
  </si>
  <si>
    <t>Mitigated by 6 new boosts on Q16005 (see below).</t>
  </si>
  <si>
    <t>Q16003 retired</t>
  </si>
  <si>
    <t>OVL_CHANGE_EFFICACY removed from overlays.</t>
  </si>
  <si>
    <t>None — overlay was not referenced by weight_modifiers.</t>
  </si>
  <si>
    <t>Q16004 retired</t>
  </si>
  <si>
    <t>OVL_START_HORIZON removed from overlays and 7 rows from categorical_map.</t>
  </si>
  <si>
    <t>Q16015 added</t>
  </si>
  <si>
    <t>New row in `questions` for marketing opt-in.</t>
  </si>
  <si>
    <t>None — not scored.</t>
  </si>
  <si>
    <t>Q16005 boosts added</t>
  </si>
  <si>
    <t>6 new rules: recharging → Quiet Withdrawer +0.4, Minimalist Companion +0.2, Tender Devotee +0.2; awakening → Curious Apprentice +0.4, Spark Seeker +0.2, Explorer of Edges +0.2.</t>
  </si>
  <si>
    <t>Recovers most of the Q01003 separation signal for low-engagement and figuring-out profiles. Caps kept ≤0.4.</t>
  </si>
  <si>
    <t>Wording refresh</t>
  </si>
  <si>
    <t>New v9 labels in `questions` and `categorical_boost_rules`. Answer codes preserved.</t>
  </si>
  <si>
    <t>No formula change.</t>
  </si>
  <si>
    <t>XLOOKUP → INDEX/MATCH</t>
  </si>
  <si>
    <t>prototype_helpers col H rewritten.</t>
  </si>
  <si>
    <t>No semantic change; portability fix only.</t>
  </si>
  <si>
    <t>Dimension weights</t>
  </si>
  <si>
    <t>Cast to numeric so SUM and downstream anchors work in any engine.</t>
  </si>
  <si>
    <t>No semantic change; bug fix.</t>
  </si>
  <si>
    <t>Q_ID</t>
  </si>
  <si>
    <t>Survey question</t>
  </si>
  <si>
    <t>Response format</t>
  </si>
  <si>
    <t>Output feeding scoring</t>
  </si>
  <si>
    <t>Dimension ID</t>
  </si>
  <si>
    <t>00000</t>
  </si>
  <si>
    <t>What is your email?</t>
  </si>
  <si>
    <t>Open response</t>
  </si>
  <si>
    <t>Not used in scoring config</t>
  </si>
  <si>
    <t>00001</t>
  </si>
  <si>
    <t>What is your name?</t>
  </si>
  <si>
    <t>01002</t>
  </si>
  <si>
    <t>Right now, I feel satisfied with my sex life.</t>
  </si>
  <si>
    <t>1-7 scale</t>
  </si>
  <si>
    <t>Overlay only</t>
  </si>
  <si>
    <t>OVL_SATISFACTION</t>
  </si>
  <si>
    <t>01005</t>
  </si>
  <si>
    <t>I want more variety — new positions, places, fantasies, or kinds of sex.</t>
  </si>
  <si>
    <t>Typing dimension</t>
  </si>
  <si>
    <t>DIM_NOVELTY</t>
  </si>
  <si>
    <t>01006</t>
  </si>
  <si>
    <t>Sex often hurts or feels physically bad for me.</t>
  </si>
  <si>
    <t>OVL_PAIN</t>
  </si>
  <si>
    <t>02001</t>
  </si>
  <si>
    <t>When you wanted sex recently, what usually happened first?</t>
  </si>
  <si>
    <t>Single choice</t>
  </si>
  <si>
    <t>Cat. boosts (answer-specific)</t>
  </si>
  <si>
    <t>02002</t>
  </si>
  <si>
    <t>My desire only kicks in after touch, kissing, or feeling close — it rarely shows up out of nowhere.</t>
  </si>
  <si>
    <t>DIM_RESPONSIVE</t>
  </si>
  <si>
    <t>02003</t>
  </si>
  <si>
    <t>I enjoy sex more when it's planned ahead than when it just happens.</t>
  </si>
  <si>
    <t>DIM_PLANNED</t>
  </si>
  <si>
    <t>02004</t>
  </si>
  <si>
    <t>What kind of starting point usually leads to the best sex for you?</t>
  </si>
  <si>
    <t>03003</t>
  </si>
  <si>
    <t>Which kinds of settings or vibes most reliably turn you on? (Pick up to 3.)</t>
  </si>
  <si>
    <t>Multiple choice</t>
  </si>
  <si>
    <t>Cat. boosts (max across selections)</t>
  </si>
  <si>
    <t>03004</t>
  </si>
  <si>
    <t>I need to feel emotionally close before I want sex.</t>
  </si>
  <si>
    <t>DIM_EMO_CONNECTION</t>
  </si>
  <si>
    <t>03005</t>
  </si>
  <si>
    <t>What most reliably moves you from 'not really interested' to actually turned on?</t>
  </si>
  <si>
    <t>03006</t>
  </si>
  <si>
    <t>How do you usually figure out what works for you sexually?</t>
  </si>
  <si>
    <t>03008</t>
  </si>
  <si>
    <t>I prefer sex that is intense and high-energy over sex that is soft and slow.</t>
  </si>
  <si>
    <t>DIM_INTENSITY</t>
  </si>
  <si>
    <t>03009</t>
  </si>
  <si>
    <t>Sexual tension, anticipation, and being chased or pursued reliably turn me on.</t>
  </si>
  <si>
    <t>DIM_PURSUIT</t>
  </si>
  <si>
    <t>03010</t>
  </si>
  <si>
    <t>Which kind of sexual atmosphere usually feels best for you?</t>
  </si>
  <si>
    <t>Typing dimension + Cat. boosts</t>
  </si>
  <si>
    <t>DIM_RISK_PREF</t>
  </si>
  <si>
    <t>03011</t>
  </si>
  <si>
    <t>Sex feels best to me when it feels meaningful or sacred — not just physical.</t>
  </si>
  <si>
    <t>DIM_SACRED</t>
  </si>
  <si>
    <t>03012</t>
  </si>
  <si>
    <t>Without something a bit forbidden, taboo, or high-intensity, sex can feel flat to me.</t>
  </si>
  <si>
    <t>DIM_EDGE_NEED</t>
  </si>
  <si>
    <t>03013</t>
  </si>
  <si>
    <t>Which turns you on most?</t>
  </si>
  <si>
    <t>03014</t>
  </si>
  <si>
    <t>During sex, I can usually reach orgasm when I want to.</t>
  </si>
  <si>
    <t>OVL_ORGASM_EASE</t>
  </si>
  <si>
    <t>08002</t>
  </si>
  <si>
    <t>I generally feel secure in my close relationships.</t>
  </si>
  <si>
    <t>DIM_SECURE</t>
  </si>
  <si>
    <t>08003</t>
  </si>
  <si>
    <t>When someone you feel close to pulls away or goes cold, you usually…</t>
  </si>
  <si>
    <t>08004</t>
  </si>
  <si>
    <t>I usually want more closeness and togetherness than space and independence.</t>
  </si>
  <si>
    <t>DIM_CLOSENESS_ORIENTATION</t>
  </si>
  <si>
    <t>08005</t>
  </si>
  <si>
    <t>After a real make-up talk where we both opened up, I often want them sexually.</t>
  </si>
  <si>
    <t>DIM_REPAIR_EROTICISM</t>
  </si>
  <si>
    <t>08006</t>
  </si>
  <si>
    <t>When I feel pressure during sex — to perform, to talk, or to take it further — I tend to shut down or want to pull away.</t>
  </si>
  <si>
    <t>DIM_PRESSURE_SHUTDOWN</t>
  </si>
  <si>
    <t>08012</t>
  </si>
  <si>
    <t>I lose interest in sex when the other person leans on me too much emotionally.</t>
  </si>
  <si>
    <t>DIM_AVOIDANT</t>
  </si>
  <si>
    <t>09013</t>
  </si>
  <si>
    <t>I sometimes use flirting or sex to calm tension, get reassurance, or avoid asking for what I need directly.</t>
  </si>
  <si>
    <t>DIM_STRATEGY</t>
  </si>
  <si>
    <t>10002</t>
  </si>
  <si>
    <t>During sex, how do you most naturally show or say what you want? (Pick up to 3.)</t>
  </si>
  <si>
    <t>10003</t>
  </si>
  <si>
    <t>I'm comfortable expressing what turns me on.</t>
  </si>
  <si>
    <t>DIM_TURNON_EXPRESS</t>
  </si>
  <si>
    <t>10004</t>
  </si>
  <si>
    <t>I'm comfortable saying what I don't want — slowing things down, stopping, or naming a limit.</t>
  </si>
  <si>
    <t>DIM_BOUNDARY_EXPRESS</t>
  </si>
  <si>
    <t>10005</t>
  </si>
  <si>
    <t>If the other person is quiet or hard to read during sex, I lose arousal.</t>
  </si>
  <si>
    <t>DIM_FEEDBACK_DEP</t>
  </si>
  <si>
    <t>11001</t>
  </si>
  <si>
    <t>Which power dynamic most naturally turns you on?</t>
  </si>
  <si>
    <t>11002</t>
  </si>
  <si>
    <t>I enjoy clear roles, agreements, or rules during sex.</t>
  </si>
  <si>
    <t>DIM_PROTOCOL</t>
  </si>
  <si>
    <t>11003</t>
  </si>
  <si>
    <t>During sex, I focus more on the other person's pleasure than on my own.</t>
  </si>
  <si>
    <t>DIM_PARTNER_FOCUS</t>
  </si>
  <si>
    <t>11004</t>
  </si>
  <si>
    <t>Taking care of someone — being attentive, soothing, healing — turns me on.</t>
  </si>
  <si>
    <t>DIM_SOOTHING</t>
  </si>
  <si>
    <t>14020</t>
  </si>
  <si>
    <t>What most reliably makes you actually want sex? (Pick up to 3.)</t>
  </si>
  <si>
    <t>14021</t>
  </si>
  <si>
    <t>I sometimes go for intense sex to snap out of feeling stressed, flat, or shut down.</t>
  </si>
  <si>
    <t>OVL_ESCAPE</t>
  </si>
  <si>
    <t>15001</t>
  </si>
  <si>
    <t>Which country do you live in?</t>
  </si>
  <si>
    <t>OVL_COUNTRY</t>
  </si>
  <si>
    <t>15002</t>
  </si>
  <si>
    <t>Which ZIP / postal code do you live in?</t>
  </si>
  <si>
    <t>OVL_POSTAL_CODE</t>
  </si>
  <si>
    <t>15003</t>
  </si>
  <si>
    <t>Which age range are you in?</t>
  </si>
  <si>
    <t>OVL_AGE_BAND</t>
  </si>
  <si>
    <t>15004</t>
  </si>
  <si>
    <t>What kind of relationship setup are you in right now?</t>
  </si>
  <si>
    <t>OVL_REL_STRUCTURE</t>
  </si>
  <si>
    <t>15005</t>
  </si>
  <si>
    <t>Do you have children?</t>
  </si>
  <si>
    <t>OVL_PARENTING_LOAD</t>
  </si>
  <si>
    <t>15006</t>
  </si>
  <si>
    <t>How high is your overall stress level most of the time?</t>
  </si>
  <si>
    <t>OVL_STRESS</t>
  </si>
  <si>
    <t>15007</t>
  </si>
  <si>
    <t>How rested do you usually feel when you wake up?</t>
  </si>
  <si>
    <t>OVL_RESTEDNESS</t>
  </si>
  <si>
    <t>15008</t>
  </si>
  <si>
    <t>Do you live with any long-term physical or mental health conditions that affect your energy, mood, or everyday functioning?</t>
  </si>
  <si>
    <t>OVL_HEALTH_LOAD</t>
  </si>
  <si>
    <t>15009</t>
  </si>
  <si>
    <t>Are you currently taking any medication or hormones that you think might affect your energy, mood, or sex drive?</t>
  </si>
  <si>
    <t>OVL_MEDS_IMPACT</t>
  </si>
  <si>
    <t>15010</t>
  </si>
  <si>
    <t>What is your gender identity?</t>
  </si>
  <si>
    <t>OVL_GENDER_ID</t>
  </si>
  <si>
    <t>15011</t>
  </si>
  <si>
    <t>What is your sexual orientation?</t>
  </si>
  <si>
    <t>OVL_ORIENTATION</t>
  </si>
  <si>
    <t>16001</t>
  </si>
  <si>
    <t>Which changes would actually improve your sex life over the next 3 months? (Pick all that apply.)</t>
  </si>
  <si>
    <t>OVL_FOCUS_PRIMARY</t>
  </si>
  <si>
    <t>16002</t>
  </si>
  <si>
    <t>Working on my sexuality is a priority for me right now.</t>
  </si>
  <si>
    <t>OVL_URGENCY</t>
  </si>
  <si>
    <t>16005</t>
  </si>
  <si>
    <t>Which of these best describes where your sexuality feels right now?</t>
  </si>
  <si>
    <t>Overlay + Cat. boosts (light)</t>
  </si>
  <si>
    <t>OVL_PHASE_NOW</t>
  </si>
  <si>
    <t>16006</t>
  </si>
  <si>
    <t>Where would you like your sexuality to be 3–6 months from now?</t>
  </si>
  <si>
    <t>OVL_PHASE_TARGET</t>
  </si>
  <si>
    <t>16007</t>
  </si>
  <si>
    <t>When you want to improve something important in your life (health, relationships, confidence), what's usually your first move?</t>
  </si>
  <si>
    <t>OVL_HELP_STYLE</t>
  </si>
  <si>
    <t>16008</t>
  </si>
  <si>
    <t>What kind of support would actually help you most with your top focus? (Pick all that apply.)</t>
  </si>
  <si>
    <t>OVL_SUPPORT_PREFS</t>
  </si>
  <si>
    <t>16011</t>
  </si>
  <si>
    <t>Which of these are already part of your life? (Pick all that apply.)</t>
  </si>
  <si>
    <t>Business-routing only</t>
  </si>
  <si>
    <t>16012</t>
  </si>
  <si>
    <t>Roughly how much do you spend per year on personal growth — books, courses, therapy, coaching, apps?</t>
  </si>
  <si>
    <t>16013</t>
  </si>
  <si>
    <t>Understanding my sexuality is important to me.</t>
  </si>
  <si>
    <t>OVL_TOPIC_IMPORTANCE</t>
  </si>
  <si>
    <t>16014</t>
  </si>
  <si>
    <t>What's actually getting in the way of improving your sexuality right now? (Pick all that apply.)</t>
  </si>
  <si>
    <t>OVL_BARRIER_TAGS</t>
  </si>
  <si>
    <t>16015</t>
  </si>
  <si>
    <t>Would you like to receive free LoveIQ hints and insights?</t>
  </si>
  <si>
    <t>Marketing opt-in only (not used in scoring)</t>
  </si>
  <si>
    <t>Sheets:</t>
  </si>
  <si>
    <t>1) model_params</t>
  </si>
  <si>
    <t xml:space="preserve"> - temperature, V4 score recipe, and runtime feature flags</t>
  </si>
  <si>
    <t xml:space="preserve"> - controls optional archetype intercepts ("middle-prototype bias" correction),</t>
  </si>
  <si>
    <t xml:space="preserve"> categorical boost centering, overlay-driven weight modifiers, and the</t>
  </si>
  <si>
    <t xml:space="preserve"> final V5 output contract including deterministic seeded spacing</t>
  </si>
  <si>
    <t>2) dimensions</t>
  </si>
  <si>
    <t xml:space="preserve"> - continuous typing dimensions (0..1) with default weights</t>
  </si>
  <si>
    <t xml:space="preserve"> - DIM_* only (used for archetype scoring)</t>
  </si>
  <si>
    <t xml:space="preserve"> - each dimension is sourced from a scalar question mapping or transform</t>
  </si>
  <si>
    <t>3) overlays</t>
  </si>
  <si>
    <t xml:space="preserve"> - contextual / state signals used for recommendation, pacing, and optional state-aware adjustments</t>
  </si>
  <si>
    <t xml:space="preserve"> - OVL_* only</t>
  </si>
  <si>
    <t xml:space="preserve"> - default_weight=0 (excluded from archetype typing unless explicitly used by runtime logic)</t>
  </si>
  <si>
    <t>4) archetype_prototypes</t>
  </si>
  <si>
    <t xml:space="preserve"> - long-form prototypes: archetype_name x dimension_id =&gt; prototype_value (0..1)</t>
  </si>
  <si>
    <t xml:space="preserve"> - references DIM_* only</t>
  </si>
  <si>
    <t>5) archetype_bias</t>
  </si>
  <si>
    <t xml:space="preserve"> - optional per-archetype intercepts to reduce "middle-prototype bias"</t>
  </si>
  <si>
    <t xml:space="preserve"> - columns: archetype_name, bias_add_to_raw_score</t>
  </si>
  <si>
    <t xml:space="preserve"> - enabled via model_params.archetype_bias_enabled and model_params.archetype_bias_scale</t>
  </si>
  <si>
    <t>6) categorical_boost_rules</t>
  </si>
  <si>
    <t xml:space="preserve"> - sparse rules that adjust archetype raw score for specific categorical answers</t>
  </si>
  <si>
    <t xml:space="preserve"> - answer_code is the stable cross-implementation key</t>
  </si>
  <si>
    <t xml:space="preserve"> - boosts should be used for answer-specific archetype signals that are not clean scalar dimensions</t>
  </si>
  <si>
    <t xml:space="preserve"> - if categorical_boost_centering_enabled is TRUE, boosts are centered per</t>
  </si>
  <si>
    <t xml:space="preserve"> (question_id, answer_code) across all archetypes, with missing values treated as 0</t>
  </si>
  <si>
    <t>7) weight_modifiers</t>
  </si>
  <si>
    <t xml:space="preserve"> - optional overlay-driven multipliers applied to DIM_* weights</t>
  </si>
  <si>
    <t xml:space="preserve"> - used to reduce trait over-inference from temporary state factors (for example stress, pain, fatigue)</t>
  </si>
  <si>
    <t xml:space="preserve"> - enabled via model_params.weight_modifiers_enabled</t>
  </si>
  <si>
    <t xml:space="preserve"> - columns: overlay_id, operator, threshold, dimension_id, multiplier</t>
  </si>
  <si>
    <t>8) gates</t>
  </si>
  <si>
    <t xml:space="preserve"> - archetype guardrails that apply a raw-score adjustment when required signature evidence is absent</t>
  </si>
  <si>
    <t xml:space="preserve"> - typically used to prevent false positives on archetypes with strong defining dimensions</t>
  </si>
  <si>
    <t xml:space="preserve"> - recommended columns: archetype_name, dimension_id, operator, value, score_adjustment_if_fail</t>
  </si>
  <si>
    <t xml:space="preserve"> - current intended use: DIM_* thresholds such as dimension &gt;= value</t>
  </si>
  <si>
    <t>9) categorical_map</t>
  </si>
  <si>
    <t xml:space="preserve"> - numeric mapping for categorical / likert answers -&gt; scalar values (0..1)</t>
  </si>
  <si>
    <t xml:space="preserve"> - used by categorical_to_numeric, likert5_to_0_1, and likert4_to_0_1 transforms</t>
  </si>
  <si>
    <t xml:space="preserve"> - includes scalar overlays derived from categorical answers</t>
  </si>
  <si>
    <t xml:space="preserve"> - should only contain mappings for truly scalar interpretations</t>
  </si>
  <si>
    <t xml:space="preserve"> - categorical-only style questions should stay in categorical_boost_rules, not be forced into scalar dimensions</t>
  </si>
  <si>
    <t>10) enum_map</t>
  </si>
  <si>
    <t xml:space="preserve"> - canonical enums (answer_code + label) for categorical_to_onehot and validation</t>
  </si>
  <si>
    <t xml:space="preserve"> - no numeric_value column (enums are labels / categories, not scalar scores)</t>
  </si>
  <si>
    <t>11) independent_params</t>
  </si>
  <si>
    <t xml:space="preserve"> - defines the final V5 scoring contract</t>
  </si>
  <si>
    <t xml:space="preserve"> - V5 starts with a raw independent archetype match % based on baseline-calibrated</t>
  </si>
  <si>
    <t xml:space="preserve"> min / mean / max anchors</t>
  </si>
  <si>
    <t xml:space="preserve"> - then applies deterministic seeded rank spacing (3.0..4.0 gap band) so</t>
  </si>
  <si>
    <t xml:space="preserve"> lower-ranked archetypes are visually cleaner without changing the top score</t>
  </si>
  <si>
    <t xml:space="preserve"> - V5 keeps softmax off, archetype_bias off, and categorical boost centering off</t>
  </si>
  <si>
    <t>12) prototype_helpers</t>
  </si>
  <si>
    <t xml:space="preserve"> - formula-backed helper sheet derived from archetype_prototypes + dimensions</t>
  </si>
  <si>
    <t xml:space="preserve"> - exposes min / mean / max similarity coefficients and default-weight reference components</t>
  </si>
  <si>
    <t xml:space="preserve"> - engineering should reuse the same coefficients with runtime-adjusted weights</t>
  </si>
  <si>
    <t>13) archetype_calibration</t>
  </si>
  <si>
    <t xml:space="preserve"> - default-weight QA anchors for each archetype before the final spacing pass</t>
  </si>
  <si>
    <t xml:space="preserve"> - reference only when no weight modifiers are active; otherwise recompute anchors at runtime</t>
  </si>
  <si>
    <t xml:space="preserve"> - includes V4 bias reference so the separation between V4 and final V5 logic is explicit</t>
  </si>
  <si>
    <t>14) question_logic</t>
  </si>
  <si>
    <t xml:space="preserve"> - per-question migration rules for the V6 questionnaire</t>
  </si>
  <si>
    <t xml:space="preserve"> - identifies which former single-select questions became multiselect and how to aggregate them</t>
  </si>
  <si>
    <t xml:space="preserve"> - identifies which former categorical questions were scalarized into continuous dimensions</t>
  </si>
  <si>
    <t>Migration summary:</t>
  </si>
  <si>
    <t xml:space="preserve"> - Q03003, Q10002, and Q14020 are now multiselect scoring questions and should use per-question MAX across selected answer-code boosts.</t>
  </si>
  <si>
    <t xml:space="preserve"> - Q08004 now feeds DIM_CLOSENESS_ORIENTATION instead of categorical boosts.</t>
  </si>
  <si>
    <t xml:space="preserve"> - Q11003 now feeds DIM_PARTNER_FOCUS instead of categorical boosts.</t>
  </si>
  <si>
    <t xml:space="preserve"> - Archetype ordering/naming remains aligned to Archetypes - Archetypes V2.csv.</t>
  </si>
  <si>
    <t xml:space="preserve"> - Public-facing wording remains aligned to the V6 survey CSV and report template.</t>
  </si>
  <si>
    <t>key</t>
  </si>
  <si>
    <t>value</t>
  </si>
  <si>
    <t>notes</t>
  </si>
  <si>
    <t>model_name</t>
  </si>
  <si>
    <t>prototype_similarity_plus_categorical_boosts</t>
  </si>
  <si>
    <t>Compute continuous-dimension similarity to archetype prototypes, add categorical boosts, apply gates. V4 still softmaxes to %; V5 now returns a final spaced match score.</t>
  </si>
  <si>
    <t>score_function</t>
  </si>
  <si>
    <t>sum_d w_d*(1-abs(u_d-p_ad)) + sum_q(categorical_boost_q) + sum(score_adjustment_if_fail for failed gates)</t>
  </si>
  <si>
    <t>For single-select categorical questions, categorical_boost_q is the matched answer boost. For V6 multiselect scoring questions, categorical_boost_q is the per-archetype MAX across selected answer-code boosts for that question. This preserves the original single-question signal envelope while allowing multiple selections.</t>
  </si>
  <si>
    <t>softmax_temperature</t>
  </si>
  <si>
    <t>Higher = more blended; lower = peakier. Typical 1.3–1.7.</t>
  </si>
  <si>
    <t>softmax_floor</t>
  </si>
  <si>
    <t>Optional: add a floor probability before renormalizing (set 0.0 to disable).</t>
  </si>
  <si>
    <t>archetype_bias_enabled</t>
  </si>
  <si>
    <t>Add per-archetype intercept to reduce middle-prototype advantage on the V4 path only.</t>
  </si>
  <si>
    <t>archetype_bias_table</t>
  </si>
  <si>
    <t>archetype_bias.csv</t>
  </si>
  <si>
    <t>CSV with columns archetype_name, bias_add_to_raw_score</t>
  </si>
  <si>
    <t>archetype_bias_scale</t>
  </si>
  <si>
    <t>Multiplier applied to bias_add_to_raw_score (tune 0.0–1.2 typically).</t>
  </si>
  <si>
    <t>archetype_bias_apply_stage</t>
  </si>
  <si>
    <t>pre_softmax</t>
  </si>
  <si>
    <t>Add bias after similarity+boosts+gates before softmax.</t>
  </si>
  <si>
    <t>archetype_bias_reference</t>
  </si>
  <si>
    <t>uniform_u01</t>
  </si>
  <si>
    <t>Bias computed assuming dimension values ~ Uniform(0, 1).</t>
  </si>
  <si>
    <t>categorical_boost_centering_enabled</t>
  </si>
  <si>
    <t>V4 only: center categorical boosts per (question_id,answer_code) across archetypes; missing boosts treated as 0.</t>
  </si>
  <si>
    <t>categorical_boost_centering_missing_default</t>
  </si>
  <si>
    <t>V4 only: when an archetype has no explicit boost rule for an answer, treat it as 0 during centering.</t>
  </si>
  <si>
    <t>categorical_boost_centering_method</t>
  </si>
  <si>
    <t>mean_subtract</t>
  </si>
  <si>
    <t>V4 only: score_add := score_add - mean(score_add) within each (question_id,answer_code).</t>
  </si>
  <si>
    <t>categorical_boost_centering_apply_stage</t>
  </si>
  <si>
    <t>V4 only: apply centering to raw Score[a] before softmax.</t>
  </si>
  <si>
    <t>weight_modifiers_enabled</t>
  </si>
  <si>
    <t>Apply overlay-driven multipliers to DIM_* weights before scoring.</t>
  </si>
  <si>
    <t>weight_modifiers_table</t>
  </si>
  <si>
    <t>weight_modifiers.csv</t>
  </si>
  <si>
    <t>CSV filename containing overlay -&gt; dimension multipliers.</t>
  </si>
  <si>
    <t>weight_modifiers_apply_mode</t>
  </si>
  <si>
    <t>multiplicative</t>
  </si>
  <si>
    <t>w_d := w_d * multiplier for each matching rule.</t>
  </si>
  <si>
    <t>weight_modifiers_clamp_min</t>
  </si>
  <si>
    <t>Clamp final w_d to avoid collapsing a dimension.</t>
  </si>
  <si>
    <t>weight_modifiers_clamp_max</t>
  </si>
  <si>
    <t>Clamp final w_d to avoid runaway weights.</t>
  </si>
  <si>
    <t>runtime_output_modes_supported</t>
  </si>
  <si>
    <t>v4_probability_pct;v5_final_match_pct</t>
  </si>
  <si>
    <t>V4 distribution remains; V5 now returns a final spaced match score that does not sum to 100.</t>
  </si>
  <si>
    <t>v5_final_match_enabled</t>
  </si>
  <si>
    <t>Return final V5 archetype match scores; start from independent raw mapping and then apply deterministic seeded spacing.</t>
  </si>
  <si>
    <t>v5_final_output_name</t>
  </si>
  <si>
    <t>v5_final_match_pct</t>
  </si>
  <si>
    <t>Public response key for the final V5 output.</t>
  </si>
  <si>
    <t>v5_final_internal_raw_name</t>
  </si>
  <si>
    <t>v5_independent_match_pct_raw_optional</t>
  </si>
  <si>
    <t>Optional internal/debug key only; not required in product responses.</t>
  </si>
  <si>
    <t>v5_final_params_sheet</t>
  </si>
  <si>
    <t>independent_params</t>
  </si>
  <si>
    <t>See sheet for the exact V5 raw mapping and seeded spacing rules.</t>
  </si>
  <si>
    <t>v5_final_reference_sheet</t>
  </si>
  <si>
    <t>archetype_calibration</t>
  </si>
  <si>
    <t>Pre-spacing default-weight QA anchors; recompute anchors with adjusted weights at runtime if modifiers fire.</t>
  </si>
  <si>
    <t>v5_final_uses_softmax</t>
  </si>
  <si>
    <t>Softmax stays V4-only. V5 does not renormalize scores across archetypes.</t>
  </si>
  <si>
    <t>v5_final_uses_archetype_bias</t>
  </si>
  <si>
    <t>Archetype bias stays V4-only. V5 uses anchor calibration plus deterministic spacing instead.</t>
  </si>
  <si>
    <t>v5_final_uses_categorical_boost_centering</t>
  </si>
  <si>
    <t>V5 uses explicit authored boost values only; missing rules stay 0.</t>
  </si>
  <si>
    <t>v5_final_gate_apply_stage</t>
  </si>
  <si>
    <t>pre_mapping</t>
  </si>
  <si>
    <t>Add gate score adjustments to raw_total before mapping to the raw V5 percentage.</t>
  </si>
  <si>
    <t>v5_final_weight_basis</t>
  </si>
  <si>
    <t>runtime_adjusted_weights</t>
  </si>
  <si>
    <t>Use the same final adjusted weights as V4 after overlay-driven modifiers and clamps.</t>
  </si>
  <si>
    <t>v5_final_spacing_enabled</t>
  </si>
  <si>
    <t>Spacing is part of the canonical V5 final score, not a separate UI-only layer.</t>
  </si>
  <si>
    <t>v5_final_spacing_rank_order</t>
  </si>
  <si>
    <t>raw_pct_desc;raw_total_desc;archetype_id_asc</t>
  </si>
  <si>
    <t>Rank archetypes using raw V5 percentage desc, then raw_total desc, then archetype_id asc.</t>
  </si>
  <si>
    <t>v5_final_spacing_top_rule</t>
  </si>
  <si>
    <t>keep_rank1_raw_pct</t>
  </si>
  <si>
    <t>Do not adjust the top-ranked archetype.</t>
  </si>
  <si>
    <t>v5_final_spacing_gap_min</t>
  </si>
  <si>
    <t>Minimum deterministic gap below the previous final score.</t>
  </si>
  <si>
    <t>v5_final_spacing_gap_max</t>
  </si>
  <si>
    <t>Maximum deterministic gap below the previous final score.</t>
  </si>
  <si>
    <t>v5_final_spacing_hash</t>
  </si>
  <si>
    <t>sha256_hex_first12_to_unit_interval</t>
  </si>
  <si>
    <t>Convert the first 12 SHA-256 hex characters to a deterministic unit-interval number.</t>
  </si>
  <si>
    <t>v5_final_spacing_seed</t>
  </si>
  <si>
    <t>canonical_payload_fingerprint|prev_archetype_id|curr_archetype_id|v5_gap_v1</t>
  </si>
  <si>
    <t>Seed string used to derive the per-rank gap.</t>
  </si>
  <si>
    <t>v5_final_round_stage</t>
  </si>
  <si>
    <t>round_after_spacing_only</t>
  </si>
  <si>
    <t>Do not pre-round the raw V5 percentage; round only the final emitted score.</t>
  </si>
  <si>
    <t>v5_final_round_digits</t>
  </si>
  <si>
    <t>Recommended API/display rounding for final V5 percentages.</t>
  </si>
  <si>
    <t>v9_questionnaire_on_v5_architecture</t>
  </si>
  <si>
    <t>v9 questionnaire: Q01003/16003/16004 retired; Q16015 added (opt-in, not scored); 6 new boost rules on Q16005.</t>
  </si>
  <si>
    <t>questionnaire_version</t>
  </si>
  <si>
    <t>v9</t>
  </si>
  <si>
    <t>Questionnaire version represented by this workbook.</t>
  </si>
  <si>
    <t>questionnaire_source</t>
  </si>
  <si>
    <t>A_CSV_containing_new_questions.csv</t>
  </si>
  <si>
    <t>Use the new survey CSV as source of truth for question wording, formats, and answer labels.</t>
  </si>
  <si>
    <t>archetype_source</t>
  </si>
  <si>
    <t>Archetypes - Archetypes V2.csv</t>
  </si>
  <si>
    <t>Use this CSV as source of truth for archetype IDs, names, order, and semantic alignment.</t>
  </si>
  <si>
    <t>report_template_source</t>
  </si>
  <si>
    <t>[WIP - MAIN] Report Template - General.docx</t>
  </si>
  <si>
    <t>Use the report template as source of truth for public-facing language and report sections.</t>
  </si>
  <si>
    <t>question_logic_sheet</t>
  </si>
  <si>
    <t>question_logic</t>
  </si>
  <si>
    <t>Per-question V6 migration rules including multiselect aggregation and scalarized replacements.</t>
  </si>
  <si>
    <t>categorical_multiselect_scoring</t>
  </si>
  <si>
    <t>per_question_max_selected_answer_boost</t>
  </si>
  <si>
    <t>Configured multiselect scoring questions should contribute the strongest selected categorical signal per archetype, not a sum across selections.</t>
  </si>
  <si>
    <t>v5_final_categorical_intercept_enabled</t>
  </si>
  <si>
    <t>Enables the V5 archetype-level categorical intercept correction. When TRUE, the scorer subtracts each archetype’s configured intercept from the V5 raw total to reduce built-in baseline lift from authored categorical boosts.</t>
  </si>
  <si>
    <t>v5_final_categorical_intercept_reference_sheet</t>
  </si>
  <si>
    <t>Specifies the sheet that stores the archetype-specific V5 categorical intercept inputs and derived subtraction values. The scorer should read intercept parameters from archetype_calibration by archetype.</t>
  </si>
  <si>
    <t>v5_final_categorical_intercept_apply_stage</t>
  </si>
  <si>
    <t>Specifies when the V5 categorical intercept is applied in the scoring flow. pre_mapping means the intercept is subtracted from the raw total before converting raw scores to the 0–100 pre-spacing fit scale.</t>
  </si>
  <si>
    <t>logic_name</t>
  </si>
  <si>
    <t>baseline_calibrated_independent_match_pct_then_seeded_rank_spacing_v6_questionnaire</t>
  </si>
  <si>
    <t>V5 computes an anchor-calibrated raw independent match % and then applies deterministic 3.0–4.0 rank spacing for the final score.</t>
  </si>
  <si>
    <t>output_name</t>
  </si>
  <si>
    <t>Public V5 score returned alongside the existing V4 probability percentage.</t>
  </si>
  <si>
    <t>raw_internal_name</t>
  </si>
  <si>
    <t>Optional debug/internal only: pre-spacing raw V5 percentage before the seeded rank-spacing pass.</t>
  </si>
  <si>
    <t>v4_coexistence</t>
  </si>
  <si>
    <t>keep_v4_distribution_output</t>
  </si>
  <si>
    <t>Do not remove or rewrite the V4 probability logic.</t>
  </si>
  <si>
    <t>continuous_similarity_formula</t>
  </si>
  <si>
    <t>sim_d = 1 - ABS(u_d - p_ad)</t>
  </si>
  <si>
    <t>Same trait-by-trait similarity primitive as V4.</t>
  </si>
  <si>
    <t>continuous_raw_formula</t>
  </si>
  <si>
    <t>raw_cont_a = SUM_d(adj_w_d * sim_d)</t>
  </si>
  <si>
    <t>Use the same adjusted weights that V4 uses after weight modifiers.</t>
  </si>
  <si>
    <t>categorical_boosts</t>
  </si>
  <si>
    <t>include_authored_rule_values_with_per_question_multiselect_max</t>
  </si>
  <si>
    <t>Include explicit authored rule values. For V6 multiselect scoring questions, aggregate by taking the per-archetype MAX across selected answer-code boosts within that question.</t>
  </si>
  <si>
    <t>categorical_boost_centering</t>
  </si>
  <si>
    <t>Important V5 change: do not mean-center boosts across archetypes.</t>
  </si>
  <si>
    <t>gates</t>
  </si>
  <si>
    <t>include_pre_mapping</t>
  </si>
  <si>
    <t>Apply gate score adjustments to raw_total before raw percent mapping.</t>
  </si>
  <si>
    <t>archetype_bias</t>
  </si>
  <si>
    <t>Important V5 change: do not apply archetype_bias on the V5 path.</t>
  </si>
  <si>
    <t>softmax</t>
  </si>
  <si>
    <t>Important V5 change: no softmax and no sum-to-100 normalization on the V5 path.</t>
  </si>
  <si>
    <t>anchor_recompute_rule</t>
  </si>
  <si>
    <t>use_runtime_adjusted_weights</t>
  </si>
  <si>
    <t>Compute min/mean/max anchors with the final adjusted weights for that respondent.</t>
  </si>
  <si>
    <t>lower_anchor_formula</t>
  </si>
  <si>
    <t>raw_min_a = SUM_d(adj_w_d * MIN(p_ad, 1 - p_ad))</t>
  </si>
  <si>
    <t>Worst-case continuous fit for that archetype, given the same active weights.</t>
  </si>
  <si>
    <t>baseline_anchor_formula</t>
  </si>
  <si>
    <t>raw_mean_a = SUM_d(adj_w_d * (0.5 + p_ad - p_ad^2))</t>
  </si>
  <si>
    <t>Expected continuous fit for a neutral-uniform user; removes middle-prototype advantage.</t>
  </si>
  <si>
    <t>upper_anchor_formula</t>
  </si>
  <si>
    <t>raw_max_a = SUM_d(adj_w_d * 1)</t>
  </si>
  <si>
    <t>Perfect continuous fit for that archetype, given the same active weights.</t>
  </si>
  <si>
    <t>raw_total_formula</t>
  </si>
  <si>
    <t>raw_total_adjusted_a = raw_cont_a + SUM(categorical_boosts_a) + SUM(failed_gate_adjustments_a) - v5_cat_intercept_a</t>
  </si>
  <si>
    <t>Computes the final pre-mapping V5 raw score for an archetype. Starts with continuous trait fit, adds all categorical boosts and any failed gate adjustments, then subtracts the archetype’s V5 categorical intercept so archetypes with structurally higher authored boost opportunity do not receive excess baseline lift before normalization.</t>
  </si>
  <si>
    <t>categorical_intercept_formula</t>
  </si>
  <si>
    <t>v5_cat_intercept_a = v5_categorical_intercept_scale_a * expected_categorical_lift_after_question_scaling_a</t>
  </si>
  <si>
    <t>Defines the V5 archetype-level categorical intercept used to partially correct built-in bias from authored categorical rules. The intercept equals the chosen correction scale multiplied by that archetype’s expected categorical lift after the current question-level score_add scaling. With a scale of 0.5, the model removes half of the archetype’s expected baseline categorical advantage while preserving meaningful differentiation from actual answers.</t>
  </si>
  <si>
    <t>pre_spacing_mapping_formula</t>
  </si>
  <si>
    <t>IF(raw_total_adjusted_a &lt;= raw_mean_a, 50 * (raw_total_adjusted_a - raw_min_a) / (raw_mean_a - raw_min_a), 50 + 50 * (raw_total_adjusted_a - raw_mean_a) / (raw_max_a - raw_mean_a))</t>
  </si>
  <si>
    <t>Maps the intercept-adjusted raw total onto a 0–100 archetype fit scale before rank spacing. Scores at the archetype’s calibrated mean map to 50; values below the mean are scaled between raw_min and raw_mean, and values above the mean are scaled between raw_mean and raw_max. Using raw_total_adjusted here ensures categorical bias correction is applied before normalization rather than after percentages are produced.</t>
  </si>
  <si>
    <t>pre_spacing_clamp</t>
  </si>
  <si>
    <t>CLAMP(raw_pct_a, 0, 100)</t>
  </si>
  <si>
    <t>Clamp the raw V5 percentage into 0..100 before rank spacing.</t>
  </si>
  <si>
    <t>rank_order</t>
  </si>
  <si>
    <t>Sort archetypes by raw V5 percentage desc, then raw_total desc, then archetype_id asc from the source-of-truth CSV.</t>
  </si>
  <si>
    <t>top_rank_rule</t>
  </si>
  <si>
    <t>The top-ranked archetype keeps its raw V5 percentage unchanged.</t>
  </si>
  <si>
    <t>gap_seed_canonicalization</t>
  </si>
  <si>
    <t>Build the seed exactly from these four parts, using pipe separators and the literal version tag v5_gap_v1.</t>
  </si>
  <si>
    <t>canonical_payload_fingerprint</t>
  </si>
  <si>
    <t>sort(question_id ASC) of QID=normalized_answer_repr joined with |</t>
  </si>
  <si>
    <t>Single-select categorical -&gt; answer_code; multi-select -&gt; sorted answer_codes joined with +; scalar 1..7 answers -&gt; integer string; missing answers omitted.</t>
  </si>
  <si>
    <t>gap_hash_algorithm</t>
  </si>
  <si>
    <t>hash01 = int(first12hex(SHA256(seed_i)),16) / (16^12 - 1)</t>
  </si>
  <si>
    <t>Deterministic pseudo-random unit interval used to make spacing look natural while remaining reproducible.</t>
  </si>
  <si>
    <t>gap_formula</t>
  </si>
  <si>
    <t>gap_i = 3.0 + hash01_i * 1.0</t>
  </si>
  <si>
    <t>Each lower rank must land 3.0 to 4.0 below the previous final score.</t>
  </si>
  <si>
    <t>spacing_formula</t>
  </si>
  <si>
    <t>final_pct_i = MAX(0, MIN(raw_pct_i, final_pct_{i-1} - gap_i)) for rank i &gt;= 2</t>
  </si>
  <si>
    <t>Never raise a score; only lower lower-ranked archetypes when needed to satisfy spacing.</t>
  </si>
  <si>
    <t>final_clamp</t>
  </si>
  <si>
    <t>CLAMP(final_pct_a, 0, 100)</t>
  </si>
  <si>
    <t>Lower-bound guard after spacing; upper bound is already enforced by raw_pct clamping and the top-rank rule.</t>
  </si>
  <si>
    <t>pre_spacing_rounding</t>
  </si>
  <si>
    <t>none</t>
  </si>
  <si>
    <t>Do not round raw_pct before spacing; use full precision through hashing and spacing.</t>
  </si>
  <si>
    <t>round_stage</t>
  </si>
  <si>
    <t>Round only the final emitted V5 score.</t>
  </si>
  <si>
    <t>round_digits</t>
  </si>
  <si>
    <t>missing_dimension_fallback</t>
  </si>
  <si>
    <t>neutral_0_5_if_missing</t>
  </si>
  <si>
    <t>Survey is mostly required, but if a scalar answer is missing use 0.5 as a neutral fallback.</t>
  </si>
  <si>
    <t>source_of_truth</t>
  </si>
  <si>
    <t>Archetype IDs, names, and ordering stay aligned with Archetypes - Archetypes V2.csv; question wording and formats stay aligned with the V6 survey CSV.</t>
  </si>
  <si>
    <t>Use this as source of truth for V6 wording, answer formats, and answer labels.</t>
  </si>
  <si>
    <t>multiselect_scoring_policy</t>
  </si>
  <si>
    <t>Applied to Q03003, Q10002, and Q14020.</t>
  </si>
  <si>
    <t>scalarized_question_08004</t>
  </si>
  <si>
    <t>Replaces the old categorical crave/balance/distance boost logic with a continuous dimension.</t>
  </si>
  <si>
    <t>scalarized_question_11003</t>
  </si>
  <si>
    <t>Replaces the old categorical partner/balanced/self/depends boost logic with a continuous dimension.</t>
  </si>
  <si>
    <t>dimension_id</t>
  </si>
  <si>
    <t>dimension_name</t>
  </si>
  <si>
    <t>source_question_id</t>
  </si>
  <si>
    <t>transform</t>
  </si>
  <si>
    <t>default_weight</t>
  </si>
  <si>
    <t>Crave novelty / variety</t>
  </si>
  <si>
    <t>scale_1_7_to_0_1</t>
  </si>
  <si>
    <t>Responsive desire tendency</t>
  </si>
  <si>
    <t>Planned time preference</t>
  </si>
  <si>
    <t>Emotional connection essential</t>
  </si>
  <si>
    <t>Prefers intense vs calm</t>
  </si>
  <si>
    <t>Pursuit / hard-to-get turns me on</t>
  </si>
  <si>
    <t>Needs edge/taboo/intensity</t>
  </si>
  <si>
    <t>Sex as sacred/meaningful/ritual</t>
  </si>
  <si>
    <t>Risk orientation in erotic contexts</t>
  </si>
  <si>
    <t>categorical_to_numeric</t>
  </si>
  <si>
    <t>Arousal drops if partner is quiet/neutral</t>
  </si>
  <si>
    <t>Comfort expressing turn-ons</t>
  </si>
  <si>
    <t>Comfort expressing what I don't want</t>
  </si>
  <si>
    <t>Enjoy structure/protocol/rules</t>
  </si>
  <si>
    <t>Connected when soothing/stabilizing partner</t>
  </si>
  <si>
    <t>Generally feel secure in relationships</t>
  </si>
  <si>
    <t>After repair talk, feel more desire</t>
  </si>
  <si>
    <t>Pressure makes me shut down/withdraw</t>
  </si>
  <si>
    <t>Lose interest when partner emotionally dependent</t>
  </si>
  <si>
    <t>Use flirtation/sex to influence dynamic</t>
  </si>
  <si>
    <t>Wants more closeness/togetherness than independence</t>
  </si>
  <si>
    <t>Attention goes more to partner's experience</t>
  </si>
  <si>
    <t>archetype_id</t>
  </si>
  <si>
    <t>archetype_name</t>
  </si>
  <si>
    <t>prototype_value</t>
  </si>
  <si>
    <t>1</t>
  </si>
  <si>
    <t>Sensual Connector</t>
  </si>
  <si>
    <t>2</t>
  </si>
  <si>
    <t>Spark Seeker</t>
  </si>
  <si>
    <t>3</t>
  </si>
  <si>
    <t>Relational Nurturer</t>
  </si>
  <si>
    <t>4</t>
  </si>
  <si>
    <t>Radiant Performer</t>
  </si>
  <si>
    <t>5</t>
  </si>
  <si>
    <t>Explorer of Edges</t>
  </si>
  <si>
    <t>6</t>
  </si>
  <si>
    <t>Curious Apprentice</t>
  </si>
  <si>
    <t>7</t>
  </si>
  <si>
    <t>Spiritual Lover</t>
  </si>
  <si>
    <t>8</t>
  </si>
  <si>
    <t>Minimalist Companion</t>
  </si>
  <si>
    <t>9</t>
  </si>
  <si>
    <t>Emotional Voyeur</t>
  </si>
  <si>
    <t>10</t>
  </si>
  <si>
    <t>Authority Conductor</t>
  </si>
  <si>
    <t>11</t>
  </si>
  <si>
    <t>Loyal Ritualist</t>
  </si>
  <si>
    <t>12</t>
  </si>
  <si>
    <t>Tender Devotee</t>
  </si>
  <si>
    <t>13</t>
  </si>
  <si>
    <t>Analytical Sexualist</t>
  </si>
  <si>
    <t>14</t>
  </si>
  <si>
    <t>Quiet Withdrawer</t>
  </si>
  <si>
    <t>min_coeff</t>
  </si>
  <si>
    <t>mean_uniform_coeff</t>
  </si>
  <si>
    <t>max_coeff</t>
  </si>
  <si>
    <t>default_w</t>
  </si>
  <si>
    <t>ref_min_component</t>
  </si>
  <si>
    <t>ref_mean_component</t>
  </si>
  <si>
    <t>ref_max_component</t>
  </si>
  <si>
    <t>ref_raw_min_default_w</t>
  </si>
  <si>
    <t>ref_raw_mean_default_w</t>
  </si>
  <si>
    <t>ref_raw_max_default_w</t>
  </si>
  <si>
    <t>ref_span_min_to_mean</t>
  </si>
  <si>
    <t>ref_span_mean_to_max</t>
  </si>
  <si>
    <t>v4_bias_ref</t>
  </si>
  <si>
    <t>v5_uses_bias</t>
  </si>
  <si>
    <t>expected_categorical_lift_after_question_scaling</t>
  </si>
  <si>
    <t>v5_categorical_intercept_scale</t>
  </si>
  <si>
    <t>v5_categorical_intercept_subtract (J*K)</t>
  </si>
  <si>
    <t>bias_add_to_raw_score</t>
  </si>
  <si>
    <t>rule_id</t>
  </si>
  <si>
    <t>question_id</t>
  </si>
  <si>
    <t>answer_code</t>
  </si>
  <si>
    <t>answer_label</t>
  </si>
  <si>
    <t>score_add</t>
  </si>
  <si>
    <t>low_lately</t>
  </si>
  <si>
    <t>I haven't felt much desire lately</t>
  </si>
  <si>
    <t>planned</t>
  </si>
  <si>
    <t>Sex was planned, with time and privacy set aside</t>
  </si>
  <si>
    <t>responsive</t>
  </si>
  <si>
    <t>Something happened first: touch, flirting, kissing, fantasy, closeness</t>
  </si>
  <si>
    <t>spontaneous</t>
  </si>
  <si>
    <t>Nothing — I just got horny on my own</t>
  </si>
  <si>
    <t>varies</t>
  </si>
  <si>
    <t>It depends — varies by person or situation</t>
  </si>
  <si>
    <t>i_start</t>
  </si>
  <si>
    <t>I'm the one who starts things — I make the first move</t>
  </si>
  <si>
    <t>partner_starts</t>
  </si>
  <si>
    <t>The other person starts things — I respond to them</t>
  </si>
  <si>
    <t>plan_window</t>
  </si>
  <si>
    <t>It works best when we plan it ahead and both know it's coming</t>
  </si>
  <si>
    <t>playful</t>
  </si>
  <si>
    <t>It happens naturally, with no one having to start</t>
  </si>
  <si>
    <t>adventurous</t>
  </si>
  <si>
    <t>New or adventurous situations</t>
  </si>
  <si>
    <t>edge_taboo</t>
  </si>
  <si>
    <t>A bit forbidden, edgy, or rule-breaking</t>
  </si>
  <si>
    <t>other</t>
  </si>
  <si>
    <t>Something else</t>
  </si>
  <si>
    <t>private</t>
  </si>
  <si>
    <t>Private, calm, and feeling safe</t>
  </si>
  <si>
    <t>ritualized</t>
  </si>
  <si>
    <t>Slow, intentional, almost ritual-like</t>
  </si>
  <si>
    <t>Unplanned, spur-of-the-moment</t>
  </si>
  <si>
    <t>visible_semipublic</t>
  </si>
  <si>
    <t>Being seen — or almost being seen — by others</t>
  </si>
  <si>
    <t>connection</t>
  </si>
  <si>
    <t>Emotional closeness — warmth, affection, feeling connected</t>
  </si>
  <si>
    <t>fantasy</t>
  </si>
  <si>
    <t>My imagination — fantasy, what I'm watching, reading, or picturing</t>
  </si>
  <si>
    <t>mastery</t>
  </si>
  <si>
    <t>Skill and technique — when one of us is really good at it</t>
  </si>
  <si>
    <t>novelty</t>
  </si>
  <si>
    <t>Something new — surprise, exploration, novelty</t>
  </si>
  <si>
    <t>safety</t>
  </si>
  <si>
    <t>The right setting — low stress, privacy, time, feeling safe</t>
  </si>
  <si>
    <t>sensation</t>
  </si>
  <si>
    <t>Physical stuff — touch, rhythm, build-up, body sensation</t>
  </si>
  <si>
    <t>It varies — no single thing stands out</t>
  </si>
  <si>
    <t>guidance</t>
  </si>
  <si>
    <t>I want clear guidance, instructions, and feedback</t>
  </si>
  <si>
    <t>intuition</t>
  </si>
  <si>
    <t>I follow what feels natural in the moment, no overthinking</t>
  </si>
  <si>
    <t>learning_by_doing</t>
  </si>
  <si>
    <t>I learn by trying things and seeing what happens</t>
  </si>
  <si>
    <t>non_deliberate</t>
  </si>
  <si>
    <t>I'd rather not treat sex as a project to work on</t>
  </si>
  <si>
    <t>adventurous_boundaries</t>
  </si>
  <si>
    <t>Adventurous, as long as the limits are clear</t>
  </si>
  <si>
    <t>balanced</t>
  </si>
  <si>
    <t>A balance of familiar and new</t>
  </si>
  <si>
    <t>Intense or taboo energy — within limits we've both agreed to</t>
  </si>
  <si>
    <t>safe_novelty</t>
  </si>
  <si>
    <t>Mostly safe, with a little novelty</t>
  </si>
  <si>
    <t>very_safe</t>
  </si>
  <si>
    <t>Very safe, calm, and predictable</t>
  </si>
  <si>
    <t>absorbed</t>
  </si>
  <si>
    <t>Getting fully absorbed in the feeling, with no focus on watching either way</t>
  </si>
  <si>
    <t>not_sure</t>
  </si>
  <si>
    <t>Not sure</t>
  </si>
  <si>
    <t>watched</t>
  </si>
  <si>
    <t>Being watched, desired, or admired</t>
  </si>
  <si>
    <t>watching</t>
  </si>
  <si>
    <t>Watching the other person — their body, reactions, pleasure</t>
  </si>
  <si>
    <t>angry</t>
  </si>
  <si>
    <t>Get frustrated, irritated, or push back at them</t>
  </si>
  <si>
    <t>calm</t>
  </si>
  <si>
    <t>Stay calm and handle it on your own</t>
  </si>
  <si>
    <t>pursue</t>
  </si>
  <si>
    <t>Move toward them, looking for reassurance or contact</t>
  </si>
  <si>
    <t>It depends on the person or situation</t>
  </si>
  <si>
    <t>withdraw</t>
  </si>
  <si>
    <t>Pull back, go quiet, or create distance yourself</t>
  </si>
  <si>
    <t>direct_phrases</t>
  </si>
  <si>
    <t>With short, direct words ("more", "harder", "slower", "yes")</t>
  </si>
  <si>
    <t>expressive</t>
  </si>
  <si>
    <t>Talking and giving feedback throughout</t>
  </si>
  <si>
    <t>nonverbal</t>
  </si>
  <si>
    <t>Mostly through sounds, looks, and body language</t>
  </si>
  <si>
    <t>reassurance</t>
  </si>
  <si>
    <t>Checking in emotionally — asking how they feel, sharing how I feel</t>
  </si>
  <si>
    <t>touch_body</t>
  </si>
  <si>
    <t>Through touch — guiding hands, moving their body, using my own body</t>
  </si>
  <si>
    <t>very_little</t>
  </si>
  <si>
    <t>I don't communicate much during sex</t>
  </si>
  <si>
    <t>depends</t>
  </si>
  <si>
    <t>Not sure / depends on the situation</t>
  </si>
  <si>
    <t>egalitarian</t>
  </si>
  <si>
    <t>Equal — we meet in the middle, no one's in charge</t>
  </si>
  <si>
    <t>lead</t>
  </si>
  <si>
    <t>Being the one in charge — leading, directing, setting the pace</t>
  </si>
  <si>
    <t>surrender</t>
  </si>
  <si>
    <t>Letting the other person take charge — following, surrendering, being led</t>
  </si>
  <si>
    <t>switch</t>
  </si>
  <si>
    <t>Switching — sometimes leading, sometimes letting go</t>
  </si>
  <si>
    <t>bonding</t>
  </si>
  <si>
    <t>Bonding and closeness</t>
  </si>
  <si>
    <t>comfort</t>
  </si>
  <si>
    <t>Comfort and familiarity</t>
  </si>
  <si>
    <t>escape</t>
  </si>
  <si>
    <t>Escape and relief</t>
  </si>
  <si>
    <t>healing</t>
  </si>
  <si>
    <t>Healing and soothing</t>
  </si>
  <si>
    <t>intensity</t>
  </si>
  <si>
    <t>Intensity and edge</t>
  </si>
  <si>
    <t>meaning</t>
  </si>
  <si>
    <t>Meaning and devotion</t>
  </si>
  <si>
    <t>Novelty and discovery</t>
  </si>
  <si>
    <t>pleasure</t>
  </si>
  <si>
    <t>Pleasure and play</t>
  </si>
  <si>
    <t>power</t>
  </si>
  <si>
    <t>Power and polarity</t>
  </si>
  <si>
    <t>service</t>
  </si>
  <si>
    <t>Giving and service</t>
  </si>
  <si>
    <t>validation</t>
  </si>
  <si>
    <t>Feeling desired</t>
  </si>
  <si>
    <t>awakening</t>
  </si>
  <si>
    <t>Waking up — getting curious about what I like and want again</t>
  </si>
  <si>
    <t>evolving</t>
  </si>
  <si>
    <t>Going deeper — sex feels tied to growth, meaning, or spirituality</t>
  </si>
  <si>
    <t>expanding</t>
  </si>
  <si>
    <t>Stretching — ready for more play, novelty, confidence, or range</t>
  </si>
  <si>
    <t>grounded</t>
  </si>
  <si>
    <t>Steady — sex feels like a natural, settled part of my life</t>
  </si>
  <si>
    <t>recharging</t>
  </si>
  <si>
    <t>Quiet phase — I want rest, space, and less pressure around sex</t>
  </si>
  <si>
    <t>repairing</t>
  </si>
  <si>
    <t>Repair phase — rebuilding trust, safety, or closeness after something hard</t>
  </si>
  <si>
    <t>Feeling more curious, alive, and in touch with what I want</t>
  </si>
  <si>
    <t>Going deeper — more meaning, intimacy, or spiritual connection</t>
  </si>
  <si>
    <t>More play, novelty, confidence, and range</t>
  </si>
  <si>
    <t>Feeling steady and natural about sex in my daily life</t>
  </si>
  <si>
    <t>A quieter phase, with rest and less pressure</t>
  </si>
  <si>
    <t>Rebuilding trust, safety, or closeness</t>
  </si>
  <si>
    <t>overlay_id</t>
  </si>
  <si>
    <t>operator</t>
  </si>
  <si>
    <t>threshold</t>
  </si>
  <si>
    <t>multiplier</t>
  </si>
  <si>
    <t>&gt;=</t>
  </si>
  <si>
    <t>&lt;=</t>
  </si>
  <si>
    <t>score_adjustment_if_fail</t>
  </si>
  <si>
    <t>overlay_name</t>
  </si>
  <si>
    <t>Escape / stress-regulation (overlay)</t>
  </si>
  <si>
    <t>Current sex-life satisfaction (overlay)</t>
  </si>
  <si>
    <t>Sex often uncomfortable or painful (overlay)</t>
  </si>
  <si>
    <t>Orgasms easy with a partner (overlay)</t>
  </si>
  <si>
    <t>Country (localization context)</t>
  </si>
  <si>
    <t>categorical_passthrough</t>
  </si>
  <si>
    <t>Postal code (localization granularity)</t>
  </si>
  <si>
    <t>string_passthrough</t>
  </si>
  <si>
    <t>Age band (life-stage context)</t>
  </si>
  <si>
    <t>Relationship structure context</t>
  </si>
  <si>
    <t>Parenting/caregiving load (time + fatigue context)</t>
  </si>
  <si>
    <t>Baseline stress load</t>
  </si>
  <si>
    <t>likert5_to_0_1</t>
  </si>
  <si>
    <t>Restedness on waking (bandwidth)</t>
  </si>
  <si>
    <t>Health load impacting energy/mood (functioning context)</t>
  </si>
  <si>
    <t>Medication/hormone impact on libido/energy (context)</t>
  </si>
  <si>
    <t>Gender identity (language + examples)</t>
  </si>
  <si>
    <t>Sexual orientation (language + examples)</t>
  </si>
  <si>
    <t>Primary focus</t>
  </si>
  <si>
    <t>Urgency</t>
  </si>
  <si>
    <t>Current phase (stage)</t>
  </si>
  <si>
    <t>categorical_to_onehot</t>
  </si>
  <si>
    <t>Desired phase (3–6 months)</t>
  </si>
  <si>
    <t>Help style</t>
  </si>
  <si>
    <t>Support preferences</t>
  </si>
  <si>
    <t>multiselect_to_support_tags</t>
  </si>
  <si>
    <t>Topic importance</t>
  </si>
  <si>
    <t>Barrier tags</t>
  </si>
  <si>
    <t>multiselect_to_barrier_tags</t>
  </si>
  <si>
    <t>dim_ovl_id</t>
  </si>
  <si>
    <t>numeric_value</t>
  </si>
  <si>
    <t>Very safe and predictable</t>
  </si>
  <si>
    <t>Balanced</t>
  </si>
  <si>
    <t>Adventurous, with clear boundaries</t>
  </si>
  <si>
    <t>Strong edge or taboo energy</t>
  </si>
  <si>
    <t>very_tired</t>
  </si>
  <si>
    <t>Very tired</t>
  </si>
  <si>
    <t>rather_tired</t>
  </si>
  <si>
    <t>Rather tired</t>
  </si>
  <si>
    <t>in_between</t>
  </si>
  <si>
    <t>In between</t>
  </si>
  <si>
    <t>rather_rested</t>
  </si>
  <si>
    <t>Rather rested</t>
  </si>
  <si>
    <t>very_rested</t>
  </si>
  <si>
    <t>Very rested</t>
  </si>
  <si>
    <t>very_low</t>
  </si>
  <si>
    <t>Very low</t>
  </si>
  <si>
    <t>low</t>
  </si>
  <si>
    <t>Low</t>
  </si>
  <si>
    <t>medium</t>
  </si>
  <si>
    <t>Medium</t>
  </si>
  <si>
    <t>high</t>
  </si>
  <si>
    <t>High</t>
  </si>
  <si>
    <t>very_high</t>
  </si>
  <si>
    <t>Very high</t>
  </si>
  <si>
    <t>no_children</t>
  </si>
  <si>
    <t>No</t>
  </si>
  <si>
    <t>youngest_18plus_not_live</t>
  </si>
  <si>
    <t>Yes, children are 18+ and do not live with me</t>
  </si>
  <si>
    <t>youngest_18plus_live</t>
  </si>
  <si>
    <t>Yes, children are 18+ and live with me</t>
  </si>
  <si>
    <t>youngest_11_17</t>
  </si>
  <si>
    <t>Yes, youngest child is 11–17 years</t>
  </si>
  <si>
    <t>youngest_4_10</t>
  </si>
  <si>
    <t>Yes, youngest child is 4–10 years</t>
  </si>
  <si>
    <t>youngest_0_3</t>
  </si>
  <si>
    <t>Yes, youngest child is 0–3 years</t>
  </si>
  <si>
    <t>prefer_not_to_answer</t>
  </si>
  <si>
    <t>Prefer not to answer</t>
  </si>
  <si>
    <t>no</t>
  </si>
  <si>
    <t>mainly_physical</t>
  </si>
  <si>
    <t>Yes, mainly physical health</t>
  </si>
  <si>
    <t>mainly_mental</t>
  </si>
  <si>
    <t>Yes, mainly mental health</t>
  </si>
  <si>
    <t>both</t>
  </si>
  <si>
    <t>Yes, both physical and mental health</t>
  </si>
  <si>
    <t>I’m not sure</t>
  </si>
  <si>
    <t>prefer_not</t>
  </si>
  <si>
    <t>lowers_drive</t>
  </si>
  <si>
    <t>Yes, lowers my drive</t>
  </si>
  <si>
    <t>increases_drive</t>
  </si>
  <si>
    <t>Yes, increases my drive</t>
  </si>
  <si>
    <t>not_sure_effect</t>
  </si>
  <si>
    <t>Yes, not sure how it affects me</t>
  </si>
  <si>
    <t>Recharging / Pausing</t>
  </si>
  <si>
    <t>Repairing / Reconnecting</t>
  </si>
  <si>
    <t>Awakening / Exploring</t>
  </si>
  <si>
    <t>Expanding / Experimenting</t>
  </si>
  <si>
    <t>Grounded / Integrated</t>
  </si>
  <si>
    <t>Evolving / Transcending</t>
  </si>
  <si>
    <t>old_format</t>
  </si>
  <si>
    <t>new_format</t>
  </si>
  <si>
    <t>v6_scoring_role</t>
  </si>
  <si>
    <t>v6_dimension_id</t>
  </si>
  <si>
    <t>v6_categorical_aggregation</t>
  </si>
  <si>
    <t>change_summary</t>
  </si>
  <si>
    <t>engineering_note</t>
  </si>
  <si>
    <t>single_match</t>
  </si>
  <si>
    <t>Label refresh only</t>
  </si>
  <si>
    <t>Keep old answer codes; refresh labels to the new survey text.</t>
  </si>
  <si>
    <t>max_selected_answer_boost_per_archetype</t>
  </si>
  <si>
    <t>Environment question is now multiselect; old public-risk answer split into edge/taboo and visible/semi-public</t>
  </si>
  <si>
    <t>Do not sum boosts across selected environments. Take the strongest selected environment signal per archetype.</t>
  </si>
  <si>
    <t>Added non_deliberate answer code</t>
  </si>
  <si>
    <t>New option captures low-curiosity / non-project orientation.</t>
  </si>
  <si>
    <t>typing_dimension</t>
  </si>
  <si>
    <t>Scalarized old crave/balance/distance logic into a continuous closeness-vs-independence dimension</t>
  </si>
  <si>
    <t>Weight kept conservative because this overlaps existing secure/avoidant attachment dimensions.</t>
  </si>
  <si>
    <t>Communication-style question is now multiselect; old nonverbal bucket split into mostly nonverbal cues vs communicate very little</t>
  </si>
  <si>
    <t>Do not sum boosts across selected communication styles. Take the strongest selected style signal per archetype.</t>
  </si>
  <si>
    <t>Scalarized old partner/balanced/self/depends logic into a continuous partner-attention dimension</t>
  </si>
  <si>
    <t>Weight kept conservative because this overlaps existing soothing/caregiving signal.</t>
  </si>
  <si>
    <t>Motivation question is now multiselect with refreshed labels</t>
  </si>
  <si>
    <t>Preserve the old strongest-driver logic by using per-question MAX across selected motives.</t>
  </si>
  <si>
    <t>overlay_only</t>
  </si>
  <si>
    <t>Overlay answer set expanded</t>
  </si>
  <si>
    <t>No archetype-scoring change.</t>
  </si>
  <si>
    <t>business_routing_only</t>
  </si>
  <si>
    <t>Business-routing answer set refreshed</t>
  </si>
  <si>
    <t>01003</t>
  </si>
  <si>
    <t>REMOVED in v9</t>
  </si>
  <si>
    <t>retired</t>
  </si>
  <si>
    <t>Retired in v9. Diagnostic recovered by Q01002 + Q16005 (with 6 added boosts).</t>
  </si>
  <si>
    <t>Drop all 24 boost rules.</t>
  </si>
  <si>
    <t>16003</t>
  </si>
  <si>
    <t>OVL_CHANGE_EFFICACY</t>
  </si>
  <si>
    <t>Overlay retired in v9. No archetype-scoring impact.</t>
  </si>
  <si>
    <t>16004</t>
  </si>
  <si>
    <t>OVL_START_HORIZON</t>
  </si>
  <si>
    <t>6 new boost rules added in v9 (recharging x3, awakening x3) to recover Q01003 signal.</t>
  </si>
  <si>
    <t>Conservative caps (max 0.4) to avoid over-rotating; tune after first 4 weeks of v9 traffic.</t>
  </si>
  <si>
    <t>N/A</t>
  </si>
  <si>
    <t>New marketing opt-in question; not used in archetype scoring.</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</si>
</sst>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0.0"/>
    <numFmt numFmtId="165" formatCode="0.0000"/>
    <numFmt numFmtId="166" formatCode="0.000000"/>
    <numFmt numFmtId="167" formatCode="0.000000000000000"/>
  </numFmts>
  <fonts count="16">
    <font>
      <sz val="10.0"/>
      <color rgb="FF000000"/>
      <name val="Arial"/>
      <scheme val="minor"/>
    </font>
    <font>
      <b/>
      <sz val="11.0"/>
      <color rgb="FFFFFFFF"/>
      <name val="Arial"/>
    </font>
    <font/>
    <font>
      <b/>
      <sz val="10.0"/>
      <color theme="1"/>
      <name val="Arial"/>
    </font>
    <font>
      <sz val="10.0"/>
      <color theme="1"/>
      <name val="Arial"/>
    </font>
    <font>
      <sz val="10.0"/>
      <color rgb="FF000000"/>
      <name val="Arial"/>
    </font>
    <font>
      <b/>
      <sz val="10.0"/>
      <color rgb="FFFFFFFF"/>
      <name val="Arial"/>
    </font>
    <font>
      <b/>
      <sz val="11.0"/>
      <color theme="1"/>
      <name val="Roboto"/>
    </font>
    <font>
      <sz val="11.0"/>
      <color rgb="FFFFFFFF"/>
      <name val="Arial"/>
    </font>
    <font>
      <sz val="11.0"/>
      <color rgb="FF434343"/>
      <name val="Roboto"/>
    </font>
    <font>
      <sz val="11.0"/>
      <color theme="1"/>
      <name val="Arial"/>
    </font>
    <font>
      <sz val="11.0"/>
      <color rgb="FF434343"/>
      <name val="Arial"/>
    </font>
    <font>
      <b/>
      <sz val="11.0"/>
      <color rgb="FF000000"/>
      <name val="Arial"/>
    </font>
    <font>
      <b/>
      <sz val="11.0"/>
      <color theme="1"/>
      <name val="Arial"/>
    </font>
    <font>
      <sz val="11.0"/>
      <color rgb="FF000000"/>
      <name val="Arial"/>
    </font>
    <font>
      <b/>
      <sz val="10.0"/>
      <color rgb="FF000000"/>
      <name val="Arial"/>
    </font>
  </fonts>
  <fills count="6">
    <fill>
      <patternFill patternType="none"/>
    </fill>
    <fill>
      <patternFill patternType="lightGray"/>
    </fill>
    <fill>
      <patternFill patternType="solid">
        <fgColor rgb="FF305496"/>
        <bgColor rgb="FF305496"/>
      </patternFill>
    </fill>
    <fill>
      <patternFill patternType="solid">
        <fgColor rgb="FFEFEFEF"/>
        <bgColor rgb="FFEFEFEF"/>
      </patternFill>
    </fill>
    <fill>
      <patternFill patternType="solid">
        <fgColor rgb="FFFFFFFF"/>
        <bgColor rgb="FFFFFFFF"/>
      </patternFill>
    </fill>
    <fill>
      <patternFill patternType="solid">
        <fgColor rgb="FFFFF2CC"/>
        <bgColor rgb="FFFFF2CC"/>
      </patternFill>
    </fill>
  </fills>
  <borders count="11">
    <border/>
    <border>
      <left style="thin">
        <color rgb="FFBFBFBF"/>
      </left>
      <top style="thin">
        <color rgb="FFBFBFBF"/>
      </top>
      <bottom style="thin">
        <color rgb="FFBFBFBF"/>
      </bottom>
    </border>
    <border>
      <right/>
      <top style="thin">
        <color rgb="FFBFBFBF"/>
      </top>
      <bottom style="thin">
        <color rgb="FFBFBFBF"/>
      </bottom>
    </border>
    <border>
      <left style="thin">
        <color rgb="FFBFBFBF"/>
      </left>
      <right style="thin">
        <color rgb="FFBFBFBF"/>
      </right>
      <top style="thin">
        <color rgb="FFBFBFBF"/>
      </top>
      <bottom style="thin">
        <color rgb="FFBFBFBF"/>
      </bottom>
    </border>
    <border>
      <left/>
      <right/>
      <top/>
      <bottom/>
    </border>
    <border>
      <left style="thin">
        <color rgb="FF284E3F"/>
      </left>
      <right style="thin">
        <color rgb="FFD9D9D9"/>
      </right>
      <top style="thin">
        <color rgb="FFD9D9D9"/>
      </top>
      <bottom style="thin">
        <color rgb="FFD9D9D9"/>
      </bottom>
    </border>
    <border>
      <left style="thin">
        <color rgb="FFD9D9D9"/>
      </left>
      <right style="thin">
        <color rgb="FFD9D9D9"/>
      </right>
      <top style="thin">
        <color rgb="FFD9D9D9"/>
      </top>
      <bottom style="thin">
        <color rgb="FFD9D9D9"/>
      </bottom>
    </border>
    <border>
      <left style="thin">
        <color rgb="FFD9D9D9"/>
      </left>
      <right style="thin">
        <color rgb="FF284E3F"/>
      </right>
      <top style="thin">
        <color rgb="FFD9D9D9"/>
      </top>
      <bottom style="thin">
        <color rgb="FFD9D9D9"/>
      </bottom>
    </border>
    <border>
      <left style="thin">
        <color rgb="FFCCCCCC"/>
      </left>
      <right style="thin">
        <color rgb="FFCCCCCC"/>
      </right>
      <top style="thin">
        <color rgb="FFCCCCCC"/>
      </top>
      <bottom style="thin">
        <color rgb="FFCCCCCC"/>
      </bottom>
    </border>
    <border>
      <left style="thin">
        <color rgb="FFD9D9D9"/>
      </left>
      <right style="thin">
        <color rgb="FFD9D9D9"/>
      </right>
      <top style="thin">
        <color rgb="FFD9D9D9"/>
      </top>
      <bottom style="thin">
        <color rgb="FF284E3F"/>
      </bottom>
    </border>
    <border>
      <left style="thin">
        <color rgb="FFD9D9D9"/>
      </left>
      <right style="thin">
        <color rgb="FF284E3F"/>
      </right>
      <top style="thin">
        <color rgb="FFD9D9D9"/>
      </top>
      <bottom style="thin">
        <color rgb="FF284E3F"/>
      </bottom>
    </border>
  </borders>
  <cellStyleXfs count="1">
    <xf borderId="0" fillId="0" fontId="0" numFmtId="0" applyAlignment="1" applyFont="1"/>
  </cellStyleXfs>
  <cellXfs count="87">
    <xf borderId="0" fillId="0" fontId="0" numFmtId="0" xfId="0" applyAlignment="1" applyFont="1">
      <alignment readingOrder="0" shrinkToFit="0" vertical="bottom" wrapText="0"/>
    </xf>
    <xf borderId="1" fillId="2" fontId="1" numFmtId="0" xfId="0" applyAlignment="1" applyBorder="1" applyFill="1" applyFont="1">
      <alignment shrinkToFit="0" vertical="center" wrapText="0"/>
    </xf>
    <xf borderId="2" fillId="0" fontId="2" numFmtId="0" xfId="0" applyBorder="1" applyFont="1"/>
    <xf borderId="3" fillId="0" fontId="3" numFmtId="0" xfId="0" applyAlignment="1" applyBorder="1" applyFont="1">
      <alignment shrinkToFit="0" vertical="top" wrapText="1"/>
    </xf>
    <xf borderId="3" fillId="0" fontId="4" numFmtId="0" xfId="0" applyAlignment="1" applyBorder="1" applyFont="1">
      <alignment shrinkToFit="0" vertical="top" wrapText="1"/>
    </xf>
    <xf borderId="0" fillId="0" fontId="5" numFmtId="0" xfId="0" applyAlignment="1" applyFont="1">
      <alignment shrinkToFit="0" vertical="bottom" wrapText="0"/>
    </xf>
    <xf borderId="3" fillId="2" fontId="6" numFmtId="0" xfId="0" applyAlignment="1" applyBorder="1" applyFont="1">
      <alignment shrinkToFit="0" vertical="center" wrapText="0"/>
    </xf>
    <xf borderId="4" fillId="3" fontId="7" numFmtId="49" xfId="0" applyAlignment="1" applyBorder="1" applyFill="1" applyFont="1" applyNumberFormat="1">
      <alignment horizontal="left" shrinkToFit="0" vertical="center" wrapText="1"/>
    </xf>
    <xf borderId="0" fillId="0" fontId="8" numFmtId="0" xfId="0" applyAlignment="1" applyFont="1">
      <alignment horizontal="center" shrinkToFit="0" vertical="bottom" wrapText="1"/>
    </xf>
    <xf borderId="0" fillId="0" fontId="8" numFmtId="0" xfId="0" applyAlignment="1" applyFont="1">
      <alignment shrinkToFit="0" vertical="bottom" wrapText="1"/>
    </xf>
    <xf borderId="5" fillId="4" fontId="9" numFmtId="49" xfId="0" applyAlignment="1" applyBorder="1" applyFill="1" applyFont="1" applyNumberFormat="1">
      <alignment shrinkToFit="0" vertical="center" wrapText="1"/>
    </xf>
    <xf borderId="6" fillId="4" fontId="9" numFmtId="0" xfId="0" applyAlignment="1" applyBorder="1" applyFont="1">
      <alignment shrinkToFit="0" vertical="center" wrapText="1"/>
    </xf>
    <xf borderId="7" fillId="4" fontId="10" numFmtId="0" xfId="0" applyAlignment="1" applyBorder="1" applyFont="1">
      <alignment shrinkToFit="0" vertical="center" wrapText="1"/>
    </xf>
    <xf borderId="0" fillId="0" fontId="10" numFmtId="0" xfId="0" applyAlignment="1" applyFont="1">
      <alignment horizontal="center" shrinkToFit="0" vertical="bottom" wrapText="0"/>
    </xf>
    <xf borderId="0" fillId="0" fontId="10" numFmtId="0" xfId="0" applyAlignment="1" applyFont="1">
      <alignment shrinkToFit="0" vertical="bottom" wrapText="0"/>
    </xf>
    <xf borderId="7" fillId="4" fontId="9" numFmtId="0" xfId="0" applyAlignment="1" applyBorder="1" applyFont="1">
      <alignment shrinkToFit="0" vertical="center" wrapText="1"/>
    </xf>
    <xf borderId="8" fillId="4" fontId="9" numFmtId="0" xfId="0" applyAlignment="1" applyBorder="1" applyFont="1">
      <alignment shrinkToFit="0" vertical="top" wrapText="1"/>
    </xf>
    <xf borderId="8" fillId="4" fontId="11" numFmtId="49" xfId="0" applyAlignment="1" applyBorder="1" applyFont="1" applyNumberFormat="1">
      <alignment shrinkToFit="0" vertical="top" wrapText="1"/>
    </xf>
    <xf borderId="8" fillId="4" fontId="11" numFmtId="0" xfId="0" applyAlignment="1" applyBorder="1" applyFont="1">
      <alignment shrinkToFit="0" vertical="top" wrapText="1"/>
    </xf>
    <xf borderId="6" fillId="4" fontId="11" numFmtId="0" xfId="0" applyAlignment="1" applyBorder="1" applyFont="1">
      <alignment shrinkToFit="0" vertical="top" wrapText="1"/>
    </xf>
    <xf borderId="9" fillId="4" fontId="9" numFmtId="0" xfId="0" applyAlignment="1" applyBorder="1" applyFont="1">
      <alignment shrinkToFit="0" vertical="center" wrapText="1"/>
    </xf>
    <xf borderId="10" fillId="4" fontId="9" numFmtId="0" xfId="0" applyAlignment="1" applyBorder="1" applyFont="1">
      <alignment shrinkToFit="0" vertical="center" wrapText="1"/>
    </xf>
    <xf borderId="0" fillId="0" fontId="4" numFmtId="0" xfId="0" applyAlignment="1" applyFont="1">
      <alignment shrinkToFit="0" vertical="bottom" wrapText="0"/>
    </xf>
    <xf borderId="0" fillId="0" fontId="10" numFmtId="0" xfId="0" applyAlignment="1" applyFont="1">
      <alignment horizontal="left" shrinkToFit="0" vertical="top" wrapText="1"/>
    </xf>
    <xf borderId="0" fillId="0" fontId="10" numFmtId="0" xfId="0" applyAlignment="1" applyFont="1">
      <alignment horizontal="left" shrinkToFit="0" vertical="top" wrapText="0"/>
    </xf>
    <xf borderId="0" fillId="0" fontId="10" numFmtId="0" xfId="0" applyAlignment="1" applyFont="1">
      <alignment shrinkToFit="0" vertical="top" wrapText="0"/>
    </xf>
    <xf borderId="0" fillId="0" fontId="12" numFmtId="0" xfId="0" applyAlignment="1" applyFont="1">
      <alignment horizontal="left" shrinkToFit="0" vertical="bottom" wrapText="1"/>
    </xf>
    <xf borderId="0" fillId="0" fontId="13" numFmtId="0" xfId="0" applyAlignment="1" applyFont="1">
      <alignment horizontal="left" shrinkToFit="0" vertical="bottom" wrapText="1"/>
    </xf>
    <xf borderId="0" fillId="0" fontId="5" numFmtId="0" xfId="0" applyAlignment="1" applyFont="1">
      <alignment horizontal="left" shrinkToFit="0" vertical="bottom" wrapText="1"/>
    </xf>
    <xf borderId="0" fillId="0" fontId="14" numFmtId="0" xfId="0" applyAlignment="1" applyFont="1">
      <alignment horizontal="left" shrinkToFit="0" vertical="bottom" wrapText="1"/>
    </xf>
    <xf borderId="0" fillId="0" fontId="10" numFmtId="0" xfId="0" applyAlignment="1" applyFont="1">
      <alignment horizontal="left" shrinkToFit="0" vertical="bottom" wrapText="1"/>
    </xf>
    <xf borderId="0" fillId="0" fontId="14" numFmtId="0" xfId="0" applyAlignment="1" applyFont="1">
      <alignment horizontal="left" shrinkToFit="0" vertical="top" wrapText="1"/>
    </xf>
    <xf borderId="0" fillId="0" fontId="13" numFmtId="0" xfId="0" applyAlignment="1" applyFont="1">
      <alignment horizontal="left" shrinkToFit="0" vertical="bottom" wrapText="0"/>
    </xf>
    <xf borderId="0" fillId="0" fontId="13" numFmtId="49" xfId="0" applyAlignment="1" applyFont="1" applyNumberFormat="1">
      <alignment horizontal="left" shrinkToFit="0" vertical="bottom" wrapText="0"/>
    </xf>
    <xf borderId="0" fillId="0" fontId="13" numFmtId="164" xfId="0" applyAlignment="1" applyFont="1" applyNumberFormat="1">
      <alignment horizontal="left" shrinkToFit="0" vertical="bottom" wrapText="0"/>
    </xf>
    <xf borderId="0" fillId="0" fontId="13" numFmtId="0" xfId="0" applyAlignment="1" applyFont="1">
      <alignment shrinkToFit="0" vertical="bottom" wrapText="0"/>
    </xf>
    <xf borderId="0" fillId="0" fontId="10" numFmtId="0" xfId="0" applyAlignment="1" applyFont="1">
      <alignment horizontal="left" shrinkToFit="0" vertical="bottom" wrapText="0"/>
    </xf>
    <xf borderId="0" fillId="0" fontId="10" numFmtId="49" xfId="0" applyAlignment="1" applyFont="1" applyNumberFormat="1">
      <alignment horizontal="left" shrinkToFit="0" vertical="bottom" wrapText="0"/>
    </xf>
    <xf borderId="0" fillId="0" fontId="10" numFmtId="164" xfId="0" applyAlignment="1" applyFont="1" applyNumberFormat="1">
      <alignment horizontal="left" shrinkToFit="0" vertical="bottom" wrapText="0"/>
    </xf>
    <xf borderId="0" fillId="0" fontId="13" numFmtId="2" xfId="0" applyAlignment="1" applyFont="1" applyNumberFormat="1">
      <alignment horizontal="left" shrinkToFit="0" vertical="bottom" wrapText="0"/>
    </xf>
    <xf borderId="0" fillId="0" fontId="10" numFmtId="49" xfId="0" applyAlignment="1" applyFont="1" applyNumberFormat="1">
      <alignment horizontal="right" shrinkToFit="0" vertical="bottom" wrapText="0"/>
    </xf>
    <xf borderId="0" fillId="0" fontId="10" numFmtId="2" xfId="0" applyAlignment="1" applyFont="1" applyNumberFormat="1">
      <alignment horizontal="right" shrinkToFit="0" vertical="bottom" wrapText="0"/>
    </xf>
    <xf borderId="0" fillId="0" fontId="10" numFmtId="0" xfId="0" applyAlignment="1" applyFont="1">
      <alignment horizontal="left" readingOrder="0" shrinkToFit="0" vertical="bottom" wrapText="0"/>
    </xf>
    <xf borderId="0" fillId="0" fontId="15" numFmtId="49" xfId="0" applyAlignment="1" applyFont="1" applyNumberFormat="1">
      <alignment shrinkToFit="0" vertical="bottom" wrapText="1"/>
    </xf>
    <xf borderId="0" fillId="0" fontId="15" numFmtId="0" xfId="0" applyAlignment="1" applyFont="1">
      <alignment shrinkToFit="0" vertical="bottom" wrapText="1"/>
    </xf>
    <xf borderId="0" fillId="0" fontId="15" numFmtId="164" xfId="0" applyAlignment="1" applyFont="1" applyNumberFormat="1">
      <alignment horizontal="right" shrinkToFit="0" vertical="bottom" wrapText="1"/>
    </xf>
    <xf borderId="0" fillId="0" fontId="10" numFmtId="49" xfId="0" applyAlignment="1" applyFont="1" applyNumberFormat="1">
      <alignment shrinkToFit="0" vertical="bottom" wrapText="0"/>
    </xf>
    <xf borderId="0" fillId="0" fontId="5" numFmtId="165" xfId="0" applyAlignment="1" applyFont="1" applyNumberFormat="1">
      <alignment shrinkToFit="0" vertical="bottom" wrapText="0"/>
    </xf>
    <xf borderId="0" fillId="0" fontId="5" numFmtId="164" xfId="0" applyAlignment="1" applyFont="1" applyNumberFormat="1">
      <alignment horizontal="right" shrinkToFit="0" vertical="bottom" wrapText="0"/>
    </xf>
    <xf borderId="0" fillId="0" fontId="15" numFmtId="49" xfId="0" applyAlignment="1" applyFont="1" applyNumberFormat="1">
      <alignment horizontal="right" shrinkToFit="0" vertical="bottom" wrapText="1"/>
    </xf>
    <xf borderId="0" fillId="0" fontId="15" numFmtId="166" xfId="0" applyAlignment="1" applyFont="1" applyNumberFormat="1">
      <alignment shrinkToFit="0" vertical="bottom" wrapText="1"/>
    </xf>
    <xf borderId="0" fillId="0" fontId="5" numFmtId="0" xfId="0" applyAlignment="1" applyFont="1">
      <alignment shrinkToFit="0" vertical="bottom" wrapText="1"/>
    </xf>
    <xf borderId="0" fillId="0" fontId="10" numFmtId="49" xfId="0" applyAlignment="1" applyFont="1" applyNumberFormat="1">
      <alignment horizontal="right" shrinkToFit="0" vertical="bottom" wrapText="1"/>
    </xf>
    <xf borderId="0" fillId="0" fontId="10" numFmtId="166" xfId="0" applyAlignment="1" applyFont="1" applyNumberFormat="1">
      <alignment shrinkToFit="0" vertical="bottom" wrapText="1"/>
    </xf>
    <xf borderId="0" fillId="0" fontId="5" numFmtId="166" xfId="0" applyAlignment="1" applyFont="1" applyNumberFormat="1">
      <alignment shrinkToFit="0" vertical="bottom" wrapText="1"/>
    </xf>
    <xf borderId="0" fillId="0" fontId="10" numFmtId="166" xfId="0" applyAlignment="1" applyFont="1" applyNumberFormat="1">
      <alignment readingOrder="0" shrinkToFit="0" vertical="bottom" wrapText="1"/>
    </xf>
    <xf borderId="0" fillId="0" fontId="12" numFmtId="0" xfId="0" applyAlignment="1" applyFont="1">
      <alignment horizontal="center" shrinkToFit="0" vertical="bottom" wrapText="0"/>
    </xf>
    <xf borderId="0" fillId="0" fontId="12" numFmtId="167" xfId="0" applyAlignment="1" applyFont="1" applyNumberFormat="1">
      <alignment horizontal="center" shrinkToFit="0" vertical="bottom" wrapText="0"/>
    </xf>
    <xf borderId="0" fillId="0" fontId="14" numFmtId="0" xfId="0" applyAlignment="1" applyFont="1">
      <alignment horizontal="center" shrinkToFit="0" vertical="bottom" wrapText="0"/>
    </xf>
    <xf borderId="0" fillId="0" fontId="14" numFmtId="167" xfId="0" applyAlignment="1" applyFont="1" applyNumberFormat="1">
      <alignment horizontal="center" shrinkToFit="0" vertical="bottom" wrapText="0"/>
    </xf>
    <xf borderId="0" fillId="0" fontId="14" numFmtId="0" xfId="0" applyAlignment="1" applyFont="1">
      <alignment horizontal="center" readingOrder="0" shrinkToFit="0" vertical="bottom" wrapText="0"/>
    </xf>
    <xf borderId="4" fillId="3" fontId="13" numFmtId="49" xfId="0" applyAlignment="1" applyBorder="1" applyFont="1" applyNumberFormat="1">
      <alignment horizontal="left" shrinkToFit="0" vertical="bottom" wrapText="0"/>
    </xf>
    <xf borderId="4" fillId="3" fontId="13" numFmtId="0" xfId="0" applyAlignment="1" applyBorder="1" applyFont="1">
      <alignment horizontal="left" shrinkToFit="0" vertical="bottom" wrapText="0"/>
    </xf>
    <xf borderId="4" fillId="3" fontId="13" numFmtId="2" xfId="0" applyAlignment="1" applyBorder="1" applyFont="1" applyNumberFormat="1">
      <alignment horizontal="left" shrinkToFit="0" vertical="bottom" wrapText="0"/>
    </xf>
    <xf borderId="4" fillId="4" fontId="13" numFmtId="0" xfId="0" applyAlignment="1" applyBorder="1" applyFont="1">
      <alignment horizontal="left" shrinkToFit="0" vertical="bottom" wrapText="0"/>
    </xf>
    <xf borderId="4" fillId="4" fontId="10" numFmtId="0" xfId="0" applyAlignment="1" applyBorder="1" applyFont="1">
      <alignment horizontal="left" shrinkToFit="0" vertical="bottom" wrapText="0"/>
    </xf>
    <xf borderId="4" fillId="4" fontId="10" numFmtId="0" xfId="0" applyAlignment="1" applyBorder="1" applyFont="1">
      <alignment shrinkToFit="0" vertical="bottom" wrapText="0"/>
    </xf>
    <xf borderId="0" fillId="0" fontId="13" numFmtId="0" xfId="0" applyAlignment="1" applyFont="1">
      <alignment shrinkToFit="0" vertical="bottom" wrapText="1"/>
    </xf>
    <xf borderId="0" fillId="0" fontId="13" numFmtId="2" xfId="0" applyAlignment="1" applyFont="1" applyNumberFormat="1">
      <alignment shrinkToFit="0" vertical="bottom" wrapText="1"/>
    </xf>
    <xf borderId="0" fillId="0" fontId="10" numFmtId="0" xfId="0" applyAlignment="1" applyFont="1">
      <alignment shrinkToFit="0" vertical="bottom" wrapText="1"/>
    </xf>
    <xf borderId="0" fillId="0" fontId="10" numFmtId="2" xfId="0" applyAlignment="1" applyFont="1" applyNumberFormat="1">
      <alignment shrinkToFit="0" vertical="bottom" wrapText="1"/>
    </xf>
    <xf borderId="0" fillId="0" fontId="5" numFmtId="2" xfId="0" applyAlignment="1" applyFont="1" applyNumberFormat="1">
      <alignment shrinkToFit="0" vertical="bottom" wrapText="0"/>
    </xf>
    <xf borderId="0" fillId="0" fontId="13" numFmtId="49" xfId="0" applyAlignment="1" applyFont="1" applyNumberFormat="1">
      <alignment shrinkToFit="0" vertical="bottom" wrapText="0"/>
    </xf>
    <xf borderId="0" fillId="0" fontId="13" numFmtId="2" xfId="0" applyAlignment="1" applyFont="1" applyNumberFormat="1">
      <alignment shrinkToFit="0" vertical="bottom" wrapText="0"/>
    </xf>
    <xf borderId="4" fillId="5" fontId="13" numFmtId="2" xfId="0" applyAlignment="1" applyBorder="1" applyFill="1" applyFont="1" applyNumberFormat="1">
      <alignment shrinkToFit="0" vertical="bottom" wrapText="0"/>
    </xf>
    <xf borderId="0" fillId="0" fontId="10" numFmtId="2" xfId="0" applyAlignment="1" applyFont="1" applyNumberFormat="1">
      <alignment shrinkToFit="0" vertical="bottom" wrapText="0"/>
    </xf>
    <xf borderId="4" fillId="5" fontId="10" numFmtId="2" xfId="0" applyAlignment="1" applyBorder="1" applyFont="1" applyNumberFormat="1">
      <alignment shrinkToFit="0" vertical="bottom" wrapText="0"/>
    </xf>
    <xf borderId="0" fillId="0" fontId="10" numFmtId="0" xfId="0" applyAlignment="1" applyFont="1">
      <alignment readingOrder="0" shrinkToFit="0" vertical="bottom" wrapText="0"/>
    </xf>
    <xf borderId="0" fillId="0" fontId="13" numFmtId="49" xfId="0" applyAlignment="1" applyFont="1" applyNumberFormat="1">
      <alignment horizontal="left" shrinkToFit="0" vertical="bottom" wrapText="1"/>
    </xf>
    <xf borderId="0" fillId="0" fontId="14" numFmtId="49" xfId="0" applyAlignment="1" applyFont="1" applyNumberFormat="1">
      <alignment horizontal="left" shrinkToFit="0" vertical="bottom" wrapText="0"/>
    </xf>
    <xf borderId="0" fillId="0" fontId="10" numFmtId="2" xfId="0" applyAlignment="1" applyFont="1" applyNumberFormat="1">
      <alignment horizontal="left" shrinkToFit="0" vertical="bottom" wrapText="0"/>
    </xf>
    <xf borderId="0" fillId="0" fontId="5" numFmtId="49" xfId="0" applyAlignment="1" applyFont="1" applyNumberFormat="1">
      <alignment horizontal="left" shrinkToFit="0" vertical="bottom" wrapText="0"/>
    </xf>
    <xf borderId="0" fillId="0" fontId="5" numFmtId="2" xfId="0" applyAlignment="1" applyFont="1" applyNumberFormat="1">
      <alignment horizontal="left" shrinkToFit="0" vertical="bottom" wrapText="0"/>
    </xf>
    <xf borderId="0" fillId="0" fontId="13" numFmtId="49" xfId="0" applyAlignment="1" applyFont="1" applyNumberFormat="1">
      <alignment shrinkToFit="0" vertical="top" wrapText="1"/>
    </xf>
    <xf borderId="0" fillId="0" fontId="13" numFmtId="0" xfId="0" applyAlignment="1" applyFont="1">
      <alignment shrinkToFit="0" vertical="top" wrapText="1"/>
    </xf>
    <xf borderId="0" fillId="0" fontId="5" numFmtId="49" xfId="0" applyAlignment="1" applyFont="1" applyNumberFormat="1">
      <alignment shrinkToFit="0" vertical="top" wrapText="1"/>
    </xf>
    <xf borderId="0" fillId="0" fontId="5" numFmtId="0" xfId="0" applyAlignment="1" applyFont="1">
      <alignmen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11" Type="http://schemas.openxmlformats.org/officeDocument/2006/relationships/worksheet" Target="worksheets/sheet8.xml"/><Relationship Id="rId22" Type="http://customschemas.google.com/relationships/workbookmetadata" Target="metadata"/><Relationship Id="rId10" Type="http://schemas.openxmlformats.org/officeDocument/2006/relationships/worksheet" Target="worksheets/sheet7.xml"/><Relationship Id="rId21" Type="http://schemas.openxmlformats.org/officeDocument/2006/relationships/worksheet" Target="worksheets/sheet18.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schemas.openxmlformats.org/officeDocument/2006/relationships/worksheet" Target="worksheets/sheet16.xml"/><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28.0"/>
    <col customWidth="1" min="2" max="2" width="105.0"/>
    <col customWidth="1" min="3" max="26" width="8.63"/>
  </cols>
  <sheetData>
    <row r="1">
      <c r="A1" s="1" t="s">
        <v>0</v>
      </c>
      <c r="B1" s="2"/>
    </row>
    <row r="2">
      <c r="A2" s="3" t="s">
        <v>1</v>
      </c>
      <c r="B2" s="4" t="s">
        <v>2</v>
      </c>
    </row>
    <row r="3">
      <c r="A3" s="3" t="s">
        <v>3</v>
      </c>
      <c r="B3" s="4" t="s">
        <v>4</v>
      </c>
    </row>
    <row r="4">
      <c r="A4" s="3" t="s">
        <v>5</v>
      </c>
      <c r="B4" s="4" t="s">
        <v>6</v>
      </c>
    </row>
    <row r="5">
      <c r="A5" s="3" t="s">
        <v>7</v>
      </c>
      <c r="B5" s="4" t="s">
        <v>8</v>
      </c>
    </row>
    <row r="6">
      <c r="A6" s="5"/>
      <c r="B6" s="5"/>
    </row>
    <row r="7">
      <c r="A7" s="1" t="s">
        <v>9</v>
      </c>
      <c r="B7" s="2"/>
    </row>
    <row r="8">
      <c r="A8" s="3" t="s">
        <v>10</v>
      </c>
      <c r="B8" s="4" t="s">
        <v>11</v>
      </c>
    </row>
    <row r="9">
      <c r="A9" s="3" t="s">
        <v>12</v>
      </c>
      <c r="B9" s="4" t="s">
        <v>13</v>
      </c>
    </row>
    <row r="10">
      <c r="A10" s="3" t="s">
        <v>14</v>
      </c>
      <c r="B10" s="4" t="s">
        <v>15</v>
      </c>
    </row>
    <row r="11">
      <c r="A11" s="3" t="s">
        <v>16</v>
      </c>
      <c r="B11" s="4" t="s">
        <v>17</v>
      </c>
    </row>
    <row r="12">
      <c r="A12" s="3" t="s">
        <v>18</v>
      </c>
      <c r="B12" s="4" t="s">
        <v>19</v>
      </c>
    </row>
    <row r="13">
      <c r="A13" s="3" t="s">
        <v>20</v>
      </c>
      <c r="B13" s="4" t="s">
        <v>21</v>
      </c>
    </row>
    <row r="14">
      <c r="A14" s="3" t="s">
        <v>22</v>
      </c>
      <c r="B14" s="4" t="s">
        <v>23</v>
      </c>
    </row>
    <row r="15">
      <c r="A15" s="3" t="s">
        <v>24</v>
      </c>
      <c r="B15" s="4" t="s">
        <v>25</v>
      </c>
    </row>
    <row r="16">
      <c r="A16" s="5"/>
      <c r="B16" s="5"/>
    </row>
    <row r="17">
      <c r="A17" s="1" t="s">
        <v>26</v>
      </c>
      <c r="B17" s="2"/>
    </row>
    <row r="18">
      <c r="A18" s="3" t="s">
        <v>27</v>
      </c>
      <c r="B18" s="4" t="s">
        <v>28</v>
      </c>
    </row>
    <row r="19">
      <c r="A19" s="3" t="s">
        <v>29</v>
      </c>
      <c r="B19" s="4" t="s">
        <v>30</v>
      </c>
    </row>
    <row r="20">
      <c r="A20" s="3" t="s">
        <v>31</v>
      </c>
      <c r="B20" s="4" t="s">
        <v>32</v>
      </c>
    </row>
    <row r="21" ht="15.75" customHeight="1">
      <c r="A21" s="3" t="s">
        <v>33</v>
      </c>
      <c r="B21" s="4" t="s">
        <v>34</v>
      </c>
    </row>
    <row r="22" ht="15.75" customHeight="1">
      <c r="A22" s="3" t="s">
        <v>35</v>
      </c>
      <c r="B22" s="4" t="s">
        <v>36</v>
      </c>
    </row>
    <row r="23" ht="15.75" customHeight="1">
      <c r="A23" s="5"/>
      <c r="B23" s="5"/>
    </row>
    <row r="24" ht="15.75" customHeight="1">
      <c r="A24" s="1" t="s">
        <v>37</v>
      </c>
      <c r="B24" s="2"/>
    </row>
    <row r="25" ht="15.75" customHeight="1">
      <c r="A25" s="3" t="s">
        <v>38</v>
      </c>
      <c r="B25" s="4" t="s">
        <v>39</v>
      </c>
    </row>
    <row r="26" ht="15.75" customHeight="1">
      <c r="A26" s="3" t="s">
        <v>40</v>
      </c>
      <c r="B26" s="4" t="s">
        <v>41</v>
      </c>
    </row>
    <row r="27" ht="15.75" customHeight="1">
      <c r="A27" s="3" t="s">
        <v>42</v>
      </c>
      <c r="B27" s="4" t="s">
        <v>43</v>
      </c>
    </row>
    <row r="28" ht="15.75" customHeight="1">
      <c r="A28" s="3" t="s">
        <v>44</v>
      </c>
      <c r="B28" s="4" t="s">
        <v>45</v>
      </c>
    </row>
    <row r="29" ht="15.75" customHeight="1">
      <c r="A29" s="3" t="s">
        <v>46</v>
      </c>
      <c r="B29" s="4" t="s">
        <v>47</v>
      </c>
    </row>
    <row r="30" ht="15.75" customHeight="1">
      <c r="A30" s="5"/>
      <c r="B30" s="5"/>
    </row>
    <row r="31" ht="15.75" customHeight="1">
      <c r="A31" s="1" t="s">
        <v>48</v>
      </c>
      <c r="B31" s="2"/>
    </row>
    <row r="32" ht="15.75" customHeight="1">
      <c r="A32" s="3" t="s">
        <v>49</v>
      </c>
      <c r="B32" s="4" t="s">
        <v>50</v>
      </c>
    </row>
    <row r="33" ht="15.75" customHeight="1">
      <c r="A33" s="3" t="s">
        <v>51</v>
      </c>
      <c r="B33" s="4" t="s">
        <v>52</v>
      </c>
    </row>
    <row r="34" ht="15.75" customHeight="1">
      <c r="A34" s="3" t="s">
        <v>53</v>
      </c>
      <c r="B34" s="4" t="s">
        <v>54</v>
      </c>
    </row>
    <row r="35" ht="15.75" customHeight="1">
      <c r="A35" s="3" t="s">
        <v>55</v>
      </c>
      <c r="B35" s="4" t="s">
        <v>56</v>
      </c>
    </row>
    <row r="36" ht="15.75" customHeight="1">
      <c r="A36" s="3" t="s">
        <v>57</v>
      </c>
      <c r="B36" s="4" t="s">
        <v>58</v>
      </c>
    </row>
    <row r="37" ht="15.75" customHeight="1">
      <c r="A37" s="5"/>
      <c r="B37" s="5"/>
    </row>
    <row r="38" ht="15.75" customHeight="1">
      <c r="A38" s="5"/>
      <c r="B38" s="5"/>
    </row>
    <row r="39" ht="15.75" customHeight="1">
      <c r="A39" s="5"/>
      <c r="B39" s="5"/>
    </row>
    <row r="40" ht="15.75" customHeight="1">
      <c r="A40" s="5"/>
      <c r="B40" s="5"/>
    </row>
    <row r="41" ht="15.75" customHeight="1">
      <c r="A41" s="5"/>
      <c r="B41" s="5"/>
    </row>
    <row r="42" ht="15.75" customHeight="1">
      <c r="A42" s="5"/>
      <c r="B42" s="5"/>
    </row>
    <row r="43" ht="15.75" customHeight="1">
      <c r="A43" s="5"/>
      <c r="B43" s="5"/>
    </row>
    <row r="44" ht="15.75" customHeight="1">
      <c r="A44" s="5"/>
      <c r="B44" s="5"/>
    </row>
    <row r="45" ht="15.75" customHeight="1">
      <c r="A45" s="5"/>
      <c r="B45" s="5"/>
    </row>
    <row r="46" ht="15.75" customHeight="1">
      <c r="A46" s="5"/>
      <c r="B46" s="5"/>
    </row>
    <row r="47" ht="15.75" customHeight="1">
      <c r="A47" s="5"/>
      <c r="B47" s="5"/>
    </row>
    <row r="48" ht="15.75" customHeight="1">
      <c r="A48" s="5"/>
      <c r="B48" s="5"/>
    </row>
    <row r="49" ht="15.75" customHeight="1">
      <c r="A49" s="5"/>
      <c r="B49" s="5"/>
    </row>
    <row r="50" ht="15.75" customHeight="1">
      <c r="A50" s="5"/>
      <c r="B50" s="5"/>
    </row>
    <row r="51" ht="15.75" customHeight="1">
      <c r="A51" s="5"/>
      <c r="B51" s="5"/>
    </row>
    <row r="52" ht="15.75" customHeight="1">
      <c r="A52" s="5"/>
      <c r="B52" s="5"/>
    </row>
    <row r="53" ht="15.75" customHeight="1">
      <c r="A53" s="5"/>
      <c r="B53" s="5"/>
    </row>
    <row r="54" ht="15.75" customHeight="1">
      <c r="A54" s="5"/>
      <c r="B54" s="5"/>
    </row>
    <row r="55" ht="15.75" customHeight="1">
      <c r="A55" s="5"/>
      <c r="B55" s="5"/>
    </row>
    <row r="56" ht="15.75" customHeight="1">
      <c r="A56" s="5"/>
      <c r="B56" s="5"/>
    </row>
    <row r="57" ht="15.75" customHeight="1">
      <c r="A57" s="5"/>
      <c r="B57" s="5"/>
    </row>
    <row r="58" ht="15.75" customHeight="1">
      <c r="A58" s="5"/>
      <c r="B58" s="5"/>
    </row>
    <row r="59" ht="15.75" customHeight="1">
      <c r="A59" s="5"/>
      <c r="B59" s="5"/>
    </row>
    <row r="60" ht="15.75" customHeight="1">
      <c r="A60" s="5"/>
      <c r="B60" s="5"/>
    </row>
    <row r="61" ht="15.75" customHeight="1">
      <c r="A61" s="5"/>
      <c r="B61" s="5"/>
    </row>
    <row r="62" ht="15.75" customHeight="1">
      <c r="A62" s="5"/>
      <c r="B62" s="5"/>
    </row>
    <row r="63" ht="15.75" customHeight="1">
      <c r="A63" s="5"/>
      <c r="B63" s="5"/>
    </row>
    <row r="64" ht="15.75" customHeight="1">
      <c r="A64" s="5"/>
      <c r="B64" s="5"/>
    </row>
    <row r="65" ht="15.75" customHeight="1">
      <c r="A65" s="5"/>
      <c r="B65" s="5"/>
    </row>
    <row r="66" ht="15.75" customHeight="1">
      <c r="A66" s="5"/>
      <c r="B66" s="5"/>
    </row>
    <row r="67" ht="15.75" customHeight="1">
      <c r="A67" s="5"/>
      <c r="B67" s="5"/>
    </row>
    <row r="68" ht="15.75" customHeight="1">
      <c r="A68" s="5"/>
      <c r="B68" s="5"/>
    </row>
    <row r="69" ht="15.75" customHeight="1">
      <c r="A69" s="5"/>
      <c r="B69" s="5"/>
    </row>
    <row r="70" ht="15.75" customHeight="1">
      <c r="A70" s="5"/>
      <c r="B70" s="5"/>
    </row>
    <row r="71" ht="15.75" customHeight="1">
      <c r="A71" s="5"/>
      <c r="B71" s="5"/>
    </row>
    <row r="72" ht="15.75" customHeight="1">
      <c r="A72" s="5"/>
      <c r="B72" s="5"/>
    </row>
    <row r="73" ht="15.75" customHeight="1">
      <c r="A73" s="5"/>
      <c r="B73" s="5"/>
    </row>
    <row r="74" ht="15.75" customHeight="1">
      <c r="A74" s="5"/>
      <c r="B74" s="5"/>
    </row>
    <row r="75" ht="15.75" customHeight="1">
      <c r="A75" s="5"/>
      <c r="B75" s="5"/>
    </row>
    <row r="76" ht="15.75" customHeight="1">
      <c r="A76" s="5"/>
      <c r="B76" s="5"/>
    </row>
    <row r="77" ht="15.75" customHeight="1">
      <c r="A77" s="5"/>
      <c r="B77" s="5"/>
    </row>
    <row r="78" ht="15.75" customHeight="1">
      <c r="A78" s="5"/>
      <c r="B78" s="5"/>
    </row>
    <row r="79" ht="15.75" customHeight="1">
      <c r="A79" s="5"/>
      <c r="B79" s="5"/>
    </row>
    <row r="80" ht="15.75" customHeight="1">
      <c r="A80" s="5"/>
      <c r="B80" s="5"/>
    </row>
    <row r="81" ht="15.75" customHeight="1">
      <c r="A81" s="5"/>
      <c r="B81" s="5"/>
    </row>
    <row r="82" ht="15.75" customHeight="1">
      <c r="A82" s="5"/>
      <c r="B82" s="5"/>
    </row>
    <row r="83" ht="15.75" customHeight="1">
      <c r="A83" s="5"/>
      <c r="B83" s="5"/>
    </row>
    <row r="84" ht="15.75" customHeight="1">
      <c r="A84" s="5"/>
      <c r="B84" s="5"/>
    </row>
    <row r="85" ht="15.75" customHeight="1">
      <c r="A85" s="5"/>
      <c r="B85" s="5"/>
    </row>
    <row r="86" ht="15.75" customHeight="1">
      <c r="A86" s="5"/>
      <c r="B86" s="5"/>
    </row>
    <row r="87" ht="15.75" customHeight="1">
      <c r="A87" s="5"/>
      <c r="B87" s="5"/>
    </row>
    <row r="88" ht="15.75" customHeight="1">
      <c r="A88" s="5"/>
      <c r="B88" s="5"/>
    </row>
    <row r="89" ht="15.75" customHeight="1">
      <c r="A89" s="5"/>
      <c r="B89" s="5"/>
    </row>
    <row r="90" ht="15.75" customHeight="1">
      <c r="A90" s="5"/>
      <c r="B90" s="5"/>
    </row>
    <row r="91" ht="15.75" customHeight="1">
      <c r="A91" s="5"/>
      <c r="B91" s="5"/>
    </row>
    <row r="92" ht="15.75" customHeight="1">
      <c r="A92" s="5"/>
      <c r="B92" s="5"/>
    </row>
    <row r="93" ht="15.75" customHeight="1">
      <c r="A93" s="5"/>
      <c r="B93" s="5"/>
    </row>
    <row r="94" ht="15.75" customHeight="1">
      <c r="A94" s="5"/>
      <c r="B94" s="5"/>
    </row>
    <row r="95" ht="15.75" customHeight="1">
      <c r="A95" s="5"/>
      <c r="B95" s="5"/>
    </row>
    <row r="96" ht="15.75" customHeight="1">
      <c r="A96" s="5"/>
      <c r="B96" s="5"/>
    </row>
    <row r="97" ht="15.75" customHeight="1">
      <c r="A97" s="5"/>
      <c r="B97" s="5"/>
    </row>
    <row r="98" ht="15.75" customHeight="1">
      <c r="A98" s="5"/>
      <c r="B98" s="5"/>
    </row>
    <row r="99" ht="15.75" customHeight="1">
      <c r="A99" s="5"/>
      <c r="B99" s="5"/>
    </row>
    <row r="100" ht="15.75" customHeight="1">
      <c r="A100" s="5"/>
      <c r="B100" s="5"/>
    </row>
    <row r="101" ht="15.75" customHeight="1">
      <c r="A101" s="5"/>
      <c r="B101" s="5"/>
    </row>
    <row r="102" ht="15.75" customHeight="1">
      <c r="A102" s="5"/>
      <c r="B102" s="5"/>
    </row>
    <row r="103" ht="15.75" customHeight="1">
      <c r="A103" s="5"/>
      <c r="B103" s="5"/>
    </row>
    <row r="104" ht="15.75" customHeight="1">
      <c r="A104" s="5"/>
      <c r="B104" s="5"/>
    </row>
    <row r="105" ht="15.75" customHeight="1">
      <c r="A105" s="5"/>
      <c r="B105" s="5"/>
    </row>
    <row r="106" ht="15.75" customHeight="1">
      <c r="A106" s="5"/>
      <c r="B106" s="5"/>
    </row>
    <row r="107" ht="15.75" customHeight="1">
      <c r="A107" s="5"/>
      <c r="B107" s="5"/>
    </row>
    <row r="108" ht="15.75" customHeight="1">
      <c r="A108" s="5"/>
      <c r="B108" s="5"/>
    </row>
    <row r="109" ht="15.75" customHeight="1">
      <c r="A109" s="5"/>
      <c r="B109" s="5"/>
    </row>
    <row r="110" ht="15.75" customHeight="1">
      <c r="A110" s="5"/>
      <c r="B110" s="5"/>
    </row>
    <row r="111" ht="15.75" customHeight="1">
      <c r="A111" s="5"/>
      <c r="B111" s="5"/>
    </row>
    <row r="112" ht="15.75" customHeight="1">
      <c r="A112" s="5"/>
      <c r="B112" s="5"/>
    </row>
    <row r="113" ht="15.75" customHeight="1">
      <c r="A113" s="5"/>
      <c r="B113" s="5"/>
    </row>
    <row r="114" ht="15.75" customHeight="1">
      <c r="A114" s="5"/>
      <c r="B114" s="5"/>
    </row>
    <row r="115" ht="15.75" customHeight="1">
      <c r="A115" s="5"/>
      <c r="B115" s="5"/>
    </row>
    <row r="116" ht="15.75" customHeight="1">
      <c r="A116" s="5"/>
      <c r="B116" s="5"/>
    </row>
    <row r="117" ht="15.75" customHeight="1">
      <c r="A117" s="5"/>
      <c r="B117" s="5"/>
    </row>
    <row r="118" ht="15.75" customHeight="1">
      <c r="A118" s="5"/>
      <c r="B118" s="5"/>
    </row>
    <row r="119" ht="15.75" customHeight="1">
      <c r="A119" s="5"/>
      <c r="B119" s="5"/>
    </row>
    <row r="120" ht="15.75" customHeight="1">
      <c r="A120" s="5"/>
      <c r="B120" s="5"/>
    </row>
    <row r="121" ht="15.75" customHeight="1">
      <c r="A121" s="5"/>
      <c r="B121" s="5"/>
    </row>
    <row r="122" ht="15.75" customHeight="1">
      <c r="A122" s="5"/>
      <c r="B122" s="5"/>
    </row>
    <row r="123" ht="15.75" customHeight="1">
      <c r="A123" s="5"/>
      <c r="B123" s="5"/>
    </row>
    <row r="124" ht="15.75" customHeight="1">
      <c r="A124" s="5"/>
      <c r="B124" s="5"/>
    </row>
    <row r="125" ht="15.75" customHeight="1">
      <c r="A125" s="5"/>
      <c r="B125" s="5"/>
    </row>
    <row r="126" ht="15.75" customHeight="1">
      <c r="A126" s="5"/>
      <c r="B126" s="5"/>
    </row>
    <row r="127" ht="15.75" customHeight="1">
      <c r="A127" s="5"/>
      <c r="B127" s="5"/>
    </row>
    <row r="128" ht="15.75" customHeight="1">
      <c r="A128" s="5"/>
      <c r="B128" s="5"/>
    </row>
    <row r="129" ht="15.75" customHeight="1">
      <c r="A129" s="5"/>
      <c r="B129" s="5"/>
    </row>
    <row r="130" ht="15.75" customHeight="1">
      <c r="A130" s="5"/>
      <c r="B130" s="5"/>
    </row>
    <row r="131" ht="15.75" customHeight="1">
      <c r="A131" s="5"/>
      <c r="B131" s="5"/>
    </row>
    <row r="132" ht="15.75" customHeight="1">
      <c r="A132" s="5"/>
      <c r="B132" s="5"/>
    </row>
    <row r="133" ht="15.75" customHeight="1">
      <c r="A133" s="5"/>
      <c r="B133" s="5"/>
    </row>
    <row r="134" ht="15.75" customHeight="1">
      <c r="A134" s="5"/>
      <c r="B134" s="5"/>
    </row>
    <row r="135" ht="15.75" customHeight="1">
      <c r="A135" s="5"/>
      <c r="B135" s="5"/>
    </row>
    <row r="136" ht="15.75" customHeight="1">
      <c r="A136" s="5"/>
      <c r="B136" s="5"/>
    </row>
    <row r="137" ht="15.75" customHeight="1">
      <c r="A137" s="5"/>
      <c r="B137" s="5"/>
    </row>
    <row r="138" ht="15.75" customHeight="1">
      <c r="A138" s="5"/>
      <c r="B138" s="5"/>
    </row>
    <row r="139" ht="15.75" customHeight="1">
      <c r="A139" s="5"/>
      <c r="B139" s="5"/>
    </row>
    <row r="140" ht="15.75" customHeight="1">
      <c r="A140" s="5"/>
      <c r="B140" s="5"/>
    </row>
    <row r="141" ht="15.75" customHeight="1">
      <c r="A141" s="5"/>
      <c r="B141" s="5"/>
    </row>
    <row r="142" ht="15.75" customHeight="1">
      <c r="A142" s="5"/>
      <c r="B142" s="5"/>
    </row>
    <row r="143" ht="15.75" customHeight="1">
      <c r="A143" s="5"/>
      <c r="B143" s="5"/>
    </row>
    <row r="144" ht="15.75" customHeight="1">
      <c r="A144" s="5"/>
      <c r="B144" s="5"/>
    </row>
    <row r="145" ht="15.75" customHeight="1">
      <c r="A145" s="5"/>
      <c r="B145" s="5"/>
    </row>
    <row r="146" ht="15.75" customHeight="1">
      <c r="A146" s="5"/>
      <c r="B146" s="5"/>
    </row>
    <row r="147" ht="15.75" customHeight="1">
      <c r="A147" s="5"/>
      <c r="B147" s="5"/>
    </row>
    <row r="148" ht="15.75" customHeight="1">
      <c r="A148" s="5"/>
      <c r="B148" s="5"/>
    </row>
    <row r="149" ht="15.75" customHeight="1">
      <c r="A149" s="5"/>
      <c r="B149" s="5"/>
    </row>
    <row r="150" ht="15.75" customHeight="1">
      <c r="A150" s="5"/>
      <c r="B150" s="5"/>
    </row>
    <row r="151" ht="15.75" customHeight="1">
      <c r="A151" s="5"/>
      <c r="B151" s="5"/>
    </row>
    <row r="152" ht="15.75" customHeight="1">
      <c r="A152" s="5"/>
      <c r="B152" s="5"/>
    </row>
    <row r="153" ht="15.75" customHeight="1">
      <c r="A153" s="5"/>
      <c r="B153" s="5"/>
    </row>
    <row r="154" ht="15.75" customHeight="1">
      <c r="A154" s="5"/>
      <c r="B154" s="5"/>
    </row>
    <row r="155" ht="15.75" customHeight="1">
      <c r="A155" s="5"/>
      <c r="B155" s="5"/>
    </row>
    <row r="156" ht="15.75" customHeight="1">
      <c r="A156" s="5"/>
      <c r="B156" s="5"/>
    </row>
    <row r="157" ht="15.75" customHeight="1">
      <c r="A157" s="5"/>
      <c r="B157" s="5"/>
    </row>
    <row r="158" ht="15.75" customHeight="1">
      <c r="A158" s="5"/>
      <c r="B158" s="5"/>
    </row>
    <row r="159" ht="15.75" customHeight="1">
      <c r="A159" s="5"/>
      <c r="B159" s="5"/>
    </row>
    <row r="160" ht="15.75" customHeight="1">
      <c r="A160" s="5"/>
      <c r="B160" s="5"/>
    </row>
    <row r="161" ht="15.75" customHeight="1">
      <c r="A161" s="5"/>
      <c r="B161" s="5"/>
    </row>
    <row r="162" ht="15.75" customHeight="1">
      <c r="A162" s="5"/>
      <c r="B162" s="5"/>
    </row>
    <row r="163" ht="15.75" customHeight="1">
      <c r="A163" s="5"/>
      <c r="B163" s="5"/>
    </row>
    <row r="164" ht="15.75" customHeight="1">
      <c r="A164" s="5"/>
      <c r="B164" s="5"/>
    </row>
    <row r="165" ht="15.75" customHeight="1">
      <c r="A165" s="5"/>
      <c r="B165" s="5"/>
    </row>
    <row r="166" ht="15.75" customHeight="1">
      <c r="A166" s="5"/>
      <c r="B166" s="5"/>
    </row>
    <row r="167" ht="15.75" customHeight="1">
      <c r="A167" s="5"/>
      <c r="B167" s="5"/>
    </row>
    <row r="168" ht="15.75" customHeight="1">
      <c r="A168" s="5"/>
      <c r="B168" s="5"/>
    </row>
    <row r="169" ht="15.75" customHeight="1">
      <c r="A169" s="5"/>
      <c r="B169" s="5"/>
    </row>
    <row r="170" ht="15.75" customHeight="1">
      <c r="A170" s="5"/>
      <c r="B170" s="5"/>
    </row>
    <row r="171" ht="15.75" customHeight="1">
      <c r="A171" s="5"/>
      <c r="B171" s="5"/>
    </row>
    <row r="172" ht="15.75" customHeight="1">
      <c r="A172" s="5"/>
      <c r="B172" s="5"/>
    </row>
    <row r="173" ht="15.75" customHeight="1">
      <c r="A173" s="5"/>
      <c r="B173" s="5"/>
    </row>
    <row r="174" ht="15.75" customHeight="1">
      <c r="A174" s="5"/>
      <c r="B174" s="5"/>
    </row>
    <row r="175" ht="15.75" customHeight="1">
      <c r="A175" s="5"/>
      <c r="B175" s="5"/>
    </row>
    <row r="176" ht="15.75" customHeight="1">
      <c r="A176" s="5"/>
      <c r="B176" s="5"/>
    </row>
    <row r="177" ht="15.75" customHeight="1">
      <c r="A177" s="5"/>
      <c r="B177" s="5"/>
    </row>
    <row r="178" ht="15.75" customHeight="1">
      <c r="A178" s="5"/>
      <c r="B178" s="5"/>
    </row>
    <row r="179" ht="15.75" customHeight="1">
      <c r="A179" s="5"/>
      <c r="B179" s="5"/>
    </row>
    <row r="180" ht="15.75" customHeight="1">
      <c r="A180" s="5"/>
      <c r="B180" s="5"/>
    </row>
    <row r="181" ht="15.75" customHeight="1">
      <c r="A181" s="5"/>
      <c r="B181" s="5"/>
    </row>
    <row r="182" ht="15.75" customHeight="1">
      <c r="A182" s="5"/>
      <c r="B182" s="5"/>
    </row>
    <row r="183" ht="15.75" customHeight="1">
      <c r="A183" s="5"/>
      <c r="B183" s="5"/>
    </row>
    <row r="184" ht="15.75" customHeight="1">
      <c r="A184" s="5"/>
      <c r="B184" s="5"/>
    </row>
    <row r="185" ht="15.75" customHeight="1">
      <c r="A185" s="5"/>
      <c r="B185" s="5"/>
    </row>
    <row r="186" ht="15.75" customHeight="1">
      <c r="A186" s="5"/>
      <c r="B186" s="5"/>
    </row>
    <row r="187" ht="15.75" customHeight="1">
      <c r="A187" s="5"/>
      <c r="B187" s="5"/>
    </row>
    <row r="188" ht="15.75" customHeight="1">
      <c r="A188" s="5"/>
      <c r="B188" s="5"/>
    </row>
    <row r="189" ht="15.75" customHeight="1">
      <c r="A189" s="5"/>
      <c r="B189" s="5"/>
    </row>
    <row r="190" ht="15.75" customHeight="1">
      <c r="A190" s="5"/>
      <c r="B190" s="5"/>
    </row>
    <row r="191" ht="15.75" customHeight="1">
      <c r="A191" s="5"/>
      <c r="B191" s="5"/>
    </row>
    <row r="192" ht="15.75" customHeight="1">
      <c r="A192" s="5"/>
      <c r="B192" s="5"/>
    </row>
    <row r="193" ht="15.75" customHeight="1">
      <c r="A193" s="5"/>
      <c r="B193" s="5"/>
    </row>
    <row r="194" ht="15.75" customHeight="1">
      <c r="A194" s="5"/>
      <c r="B194" s="5"/>
    </row>
    <row r="195" ht="15.75" customHeight="1">
      <c r="A195" s="5"/>
      <c r="B195" s="5"/>
    </row>
    <row r="196" ht="15.75" customHeight="1">
      <c r="A196" s="5"/>
      <c r="B196" s="5"/>
    </row>
    <row r="197" ht="15.75" customHeight="1">
      <c r="A197" s="5"/>
      <c r="B197" s="5"/>
    </row>
    <row r="198" ht="15.75" customHeight="1">
      <c r="A198" s="5"/>
      <c r="B198" s="5"/>
    </row>
    <row r="199" ht="15.75" customHeight="1">
      <c r="A199" s="5"/>
      <c r="B199" s="5"/>
    </row>
    <row r="200" ht="15.75" customHeight="1">
      <c r="A200" s="5"/>
      <c r="B200" s="5"/>
    </row>
    <row r="201" ht="15.75" customHeight="1">
      <c r="A201" s="5"/>
      <c r="B201" s="5"/>
    </row>
    <row r="202" ht="15.75" customHeight="1">
      <c r="A202" s="5"/>
      <c r="B202" s="5"/>
    </row>
    <row r="203" ht="15.75" customHeight="1">
      <c r="A203" s="5"/>
      <c r="B203" s="5"/>
    </row>
    <row r="204" ht="15.75" customHeight="1">
      <c r="A204" s="5"/>
      <c r="B204" s="5"/>
    </row>
    <row r="205" ht="15.75" customHeight="1">
      <c r="A205" s="5"/>
      <c r="B205" s="5"/>
    </row>
    <row r="206" ht="15.75" customHeight="1">
      <c r="A206" s="5"/>
      <c r="B206" s="5"/>
    </row>
    <row r="207" ht="15.75" customHeight="1">
      <c r="A207" s="5"/>
      <c r="B207" s="5"/>
    </row>
    <row r="208" ht="15.75" customHeight="1">
      <c r="A208" s="5"/>
      <c r="B208" s="5"/>
    </row>
    <row r="209" ht="15.75" customHeight="1">
      <c r="A209" s="5"/>
      <c r="B209" s="5"/>
    </row>
    <row r="210" ht="15.75" customHeight="1">
      <c r="A210" s="5"/>
      <c r="B210" s="5"/>
    </row>
    <row r="211" ht="15.75" customHeight="1">
      <c r="A211" s="5"/>
      <c r="B211" s="5"/>
    </row>
    <row r="212" ht="15.75" customHeight="1">
      <c r="A212" s="5"/>
      <c r="B212" s="5"/>
    </row>
    <row r="213" ht="15.75" customHeight="1">
      <c r="A213" s="5"/>
      <c r="B213" s="5"/>
    </row>
    <row r="214" ht="15.75" customHeight="1">
      <c r="A214" s="5"/>
      <c r="B214" s="5"/>
    </row>
    <row r="215" ht="15.75" customHeight="1">
      <c r="A215" s="5"/>
      <c r="B215" s="5"/>
    </row>
    <row r="216" ht="15.75" customHeight="1">
      <c r="A216" s="5"/>
      <c r="B216" s="5"/>
    </row>
    <row r="217" ht="15.75" customHeight="1">
      <c r="A217" s="5"/>
      <c r="B217" s="5"/>
    </row>
    <row r="218" ht="15.75" customHeight="1">
      <c r="A218" s="5"/>
      <c r="B218" s="5"/>
    </row>
    <row r="219" ht="15.75" customHeight="1">
      <c r="A219" s="5"/>
      <c r="B219" s="5"/>
    </row>
    <row r="220" ht="15.75" customHeight="1">
      <c r="A220" s="5"/>
      <c r="B220" s="5"/>
    </row>
    <row r="221" ht="15.75" customHeight="1">
      <c r="A221" s="5"/>
      <c r="B221" s="5"/>
    </row>
    <row r="222" ht="15.75" customHeight="1">
      <c r="A222" s="5"/>
      <c r="B222" s="5"/>
    </row>
    <row r="223" ht="15.75" customHeight="1">
      <c r="A223" s="5"/>
      <c r="B223" s="5"/>
    </row>
    <row r="224" ht="15.75" customHeight="1">
      <c r="A224" s="5"/>
      <c r="B224" s="5"/>
    </row>
    <row r="225" ht="15.75" customHeight="1">
      <c r="A225" s="5"/>
      <c r="B225" s="5"/>
    </row>
    <row r="226" ht="15.75" customHeight="1">
      <c r="A226" s="5"/>
      <c r="B226" s="5"/>
    </row>
    <row r="227" ht="15.75" customHeight="1">
      <c r="A227" s="5"/>
      <c r="B227" s="5"/>
    </row>
    <row r="228" ht="15.75" customHeight="1">
      <c r="A228" s="5"/>
      <c r="B228" s="5"/>
    </row>
    <row r="229" ht="15.75" customHeight="1">
      <c r="A229" s="5"/>
      <c r="B229" s="5"/>
    </row>
    <row r="230" ht="15.75" customHeight="1">
      <c r="A230" s="5"/>
      <c r="B230" s="5"/>
    </row>
    <row r="231" ht="15.75" customHeight="1">
      <c r="A231" s="5"/>
      <c r="B231" s="5"/>
    </row>
    <row r="232" ht="15.75" customHeight="1">
      <c r="A232" s="5"/>
      <c r="B232" s="5"/>
    </row>
    <row r="233" ht="15.75" customHeight="1">
      <c r="A233" s="5"/>
      <c r="B233" s="5"/>
    </row>
    <row r="234" ht="15.75" customHeight="1">
      <c r="A234" s="5"/>
      <c r="B234" s="5"/>
    </row>
    <row r="235" ht="15.75" customHeight="1">
      <c r="A235" s="5"/>
      <c r="B235" s="5"/>
    </row>
    <row r="236" ht="15.75" customHeight="1">
      <c r="A236" s="5"/>
      <c r="B236" s="5"/>
    </row>
    <row r="237" ht="15.75" customHeight="1">
      <c r="A237" s="5"/>
      <c r="B237" s="5"/>
    </row>
    <row r="238" ht="15.75" customHeight="1">
      <c r="A238" s="5"/>
      <c r="B238" s="5"/>
    </row>
    <row r="239" ht="15.75" customHeight="1">
      <c r="A239" s="5"/>
      <c r="B239" s="5"/>
    </row>
    <row r="240" ht="15.75" customHeight="1">
      <c r="A240" s="5"/>
      <c r="B240" s="5"/>
    </row>
    <row r="241" ht="15.75" customHeight="1">
      <c r="A241" s="5"/>
      <c r="B241" s="5"/>
    </row>
    <row r="242" ht="15.75" customHeight="1">
      <c r="A242" s="5"/>
      <c r="B242" s="5"/>
    </row>
    <row r="243" ht="15.75" customHeight="1">
      <c r="A243" s="5"/>
      <c r="B243" s="5"/>
    </row>
    <row r="244" ht="15.75" customHeight="1">
      <c r="A244" s="5"/>
      <c r="B244" s="5"/>
    </row>
    <row r="245" ht="15.75" customHeight="1">
      <c r="A245" s="5"/>
      <c r="B245" s="5"/>
    </row>
    <row r="246" ht="15.75" customHeight="1">
      <c r="A246" s="5"/>
      <c r="B246" s="5"/>
    </row>
    <row r="247" ht="15.75" customHeight="1">
      <c r="A247" s="5"/>
      <c r="B247" s="5"/>
    </row>
    <row r="248" ht="15.75" customHeight="1">
      <c r="A248" s="5"/>
      <c r="B248" s="5"/>
    </row>
    <row r="249" ht="15.75" customHeight="1">
      <c r="A249" s="5"/>
      <c r="B249" s="5"/>
    </row>
    <row r="250" ht="15.75" customHeight="1">
      <c r="A250" s="5"/>
      <c r="B250" s="5"/>
    </row>
    <row r="251" ht="15.75" customHeight="1">
      <c r="A251" s="5"/>
      <c r="B251" s="5"/>
    </row>
    <row r="252" ht="15.75" customHeight="1">
      <c r="A252" s="5"/>
      <c r="B252" s="5"/>
    </row>
    <row r="253" ht="15.75" customHeight="1">
      <c r="A253" s="5"/>
      <c r="B253" s="5"/>
    </row>
    <row r="254" ht="15.75" customHeight="1">
      <c r="A254" s="5"/>
      <c r="B254" s="5"/>
    </row>
    <row r="255" ht="15.75" customHeight="1">
      <c r="A255" s="5"/>
      <c r="B255" s="5"/>
    </row>
    <row r="256" ht="15.75" customHeight="1">
      <c r="A256" s="5"/>
      <c r="B256" s="5"/>
    </row>
    <row r="257" ht="15.75" customHeight="1">
      <c r="A257" s="5"/>
      <c r="B257" s="5"/>
    </row>
    <row r="258" ht="15.75" customHeight="1">
      <c r="A258" s="5"/>
      <c r="B258" s="5"/>
    </row>
    <row r="259" ht="15.75" customHeight="1">
      <c r="A259" s="5"/>
      <c r="B259" s="5"/>
    </row>
    <row r="260" ht="15.75" customHeight="1">
      <c r="A260" s="5"/>
      <c r="B260" s="5"/>
    </row>
    <row r="261" ht="15.75" customHeight="1">
      <c r="A261" s="5"/>
      <c r="B261" s="5"/>
    </row>
    <row r="262" ht="15.75" customHeight="1">
      <c r="A262" s="5"/>
      <c r="B262" s="5"/>
    </row>
    <row r="263" ht="15.75" customHeight="1">
      <c r="A263" s="5"/>
      <c r="B263" s="5"/>
    </row>
    <row r="264" ht="15.75" customHeight="1">
      <c r="A264" s="5"/>
      <c r="B264" s="5"/>
    </row>
    <row r="265" ht="15.75" customHeight="1">
      <c r="A265" s="5"/>
      <c r="B265" s="5"/>
    </row>
    <row r="266" ht="15.75" customHeight="1">
      <c r="A266" s="5"/>
      <c r="B266" s="5"/>
    </row>
    <row r="267" ht="15.75" customHeight="1">
      <c r="A267" s="5"/>
      <c r="B267" s="5"/>
    </row>
    <row r="268" ht="15.75" customHeight="1">
      <c r="A268" s="5"/>
      <c r="B268" s="5"/>
    </row>
    <row r="269" ht="15.75" customHeight="1">
      <c r="A269" s="5"/>
      <c r="B269" s="5"/>
    </row>
    <row r="270" ht="15.75" customHeight="1">
      <c r="A270" s="5"/>
      <c r="B270" s="5"/>
    </row>
    <row r="271" ht="15.75" customHeight="1">
      <c r="A271" s="5"/>
      <c r="B271" s="5"/>
    </row>
    <row r="272" ht="15.75" customHeight="1">
      <c r="A272" s="5"/>
      <c r="B272" s="5"/>
    </row>
    <row r="273" ht="15.75" customHeight="1">
      <c r="A273" s="5"/>
      <c r="B273" s="5"/>
    </row>
    <row r="274" ht="15.75" customHeight="1">
      <c r="A274" s="5"/>
      <c r="B274" s="5"/>
    </row>
    <row r="275" ht="15.75" customHeight="1">
      <c r="A275" s="5"/>
      <c r="B275" s="5"/>
    </row>
    <row r="276" ht="15.75" customHeight="1">
      <c r="A276" s="5"/>
      <c r="B276" s="5"/>
    </row>
    <row r="277" ht="15.75" customHeight="1">
      <c r="A277" s="5"/>
      <c r="B277" s="5"/>
    </row>
    <row r="278" ht="15.75" customHeight="1">
      <c r="A278" s="5"/>
      <c r="B278" s="5"/>
    </row>
    <row r="279" ht="15.75" customHeight="1">
      <c r="A279" s="5"/>
      <c r="B279" s="5"/>
    </row>
    <row r="280" ht="15.75" customHeight="1">
      <c r="A280" s="5"/>
      <c r="B280" s="5"/>
    </row>
    <row r="281" ht="15.75" customHeight="1">
      <c r="A281" s="5"/>
      <c r="B281" s="5"/>
    </row>
    <row r="282" ht="15.75" customHeight="1">
      <c r="A282" s="5"/>
      <c r="B282" s="5"/>
    </row>
    <row r="283" ht="15.75" customHeight="1">
      <c r="A283" s="5"/>
      <c r="B283" s="5"/>
    </row>
    <row r="284" ht="15.75" customHeight="1">
      <c r="A284" s="5"/>
      <c r="B284" s="5"/>
    </row>
    <row r="285" ht="15.75" customHeight="1">
      <c r="A285" s="5"/>
      <c r="B285" s="5"/>
    </row>
    <row r="286" ht="15.75" customHeight="1">
      <c r="A286" s="5"/>
      <c r="B286" s="5"/>
    </row>
    <row r="287" ht="15.75" customHeight="1">
      <c r="A287" s="5"/>
      <c r="B287" s="5"/>
    </row>
    <row r="288" ht="15.75" customHeight="1">
      <c r="A288" s="5"/>
      <c r="B288" s="5"/>
    </row>
    <row r="289" ht="15.75" customHeight="1">
      <c r="A289" s="5"/>
      <c r="B289" s="5"/>
    </row>
    <row r="290" ht="15.75" customHeight="1">
      <c r="A290" s="5"/>
      <c r="B290" s="5"/>
    </row>
    <row r="291" ht="15.75" customHeight="1">
      <c r="A291" s="5"/>
      <c r="B291" s="5"/>
    </row>
    <row r="292" ht="15.75" customHeight="1">
      <c r="A292" s="5"/>
      <c r="B292" s="5"/>
    </row>
    <row r="293" ht="15.75" customHeight="1">
      <c r="A293" s="5"/>
      <c r="B293" s="5"/>
    </row>
    <row r="294" ht="15.75" customHeight="1">
      <c r="A294" s="5"/>
      <c r="B294" s="5"/>
    </row>
    <row r="295" ht="15.75" customHeight="1">
      <c r="A295" s="5"/>
      <c r="B295" s="5"/>
    </row>
    <row r="296" ht="15.75" customHeight="1">
      <c r="A296" s="5"/>
      <c r="B296" s="5"/>
    </row>
    <row r="297" ht="15.75" customHeight="1">
      <c r="A297" s="5"/>
      <c r="B297" s="5"/>
    </row>
    <row r="298" ht="15.75" customHeight="1">
      <c r="A298" s="5"/>
      <c r="B298" s="5"/>
    </row>
    <row r="299" ht="15.75" customHeight="1">
      <c r="A299" s="5"/>
      <c r="B299" s="5"/>
    </row>
    <row r="300" ht="15.75" customHeight="1">
      <c r="A300" s="5"/>
      <c r="B300" s="5"/>
    </row>
    <row r="301" ht="15.75" customHeight="1">
      <c r="A301" s="5"/>
      <c r="B301" s="5"/>
    </row>
    <row r="302" ht="15.75" customHeight="1">
      <c r="A302" s="5"/>
      <c r="B302" s="5"/>
    </row>
    <row r="303" ht="15.75" customHeight="1">
      <c r="A303" s="5"/>
      <c r="B303" s="5"/>
    </row>
    <row r="304" ht="15.75" customHeight="1">
      <c r="A304" s="5"/>
      <c r="B304" s="5"/>
    </row>
    <row r="305" ht="15.75" customHeight="1">
      <c r="A305" s="5"/>
      <c r="B305" s="5"/>
    </row>
    <row r="306" ht="15.75" customHeight="1">
      <c r="A306" s="5"/>
      <c r="B306" s="5"/>
    </row>
    <row r="307" ht="15.75" customHeight="1">
      <c r="A307" s="5"/>
      <c r="B307" s="5"/>
    </row>
    <row r="308" ht="15.75" customHeight="1">
      <c r="A308" s="5"/>
      <c r="B308" s="5"/>
    </row>
    <row r="309" ht="15.75" customHeight="1">
      <c r="A309" s="5"/>
      <c r="B309" s="5"/>
    </row>
    <row r="310" ht="15.75" customHeight="1">
      <c r="A310" s="5"/>
      <c r="B310" s="5"/>
    </row>
    <row r="311" ht="15.75" customHeight="1">
      <c r="A311" s="5"/>
      <c r="B311" s="5"/>
    </row>
    <row r="312" ht="15.75" customHeight="1">
      <c r="A312" s="5"/>
      <c r="B312" s="5"/>
    </row>
    <row r="313" ht="15.75" customHeight="1">
      <c r="A313" s="5"/>
      <c r="B313" s="5"/>
    </row>
    <row r="314" ht="15.75" customHeight="1">
      <c r="A314" s="5"/>
      <c r="B314" s="5"/>
    </row>
    <row r="315" ht="15.75" customHeight="1">
      <c r="A315" s="5"/>
      <c r="B315" s="5"/>
    </row>
    <row r="316" ht="15.75" customHeight="1">
      <c r="A316" s="5"/>
      <c r="B316" s="5"/>
    </row>
    <row r="317" ht="15.75" customHeight="1">
      <c r="A317" s="5"/>
      <c r="B317" s="5"/>
    </row>
    <row r="318" ht="15.75" customHeight="1">
      <c r="A318" s="5"/>
      <c r="B318" s="5"/>
    </row>
    <row r="319" ht="15.75" customHeight="1">
      <c r="A319" s="5"/>
      <c r="B319" s="5"/>
    </row>
    <row r="320" ht="15.75" customHeight="1">
      <c r="A320" s="5"/>
      <c r="B320" s="5"/>
    </row>
    <row r="321" ht="15.75" customHeight="1">
      <c r="A321" s="5"/>
      <c r="B321" s="5"/>
    </row>
    <row r="322" ht="15.75" customHeight="1">
      <c r="A322" s="5"/>
      <c r="B322" s="5"/>
    </row>
    <row r="323" ht="15.75" customHeight="1">
      <c r="A323" s="5"/>
      <c r="B323" s="5"/>
    </row>
    <row r="324" ht="15.75" customHeight="1">
      <c r="A324" s="5"/>
      <c r="B324" s="5"/>
    </row>
    <row r="325" ht="15.75" customHeight="1">
      <c r="A325" s="5"/>
      <c r="B325" s="5"/>
    </row>
    <row r="326" ht="15.75" customHeight="1">
      <c r="A326" s="5"/>
      <c r="B326" s="5"/>
    </row>
    <row r="327" ht="15.75" customHeight="1">
      <c r="A327" s="5"/>
      <c r="B327" s="5"/>
    </row>
    <row r="328" ht="15.75" customHeight="1">
      <c r="A328" s="5"/>
      <c r="B328" s="5"/>
    </row>
    <row r="329" ht="15.75" customHeight="1">
      <c r="A329" s="5"/>
      <c r="B329" s="5"/>
    </row>
    <row r="330" ht="15.75" customHeight="1">
      <c r="A330" s="5"/>
      <c r="B330" s="5"/>
    </row>
    <row r="331" ht="15.75" customHeight="1">
      <c r="A331" s="5"/>
      <c r="B331" s="5"/>
    </row>
    <row r="332" ht="15.75" customHeight="1">
      <c r="A332" s="5"/>
      <c r="B332" s="5"/>
    </row>
    <row r="333" ht="15.75" customHeight="1">
      <c r="A333" s="5"/>
      <c r="B333" s="5"/>
    </row>
    <row r="334" ht="15.75" customHeight="1">
      <c r="A334" s="5"/>
      <c r="B334" s="5"/>
    </row>
    <row r="335" ht="15.75" customHeight="1">
      <c r="A335" s="5"/>
      <c r="B335" s="5"/>
    </row>
    <row r="336" ht="15.75" customHeight="1">
      <c r="A336" s="5"/>
      <c r="B336" s="5"/>
    </row>
    <row r="337" ht="15.75" customHeight="1">
      <c r="A337" s="5"/>
      <c r="B337" s="5"/>
    </row>
    <row r="338" ht="15.75" customHeight="1">
      <c r="A338" s="5"/>
      <c r="B338" s="5"/>
    </row>
    <row r="339" ht="15.75" customHeight="1">
      <c r="A339" s="5"/>
      <c r="B339" s="5"/>
    </row>
    <row r="340" ht="15.75" customHeight="1">
      <c r="A340" s="5"/>
      <c r="B340" s="5"/>
    </row>
    <row r="341" ht="15.75" customHeight="1">
      <c r="A341" s="5"/>
      <c r="B341" s="5"/>
    </row>
    <row r="342" ht="15.75" customHeight="1">
      <c r="A342" s="5"/>
      <c r="B342" s="5"/>
    </row>
    <row r="343" ht="15.75" customHeight="1">
      <c r="A343" s="5"/>
      <c r="B343" s="5"/>
    </row>
    <row r="344" ht="15.75" customHeight="1">
      <c r="A344" s="5"/>
      <c r="B344" s="5"/>
    </row>
    <row r="345" ht="15.75" customHeight="1">
      <c r="A345" s="5"/>
      <c r="B345" s="5"/>
    </row>
    <row r="346" ht="15.75" customHeight="1">
      <c r="A346" s="5"/>
      <c r="B346" s="5"/>
    </row>
    <row r="347" ht="15.75" customHeight="1">
      <c r="A347" s="5"/>
      <c r="B347" s="5"/>
    </row>
    <row r="348" ht="15.75" customHeight="1">
      <c r="A348" s="5"/>
      <c r="B348" s="5"/>
    </row>
    <row r="349" ht="15.75" customHeight="1">
      <c r="A349" s="5"/>
      <c r="B349" s="5"/>
    </row>
    <row r="350" ht="15.75" customHeight="1">
      <c r="A350" s="5"/>
      <c r="B350" s="5"/>
    </row>
    <row r="351" ht="15.75" customHeight="1">
      <c r="A351" s="5"/>
      <c r="B351" s="5"/>
    </row>
    <row r="352" ht="15.75" customHeight="1">
      <c r="A352" s="5"/>
      <c r="B352" s="5"/>
    </row>
    <row r="353" ht="15.75" customHeight="1">
      <c r="A353" s="5"/>
      <c r="B353" s="5"/>
    </row>
    <row r="354" ht="15.75" customHeight="1">
      <c r="A354" s="5"/>
      <c r="B354" s="5"/>
    </row>
    <row r="355" ht="15.75" customHeight="1">
      <c r="A355" s="5"/>
      <c r="B355" s="5"/>
    </row>
    <row r="356" ht="15.75" customHeight="1">
      <c r="A356" s="5"/>
      <c r="B356" s="5"/>
    </row>
    <row r="357" ht="15.75" customHeight="1">
      <c r="A357" s="5"/>
      <c r="B357" s="5"/>
    </row>
    <row r="358" ht="15.75" customHeight="1">
      <c r="A358" s="5"/>
      <c r="B358" s="5"/>
    </row>
    <row r="359" ht="15.75" customHeight="1">
      <c r="A359" s="5"/>
      <c r="B359" s="5"/>
    </row>
    <row r="360" ht="15.75" customHeight="1">
      <c r="A360" s="5"/>
      <c r="B360" s="5"/>
    </row>
    <row r="361" ht="15.75" customHeight="1">
      <c r="A361" s="5"/>
      <c r="B361" s="5"/>
    </row>
    <row r="362" ht="15.75" customHeight="1">
      <c r="A362" s="5"/>
      <c r="B362" s="5"/>
    </row>
    <row r="363" ht="15.75" customHeight="1">
      <c r="A363" s="5"/>
      <c r="B363" s="5"/>
    </row>
    <row r="364" ht="15.75" customHeight="1">
      <c r="A364" s="5"/>
      <c r="B364" s="5"/>
    </row>
    <row r="365" ht="15.75" customHeight="1">
      <c r="A365" s="5"/>
      <c r="B365" s="5"/>
    </row>
    <row r="366" ht="15.75" customHeight="1">
      <c r="A366" s="5"/>
      <c r="B366" s="5"/>
    </row>
    <row r="367" ht="15.75" customHeight="1">
      <c r="A367" s="5"/>
      <c r="B367" s="5"/>
    </row>
    <row r="368" ht="15.75" customHeight="1">
      <c r="A368" s="5"/>
      <c r="B368" s="5"/>
    </row>
    <row r="369" ht="15.75" customHeight="1">
      <c r="A369" s="5"/>
      <c r="B369" s="5"/>
    </row>
    <row r="370" ht="15.75" customHeight="1">
      <c r="A370" s="5"/>
      <c r="B370" s="5"/>
    </row>
    <row r="371" ht="15.75" customHeight="1">
      <c r="A371" s="5"/>
      <c r="B371" s="5"/>
    </row>
    <row r="372" ht="15.75" customHeight="1">
      <c r="A372" s="5"/>
      <c r="B372" s="5"/>
    </row>
    <row r="373" ht="15.75" customHeight="1">
      <c r="A373" s="5"/>
      <c r="B373" s="5"/>
    </row>
    <row r="374" ht="15.75" customHeight="1">
      <c r="A374" s="5"/>
      <c r="B374" s="5"/>
    </row>
    <row r="375" ht="15.75" customHeight="1">
      <c r="A375" s="5"/>
      <c r="B375" s="5"/>
    </row>
    <row r="376" ht="15.75" customHeight="1">
      <c r="A376" s="5"/>
      <c r="B376" s="5"/>
    </row>
    <row r="377" ht="15.75" customHeight="1">
      <c r="A377" s="5"/>
      <c r="B377" s="5"/>
    </row>
    <row r="378" ht="15.75" customHeight="1">
      <c r="A378" s="5"/>
      <c r="B378" s="5"/>
    </row>
    <row r="379" ht="15.75" customHeight="1">
      <c r="A379" s="5"/>
      <c r="B379" s="5"/>
    </row>
    <row r="380" ht="15.75" customHeight="1">
      <c r="A380" s="5"/>
      <c r="B380" s="5"/>
    </row>
    <row r="381" ht="15.75" customHeight="1">
      <c r="A381" s="5"/>
      <c r="B381" s="5"/>
    </row>
    <row r="382" ht="15.75" customHeight="1">
      <c r="A382" s="5"/>
      <c r="B382" s="5"/>
    </row>
    <row r="383" ht="15.75" customHeight="1">
      <c r="A383" s="5"/>
      <c r="B383" s="5"/>
    </row>
    <row r="384" ht="15.75" customHeight="1">
      <c r="A384" s="5"/>
      <c r="B384" s="5"/>
    </row>
    <row r="385" ht="15.75" customHeight="1">
      <c r="A385" s="5"/>
      <c r="B385" s="5"/>
    </row>
    <row r="386" ht="15.75" customHeight="1">
      <c r="A386" s="5"/>
      <c r="B386" s="5"/>
    </row>
    <row r="387" ht="15.75" customHeight="1">
      <c r="A387" s="5"/>
      <c r="B387" s="5"/>
    </row>
    <row r="388" ht="15.75" customHeight="1">
      <c r="A388" s="5"/>
      <c r="B388" s="5"/>
    </row>
    <row r="389" ht="15.75" customHeight="1">
      <c r="A389" s="5"/>
      <c r="B389" s="5"/>
    </row>
    <row r="390" ht="15.75" customHeight="1">
      <c r="A390" s="5"/>
      <c r="B390" s="5"/>
    </row>
    <row r="391" ht="15.75" customHeight="1">
      <c r="A391" s="5"/>
      <c r="B391" s="5"/>
    </row>
    <row r="392" ht="15.75" customHeight="1">
      <c r="A392" s="5"/>
      <c r="B392" s="5"/>
    </row>
    <row r="393" ht="15.75" customHeight="1">
      <c r="A393" s="5"/>
      <c r="B393" s="5"/>
    </row>
    <row r="394" ht="15.75" customHeight="1">
      <c r="A394" s="5"/>
      <c r="B394" s="5"/>
    </row>
    <row r="395" ht="15.75" customHeight="1">
      <c r="A395" s="5"/>
      <c r="B395" s="5"/>
    </row>
    <row r="396" ht="15.75" customHeight="1">
      <c r="A396" s="5"/>
      <c r="B396" s="5"/>
    </row>
    <row r="397" ht="15.75" customHeight="1">
      <c r="A397" s="5"/>
      <c r="B397" s="5"/>
    </row>
    <row r="398" ht="15.75" customHeight="1">
      <c r="A398" s="5"/>
      <c r="B398" s="5"/>
    </row>
    <row r="399" ht="15.75" customHeight="1">
      <c r="A399" s="5"/>
      <c r="B399" s="5"/>
    </row>
    <row r="400" ht="15.75" customHeight="1">
      <c r="A400" s="5"/>
      <c r="B400" s="5"/>
    </row>
    <row r="401" ht="15.75" customHeight="1">
      <c r="A401" s="5"/>
      <c r="B401" s="5"/>
    </row>
    <row r="402" ht="15.75" customHeight="1">
      <c r="A402" s="5"/>
      <c r="B402" s="5"/>
    </row>
    <row r="403" ht="15.75" customHeight="1">
      <c r="A403" s="5"/>
      <c r="B403" s="5"/>
    </row>
    <row r="404" ht="15.75" customHeight="1">
      <c r="A404" s="5"/>
      <c r="B404" s="5"/>
    </row>
    <row r="405" ht="15.75" customHeight="1">
      <c r="A405" s="5"/>
      <c r="B405" s="5"/>
    </row>
    <row r="406" ht="15.75" customHeight="1">
      <c r="A406" s="5"/>
      <c r="B406" s="5"/>
    </row>
    <row r="407" ht="15.75" customHeight="1">
      <c r="A407" s="5"/>
      <c r="B407" s="5"/>
    </row>
    <row r="408" ht="15.75" customHeight="1">
      <c r="A408" s="5"/>
      <c r="B408" s="5"/>
    </row>
    <row r="409" ht="15.75" customHeight="1">
      <c r="A409" s="5"/>
      <c r="B409" s="5"/>
    </row>
    <row r="410" ht="15.75" customHeight="1">
      <c r="A410" s="5"/>
      <c r="B410" s="5"/>
    </row>
    <row r="411" ht="15.75" customHeight="1">
      <c r="A411" s="5"/>
      <c r="B411" s="5"/>
    </row>
    <row r="412" ht="15.75" customHeight="1">
      <c r="A412" s="5"/>
      <c r="B412" s="5"/>
    </row>
    <row r="413" ht="15.75" customHeight="1">
      <c r="A413" s="5"/>
      <c r="B413" s="5"/>
    </row>
    <row r="414" ht="15.75" customHeight="1">
      <c r="A414" s="5"/>
      <c r="B414" s="5"/>
    </row>
    <row r="415" ht="15.75" customHeight="1">
      <c r="A415" s="5"/>
      <c r="B415" s="5"/>
    </row>
    <row r="416" ht="15.75" customHeight="1">
      <c r="A416" s="5"/>
      <c r="B416" s="5"/>
    </row>
    <row r="417" ht="15.75" customHeight="1">
      <c r="A417" s="5"/>
      <c r="B417" s="5"/>
    </row>
    <row r="418" ht="15.75" customHeight="1">
      <c r="A418" s="5"/>
      <c r="B418" s="5"/>
    </row>
    <row r="419" ht="15.75" customHeight="1">
      <c r="A419" s="5"/>
      <c r="B419" s="5"/>
    </row>
    <row r="420" ht="15.75" customHeight="1">
      <c r="A420" s="5"/>
      <c r="B420" s="5"/>
    </row>
    <row r="421" ht="15.75" customHeight="1">
      <c r="A421" s="5"/>
      <c r="B421" s="5"/>
    </row>
    <row r="422" ht="15.75" customHeight="1">
      <c r="A422" s="5"/>
      <c r="B422" s="5"/>
    </row>
    <row r="423" ht="15.75" customHeight="1">
      <c r="A423" s="5"/>
      <c r="B423" s="5"/>
    </row>
    <row r="424" ht="15.75" customHeight="1">
      <c r="A424" s="5"/>
      <c r="B424" s="5"/>
    </row>
    <row r="425" ht="15.75" customHeight="1">
      <c r="A425" s="5"/>
      <c r="B425" s="5"/>
    </row>
    <row r="426" ht="15.75" customHeight="1">
      <c r="A426" s="5"/>
      <c r="B426" s="5"/>
    </row>
    <row r="427" ht="15.75" customHeight="1">
      <c r="A427" s="5"/>
      <c r="B427" s="5"/>
    </row>
    <row r="428" ht="15.75" customHeight="1">
      <c r="A428" s="5"/>
      <c r="B428" s="5"/>
    </row>
    <row r="429" ht="15.75" customHeight="1">
      <c r="A429" s="5"/>
      <c r="B429" s="5"/>
    </row>
    <row r="430" ht="15.75" customHeight="1">
      <c r="A430" s="5"/>
      <c r="B430" s="5"/>
    </row>
    <row r="431" ht="15.75" customHeight="1">
      <c r="A431" s="5"/>
      <c r="B431" s="5"/>
    </row>
    <row r="432" ht="15.75" customHeight="1">
      <c r="A432" s="5"/>
      <c r="B432" s="5"/>
    </row>
    <row r="433" ht="15.75" customHeight="1">
      <c r="A433" s="5"/>
      <c r="B433" s="5"/>
    </row>
    <row r="434" ht="15.75" customHeight="1">
      <c r="A434" s="5"/>
      <c r="B434" s="5"/>
    </row>
    <row r="435" ht="15.75" customHeight="1">
      <c r="A435" s="5"/>
      <c r="B435" s="5"/>
    </row>
    <row r="436" ht="15.75" customHeight="1">
      <c r="A436" s="5"/>
      <c r="B436" s="5"/>
    </row>
    <row r="437" ht="15.75" customHeight="1">
      <c r="A437" s="5"/>
      <c r="B437" s="5"/>
    </row>
    <row r="438" ht="15.75" customHeight="1">
      <c r="A438" s="5"/>
      <c r="B438" s="5"/>
    </row>
    <row r="439" ht="15.75" customHeight="1">
      <c r="A439" s="5"/>
      <c r="B439" s="5"/>
    </row>
    <row r="440" ht="15.75" customHeight="1">
      <c r="A440" s="5"/>
      <c r="B440" s="5"/>
    </row>
    <row r="441" ht="15.75" customHeight="1">
      <c r="A441" s="5"/>
      <c r="B441" s="5"/>
    </row>
    <row r="442" ht="15.75" customHeight="1">
      <c r="A442" s="5"/>
      <c r="B442" s="5"/>
    </row>
    <row r="443" ht="15.75" customHeight="1">
      <c r="A443" s="5"/>
      <c r="B443" s="5"/>
    </row>
    <row r="444" ht="15.75" customHeight="1">
      <c r="A444" s="5"/>
      <c r="B444" s="5"/>
    </row>
    <row r="445" ht="15.75" customHeight="1">
      <c r="A445" s="5"/>
      <c r="B445" s="5"/>
    </row>
    <row r="446" ht="15.75" customHeight="1">
      <c r="A446" s="5"/>
      <c r="B446" s="5"/>
    </row>
    <row r="447" ht="15.75" customHeight="1">
      <c r="A447" s="5"/>
      <c r="B447" s="5"/>
    </row>
    <row r="448" ht="15.75" customHeight="1">
      <c r="A448" s="5"/>
      <c r="B448" s="5"/>
    </row>
    <row r="449" ht="15.75" customHeight="1">
      <c r="A449" s="5"/>
      <c r="B449" s="5"/>
    </row>
    <row r="450" ht="15.75" customHeight="1">
      <c r="A450" s="5"/>
      <c r="B450" s="5"/>
    </row>
    <row r="451" ht="15.75" customHeight="1">
      <c r="A451" s="5"/>
      <c r="B451" s="5"/>
    </row>
    <row r="452" ht="15.75" customHeight="1">
      <c r="A452" s="5"/>
      <c r="B452" s="5"/>
    </row>
    <row r="453" ht="15.75" customHeight="1">
      <c r="A453" s="5"/>
      <c r="B453" s="5"/>
    </row>
    <row r="454" ht="15.75" customHeight="1">
      <c r="A454" s="5"/>
      <c r="B454" s="5"/>
    </row>
    <row r="455" ht="15.75" customHeight="1">
      <c r="A455" s="5"/>
      <c r="B455" s="5"/>
    </row>
    <row r="456" ht="15.75" customHeight="1">
      <c r="A456" s="5"/>
      <c r="B456" s="5"/>
    </row>
    <row r="457" ht="15.75" customHeight="1">
      <c r="A457" s="5"/>
      <c r="B457" s="5"/>
    </row>
    <row r="458" ht="15.75" customHeight="1">
      <c r="A458" s="5"/>
      <c r="B458" s="5"/>
    </row>
    <row r="459" ht="15.75" customHeight="1">
      <c r="A459" s="5"/>
      <c r="B459" s="5"/>
    </row>
    <row r="460" ht="15.75" customHeight="1">
      <c r="A460" s="5"/>
      <c r="B460" s="5"/>
    </row>
    <row r="461" ht="15.75" customHeight="1">
      <c r="A461" s="5"/>
      <c r="B461" s="5"/>
    </row>
    <row r="462" ht="15.75" customHeight="1">
      <c r="A462" s="5"/>
      <c r="B462" s="5"/>
    </row>
    <row r="463" ht="15.75" customHeight="1">
      <c r="A463" s="5"/>
      <c r="B463" s="5"/>
    </row>
    <row r="464" ht="15.75" customHeight="1">
      <c r="A464" s="5"/>
      <c r="B464" s="5"/>
    </row>
    <row r="465" ht="15.75" customHeight="1">
      <c r="A465" s="5"/>
      <c r="B465" s="5"/>
    </row>
    <row r="466" ht="15.75" customHeight="1">
      <c r="A466" s="5"/>
      <c r="B466" s="5"/>
    </row>
    <row r="467" ht="15.75" customHeight="1">
      <c r="A467" s="5"/>
      <c r="B467" s="5"/>
    </row>
    <row r="468" ht="15.75" customHeight="1">
      <c r="A468" s="5"/>
      <c r="B468" s="5"/>
    </row>
    <row r="469" ht="15.75" customHeight="1">
      <c r="A469" s="5"/>
      <c r="B469" s="5"/>
    </row>
    <row r="470" ht="15.75" customHeight="1">
      <c r="A470" s="5"/>
      <c r="B470" s="5"/>
    </row>
    <row r="471" ht="15.75" customHeight="1">
      <c r="A471" s="5"/>
      <c r="B471" s="5"/>
    </row>
    <row r="472" ht="15.75" customHeight="1">
      <c r="A472" s="5"/>
      <c r="B472" s="5"/>
    </row>
    <row r="473" ht="15.75" customHeight="1">
      <c r="A473" s="5"/>
      <c r="B473" s="5"/>
    </row>
    <row r="474" ht="15.75" customHeight="1">
      <c r="A474" s="5"/>
      <c r="B474" s="5"/>
    </row>
    <row r="475" ht="15.75" customHeight="1">
      <c r="A475" s="5"/>
      <c r="B475" s="5"/>
    </row>
    <row r="476" ht="15.75" customHeight="1">
      <c r="A476" s="5"/>
      <c r="B476" s="5"/>
    </row>
    <row r="477" ht="15.75" customHeight="1">
      <c r="A477" s="5"/>
      <c r="B477" s="5"/>
    </row>
    <row r="478" ht="15.75" customHeight="1">
      <c r="A478" s="5"/>
      <c r="B478" s="5"/>
    </row>
    <row r="479" ht="15.75" customHeight="1">
      <c r="A479" s="5"/>
      <c r="B479" s="5"/>
    </row>
    <row r="480" ht="15.75" customHeight="1">
      <c r="A480" s="5"/>
      <c r="B480" s="5"/>
    </row>
    <row r="481" ht="15.75" customHeight="1">
      <c r="A481" s="5"/>
      <c r="B481" s="5"/>
    </row>
    <row r="482" ht="15.75" customHeight="1">
      <c r="A482" s="5"/>
      <c r="B482" s="5"/>
    </row>
    <row r="483" ht="15.75" customHeight="1">
      <c r="A483" s="5"/>
      <c r="B483" s="5"/>
    </row>
    <row r="484" ht="15.75" customHeight="1">
      <c r="A484" s="5"/>
      <c r="B484" s="5"/>
    </row>
    <row r="485" ht="15.75" customHeight="1">
      <c r="A485" s="5"/>
      <c r="B485" s="5"/>
    </row>
    <row r="486" ht="15.75" customHeight="1">
      <c r="A486" s="5"/>
      <c r="B486" s="5"/>
    </row>
    <row r="487" ht="15.75" customHeight="1">
      <c r="A487" s="5"/>
      <c r="B487" s="5"/>
    </row>
    <row r="488" ht="15.75" customHeight="1">
      <c r="A488" s="5"/>
      <c r="B488" s="5"/>
    </row>
    <row r="489" ht="15.75" customHeight="1">
      <c r="A489" s="5"/>
      <c r="B489" s="5"/>
    </row>
    <row r="490" ht="15.75" customHeight="1">
      <c r="A490" s="5"/>
      <c r="B490" s="5"/>
    </row>
    <row r="491" ht="15.75" customHeight="1">
      <c r="A491" s="5"/>
      <c r="B491" s="5"/>
    </row>
    <row r="492" ht="15.75" customHeight="1">
      <c r="A492" s="5"/>
      <c r="B492" s="5"/>
    </row>
    <row r="493" ht="15.75" customHeight="1">
      <c r="A493" s="5"/>
      <c r="B493" s="5"/>
    </row>
    <row r="494" ht="15.75" customHeight="1">
      <c r="A494" s="5"/>
      <c r="B494" s="5"/>
    </row>
    <row r="495" ht="15.75" customHeight="1">
      <c r="A495" s="5"/>
      <c r="B495" s="5"/>
    </row>
    <row r="496" ht="15.75" customHeight="1">
      <c r="A496" s="5"/>
      <c r="B496" s="5"/>
    </row>
    <row r="497" ht="15.75" customHeight="1">
      <c r="A497" s="5"/>
      <c r="B497" s="5"/>
    </row>
    <row r="498" ht="15.75" customHeight="1">
      <c r="A498" s="5"/>
      <c r="B498" s="5"/>
    </row>
    <row r="499" ht="15.75" customHeight="1">
      <c r="A499" s="5"/>
      <c r="B499" s="5"/>
    </row>
    <row r="500" ht="15.75" customHeight="1">
      <c r="A500" s="5"/>
      <c r="B500" s="5"/>
    </row>
    <row r="501" ht="15.75" customHeight="1">
      <c r="A501" s="5"/>
      <c r="B501" s="5"/>
    </row>
    <row r="502" ht="15.75" customHeight="1">
      <c r="A502" s="5"/>
      <c r="B502" s="5"/>
    </row>
    <row r="503" ht="15.75" customHeight="1">
      <c r="A503" s="5"/>
      <c r="B503" s="5"/>
    </row>
    <row r="504" ht="15.75" customHeight="1">
      <c r="A504" s="5"/>
      <c r="B504" s="5"/>
    </row>
    <row r="505" ht="15.75" customHeight="1">
      <c r="A505" s="5"/>
      <c r="B505" s="5"/>
    </row>
    <row r="506" ht="15.75" customHeight="1">
      <c r="A506" s="5"/>
      <c r="B506" s="5"/>
    </row>
    <row r="507" ht="15.75" customHeight="1">
      <c r="A507" s="5"/>
      <c r="B507" s="5"/>
    </row>
    <row r="508" ht="15.75" customHeight="1">
      <c r="A508" s="5"/>
      <c r="B508" s="5"/>
    </row>
    <row r="509" ht="15.75" customHeight="1">
      <c r="A509" s="5"/>
      <c r="B509" s="5"/>
    </row>
    <row r="510" ht="15.75" customHeight="1">
      <c r="A510" s="5"/>
      <c r="B510" s="5"/>
    </row>
    <row r="511" ht="15.75" customHeight="1">
      <c r="A511" s="5"/>
      <c r="B511" s="5"/>
    </row>
    <row r="512" ht="15.75" customHeight="1">
      <c r="A512" s="5"/>
      <c r="B512" s="5"/>
    </row>
    <row r="513" ht="15.75" customHeight="1">
      <c r="A513" s="5"/>
      <c r="B513" s="5"/>
    </row>
    <row r="514" ht="15.75" customHeight="1">
      <c r="A514" s="5"/>
      <c r="B514" s="5"/>
    </row>
    <row r="515" ht="15.75" customHeight="1">
      <c r="A515" s="5"/>
      <c r="B515" s="5"/>
    </row>
    <row r="516" ht="15.75" customHeight="1">
      <c r="A516" s="5"/>
      <c r="B516" s="5"/>
    </row>
    <row r="517" ht="15.75" customHeight="1">
      <c r="A517" s="5"/>
      <c r="B517" s="5"/>
    </row>
    <row r="518" ht="15.75" customHeight="1">
      <c r="A518" s="5"/>
      <c r="B518" s="5"/>
    </row>
    <row r="519" ht="15.75" customHeight="1">
      <c r="A519" s="5"/>
      <c r="B519" s="5"/>
    </row>
    <row r="520" ht="15.75" customHeight="1">
      <c r="A520" s="5"/>
      <c r="B520" s="5"/>
    </row>
    <row r="521" ht="15.75" customHeight="1">
      <c r="A521" s="5"/>
      <c r="B521" s="5"/>
    </row>
    <row r="522" ht="15.75" customHeight="1">
      <c r="A522" s="5"/>
      <c r="B522" s="5"/>
    </row>
    <row r="523" ht="15.75" customHeight="1">
      <c r="A523" s="5"/>
      <c r="B523" s="5"/>
    </row>
    <row r="524" ht="15.75" customHeight="1">
      <c r="A524" s="5"/>
      <c r="B524" s="5"/>
    </row>
    <row r="525" ht="15.75" customHeight="1">
      <c r="A525" s="5"/>
      <c r="B525" s="5"/>
    </row>
    <row r="526" ht="15.75" customHeight="1">
      <c r="A526" s="5"/>
      <c r="B526" s="5"/>
    </row>
    <row r="527" ht="15.75" customHeight="1">
      <c r="A527" s="5"/>
      <c r="B527" s="5"/>
    </row>
    <row r="528" ht="15.75" customHeight="1">
      <c r="A528" s="5"/>
      <c r="B528" s="5"/>
    </row>
    <row r="529" ht="15.75" customHeight="1">
      <c r="A529" s="5"/>
      <c r="B529" s="5"/>
    </row>
    <row r="530" ht="15.75" customHeight="1">
      <c r="A530" s="5"/>
      <c r="B530" s="5"/>
    </row>
    <row r="531" ht="15.75" customHeight="1">
      <c r="A531" s="5"/>
      <c r="B531" s="5"/>
    </row>
    <row r="532" ht="15.75" customHeight="1">
      <c r="A532" s="5"/>
      <c r="B532" s="5"/>
    </row>
    <row r="533" ht="15.75" customHeight="1">
      <c r="A533" s="5"/>
      <c r="B533" s="5"/>
    </row>
    <row r="534" ht="15.75" customHeight="1">
      <c r="A534" s="5"/>
      <c r="B534" s="5"/>
    </row>
    <row r="535" ht="15.75" customHeight="1">
      <c r="A535" s="5"/>
      <c r="B535" s="5"/>
    </row>
    <row r="536" ht="15.75" customHeight="1">
      <c r="A536" s="5"/>
      <c r="B536" s="5"/>
    </row>
    <row r="537" ht="15.75" customHeight="1">
      <c r="A537" s="5"/>
      <c r="B537" s="5"/>
    </row>
    <row r="538" ht="15.75" customHeight="1">
      <c r="A538" s="5"/>
      <c r="B538" s="5"/>
    </row>
    <row r="539" ht="15.75" customHeight="1">
      <c r="A539" s="5"/>
      <c r="B539" s="5"/>
    </row>
    <row r="540" ht="15.75" customHeight="1">
      <c r="A540" s="5"/>
      <c r="B540" s="5"/>
    </row>
    <row r="541" ht="15.75" customHeight="1">
      <c r="A541" s="5"/>
      <c r="B541" s="5"/>
    </row>
    <row r="542" ht="15.75" customHeight="1">
      <c r="A542" s="5"/>
      <c r="B542" s="5"/>
    </row>
    <row r="543" ht="15.75" customHeight="1">
      <c r="A543" s="5"/>
      <c r="B543" s="5"/>
    </row>
    <row r="544" ht="15.75" customHeight="1">
      <c r="A544" s="5"/>
      <c r="B544" s="5"/>
    </row>
    <row r="545" ht="15.75" customHeight="1">
      <c r="A545" s="5"/>
      <c r="B545" s="5"/>
    </row>
    <row r="546" ht="15.75" customHeight="1">
      <c r="A546" s="5"/>
      <c r="B546" s="5"/>
    </row>
    <row r="547" ht="15.75" customHeight="1">
      <c r="A547" s="5"/>
      <c r="B547" s="5"/>
    </row>
    <row r="548" ht="15.75" customHeight="1">
      <c r="A548" s="5"/>
      <c r="B548" s="5"/>
    </row>
    <row r="549" ht="15.75" customHeight="1">
      <c r="A549" s="5"/>
      <c r="B549" s="5"/>
    </row>
    <row r="550" ht="15.75" customHeight="1">
      <c r="A550" s="5"/>
      <c r="B550" s="5"/>
    </row>
    <row r="551" ht="15.75" customHeight="1">
      <c r="A551" s="5"/>
      <c r="B551" s="5"/>
    </row>
    <row r="552" ht="15.75" customHeight="1">
      <c r="A552" s="5"/>
      <c r="B552" s="5"/>
    </row>
    <row r="553" ht="15.75" customHeight="1">
      <c r="A553" s="5"/>
      <c r="B553" s="5"/>
    </row>
    <row r="554" ht="15.75" customHeight="1">
      <c r="A554" s="5"/>
      <c r="B554" s="5"/>
    </row>
    <row r="555" ht="15.75" customHeight="1">
      <c r="A555" s="5"/>
      <c r="B555" s="5"/>
    </row>
    <row r="556" ht="15.75" customHeight="1">
      <c r="A556" s="5"/>
      <c r="B556" s="5"/>
    </row>
    <row r="557" ht="15.75" customHeight="1">
      <c r="A557" s="5"/>
      <c r="B557" s="5"/>
    </row>
    <row r="558" ht="15.75" customHeight="1">
      <c r="A558" s="5"/>
      <c r="B558" s="5"/>
    </row>
    <row r="559" ht="15.75" customHeight="1">
      <c r="A559" s="5"/>
      <c r="B559" s="5"/>
    </row>
    <row r="560" ht="15.75" customHeight="1">
      <c r="A560" s="5"/>
      <c r="B560" s="5"/>
    </row>
    <row r="561" ht="15.75" customHeight="1">
      <c r="A561" s="5"/>
      <c r="B561" s="5"/>
    </row>
    <row r="562" ht="15.75" customHeight="1">
      <c r="A562" s="5"/>
      <c r="B562" s="5"/>
    </row>
    <row r="563" ht="15.75" customHeight="1">
      <c r="A563" s="5"/>
      <c r="B563" s="5"/>
    </row>
    <row r="564" ht="15.75" customHeight="1">
      <c r="A564" s="5"/>
      <c r="B564" s="5"/>
    </row>
    <row r="565" ht="15.75" customHeight="1">
      <c r="A565" s="5"/>
      <c r="B565" s="5"/>
    </row>
    <row r="566" ht="15.75" customHeight="1">
      <c r="A566" s="5"/>
      <c r="B566" s="5"/>
    </row>
    <row r="567" ht="15.75" customHeight="1">
      <c r="A567" s="5"/>
      <c r="B567" s="5"/>
    </row>
    <row r="568" ht="15.75" customHeight="1">
      <c r="A568" s="5"/>
      <c r="B568" s="5"/>
    </row>
    <row r="569" ht="15.75" customHeight="1">
      <c r="A569" s="5"/>
      <c r="B569" s="5"/>
    </row>
    <row r="570" ht="15.75" customHeight="1">
      <c r="A570" s="5"/>
      <c r="B570" s="5"/>
    </row>
    <row r="571" ht="15.75" customHeight="1">
      <c r="A571" s="5"/>
      <c r="B571" s="5"/>
    </row>
    <row r="572" ht="15.75" customHeight="1">
      <c r="A572" s="5"/>
      <c r="B572" s="5"/>
    </row>
    <row r="573" ht="15.75" customHeight="1">
      <c r="A573" s="5"/>
      <c r="B573" s="5"/>
    </row>
    <row r="574" ht="15.75" customHeight="1">
      <c r="A574" s="5"/>
      <c r="B574" s="5"/>
    </row>
    <row r="575" ht="15.75" customHeight="1">
      <c r="A575" s="5"/>
      <c r="B575" s="5"/>
    </row>
    <row r="576" ht="15.75" customHeight="1">
      <c r="A576" s="5"/>
      <c r="B576" s="5"/>
    </row>
    <row r="577" ht="15.75" customHeight="1">
      <c r="A577" s="5"/>
      <c r="B577" s="5"/>
    </row>
    <row r="578" ht="15.75" customHeight="1">
      <c r="A578" s="5"/>
      <c r="B578" s="5"/>
    </row>
    <row r="579" ht="15.75" customHeight="1">
      <c r="A579" s="5"/>
      <c r="B579" s="5"/>
    </row>
    <row r="580" ht="15.75" customHeight="1">
      <c r="A580" s="5"/>
      <c r="B580" s="5"/>
    </row>
    <row r="581" ht="15.75" customHeight="1">
      <c r="A581" s="5"/>
      <c r="B581" s="5"/>
    </row>
    <row r="582" ht="15.75" customHeight="1">
      <c r="A582" s="5"/>
      <c r="B582" s="5"/>
    </row>
    <row r="583" ht="15.75" customHeight="1">
      <c r="A583" s="5"/>
      <c r="B583" s="5"/>
    </row>
    <row r="584" ht="15.75" customHeight="1">
      <c r="A584" s="5"/>
      <c r="B584" s="5"/>
    </row>
    <row r="585" ht="15.75" customHeight="1">
      <c r="A585" s="5"/>
      <c r="B585" s="5"/>
    </row>
    <row r="586" ht="15.75" customHeight="1">
      <c r="A586" s="5"/>
      <c r="B586" s="5"/>
    </row>
    <row r="587" ht="15.75" customHeight="1">
      <c r="A587" s="5"/>
      <c r="B587" s="5"/>
    </row>
    <row r="588" ht="15.75" customHeight="1">
      <c r="A588" s="5"/>
      <c r="B588" s="5"/>
    </row>
    <row r="589" ht="15.75" customHeight="1">
      <c r="A589" s="5"/>
      <c r="B589" s="5"/>
    </row>
    <row r="590" ht="15.75" customHeight="1">
      <c r="A590" s="5"/>
      <c r="B590" s="5"/>
    </row>
    <row r="591" ht="15.75" customHeight="1">
      <c r="A591" s="5"/>
      <c r="B591" s="5"/>
    </row>
    <row r="592" ht="15.75" customHeight="1">
      <c r="A592" s="5"/>
      <c r="B592" s="5"/>
    </row>
    <row r="593" ht="15.75" customHeight="1">
      <c r="A593" s="5"/>
      <c r="B593" s="5"/>
    </row>
    <row r="594" ht="15.75" customHeight="1">
      <c r="A594" s="5"/>
      <c r="B594" s="5"/>
    </row>
    <row r="595" ht="15.75" customHeight="1">
      <c r="A595" s="5"/>
      <c r="B595" s="5"/>
    </row>
    <row r="596" ht="15.75" customHeight="1">
      <c r="A596" s="5"/>
      <c r="B596" s="5"/>
    </row>
    <row r="597" ht="15.75" customHeight="1">
      <c r="A597" s="5"/>
      <c r="B597" s="5"/>
    </row>
    <row r="598" ht="15.75" customHeight="1">
      <c r="A598" s="5"/>
      <c r="B598" s="5"/>
    </row>
    <row r="599" ht="15.75" customHeight="1">
      <c r="A599" s="5"/>
      <c r="B599" s="5"/>
    </row>
    <row r="600" ht="15.75" customHeight="1">
      <c r="A600" s="5"/>
      <c r="B600" s="5"/>
    </row>
    <row r="601" ht="15.75" customHeight="1">
      <c r="A601" s="5"/>
      <c r="B601" s="5"/>
    </row>
    <row r="602" ht="15.75" customHeight="1">
      <c r="A602" s="5"/>
      <c r="B602" s="5"/>
    </row>
    <row r="603" ht="15.75" customHeight="1">
      <c r="A603" s="5"/>
      <c r="B603" s="5"/>
    </row>
    <row r="604" ht="15.75" customHeight="1">
      <c r="A604" s="5"/>
      <c r="B604" s="5"/>
    </row>
    <row r="605" ht="15.75" customHeight="1">
      <c r="A605" s="5"/>
      <c r="B605" s="5"/>
    </row>
    <row r="606" ht="15.75" customHeight="1">
      <c r="A606" s="5"/>
      <c r="B606" s="5"/>
    </row>
    <row r="607" ht="15.75" customHeight="1">
      <c r="A607" s="5"/>
      <c r="B607" s="5"/>
    </row>
    <row r="608" ht="15.75" customHeight="1">
      <c r="A608" s="5"/>
      <c r="B608" s="5"/>
    </row>
    <row r="609" ht="15.75" customHeight="1">
      <c r="A609" s="5"/>
      <c r="B609" s="5"/>
    </row>
    <row r="610" ht="15.75" customHeight="1">
      <c r="A610" s="5"/>
      <c r="B610" s="5"/>
    </row>
    <row r="611" ht="15.75" customHeight="1">
      <c r="A611" s="5"/>
      <c r="B611" s="5"/>
    </row>
    <row r="612" ht="15.75" customHeight="1">
      <c r="A612" s="5"/>
      <c r="B612" s="5"/>
    </row>
    <row r="613" ht="15.75" customHeight="1">
      <c r="A613" s="5"/>
      <c r="B613" s="5"/>
    </row>
    <row r="614" ht="15.75" customHeight="1">
      <c r="A614" s="5"/>
      <c r="B614" s="5"/>
    </row>
    <row r="615" ht="15.75" customHeight="1">
      <c r="A615" s="5"/>
      <c r="B615" s="5"/>
    </row>
    <row r="616" ht="15.75" customHeight="1">
      <c r="A616" s="5"/>
      <c r="B616" s="5"/>
    </row>
    <row r="617" ht="15.75" customHeight="1">
      <c r="A617" s="5"/>
      <c r="B617" s="5"/>
    </row>
    <row r="618" ht="15.75" customHeight="1">
      <c r="A618" s="5"/>
      <c r="B618" s="5"/>
    </row>
    <row r="619" ht="15.75" customHeight="1">
      <c r="A619" s="5"/>
      <c r="B619" s="5"/>
    </row>
    <row r="620" ht="15.75" customHeight="1">
      <c r="A620" s="5"/>
      <c r="B620" s="5"/>
    </row>
    <row r="621" ht="15.75" customHeight="1">
      <c r="A621" s="5"/>
      <c r="B621" s="5"/>
    </row>
    <row r="622" ht="15.75" customHeight="1">
      <c r="A622" s="5"/>
      <c r="B622" s="5"/>
    </row>
    <row r="623" ht="15.75" customHeight="1">
      <c r="A623" s="5"/>
      <c r="B623" s="5"/>
    </row>
    <row r="624" ht="15.75" customHeight="1">
      <c r="A624" s="5"/>
      <c r="B624" s="5"/>
    </row>
    <row r="625" ht="15.75" customHeight="1">
      <c r="A625" s="5"/>
      <c r="B625" s="5"/>
    </row>
    <row r="626" ht="15.75" customHeight="1">
      <c r="A626" s="5"/>
      <c r="B626" s="5"/>
    </row>
    <row r="627" ht="15.75" customHeight="1">
      <c r="A627" s="5"/>
      <c r="B627" s="5"/>
    </row>
    <row r="628" ht="15.75" customHeight="1">
      <c r="A628" s="5"/>
      <c r="B628" s="5"/>
    </row>
    <row r="629" ht="15.75" customHeight="1">
      <c r="A629" s="5"/>
      <c r="B629" s="5"/>
    </row>
    <row r="630" ht="15.75" customHeight="1">
      <c r="A630" s="5"/>
      <c r="B630" s="5"/>
    </row>
    <row r="631" ht="15.75" customHeight="1">
      <c r="A631" s="5"/>
      <c r="B631" s="5"/>
    </row>
    <row r="632" ht="15.75" customHeight="1">
      <c r="A632" s="5"/>
      <c r="B632" s="5"/>
    </row>
    <row r="633" ht="15.75" customHeight="1">
      <c r="A633" s="5"/>
      <c r="B633" s="5"/>
    </row>
    <row r="634" ht="15.75" customHeight="1">
      <c r="A634" s="5"/>
      <c r="B634" s="5"/>
    </row>
    <row r="635" ht="15.75" customHeight="1">
      <c r="A635" s="5"/>
      <c r="B635" s="5"/>
    </row>
    <row r="636" ht="15.75" customHeight="1">
      <c r="A636" s="5"/>
      <c r="B636" s="5"/>
    </row>
    <row r="637" ht="15.75" customHeight="1">
      <c r="A637" s="5"/>
      <c r="B637" s="5"/>
    </row>
    <row r="638" ht="15.75" customHeight="1">
      <c r="A638" s="5"/>
      <c r="B638" s="5"/>
    </row>
    <row r="639" ht="15.75" customHeight="1">
      <c r="A639" s="5"/>
      <c r="B639" s="5"/>
    </row>
    <row r="640" ht="15.75" customHeight="1">
      <c r="A640" s="5"/>
      <c r="B640" s="5"/>
    </row>
    <row r="641" ht="15.75" customHeight="1">
      <c r="A641" s="5"/>
      <c r="B641" s="5"/>
    </row>
    <row r="642" ht="15.75" customHeight="1">
      <c r="A642" s="5"/>
      <c r="B642" s="5"/>
    </row>
    <row r="643" ht="15.75" customHeight="1">
      <c r="A643" s="5"/>
      <c r="B643" s="5"/>
    </row>
    <row r="644" ht="15.75" customHeight="1">
      <c r="A644" s="5"/>
      <c r="B644" s="5"/>
    </row>
    <row r="645" ht="15.75" customHeight="1">
      <c r="A645" s="5"/>
      <c r="B645" s="5"/>
    </row>
    <row r="646" ht="15.75" customHeight="1">
      <c r="A646" s="5"/>
      <c r="B646" s="5"/>
    </row>
    <row r="647" ht="15.75" customHeight="1">
      <c r="A647" s="5"/>
      <c r="B647" s="5"/>
    </row>
    <row r="648" ht="15.75" customHeight="1">
      <c r="A648" s="5"/>
      <c r="B648" s="5"/>
    </row>
    <row r="649" ht="15.75" customHeight="1">
      <c r="A649" s="5"/>
      <c r="B649" s="5"/>
    </row>
    <row r="650" ht="15.75" customHeight="1">
      <c r="A650" s="5"/>
      <c r="B650" s="5"/>
    </row>
    <row r="651" ht="15.75" customHeight="1">
      <c r="A651" s="5"/>
      <c r="B651" s="5"/>
    </row>
    <row r="652" ht="15.75" customHeight="1">
      <c r="A652" s="5"/>
      <c r="B652" s="5"/>
    </row>
    <row r="653" ht="15.75" customHeight="1">
      <c r="A653" s="5"/>
      <c r="B653" s="5"/>
    </row>
    <row r="654" ht="15.75" customHeight="1">
      <c r="A654" s="5"/>
      <c r="B654" s="5"/>
    </row>
    <row r="655" ht="15.75" customHeight="1">
      <c r="A655" s="5"/>
      <c r="B655" s="5"/>
    </row>
    <row r="656" ht="15.75" customHeight="1">
      <c r="A656" s="5"/>
      <c r="B656" s="5"/>
    </row>
    <row r="657" ht="15.75" customHeight="1">
      <c r="A657" s="5"/>
      <c r="B657" s="5"/>
    </row>
    <row r="658" ht="15.75" customHeight="1">
      <c r="A658" s="5"/>
      <c r="B658" s="5"/>
    </row>
    <row r="659" ht="15.75" customHeight="1">
      <c r="A659" s="5"/>
      <c r="B659" s="5"/>
    </row>
    <row r="660" ht="15.75" customHeight="1">
      <c r="A660" s="5"/>
      <c r="B660" s="5"/>
    </row>
    <row r="661" ht="15.75" customHeight="1">
      <c r="A661" s="5"/>
      <c r="B661" s="5"/>
    </row>
    <row r="662" ht="15.75" customHeight="1">
      <c r="A662" s="5"/>
      <c r="B662" s="5"/>
    </row>
    <row r="663" ht="15.75" customHeight="1">
      <c r="A663" s="5"/>
      <c r="B663" s="5"/>
    </row>
    <row r="664" ht="15.75" customHeight="1">
      <c r="A664" s="5"/>
      <c r="B664" s="5"/>
    </row>
    <row r="665" ht="15.75" customHeight="1">
      <c r="A665" s="5"/>
      <c r="B665" s="5"/>
    </row>
    <row r="666" ht="15.75" customHeight="1">
      <c r="A666" s="5"/>
      <c r="B666" s="5"/>
    </row>
    <row r="667" ht="15.75" customHeight="1">
      <c r="A667" s="5"/>
      <c r="B667" s="5"/>
    </row>
    <row r="668" ht="15.75" customHeight="1">
      <c r="A668" s="5"/>
      <c r="B668" s="5"/>
    </row>
    <row r="669" ht="15.75" customHeight="1">
      <c r="A669" s="5"/>
      <c r="B669" s="5"/>
    </row>
    <row r="670" ht="15.75" customHeight="1">
      <c r="A670" s="5"/>
      <c r="B670" s="5"/>
    </row>
    <row r="671" ht="15.75" customHeight="1">
      <c r="A671" s="5"/>
      <c r="B671" s="5"/>
    </row>
    <row r="672" ht="15.75" customHeight="1">
      <c r="A672" s="5"/>
      <c r="B672" s="5"/>
    </row>
    <row r="673" ht="15.75" customHeight="1">
      <c r="A673" s="5"/>
      <c r="B673" s="5"/>
    </row>
    <row r="674" ht="15.75" customHeight="1">
      <c r="A674" s="5"/>
      <c r="B674" s="5"/>
    </row>
    <row r="675" ht="15.75" customHeight="1">
      <c r="A675" s="5"/>
      <c r="B675" s="5"/>
    </row>
    <row r="676" ht="15.75" customHeight="1">
      <c r="A676" s="5"/>
      <c r="B676" s="5"/>
    </row>
    <row r="677" ht="15.75" customHeight="1">
      <c r="A677" s="5"/>
      <c r="B677" s="5"/>
    </row>
    <row r="678" ht="15.75" customHeight="1">
      <c r="A678" s="5"/>
      <c r="B678" s="5"/>
    </row>
    <row r="679" ht="15.75" customHeight="1">
      <c r="A679" s="5"/>
      <c r="B679" s="5"/>
    </row>
    <row r="680" ht="15.75" customHeight="1">
      <c r="A680" s="5"/>
      <c r="B680" s="5"/>
    </row>
    <row r="681" ht="15.75" customHeight="1">
      <c r="A681" s="5"/>
      <c r="B681" s="5"/>
    </row>
    <row r="682" ht="15.75" customHeight="1">
      <c r="A682" s="5"/>
      <c r="B682" s="5"/>
    </row>
    <row r="683" ht="15.75" customHeight="1">
      <c r="A683" s="5"/>
      <c r="B683" s="5"/>
    </row>
    <row r="684" ht="15.75" customHeight="1">
      <c r="A684" s="5"/>
      <c r="B684" s="5"/>
    </row>
    <row r="685" ht="15.75" customHeight="1">
      <c r="A685" s="5"/>
      <c r="B685" s="5"/>
    </row>
    <row r="686" ht="15.75" customHeight="1">
      <c r="A686" s="5"/>
      <c r="B686" s="5"/>
    </row>
    <row r="687" ht="15.75" customHeight="1">
      <c r="A687" s="5"/>
      <c r="B687" s="5"/>
    </row>
    <row r="688" ht="15.75" customHeight="1">
      <c r="A688" s="5"/>
      <c r="B688" s="5"/>
    </row>
    <row r="689" ht="15.75" customHeight="1">
      <c r="A689" s="5"/>
      <c r="B689" s="5"/>
    </row>
    <row r="690" ht="15.75" customHeight="1">
      <c r="A690" s="5"/>
      <c r="B690" s="5"/>
    </row>
    <row r="691" ht="15.75" customHeight="1">
      <c r="A691" s="5"/>
      <c r="B691" s="5"/>
    </row>
    <row r="692" ht="15.75" customHeight="1">
      <c r="A692" s="5"/>
      <c r="B692" s="5"/>
    </row>
    <row r="693" ht="15.75" customHeight="1">
      <c r="A693" s="5"/>
      <c r="B693" s="5"/>
    </row>
    <row r="694" ht="15.75" customHeight="1">
      <c r="A694" s="5"/>
      <c r="B694" s="5"/>
    </row>
    <row r="695" ht="15.75" customHeight="1">
      <c r="A695" s="5"/>
      <c r="B695" s="5"/>
    </row>
    <row r="696" ht="15.75" customHeight="1">
      <c r="A696" s="5"/>
      <c r="B696" s="5"/>
    </row>
    <row r="697" ht="15.75" customHeight="1">
      <c r="A697" s="5"/>
      <c r="B697" s="5"/>
    </row>
    <row r="698" ht="15.75" customHeight="1">
      <c r="A698" s="5"/>
      <c r="B698" s="5"/>
    </row>
    <row r="699" ht="15.75" customHeight="1">
      <c r="A699" s="5"/>
      <c r="B699" s="5"/>
    </row>
    <row r="700" ht="15.75" customHeight="1">
      <c r="A700" s="5"/>
      <c r="B700" s="5"/>
    </row>
    <row r="701" ht="15.75" customHeight="1">
      <c r="A701" s="5"/>
      <c r="B701" s="5"/>
    </row>
    <row r="702" ht="15.75" customHeight="1">
      <c r="A702" s="5"/>
      <c r="B702" s="5"/>
    </row>
    <row r="703" ht="15.75" customHeight="1">
      <c r="A703" s="5"/>
      <c r="B703" s="5"/>
    </row>
    <row r="704" ht="15.75" customHeight="1">
      <c r="A704" s="5"/>
      <c r="B704" s="5"/>
    </row>
    <row r="705" ht="15.75" customHeight="1">
      <c r="A705" s="5"/>
      <c r="B705" s="5"/>
    </row>
    <row r="706" ht="15.75" customHeight="1">
      <c r="A706" s="5"/>
      <c r="B706" s="5"/>
    </row>
    <row r="707" ht="15.75" customHeight="1">
      <c r="A707" s="5"/>
      <c r="B707" s="5"/>
    </row>
    <row r="708" ht="15.75" customHeight="1">
      <c r="A708" s="5"/>
      <c r="B708" s="5"/>
    </row>
    <row r="709" ht="15.75" customHeight="1">
      <c r="A709" s="5"/>
      <c r="B709" s="5"/>
    </row>
    <row r="710" ht="15.75" customHeight="1">
      <c r="A710" s="5"/>
      <c r="B710" s="5"/>
    </row>
    <row r="711" ht="15.75" customHeight="1">
      <c r="A711" s="5"/>
      <c r="B711" s="5"/>
    </row>
    <row r="712" ht="15.75" customHeight="1">
      <c r="A712" s="5"/>
      <c r="B712" s="5"/>
    </row>
    <row r="713" ht="15.75" customHeight="1">
      <c r="A713" s="5"/>
      <c r="B713" s="5"/>
    </row>
    <row r="714" ht="15.75" customHeight="1">
      <c r="A714" s="5"/>
      <c r="B714" s="5"/>
    </row>
    <row r="715" ht="15.75" customHeight="1">
      <c r="A715" s="5"/>
      <c r="B715" s="5"/>
    </row>
    <row r="716" ht="15.75" customHeight="1">
      <c r="A716" s="5"/>
      <c r="B716" s="5"/>
    </row>
    <row r="717" ht="15.75" customHeight="1">
      <c r="A717" s="5"/>
      <c r="B717" s="5"/>
    </row>
    <row r="718" ht="15.75" customHeight="1">
      <c r="A718" s="5"/>
      <c r="B718" s="5"/>
    </row>
    <row r="719" ht="15.75" customHeight="1">
      <c r="A719" s="5"/>
      <c r="B719" s="5"/>
    </row>
    <row r="720" ht="15.75" customHeight="1">
      <c r="A720" s="5"/>
      <c r="B720" s="5"/>
    </row>
    <row r="721" ht="15.75" customHeight="1">
      <c r="A721" s="5"/>
      <c r="B721" s="5"/>
    </row>
    <row r="722" ht="15.75" customHeight="1">
      <c r="A722" s="5"/>
      <c r="B722" s="5"/>
    </row>
    <row r="723" ht="15.75" customHeight="1">
      <c r="A723" s="5"/>
      <c r="B723" s="5"/>
    </row>
    <row r="724" ht="15.75" customHeight="1">
      <c r="A724" s="5"/>
      <c r="B724" s="5"/>
    </row>
    <row r="725" ht="15.75" customHeight="1">
      <c r="A725" s="5"/>
      <c r="B725" s="5"/>
    </row>
    <row r="726" ht="15.75" customHeight="1">
      <c r="A726" s="5"/>
      <c r="B726" s="5"/>
    </row>
    <row r="727" ht="15.75" customHeight="1">
      <c r="A727" s="5"/>
      <c r="B727" s="5"/>
    </row>
    <row r="728" ht="15.75" customHeight="1">
      <c r="A728" s="5"/>
      <c r="B728" s="5"/>
    </row>
    <row r="729" ht="15.75" customHeight="1">
      <c r="A729" s="5"/>
      <c r="B729" s="5"/>
    </row>
    <row r="730" ht="15.75" customHeight="1">
      <c r="A730" s="5"/>
      <c r="B730" s="5"/>
    </row>
    <row r="731" ht="15.75" customHeight="1">
      <c r="A731" s="5"/>
      <c r="B731" s="5"/>
    </row>
    <row r="732" ht="15.75" customHeight="1">
      <c r="A732" s="5"/>
      <c r="B732" s="5"/>
    </row>
    <row r="733" ht="15.75" customHeight="1">
      <c r="A733" s="5"/>
      <c r="B733" s="5"/>
    </row>
    <row r="734" ht="15.75" customHeight="1">
      <c r="A734" s="5"/>
      <c r="B734" s="5"/>
    </row>
    <row r="735" ht="15.75" customHeight="1">
      <c r="A735" s="5"/>
      <c r="B735" s="5"/>
    </row>
    <row r="736" ht="15.75" customHeight="1">
      <c r="A736" s="5"/>
      <c r="B736" s="5"/>
    </row>
    <row r="737" ht="15.75" customHeight="1">
      <c r="A737" s="5"/>
      <c r="B737" s="5"/>
    </row>
    <row r="738" ht="15.75" customHeight="1">
      <c r="A738" s="5"/>
      <c r="B738" s="5"/>
    </row>
    <row r="739" ht="15.75" customHeight="1">
      <c r="A739" s="5"/>
      <c r="B739" s="5"/>
    </row>
    <row r="740" ht="15.75" customHeight="1">
      <c r="A740" s="5"/>
      <c r="B740" s="5"/>
    </row>
    <row r="741" ht="15.75" customHeight="1">
      <c r="A741" s="5"/>
      <c r="B741" s="5"/>
    </row>
    <row r="742" ht="15.75" customHeight="1">
      <c r="A742" s="5"/>
      <c r="B742" s="5"/>
    </row>
    <row r="743" ht="15.75" customHeight="1">
      <c r="A743" s="5"/>
      <c r="B743" s="5"/>
    </row>
    <row r="744" ht="15.75" customHeight="1">
      <c r="A744" s="5"/>
      <c r="B744" s="5"/>
    </row>
    <row r="745" ht="15.75" customHeight="1">
      <c r="A745" s="5"/>
      <c r="B745" s="5"/>
    </row>
    <row r="746" ht="15.75" customHeight="1">
      <c r="A746" s="5"/>
      <c r="B746" s="5"/>
    </row>
    <row r="747" ht="15.75" customHeight="1">
      <c r="A747" s="5"/>
      <c r="B747" s="5"/>
    </row>
    <row r="748" ht="15.75" customHeight="1">
      <c r="A748" s="5"/>
      <c r="B748" s="5"/>
    </row>
    <row r="749" ht="15.75" customHeight="1">
      <c r="A749" s="5"/>
      <c r="B749" s="5"/>
    </row>
    <row r="750" ht="15.75" customHeight="1">
      <c r="A750" s="5"/>
      <c r="B750" s="5"/>
    </row>
    <row r="751" ht="15.75" customHeight="1">
      <c r="A751" s="5"/>
      <c r="B751" s="5"/>
    </row>
    <row r="752" ht="15.75" customHeight="1">
      <c r="A752" s="5"/>
      <c r="B752" s="5"/>
    </row>
    <row r="753" ht="15.75" customHeight="1">
      <c r="A753" s="5"/>
      <c r="B753" s="5"/>
    </row>
    <row r="754" ht="15.75" customHeight="1">
      <c r="A754" s="5"/>
      <c r="B754" s="5"/>
    </row>
    <row r="755" ht="15.75" customHeight="1">
      <c r="A755" s="5"/>
      <c r="B755" s="5"/>
    </row>
    <row r="756" ht="15.75" customHeight="1">
      <c r="A756" s="5"/>
      <c r="B756" s="5"/>
    </row>
    <row r="757" ht="15.75" customHeight="1">
      <c r="A757" s="5"/>
      <c r="B757" s="5"/>
    </row>
    <row r="758" ht="15.75" customHeight="1">
      <c r="A758" s="5"/>
      <c r="B758" s="5"/>
    </row>
    <row r="759" ht="15.75" customHeight="1">
      <c r="A759" s="5"/>
      <c r="B759" s="5"/>
    </row>
    <row r="760" ht="15.75" customHeight="1">
      <c r="A760" s="5"/>
      <c r="B760" s="5"/>
    </row>
    <row r="761" ht="15.75" customHeight="1">
      <c r="A761" s="5"/>
      <c r="B761" s="5"/>
    </row>
    <row r="762" ht="15.75" customHeight="1">
      <c r="A762" s="5"/>
      <c r="B762" s="5"/>
    </row>
    <row r="763" ht="15.75" customHeight="1">
      <c r="A763" s="5"/>
      <c r="B763" s="5"/>
    </row>
    <row r="764" ht="15.75" customHeight="1">
      <c r="A764" s="5"/>
      <c r="B764" s="5"/>
    </row>
    <row r="765" ht="15.75" customHeight="1">
      <c r="A765" s="5"/>
      <c r="B765" s="5"/>
    </row>
    <row r="766" ht="15.75" customHeight="1">
      <c r="A766" s="5"/>
      <c r="B766" s="5"/>
    </row>
    <row r="767" ht="15.75" customHeight="1">
      <c r="A767" s="5"/>
      <c r="B767" s="5"/>
    </row>
    <row r="768" ht="15.75" customHeight="1">
      <c r="A768" s="5"/>
      <c r="B768" s="5"/>
    </row>
    <row r="769" ht="15.75" customHeight="1">
      <c r="A769" s="5"/>
      <c r="B769" s="5"/>
    </row>
    <row r="770" ht="15.75" customHeight="1">
      <c r="A770" s="5"/>
      <c r="B770" s="5"/>
    </row>
    <row r="771" ht="15.75" customHeight="1">
      <c r="A771" s="5"/>
      <c r="B771" s="5"/>
    </row>
    <row r="772" ht="15.75" customHeight="1">
      <c r="A772" s="5"/>
      <c r="B772" s="5"/>
    </row>
    <row r="773" ht="15.75" customHeight="1">
      <c r="A773" s="5"/>
      <c r="B773" s="5"/>
    </row>
    <row r="774" ht="15.75" customHeight="1">
      <c r="A774" s="5"/>
      <c r="B774" s="5"/>
    </row>
    <row r="775" ht="15.75" customHeight="1">
      <c r="A775" s="5"/>
      <c r="B775" s="5"/>
    </row>
    <row r="776" ht="15.75" customHeight="1">
      <c r="A776" s="5"/>
      <c r="B776" s="5"/>
    </row>
    <row r="777" ht="15.75" customHeight="1">
      <c r="A777" s="5"/>
      <c r="B777" s="5"/>
    </row>
    <row r="778" ht="15.75" customHeight="1">
      <c r="A778" s="5"/>
      <c r="B778" s="5"/>
    </row>
    <row r="779" ht="15.75" customHeight="1">
      <c r="A779" s="5"/>
      <c r="B779" s="5"/>
    </row>
    <row r="780" ht="15.75" customHeight="1">
      <c r="A780" s="5"/>
      <c r="B780" s="5"/>
    </row>
    <row r="781" ht="15.75" customHeight="1">
      <c r="A781" s="5"/>
      <c r="B781" s="5"/>
    </row>
    <row r="782" ht="15.75" customHeight="1">
      <c r="A782" s="5"/>
      <c r="B782" s="5"/>
    </row>
    <row r="783" ht="15.75" customHeight="1">
      <c r="A783" s="5"/>
      <c r="B783" s="5"/>
    </row>
    <row r="784" ht="15.75" customHeight="1">
      <c r="A784" s="5"/>
      <c r="B784" s="5"/>
    </row>
    <row r="785" ht="15.75" customHeight="1">
      <c r="A785" s="5"/>
      <c r="B785" s="5"/>
    </row>
    <row r="786" ht="15.75" customHeight="1">
      <c r="A786" s="5"/>
      <c r="B786" s="5"/>
    </row>
    <row r="787" ht="15.75" customHeight="1">
      <c r="A787" s="5"/>
      <c r="B787" s="5"/>
    </row>
    <row r="788" ht="15.75" customHeight="1">
      <c r="A788" s="5"/>
      <c r="B788" s="5"/>
    </row>
    <row r="789" ht="15.75" customHeight="1">
      <c r="A789" s="5"/>
      <c r="B789" s="5"/>
    </row>
    <row r="790" ht="15.75" customHeight="1">
      <c r="A790" s="5"/>
      <c r="B790" s="5"/>
    </row>
    <row r="791" ht="15.75" customHeight="1">
      <c r="A791" s="5"/>
      <c r="B791" s="5"/>
    </row>
    <row r="792" ht="15.75" customHeight="1">
      <c r="A792" s="5"/>
      <c r="B792" s="5"/>
    </row>
    <row r="793" ht="15.75" customHeight="1">
      <c r="A793" s="5"/>
      <c r="B793" s="5"/>
    </row>
    <row r="794" ht="15.75" customHeight="1">
      <c r="A794" s="5"/>
      <c r="B794" s="5"/>
    </row>
    <row r="795" ht="15.75" customHeight="1">
      <c r="A795" s="5"/>
      <c r="B795" s="5"/>
    </row>
    <row r="796" ht="15.75" customHeight="1">
      <c r="A796" s="5"/>
      <c r="B796" s="5"/>
    </row>
    <row r="797" ht="15.75" customHeight="1">
      <c r="A797" s="5"/>
      <c r="B797" s="5"/>
    </row>
    <row r="798" ht="15.75" customHeight="1">
      <c r="A798" s="5"/>
      <c r="B798" s="5"/>
    </row>
    <row r="799" ht="15.75" customHeight="1">
      <c r="A799" s="5"/>
      <c r="B799" s="5"/>
    </row>
    <row r="800" ht="15.75" customHeight="1">
      <c r="A800" s="5"/>
      <c r="B800" s="5"/>
    </row>
    <row r="801" ht="15.75" customHeight="1">
      <c r="A801" s="5"/>
      <c r="B801" s="5"/>
    </row>
    <row r="802" ht="15.75" customHeight="1">
      <c r="A802" s="5"/>
      <c r="B802" s="5"/>
    </row>
    <row r="803" ht="15.75" customHeight="1">
      <c r="A803" s="5"/>
      <c r="B803" s="5"/>
    </row>
    <row r="804" ht="15.75" customHeight="1">
      <c r="A804" s="5"/>
      <c r="B804" s="5"/>
    </row>
    <row r="805" ht="15.75" customHeight="1">
      <c r="A805" s="5"/>
      <c r="B805" s="5"/>
    </row>
    <row r="806" ht="15.75" customHeight="1">
      <c r="A806" s="5"/>
      <c r="B806" s="5"/>
    </row>
    <row r="807" ht="15.75" customHeight="1">
      <c r="A807" s="5"/>
      <c r="B807" s="5"/>
    </row>
    <row r="808" ht="15.75" customHeight="1">
      <c r="A808" s="5"/>
      <c r="B808" s="5"/>
    </row>
    <row r="809" ht="15.75" customHeight="1">
      <c r="A809" s="5"/>
      <c r="B809" s="5"/>
    </row>
    <row r="810" ht="15.75" customHeight="1">
      <c r="A810" s="5"/>
      <c r="B810" s="5"/>
    </row>
    <row r="811" ht="15.75" customHeight="1">
      <c r="A811" s="5"/>
      <c r="B811" s="5"/>
    </row>
    <row r="812" ht="15.75" customHeight="1">
      <c r="A812" s="5"/>
      <c r="B812" s="5"/>
    </row>
    <row r="813" ht="15.75" customHeight="1">
      <c r="A813" s="5"/>
      <c r="B813" s="5"/>
    </row>
    <row r="814" ht="15.75" customHeight="1">
      <c r="A814" s="5"/>
      <c r="B814" s="5"/>
    </row>
    <row r="815" ht="15.75" customHeight="1">
      <c r="A815" s="5"/>
      <c r="B815" s="5"/>
    </row>
    <row r="816" ht="15.75" customHeight="1">
      <c r="A816" s="5"/>
      <c r="B816" s="5"/>
    </row>
    <row r="817" ht="15.75" customHeight="1">
      <c r="A817" s="5"/>
      <c r="B817" s="5"/>
    </row>
    <row r="818" ht="15.75" customHeight="1">
      <c r="A818" s="5"/>
      <c r="B818" s="5"/>
    </row>
    <row r="819" ht="15.75" customHeight="1">
      <c r="A819" s="5"/>
      <c r="B819" s="5"/>
    </row>
    <row r="820" ht="15.75" customHeight="1">
      <c r="A820" s="5"/>
      <c r="B820" s="5"/>
    </row>
    <row r="821" ht="15.75" customHeight="1">
      <c r="A821" s="5"/>
      <c r="B821" s="5"/>
    </row>
    <row r="822" ht="15.75" customHeight="1">
      <c r="A822" s="5"/>
      <c r="B822" s="5"/>
    </row>
    <row r="823" ht="15.75" customHeight="1">
      <c r="A823" s="5"/>
      <c r="B823" s="5"/>
    </row>
    <row r="824" ht="15.75" customHeight="1">
      <c r="A824" s="5"/>
      <c r="B824" s="5"/>
    </row>
    <row r="825" ht="15.75" customHeight="1">
      <c r="A825" s="5"/>
      <c r="B825" s="5"/>
    </row>
    <row r="826" ht="15.75" customHeight="1">
      <c r="A826" s="5"/>
      <c r="B826" s="5"/>
    </row>
    <row r="827" ht="15.75" customHeight="1">
      <c r="A827" s="5"/>
      <c r="B827" s="5"/>
    </row>
    <row r="828" ht="15.75" customHeight="1">
      <c r="A828" s="5"/>
      <c r="B828" s="5"/>
    </row>
    <row r="829" ht="15.75" customHeight="1">
      <c r="A829" s="5"/>
      <c r="B829" s="5"/>
    </row>
    <row r="830" ht="15.75" customHeight="1">
      <c r="A830" s="5"/>
      <c r="B830" s="5"/>
    </row>
    <row r="831" ht="15.75" customHeight="1">
      <c r="A831" s="5"/>
      <c r="B831" s="5"/>
    </row>
    <row r="832" ht="15.75" customHeight="1">
      <c r="A832" s="5"/>
      <c r="B832" s="5"/>
    </row>
    <row r="833" ht="15.75" customHeight="1">
      <c r="A833" s="5"/>
      <c r="B833" s="5"/>
    </row>
    <row r="834" ht="15.75" customHeight="1">
      <c r="A834" s="5"/>
      <c r="B834" s="5"/>
    </row>
    <row r="835" ht="15.75" customHeight="1">
      <c r="A835" s="5"/>
      <c r="B835" s="5"/>
    </row>
    <row r="836" ht="15.75" customHeight="1">
      <c r="A836" s="5"/>
      <c r="B836" s="5"/>
    </row>
    <row r="837" ht="15.75" customHeight="1">
      <c r="A837" s="5"/>
      <c r="B837" s="5"/>
    </row>
    <row r="838" ht="15.75" customHeight="1">
      <c r="A838" s="5"/>
      <c r="B838" s="5"/>
    </row>
    <row r="839" ht="15.75" customHeight="1">
      <c r="A839" s="5"/>
      <c r="B839" s="5"/>
    </row>
    <row r="840" ht="15.75" customHeight="1">
      <c r="A840" s="5"/>
      <c r="B840" s="5"/>
    </row>
    <row r="841" ht="15.75" customHeight="1">
      <c r="A841" s="5"/>
      <c r="B841" s="5"/>
    </row>
    <row r="842" ht="15.75" customHeight="1">
      <c r="A842" s="5"/>
      <c r="B842" s="5"/>
    </row>
    <row r="843" ht="15.75" customHeight="1">
      <c r="A843" s="5"/>
      <c r="B843" s="5"/>
    </row>
    <row r="844" ht="15.75" customHeight="1">
      <c r="A844" s="5"/>
      <c r="B844" s="5"/>
    </row>
    <row r="845" ht="15.75" customHeight="1">
      <c r="A845" s="5"/>
      <c r="B845" s="5"/>
    </row>
    <row r="846" ht="15.75" customHeight="1">
      <c r="A846" s="5"/>
      <c r="B846" s="5"/>
    </row>
    <row r="847" ht="15.75" customHeight="1">
      <c r="A847" s="5"/>
      <c r="B847" s="5"/>
    </row>
    <row r="848" ht="15.75" customHeight="1">
      <c r="A848" s="5"/>
      <c r="B848" s="5"/>
    </row>
    <row r="849" ht="15.75" customHeight="1">
      <c r="A849" s="5"/>
      <c r="B849" s="5"/>
    </row>
    <row r="850" ht="15.75" customHeight="1">
      <c r="A850" s="5"/>
      <c r="B850" s="5"/>
    </row>
    <row r="851" ht="15.75" customHeight="1">
      <c r="A851" s="5"/>
      <c r="B851" s="5"/>
    </row>
    <row r="852" ht="15.75" customHeight="1">
      <c r="A852" s="5"/>
      <c r="B852" s="5"/>
    </row>
    <row r="853" ht="15.75" customHeight="1">
      <c r="A853" s="5"/>
      <c r="B853" s="5"/>
    </row>
    <row r="854" ht="15.75" customHeight="1">
      <c r="A854" s="5"/>
      <c r="B854" s="5"/>
    </row>
    <row r="855" ht="15.75" customHeight="1">
      <c r="A855" s="5"/>
      <c r="B855" s="5"/>
    </row>
    <row r="856" ht="15.75" customHeight="1">
      <c r="A856" s="5"/>
      <c r="B856" s="5"/>
    </row>
    <row r="857" ht="15.75" customHeight="1">
      <c r="A857" s="5"/>
      <c r="B857" s="5"/>
    </row>
    <row r="858" ht="15.75" customHeight="1">
      <c r="A858" s="5"/>
      <c r="B858" s="5"/>
    </row>
    <row r="859" ht="15.75" customHeight="1">
      <c r="A859" s="5"/>
      <c r="B859" s="5"/>
    </row>
    <row r="860" ht="15.75" customHeight="1">
      <c r="A860" s="5"/>
      <c r="B860" s="5"/>
    </row>
    <row r="861" ht="15.75" customHeight="1">
      <c r="A861" s="5"/>
      <c r="B861" s="5"/>
    </row>
    <row r="862" ht="15.75" customHeight="1">
      <c r="A862" s="5"/>
      <c r="B862" s="5"/>
    </row>
    <row r="863" ht="15.75" customHeight="1">
      <c r="A863" s="5"/>
      <c r="B863" s="5"/>
    </row>
    <row r="864" ht="15.75" customHeight="1">
      <c r="A864" s="5"/>
      <c r="B864" s="5"/>
    </row>
    <row r="865" ht="15.75" customHeight="1">
      <c r="A865" s="5"/>
      <c r="B865" s="5"/>
    </row>
    <row r="866" ht="15.75" customHeight="1">
      <c r="A866" s="5"/>
      <c r="B866" s="5"/>
    </row>
    <row r="867" ht="15.75" customHeight="1">
      <c r="A867" s="5"/>
      <c r="B867" s="5"/>
    </row>
    <row r="868" ht="15.75" customHeight="1">
      <c r="A868" s="5"/>
      <c r="B868" s="5"/>
    </row>
    <row r="869" ht="15.75" customHeight="1">
      <c r="A869" s="5"/>
      <c r="B869" s="5"/>
    </row>
    <row r="870" ht="15.75" customHeight="1">
      <c r="A870" s="5"/>
      <c r="B870" s="5"/>
    </row>
    <row r="871" ht="15.75" customHeight="1">
      <c r="A871" s="5"/>
      <c r="B871" s="5"/>
    </row>
    <row r="872" ht="15.75" customHeight="1">
      <c r="A872" s="5"/>
      <c r="B872" s="5"/>
    </row>
    <row r="873" ht="15.75" customHeight="1">
      <c r="A873" s="5"/>
      <c r="B873" s="5"/>
    </row>
    <row r="874" ht="15.75" customHeight="1">
      <c r="A874" s="5"/>
      <c r="B874" s="5"/>
    </row>
    <row r="875" ht="15.75" customHeight="1">
      <c r="A875" s="5"/>
      <c r="B875" s="5"/>
    </row>
    <row r="876" ht="15.75" customHeight="1">
      <c r="A876" s="5"/>
      <c r="B876" s="5"/>
    </row>
    <row r="877" ht="15.75" customHeight="1">
      <c r="A877" s="5"/>
      <c r="B877" s="5"/>
    </row>
    <row r="878" ht="15.75" customHeight="1">
      <c r="A878" s="5"/>
      <c r="B878" s="5"/>
    </row>
    <row r="879" ht="15.75" customHeight="1">
      <c r="A879" s="5"/>
      <c r="B879" s="5"/>
    </row>
    <row r="880" ht="15.75" customHeight="1">
      <c r="A880" s="5"/>
      <c r="B880" s="5"/>
    </row>
    <row r="881" ht="15.75" customHeight="1">
      <c r="A881" s="5"/>
      <c r="B881" s="5"/>
    </row>
    <row r="882" ht="15.75" customHeight="1">
      <c r="A882" s="5"/>
      <c r="B882" s="5"/>
    </row>
    <row r="883" ht="15.75" customHeight="1">
      <c r="A883" s="5"/>
      <c r="B883" s="5"/>
    </row>
    <row r="884" ht="15.75" customHeight="1">
      <c r="A884" s="5"/>
      <c r="B884" s="5"/>
    </row>
    <row r="885" ht="15.75" customHeight="1">
      <c r="A885" s="5"/>
      <c r="B885" s="5"/>
    </row>
    <row r="886" ht="15.75" customHeight="1">
      <c r="A886" s="5"/>
      <c r="B886" s="5"/>
    </row>
    <row r="887" ht="15.75" customHeight="1">
      <c r="A887" s="5"/>
      <c r="B887" s="5"/>
    </row>
    <row r="888" ht="15.75" customHeight="1">
      <c r="A888" s="5"/>
      <c r="B888" s="5"/>
    </row>
    <row r="889" ht="15.75" customHeight="1">
      <c r="A889" s="5"/>
      <c r="B889" s="5"/>
    </row>
    <row r="890" ht="15.75" customHeight="1">
      <c r="A890" s="5"/>
      <c r="B890" s="5"/>
    </row>
    <row r="891" ht="15.75" customHeight="1">
      <c r="A891" s="5"/>
      <c r="B891" s="5"/>
    </row>
    <row r="892" ht="15.75" customHeight="1">
      <c r="A892" s="5"/>
      <c r="B892" s="5"/>
    </row>
    <row r="893" ht="15.75" customHeight="1">
      <c r="A893" s="5"/>
      <c r="B893" s="5"/>
    </row>
    <row r="894" ht="15.75" customHeight="1">
      <c r="A894" s="5"/>
      <c r="B894" s="5"/>
    </row>
    <row r="895" ht="15.75" customHeight="1">
      <c r="A895" s="5"/>
      <c r="B895" s="5"/>
    </row>
    <row r="896" ht="15.75" customHeight="1">
      <c r="A896" s="5"/>
      <c r="B896" s="5"/>
    </row>
    <row r="897" ht="15.75" customHeight="1">
      <c r="A897" s="5"/>
      <c r="B897" s="5"/>
    </row>
    <row r="898" ht="15.75" customHeight="1">
      <c r="A898" s="5"/>
      <c r="B898" s="5"/>
    </row>
    <row r="899" ht="15.75" customHeight="1">
      <c r="A899" s="5"/>
      <c r="B899" s="5"/>
    </row>
    <row r="900" ht="15.75" customHeight="1">
      <c r="A900" s="5"/>
      <c r="B900" s="5"/>
    </row>
    <row r="901" ht="15.75" customHeight="1">
      <c r="A901" s="5"/>
      <c r="B901" s="5"/>
    </row>
    <row r="902" ht="15.75" customHeight="1">
      <c r="A902" s="5"/>
      <c r="B902" s="5"/>
    </row>
    <row r="903" ht="15.75" customHeight="1">
      <c r="A903" s="5"/>
      <c r="B903" s="5"/>
    </row>
    <row r="904" ht="15.75" customHeight="1">
      <c r="A904" s="5"/>
      <c r="B904" s="5"/>
    </row>
    <row r="905" ht="15.75" customHeight="1">
      <c r="A905" s="5"/>
      <c r="B905" s="5"/>
    </row>
    <row r="906" ht="15.75" customHeight="1">
      <c r="A906" s="5"/>
      <c r="B906" s="5"/>
    </row>
    <row r="907" ht="15.75" customHeight="1">
      <c r="A907" s="5"/>
      <c r="B907" s="5"/>
    </row>
    <row r="908" ht="15.75" customHeight="1">
      <c r="A908" s="5"/>
      <c r="B908" s="5"/>
    </row>
    <row r="909" ht="15.75" customHeight="1">
      <c r="A909" s="5"/>
      <c r="B909" s="5"/>
    </row>
    <row r="910" ht="15.75" customHeight="1">
      <c r="A910" s="5"/>
      <c r="B910" s="5"/>
    </row>
    <row r="911" ht="15.75" customHeight="1">
      <c r="A911" s="5"/>
      <c r="B911" s="5"/>
    </row>
    <row r="912" ht="15.75" customHeight="1">
      <c r="A912" s="5"/>
      <c r="B912" s="5"/>
    </row>
    <row r="913" ht="15.75" customHeight="1">
      <c r="A913" s="5"/>
      <c r="B913" s="5"/>
    </row>
    <row r="914" ht="15.75" customHeight="1">
      <c r="A914" s="5"/>
      <c r="B914" s="5"/>
    </row>
    <row r="915" ht="15.75" customHeight="1">
      <c r="A915" s="5"/>
      <c r="B915" s="5"/>
    </row>
    <row r="916" ht="15.75" customHeight="1">
      <c r="A916" s="5"/>
      <c r="B916" s="5"/>
    </row>
    <row r="917" ht="15.75" customHeight="1">
      <c r="A917" s="5"/>
      <c r="B917" s="5"/>
    </row>
    <row r="918" ht="15.75" customHeight="1">
      <c r="A918" s="5"/>
      <c r="B918" s="5"/>
    </row>
    <row r="919" ht="15.75" customHeight="1">
      <c r="A919" s="5"/>
      <c r="B919" s="5"/>
    </row>
    <row r="920" ht="15.75" customHeight="1">
      <c r="A920" s="5"/>
      <c r="B920" s="5"/>
    </row>
    <row r="921" ht="15.75" customHeight="1">
      <c r="A921" s="5"/>
      <c r="B921" s="5"/>
    </row>
    <row r="922" ht="15.75" customHeight="1">
      <c r="A922" s="5"/>
      <c r="B922" s="5"/>
    </row>
    <row r="923" ht="15.75" customHeight="1">
      <c r="A923" s="5"/>
      <c r="B923" s="5"/>
    </row>
    <row r="924" ht="15.75" customHeight="1">
      <c r="A924" s="5"/>
      <c r="B924" s="5"/>
    </row>
    <row r="925" ht="15.75" customHeight="1">
      <c r="A925" s="5"/>
      <c r="B925" s="5"/>
    </row>
    <row r="926" ht="15.75" customHeight="1">
      <c r="A926" s="5"/>
      <c r="B926" s="5"/>
    </row>
    <row r="927" ht="15.75" customHeight="1">
      <c r="A927" s="5"/>
      <c r="B927" s="5"/>
    </row>
    <row r="928" ht="15.75" customHeight="1">
      <c r="A928" s="5"/>
      <c r="B928" s="5"/>
    </row>
    <row r="929" ht="15.75" customHeight="1">
      <c r="A929" s="5"/>
      <c r="B929" s="5"/>
    </row>
    <row r="930" ht="15.75" customHeight="1">
      <c r="A930" s="5"/>
      <c r="B930" s="5"/>
    </row>
    <row r="931" ht="15.75" customHeight="1">
      <c r="A931" s="5"/>
      <c r="B931" s="5"/>
    </row>
    <row r="932" ht="15.75" customHeight="1">
      <c r="A932" s="5"/>
      <c r="B932" s="5"/>
    </row>
    <row r="933" ht="15.75" customHeight="1">
      <c r="A933" s="5"/>
      <c r="B933" s="5"/>
    </row>
    <row r="934" ht="15.75" customHeight="1">
      <c r="A934" s="5"/>
      <c r="B934" s="5"/>
    </row>
    <row r="935" ht="15.75" customHeight="1">
      <c r="A935" s="5"/>
      <c r="B935" s="5"/>
    </row>
    <row r="936" ht="15.75" customHeight="1">
      <c r="A936" s="5"/>
      <c r="B936" s="5"/>
    </row>
    <row r="937" ht="15.75" customHeight="1">
      <c r="A937" s="5"/>
      <c r="B937" s="5"/>
    </row>
    <row r="938" ht="15.75" customHeight="1">
      <c r="A938" s="5"/>
      <c r="B938" s="5"/>
    </row>
    <row r="939" ht="15.75" customHeight="1">
      <c r="A939" s="5"/>
      <c r="B939" s="5"/>
    </row>
    <row r="940" ht="15.75" customHeight="1">
      <c r="A940" s="5"/>
      <c r="B940" s="5"/>
    </row>
    <row r="941" ht="15.75" customHeight="1">
      <c r="A941" s="5"/>
      <c r="B941" s="5"/>
    </row>
    <row r="942" ht="15.75" customHeight="1">
      <c r="A942" s="5"/>
      <c r="B942" s="5"/>
    </row>
    <row r="943" ht="15.75" customHeight="1">
      <c r="A943" s="5"/>
      <c r="B943" s="5"/>
    </row>
    <row r="944" ht="15.75" customHeight="1">
      <c r="A944" s="5"/>
      <c r="B944" s="5"/>
    </row>
    <row r="945" ht="15.75" customHeight="1">
      <c r="A945" s="5"/>
      <c r="B945" s="5"/>
    </row>
    <row r="946" ht="15.75" customHeight="1">
      <c r="A946" s="5"/>
      <c r="B946" s="5"/>
    </row>
    <row r="947" ht="15.75" customHeight="1">
      <c r="A947" s="5"/>
      <c r="B947" s="5"/>
    </row>
    <row r="948" ht="15.75" customHeight="1">
      <c r="A948" s="5"/>
      <c r="B948" s="5"/>
    </row>
    <row r="949" ht="15.75" customHeight="1">
      <c r="A949" s="5"/>
      <c r="B949" s="5"/>
    </row>
    <row r="950" ht="15.75" customHeight="1">
      <c r="A950" s="5"/>
      <c r="B950" s="5"/>
    </row>
    <row r="951" ht="15.75" customHeight="1">
      <c r="A951" s="5"/>
      <c r="B951" s="5"/>
    </row>
    <row r="952" ht="15.75" customHeight="1">
      <c r="A952" s="5"/>
      <c r="B952" s="5"/>
    </row>
    <row r="953" ht="15.75" customHeight="1">
      <c r="A953" s="5"/>
      <c r="B953" s="5"/>
    </row>
    <row r="954" ht="15.75" customHeight="1">
      <c r="A954" s="5"/>
      <c r="B954" s="5"/>
    </row>
    <row r="955" ht="15.75" customHeight="1">
      <c r="A955" s="5"/>
      <c r="B955" s="5"/>
    </row>
    <row r="956" ht="15.75" customHeight="1">
      <c r="A956" s="5"/>
      <c r="B956" s="5"/>
    </row>
    <row r="957" ht="15.75" customHeight="1">
      <c r="A957" s="5"/>
      <c r="B957" s="5"/>
    </row>
    <row r="958" ht="15.75" customHeight="1">
      <c r="A958" s="5"/>
      <c r="B958" s="5"/>
    </row>
    <row r="959" ht="15.75" customHeight="1">
      <c r="A959" s="5"/>
      <c r="B959" s="5"/>
    </row>
    <row r="960" ht="15.75" customHeight="1">
      <c r="A960" s="5"/>
      <c r="B960" s="5"/>
    </row>
    <row r="961" ht="15.75" customHeight="1">
      <c r="A961" s="5"/>
      <c r="B961" s="5"/>
    </row>
    <row r="962" ht="15.75" customHeight="1">
      <c r="A962" s="5"/>
      <c r="B962" s="5"/>
    </row>
    <row r="963" ht="15.75" customHeight="1">
      <c r="A963" s="5"/>
      <c r="B963" s="5"/>
    </row>
    <row r="964" ht="15.75" customHeight="1">
      <c r="A964" s="5"/>
      <c r="B964" s="5"/>
    </row>
    <row r="965" ht="15.75" customHeight="1">
      <c r="A965" s="5"/>
      <c r="B965" s="5"/>
    </row>
    <row r="966" ht="15.75" customHeight="1">
      <c r="A966" s="5"/>
      <c r="B966" s="5"/>
    </row>
    <row r="967" ht="15.75" customHeight="1">
      <c r="A967" s="5"/>
      <c r="B967" s="5"/>
    </row>
    <row r="968" ht="15.75" customHeight="1">
      <c r="A968" s="5"/>
      <c r="B968" s="5"/>
    </row>
    <row r="969" ht="15.75" customHeight="1">
      <c r="A969" s="5"/>
      <c r="B969" s="5"/>
    </row>
    <row r="970" ht="15.75" customHeight="1">
      <c r="A970" s="5"/>
      <c r="B970" s="5"/>
    </row>
    <row r="971" ht="15.75" customHeight="1">
      <c r="A971" s="5"/>
      <c r="B971" s="5"/>
    </row>
    <row r="972" ht="15.75" customHeight="1">
      <c r="A972" s="5"/>
      <c r="B972" s="5"/>
    </row>
    <row r="973" ht="15.75" customHeight="1">
      <c r="A973" s="5"/>
      <c r="B973" s="5"/>
    </row>
    <row r="974" ht="15.75" customHeight="1">
      <c r="A974" s="5"/>
      <c r="B974" s="5"/>
    </row>
    <row r="975" ht="15.75" customHeight="1">
      <c r="A975" s="5"/>
      <c r="B975" s="5"/>
    </row>
    <row r="976" ht="15.75" customHeight="1">
      <c r="A976" s="5"/>
      <c r="B976" s="5"/>
    </row>
    <row r="977" ht="15.75" customHeight="1">
      <c r="A977" s="5"/>
      <c r="B977" s="5"/>
    </row>
    <row r="978" ht="15.75" customHeight="1">
      <c r="A978" s="5"/>
      <c r="B978" s="5"/>
    </row>
    <row r="979" ht="15.75" customHeight="1">
      <c r="A979" s="5"/>
      <c r="B979" s="5"/>
    </row>
    <row r="980" ht="15.75" customHeight="1">
      <c r="A980" s="5"/>
      <c r="B980" s="5"/>
    </row>
    <row r="981" ht="15.75" customHeight="1">
      <c r="A981" s="5"/>
      <c r="B981" s="5"/>
    </row>
    <row r="982" ht="15.75" customHeight="1">
      <c r="A982" s="5"/>
      <c r="B982" s="5"/>
    </row>
    <row r="983" ht="15.75" customHeight="1">
      <c r="A983" s="5"/>
      <c r="B983" s="5"/>
    </row>
    <row r="984" ht="15.75" customHeight="1">
      <c r="A984" s="5"/>
      <c r="B984" s="5"/>
    </row>
    <row r="985" ht="15.75" customHeight="1">
      <c r="A985" s="5"/>
      <c r="B985" s="5"/>
    </row>
    <row r="986" ht="15.75" customHeight="1">
      <c r="A986" s="5"/>
      <c r="B986" s="5"/>
    </row>
    <row r="987" ht="15.75" customHeight="1">
      <c r="A987" s="5"/>
      <c r="B987" s="5"/>
    </row>
    <row r="988" ht="15.75" customHeight="1">
      <c r="A988" s="5"/>
      <c r="B988" s="5"/>
    </row>
    <row r="989" ht="15.75" customHeight="1">
      <c r="A989" s="5"/>
      <c r="B989" s="5"/>
    </row>
    <row r="990" ht="15.75" customHeight="1">
      <c r="A990" s="5"/>
      <c r="B990" s="5"/>
    </row>
    <row r="991" ht="15.75" customHeight="1">
      <c r="A991" s="5"/>
      <c r="B991" s="5"/>
    </row>
    <row r="992" ht="15.75" customHeight="1">
      <c r="A992" s="5"/>
      <c r="B992" s="5"/>
    </row>
    <row r="993" ht="15.75" customHeight="1">
      <c r="A993" s="5"/>
      <c r="B993" s="5"/>
    </row>
    <row r="994" ht="15.75" customHeight="1">
      <c r="A994" s="5"/>
      <c r="B994" s="5"/>
    </row>
    <row r="995" ht="15.75" customHeight="1">
      <c r="A995" s="5"/>
      <c r="B995" s="5"/>
    </row>
    <row r="996" ht="15.75" customHeight="1">
      <c r="A996" s="5"/>
      <c r="B996" s="5"/>
    </row>
    <row r="997" ht="15.75" customHeight="1">
      <c r="A997" s="5"/>
      <c r="B997" s="5"/>
    </row>
    <row r="998" ht="15.75" customHeight="1">
      <c r="A998" s="5"/>
      <c r="B998" s="5"/>
    </row>
    <row r="999" ht="15.75" customHeight="1">
      <c r="A999" s="5"/>
      <c r="B999" s="5"/>
    </row>
    <row r="1000" ht="15.75" customHeight="1">
      <c r="A1000" s="5"/>
      <c r="B1000" s="5"/>
    </row>
  </sheetData>
  <mergeCells count="5">
    <mergeCell ref="A1:B1"/>
    <mergeCell ref="A7:B7"/>
    <mergeCell ref="A17:B17"/>
    <mergeCell ref="A24:B24"/>
    <mergeCell ref="A31:B31"/>
  </mergeCells>
  <printOptions/>
  <pageMargins bottom="1.0" footer="0.0" header="0.0" left="0.75" right="0.75" top="1.0"/>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26.0"/>
    <col customWidth="1" min="2" max="2" width="70.0"/>
    <col customWidth="1" min="3" max="3" width="55.0"/>
    <col customWidth="1" min="4" max="26" width="8.63"/>
  </cols>
  <sheetData>
    <row r="1">
      <c r="A1" s="6" t="s">
        <v>59</v>
      </c>
      <c r="B1" s="6" t="s">
        <v>60</v>
      </c>
      <c r="C1" s="6" t="s">
        <v>61</v>
      </c>
    </row>
    <row r="2">
      <c r="A2" s="4" t="s">
        <v>62</v>
      </c>
      <c r="B2" s="4" t="s">
        <v>63</v>
      </c>
      <c r="C2" s="4" t="s">
        <v>64</v>
      </c>
    </row>
    <row r="3">
      <c r="A3" s="4" t="s">
        <v>65</v>
      </c>
      <c r="B3" s="4" t="s">
        <v>66</v>
      </c>
      <c r="C3" s="4" t="s">
        <v>67</v>
      </c>
    </row>
    <row r="4">
      <c r="A4" s="4" t="s">
        <v>68</v>
      </c>
      <c r="B4" s="4" t="s">
        <v>69</v>
      </c>
      <c r="C4" s="4" t="s">
        <v>70</v>
      </c>
    </row>
    <row r="5">
      <c r="A5" s="4" t="s">
        <v>71</v>
      </c>
      <c r="B5" s="4" t="s">
        <v>72</v>
      </c>
      <c r="C5" s="4" t="s">
        <v>70</v>
      </c>
    </row>
    <row r="6">
      <c r="A6" s="4" t="s">
        <v>73</v>
      </c>
      <c r="B6" s="4" t="s">
        <v>74</v>
      </c>
      <c r="C6" s="4" t="s">
        <v>75</v>
      </c>
    </row>
    <row r="7">
      <c r="A7" s="4" t="s">
        <v>76</v>
      </c>
      <c r="B7" s="4" t="s">
        <v>77</v>
      </c>
      <c r="C7" s="4" t="s">
        <v>78</v>
      </c>
    </row>
    <row r="8">
      <c r="A8" s="4" t="s">
        <v>79</v>
      </c>
      <c r="B8" s="4" t="s">
        <v>80</v>
      </c>
      <c r="C8" s="4" t="s">
        <v>81</v>
      </c>
    </row>
    <row r="9">
      <c r="A9" s="4" t="s">
        <v>82</v>
      </c>
      <c r="B9" s="4" t="s">
        <v>83</v>
      </c>
      <c r="C9" s="4" t="s">
        <v>84</v>
      </c>
    </row>
    <row r="10">
      <c r="A10" s="4" t="s">
        <v>85</v>
      </c>
      <c r="B10" s="4" t="s">
        <v>86</v>
      </c>
      <c r="C10" s="4" t="s">
        <v>87</v>
      </c>
    </row>
    <row r="11">
      <c r="A11" s="5"/>
      <c r="B11" s="5"/>
      <c r="C11" s="5"/>
    </row>
    <row r="12">
      <c r="A12" s="5"/>
      <c r="B12" s="5"/>
      <c r="C12" s="5"/>
    </row>
    <row r="13">
      <c r="A13" s="5"/>
      <c r="B13" s="5"/>
      <c r="C13" s="5"/>
    </row>
    <row r="14">
      <c r="A14" s="5"/>
      <c r="B14" s="5"/>
      <c r="C14" s="5"/>
    </row>
    <row r="15">
      <c r="A15" s="5"/>
      <c r="B15" s="5"/>
      <c r="C15" s="5"/>
    </row>
    <row r="16">
      <c r="A16" s="5"/>
      <c r="B16" s="5"/>
      <c r="C16" s="5"/>
    </row>
    <row r="17">
      <c r="A17" s="5"/>
      <c r="B17" s="5"/>
      <c r="C17" s="5"/>
    </row>
    <row r="18">
      <c r="A18" s="5"/>
      <c r="B18" s="5"/>
      <c r="C18" s="5"/>
    </row>
    <row r="19">
      <c r="A19" s="5"/>
      <c r="B19" s="5"/>
      <c r="C19" s="5"/>
    </row>
    <row r="20">
      <c r="A20" s="5"/>
      <c r="B20" s="5"/>
      <c r="C20" s="5"/>
    </row>
    <row r="21" ht="15.75" customHeight="1">
      <c r="A21" s="5"/>
      <c r="B21" s="5"/>
      <c r="C21" s="5"/>
    </row>
    <row r="22" ht="15.75" customHeight="1">
      <c r="A22" s="5"/>
      <c r="B22" s="5"/>
      <c r="C22" s="5"/>
    </row>
    <row r="23" ht="15.75" customHeight="1">
      <c r="A23" s="5"/>
      <c r="B23" s="5"/>
      <c r="C23" s="5"/>
    </row>
    <row r="24" ht="15.75" customHeight="1">
      <c r="A24" s="5"/>
      <c r="B24" s="5"/>
      <c r="C24" s="5"/>
    </row>
    <row r="25" ht="15.75" customHeight="1">
      <c r="A25" s="5"/>
      <c r="B25" s="5"/>
      <c r="C25" s="5"/>
    </row>
    <row r="26" ht="15.75" customHeight="1">
      <c r="A26" s="5"/>
      <c r="B26" s="5"/>
      <c r="C26" s="5"/>
    </row>
    <row r="27" ht="15.75" customHeight="1">
      <c r="A27" s="5"/>
      <c r="B27" s="5"/>
      <c r="C27" s="5"/>
    </row>
    <row r="28" ht="15.75" customHeight="1">
      <c r="A28" s="5"/>
      <c r="B28" s="5"/>
      <c r="C28" s="5"/>
    </row>
    <row r="29" ht="15.75" customHeight="1">
      <c r="A29" s="5"/>
      <c r="B29" s="5"/>
      <c r="C29" s="5"/>
    </row>
    <row r="30" ht="15.75" customHeight="1">
      <c r="A30" s="5"/>
      <c r="B30" s="5"/>
      <c r="C30" s="5"/>
    </row>
    <row r="31" ht="15.75" customHeight="1">
      <c r="A31" s="5"/>
      <c r="B31" s="5"/>
      <c r="C31" s="5"/>
    </row>
    <row r="32" ht="15.75" customHeight="1">
      <c r="A32" s="5"/>
      <c r="B32" s="5"/>
      <c r="C32" s="5"/>
    </row>
    <row r="33" ht="15.75" customHeight="1">
      <c r="A33" s="5"/>
      <c r="B33" s="5"/>
      <c r="C33" s="5"/>
    </row>
    <row r="34" ht="15.75" customHeight="1">
      <c r="A34" s="5"/>
      <c r="B34" s="5"/>
      <c r="C34" s="5"/>
    </row>
    <row r="35" ht="15.75" customHeight="1">
      <c r="A35" s="5"/>
      <c r="B35" s="5"/>
      <c r="C35" s="5"/>
    </row>
    <row r="36" ht="15.75" customHeight="1">
      <c r="A36" s="5"/>
      <c r="B36" s="5"/>
      <c r="C36" s="5"/>
    </row>
    <row r="37" ht="15.75" customHeight="1">
      <c r="A37" s="5"/>
      <c r="B37" s="5"/>
      <c r="C37" s="5"/>
    </row>
    <row r="38" ht="15.75" customHeight="1">
      <c r="A38" s="5"/>
      <c r="B38" s="5"/>
      <c r="C38" s="5"/>
    </row>
    <row r="39" ht="15.75" customHeight="1">
      <c r="A39" s="5"/>
      <c r="B39" s="5"/>
      <c r="C39" s="5"/>
    </row>
    <row r="40" ht="15.75" customHeight="1">
      <c r="A40" s="5"/>
      <c r="B40" s="5"/>
      <c r="C40" s="5"/>
    </row>
    <row r="41" ht="15.75" customHeight="1">
      <c r="A41" s="5"/>
      <c r="B41" s="5"/>
      <c r="C41" s="5"/>
    </row>
    <row r="42" ht="15.75" customHeight="1">
      <c r="A42" s="5"/>
      <c r="B42" s="5"/>
      <c r="C42" s="5"/>
    </row>
    <row r="43" ht="15.75" customHeight="1">
      <c r="A43" s="5"/>
      <c r="B43" s="5"/>
      <c r="C43" s="5"/>
    </row>
    <row r="44" ht="15.75" customHeight="1">
      <c r="A44" s="5"/>
      <c r="B44" s="5"/>
      <c r="C44" s="5"/>
    </row>
    <row r="45" ht="15.75" customHeight="1">
      <c r="A45" s="5"/>
      <c r="B45" s="5"/>
      <c r="C45" s="5"/>
    </row>
    <row r="46" ht="15.75" customHeight="1">
      <c r="A46" s="5"/>
      <c r="B46" s="5"/>
      <c r="C46" s="5"/>
    </row>
    <row r="47" ht="15.75" customHeight="1">
      <c r="A47" s="5"/>
      <c r="B47" s="5"/>
      <c r="C47" s="5"/>
    </row>
    <row r="48" ht="15.75" customHeight="1">
      <c r="A48" s="5"/>
      <c r="B48" s="5"/>
      <c r="C48" s="5"/>
    </row>
    <row r="49" ht="15.75" customHeight="1">
      <c r="A49" s="5"/>
      <c r="B49" s="5"/>
      <c r="C49" s="5"/>
    </row>
    <row r="50" ht="15.75" customHeight="1">
      <c r="A50" s="5"/>
      <c r="B50" s="5"/>
      <c r="C50" s="5"/>
    </row>
    <row r="51" ht="15.75" customHeight="1">
      <c r="A51" s="5"/>
      <c r="B51" s="5"/>
      <c r="C51" s="5"/>
    </row>
    <row r="52" ht="15.75" customHeight="1">
      <c r="A52" s="5"/>
      <c r="B52" s="5"/>
      <c r="C52" s="5"/>
    </row>
    <row r="53" ht="15.75" customHeight="1">
      <c r="A53" s="5"/>
      <c r="B53" s="5"/>
      <c r="C53" s="5"/>
    </row>
    <row r="54" ht="15.75" customHeight="1">
      <c r="A54" s="5"/>
      <c r="B54" s="5"/>
      <c r="C54" s="5"/>
    </row>
    <row r="55" ht="15.75" customHeight="1">
      <c r="A55" s="5"/>
      <c r="B55" s="5"/>
      <c r="C55" s="5"/>
    </row>
    <row r="56" ht="15.75" customHeight="1">
      <c r="A56" s="5"/>
      <c r="B56" s="5"/>
      <c r="C56" s="5"/>
    </row>
    <row r="57" ht="15.75" customHeight="1">
      <c r="A57" s="5"/>
      <c r="B57" s="5"/>
      <c r="C57" s="5"/>
    </row>
    <row r="58" ht="15.75" customHeight="1">
      <c r="A58" s="5"/>
      <c r="B58" s="5"/>
      <c r="C58" s="5"/>
    </row>
    <row r="59" ht="15.75" customHeight="1">
      <c r="A59" s="5"/>
      <c r="B59" s="5"/>
      <c r="C59" s="5"/>
    </row>
    <row r="60" ht="15.75" customHeight="1">
      <c r="A60" s="5"/>
      <c r="B60" s="5"/>
      <c r="C60" s="5"/>
    </row>
    <row r="61" ht="15.75" customHeight="1">
      <c r="A61" s="5"/>
      <c r="B61" s="5"/>
      <c r="C61" s="5"/>
    </row>
    <row r="62" ht="15.75" customHeight="1">
      <c r="A62" s="5"/>
      <c r="B62" s="5"/>
      <c r="C62" s="5"/>
    </row>
    <row r="63" ht="15.75" customHeight="1">
      <c r="A63" s="5"/>
      <c r="B63" s="5"/>
      <c r="C63" s="5"/>
    </row>
    <row r="64" ht="15.75" customHeight="1">
      <c r="A64" s="5"/>
      <c r="B64" s="5"/>
      <c r="C64" s="5"/>
    </row>
    <row r="65" ht="15.75" customHeight="1">
      <c r="A65" s="5"/>
      <c r="B65" s="5"/>
      <c r="C65" s="5"/>
    </row>
    <row r="66" ht="15.75" customHeight="1">
      <c r="A66" s="5"/>
      <c r="B66" s="5"/>
      <c r="C66" s="5"/>
    </row>
    <row r="67" ht="15.75" customHeight="1">
      <c r="A67" s="5"/>
      <c r="B67" s="5"/>
      <c r="C67" s="5"/>
    </row>
    <row r="68" ht="15.75" customHeight="1">
      <c r="A68" s="5"/>
      <c r="B68" s="5"/>
      <c r="C68" s="5"/>
    </row>
    <row r="69" ht="15.75" customHeight="1">
      <c r="A69" s="5"/>
      <c r="B69" s="5"/>
      <c r="C69" s="5"/>
    </row>
    <row r="70" ht="15.75" customHeight="1">
      <c r="A70" s="5"/>
      <c r="B70" s="5"/>
      <c r="C70" s="5"/>
    </row>
    <row r="71" ht="15.75" customHeight="1">
      <c r="A71" s="5"/>
      <c r="B71" s="5"/>
      <c r="C71" s="5"/>
    </row>
    <row r="72" ht="15.75" customHeight="1">
      <c r="A72" s="5"/>
      <c r="B72" s="5"/>
      <c r="C72" s="5"/>
    </row>
    <row r="73" ht="15.75" customHeight="1">
      <c r="A73" s="5"/>
      <c r="B73" s="5"/>
      <c r="C73" s="5"/>
    </row>
    <row r="74" ht="15.75" customHeight="1">
      <c r="A74" s="5"/>
      <c r="B74" s="5"/>
      <c r="C74" s="5"/>
    </row>
    <row r="75" ht="15.75" customHeight="1">
      <c r="A75" s="5"/>
      <c r="B75" s="5"/>
      <c r="C75" s="5"/>
    </row>
    <row r="76" ht="15.75" customHeight="1">
      <c r="A76" s="5"/>
      <c r="B76" s="5"/>
      <c r="C76" s="5"/>
    </row>
    <row r="77" ht="15.75" customHeight="1">
      <c r="A77" s="5"/>
      <c r="B77" s="5"/>
      <c r="C77" s="5"/>
    </row>
    <row r="78" ht="15.75" customHeight="1">
      <c r="A78" s="5"/>
      <c r="B78" s="5"/>
      <c r="C78" s="5"/>
    </row>
    <row r="79" ht="15.75" customHeight="1">
      <c r="A79" s="5"/>
      <c r="B79" s="5"/>
      <c r="C79" s="5"/>
    </row>
    <row r="80" ht="15.75" customHeight="1">
      <c r="A80" s="5"/>
      <c r="B80" s="5"/>
      <c r="C80" s="5"/>
    </row>
    <row r="81" ht="15.75" customHeight="1">
      <c r="A81" s="5"/>
      <c r="B81" s="5"/>
      <c r="C81" s="5"/>
    </row>
    <row r="82" ht="15.75" customHeight="1">
      <c r="A82" s="5"/>
      <c r="B82" s="5"/>
      <c r="C82" s="5"/>
    </row>
    <row r="83" ht="15.75" customHeight="1">
      <c r="A83" s="5"/>
      <c r="B83" s="5"/>
      <c r="C83" s="5"/>
    </row>
    <row r="84" ht="15.75" customHeight="1">
      <c r="A84" s="5"/>
      <c r="B84" s="5"/>
      <c r="C84" s="5"/>
    </row>
    <row r="85" ht="15.75" customHeight="1">
      <c r="A85" s="5"/>
      <c r="B85" s="5"/>
      <c r="C85" s="5"/>
    </row>
    <row r="86" ht="15.75" customHeight="1">
      <c r="A86" s="5"/>
      <c r="B86" s="5"/>
      <c r="C86" s="5"/>
    </row>
    <row r="87" ht="15.75" customHeight="1">
      <c r="A87" s="5"/>
      <c r="B87" s="5"/>
      <c r="C87" s="5"/>
    </row>
    <row r="88" ht="15.75" customHeight="1">
      <c r="A88" s="5"/>
      <c r="B88" s="5"/>
      <c r="C88" s="5"/>
    </row>
    <row r="89" ht="15.75" customHeight="1">
      <c r="A89" s="5"/>
      <c r="B89" s="5"/>
      <c r="C89" s="5"/>
    </row>
    <row r="90" ht="15.75" customHeight="1">
      <c r="A90" s="5"/>
      <c r="B90" s="5"/>
      <c r="C90" s="5"/>
    </row>
    <row r="91" ht="15.75" customHeight="1">
      <c r="A91" s="5"/>
      <c r="B91" s="5"/>
      <c r="C91" s="5"/>
    </row>
    <row r="92" ht="15.75" customHeight="1">
      <c r="A92" s="5"/>
      <c r="B92" s="5"/>
      <c r="C92" s="5"/>
    </row>
    <row r="93" ht="15.75" customHeight="1">
      <c r="A93" s="5"/>
      <c r="B93" s="5"/>
      <c r="C93" s="5"/>
    </row>
    <row r="94" ht="15.75" customHeight="1">
      <c r="A94" s="5"/>
      <c r="B94" s="5"/>
      <c r="C94" s="5"/>
    </row>
    <row r="95" ht="15.75" customHeight="1">
      <c r="A95" s="5"/>
      <c r="B95" s="5"/>
      <c r="C95" s="5"/>
    </row>
    <row r="96" ht="15.75" customHeight="1">
      <c r="A96" s="5"/>
      <c r="B96" s="5"/>
      <c r="C96" s="5"/>
    </row>
    <row r="97" ht="15.75" customHeight="1">
      <c r="A97" s="5"/>
      <c r="B97" s="5"/>
      <c r="C97" s="5"/>
    </row>
    <row r="98" ht="15.75" customHeight="1">
      <c r="A98" s="5"/>
      <c r="B98" s="5"/>
      <c r="C98" s="5"/>
    </row>
    <row r="99" ht="15.75" customHeight="1">
      <c r="A99" s="5"/>
      <c r="B99" s="5"/>
      <c r="C99" s="5"/>
    </row>
    <row r="100" ht="15.75" customHeight="1">
      <c r="A100" s="5"/>
      <c r="B100" s="5"/>
      <c r="C100" s="5"/>
    </row>
    <row r="101" ht="15.75" customHeight="1">
      <c r="A101" s="5"/>
      <c r="B101" s="5"/>
      <c r="C101" s="5"/>
    </row>
    <row r="102" ht="15.75" customHeight="1">
      <c r="A102" s="5"/>
      <c r="B102" s="5"/>
      <c r="C102" s="5"/>
    </row>
    <row r="103" ht="15.75" customHeight="1">
      <c r="A103" s="5"/>
      <c r="B103" s="5"/>
      <c r="C103" s="5"/>
    </row>
    <row r="104" ht="15.75" customHeight="1">
      <c r="A104" s="5"/>
      <c r="B104" s="5"/>
      <c r="C104" s="5"/>
    </row>
    <row r="105" ht="15.75" customHeight="1">
      <c r="A105" s="5"/>
      <c r="B105" s="5"/>
      <c r="C105" s="5"/>
    </row>
    <row r="106" ht="15.75" customHeight="1">
      <c r="A106" s="5"/>
      <c r="B106" s="5"/>
      <c r="C106" s="5"/>
    </row>
    <row r="107" ht="15.75" customHeight="1">
      <c r="A107" s="5"/>
      <c r="B107" s="5"/>
      <c r="C107" s="5"/>
    </row>
    <row r="108" ht="15.75" customHeight="1">
      <c r="A108" s="5"/>
      <c r="B108" s="5"/>
      <c r="C108" s="5"/>
    </row>
    <row r="109" ht="15.75" customHeight="1">
      <c r="A109" s="5"/>
      <c r="B109" s="5"/>
      <c r="C109" s="5"/>
    </row>
    <row r="110" ht="15.75" customHeight="1">
      <c r="A110" s="5"/>
      <c r="B110" s="5"/>
      <c r="C110" s="5"/>
    </row>
    <row r="111" ht="15.75" customHeight="1">
      <c r="A111" s="5"/>
      <c r="B111" s="5"/>
      <c r="C111" s="5"/>
    </row>
    <row r="112" ht="15.75" customHeight="1">
      <c r="A112" s="5"/>
      <c r="B112" s="5"/>
      <c r="C112" s="5"/>
    </row>
    <row r="113" ht="15.75" customHeight="1">
      <c r="A113" s="5"/>
      <c r="B113" s="5"/>
      <c r="C113" s="5"/>
    </row>
    <row r="114" ht="15.75" customHeight="1">
      <c r="A114" s="5"/>
      <c r="B114" s="5"/>
      <c r="C114" s="5"/>
    </row>
    <row r="115" ht="15.75" customHeight="1">
      <c r="A115" s="5"/>
      <c r="B115" s="5"/>
      <c r="C115" s="5"/>
    </row>
    <row r="116" ht="15.75" customHeight="1">
      <c r="A116" s="5"/>
      <c r="B116" s="5"/>
      <c r="C116" s="5"/>
    </row>
    <row r="117" ht="15.75" customHeight="1">
      <c r="A117" s="5"/>
      <c r="B117" s="5"/>
      <c r="C117" s="5"/>
    </row>
    <row r="118" ht="15.75" customHeight="1">
      <c r="A118" s="5"/>
      <c r="B118" s="5"/>
      <c r="C118" s="5"/>
    </row>
    <row r="119" ht="15.75" customHeight="1">
      <c r="A119" s="5"/>
      <c r="B119" s="5"/>
      <c r="C119" s="5"/>
    </row>
    <row r="120" ht="15.75" customHeight="1">
      <c r="A120" s="5"/>
      <c r="B120" s="5"/>
      <c r="C120" s="5"/>
    </row>
    <row r="121" ht="15.75" customHeight="1">
      <c r="A121" s="5"/>
      <c r="B121" s="5"/>
      <c r="C121" s="5"/>
    </row>
    <row r="122" ht="15.75" customHeight="1">
      <c r="A122" s="5"/>
      <c r="B122" s="5"/>
      <c r="C122" s="5"/>
    </row>
    <row r="123" ht="15.75" customHeight="1">
      <c r="A123" s="5"/>
      <c r="B123" s="5"/>
      <c r="C123" s="5"/>
    </row>
    <row r="124" ht="15.75" customHeight="1">
      <c r="A124" s="5"/>
      <c r="B124" s="5"/>
      <c r="C124" s="5"/>
    </row>
    <row r="125" ht="15.75" customHeight="1">
      <c r="A125" s="5"/>
      <c r="B125" s="5"/>
      <c r="C125" s="5"/>
    </row>
    <row r="126" ht="15.75" customHeight="1">
      <c r="A126" s="5"/>
      <c r="B126" s="5"/>
      <c r="C126" s="5"/>
    </row>
    <row r="127" ht="15.75" customHeight="1">
      <c r="A127" s="5"/>
      <c r="B127" s="5"/>
      <c r="C127" s="5"/>
    </row>
    <row r="128" ht="15.75" customHeight="1">
      <c r="A128" s="5"/>
      <c r="B128" s="5"/>
      <c r="C128" s="5"/>
    </row>
    <row r="129" ht="15.75" customHeight="1">
      <c r="A129" s="5"/>
      <c r="B129" s="5"/>
      <c r="C129" s="5"/>
    </row>
    <row r="130" ht="15.75" customHeight="1">
      <c r="A130" s="5"/>
      <c r="B130" s="5"/>
      <c r="C130" s="5"/>
    </row>
    <row r="131" ht="15.75" customHeight="1">
      <c r="A131" s="5"/>
      <c r="B131" s="5"/>
      <c r="C131" s="5"/>
    </row>
    <row r="132" ht="15.75" customHeight="1">
      <c r="A132" s="5"/>
      <c r="B132" s="5"/>
      <c r="C132" s="5"/>
    </row>
    <row r="133" ht="15.75" customHeight="1">
      <c r="A133" s="5"/>
      <c r="B133" s="5"/>
      <c r="C133" s="5"/>
    </row>
    <row r="134" ht="15.75" customHeight="1">
      <c r="A134" s="5"/>
      <c r="B134" s="5"/>
      <c r="C134" s="5"/>
    </row>
    <row r="135" ht="15.75" customHeight="1">
      <c r="A135" s="5"/>
      <c r="B135" s="5"/>
      <c r="C135" s="5"/>
    </row>
    <row r="136" ht="15.75" customHeight="1">
      <c r="A136" s="5"/>
      <c r="B136" s="5"/>
      <c r="C136" s="5"/>
    </row>
    <row r="137" ht="15.75" customHeight="1">
      <c r="A137" s="5"/>
      <c r="B137" s="5"/>
      <c r="C137" s="5"/>
    </row>
    <row r="138" ht="15.75" customHeight="1">
      <c r="A138" s="5"/>
      <c r="B138" s="5"/>
      <c r="C138" s="5"/>
    </row>
    <row r="139" ht="15.75" customHeight="1">
      <c r="A139" s="5"/>
      <c r="B139" s="5"/>
      <c r="C139" s="5"/>
    </row>
    <row r="140" ht="15.75" customHeight="1">
      <c r="A140" s="5"/>
      <c r="B140" s="5"/>
      <c r="C140" s="5"/>
    </row>
    <row r="141" ht="15.75" customHeight="1">
      <c r="A141" s="5"/>
      <c r="B141" s="5"/>
      <c r="C141" s="5"/>
    </row>
    <row r="142" ht="15.75" customHeight="1">
      <c r="A142" s="5"/>
      <c r="B142" s="5"/>
      <c r="C142" s="5"/>
    </row>
    <row r="143" ht="15.75" customHeight="1">
      <c r="A143" s="5"/>
      <c r="B143" s="5"/>
      <c r="C143" s="5"/>
    </row>
    <row r="144" ht="15.75" customHeight="1">
      <c r="A144" s="5"/>
      <c r="B144" s="5"/>
      <c r="C144" s="5"/>
    </row>
    <row r="145" ht="15.75" customHeight="1">
      <c r="A145" s="5"/>
      <c r="B145" s="5"/>
      <c r="C145" s="5"/>
    </row>
    <row r="146" ht="15.75" customHeight="1">
      <c r="A146" s="5"/>
      <c r="B146" s="5"/>
      <c r="C146" s="5"/>
    </row>
    <row r="147" ht="15.75" customHeight="1">
      <c r="A147" s="5"/>
      <c r="B147" s="5"/>
      <c r="C147" s="5"/>
    </row>
    <row r="148" ht="15.75" customHeight="1">
      <c r="A148" s="5"/>
      <c r="B148" s="5"/>
      <c r="C148" s="5"/>
    </row>
    <row r="149" ht="15.75" customHeight="1">
      <c r="A149" s="5"/>
      <c r="B149" s="5"/>
      <c r="C149" s="5"/>
    </row>
    <row r="150" ht="15.75" customHeight="1">
      <c r="A150" s="5"/>
      <c r="B150" s="5"/>
      <c r="C150" s="5"/>
    </row>
    <row r="151" ht="15.75" customHeight="1">
      <c r="A151" s="5"/>
      <c r="B151" s="5"/>
      <c r="C151" s="5"/>
    </row>
    <row r="152" ht="15.75" customHeight="1">
      <c r="A152" s="5"/>
      <c r="B152" s="5"/>
      <c r="C152" s="5"/>
    </row>
    <row r="153" ht="15.75" customHeight="1">
      <c r="A153" s="5"/>
      <c r="B153" s="5"/>
      <c r="C153" s="5"/>
    </row>
    <row r="154" ht="15.75" customHeight="1">
      <c r="A154" s="5"/>
      <c r="B154" s="5"/>
      <c r="C154" s="5"/>
    </row>
    <row r="155" ht="15.75" customHeight="1">
      <c r="A155" s="5"/>
      <c r="B155" s="5"/>
      <c r="C155" s="5"/>
    </row>
    <row r="156" ht="15.75" customHeight="1">
      <c r="A156" s="5"/>
      <c r="B156" s="5"/>
      <c r="C156" s="5"/>
    </row>
    <row r="157" ht="15.75" customHeight="1">
      <c r="A157" s="5"/>
      <c r="B157" s="5"/>
      <c r="C157" s="5"/>
    </row>
    <row r="158" ht="15.75" customHeight="1">
      <c r="A158" s="5"/>
      <c r="B158" s="5"/>
      <c r="C158" s="5"/>
    </row>
    <row r="159" ht="15.75" customHeight="1">
      <c r="A159" s="5"/>
      <c r="B159" s="5"/>
      <c r="C159" s="5"/>
    </row>
    <row r="160" ht="15.75" customHeight="1">
      <c r="A160" s="5"/>
      <c r="B160" s="5"/>
      <c r="C160" s="5"/>
    </row>
    <row r="161" ht="15.75" customHeight="1">
      <c r="A161" s="5"/>
      <c r="B161" s="5"/>
      <c r="C161" s="5"/>
    </row>
    <row r="162" ht="15.75" customHeight="1">
      <c r="A162" s="5"/>
      <c r="B162" s="5"/>
      <c r="C162" s="5"/>
    </row>
    <row r="163" ht="15.75" customHeight="1">
      <c r="A163" s="5"/>
      <c r="B163" s="5"/>
      <c r="C163" s="5"/>
    </row>
    <row r="164" ht="15.75" customHeight="1">
      <c r="A164" s="5"/>
      <c r="B164" s="5"/>
      <c r="C164" s="5"/>
    </row>
    <row r="165" ht="15.75" customHeight="1">
      <c r="A165" s="5"/>
      <c r="B165" s="5"/>
      <c r="C165" s="5"/>
    </row>
    <row r="166" ht="15.75" customHeight="1">
      <c r="A166" s="5"/>
      <c r="B166" s="5"/>
      <c r="C166" s="5"/>
    </row>
    <row r="167" ht="15.75" customHeight="1">
      <c r="A167" s="5"/>
      <c r="B167" s="5"/>
      <c r="C167" s="5"/>
    </row>
    <row r="168" ht="15.75" customHeight="1">
      <c r="A168" s="5"/>
      <c r="B168" s="5"/>
      <c r="C168" s="5"/>
    </row>
    <row r="169" ht="15.75" customHeight="1">
      <c r="A169" s="5"/>
      <c r="B169" s="5"/>
      <c r="C169" s="5"/>
    </row>
    <row r="170" ht="15.75" customHeight="1">
      <c r="A170" s="5"/>
      <c r="B170" s="5"/>
      <c r="C170" s="5"/>
    </row>
    <row r="171" ht="15.75" customHeight="1">
      <c r="A171" s="5"/>
      <c r="B171" s="5"/>
      <c r="C171" s="5"/>
    </row>
    <row r="172" ht="15.75" customHeight="1">
      <c r="A172" s="5"/>
      <c r="B172" s="5"/>
      <c r="C172" s="5"/>
    </row>
    <row r="173" ht="15.75" customHeight="1">
      <c r="A173" s="5"/>
      <c r="B173" s="5"/>
      <c r="C173" s="5"/>
    </row>
    <row r="174" ht="15.75" customHeight="1">
      <c r="A174" s="5"/>
      <c r="B174" s="5"/>
      <c r="C174" s="5"/>
    </row>
    <row r="175" ht="15.75" customHeight="1">
      <c r="A175" s="5"/>
      <c r="B175" s="5"/>
      <c r="C175" s="5"/>
    </row>
    <row r="176" ht="15.75" customHeight="1">
      <c r="A176" s="5"/>
      <c r="B176" s="5"/>
      <c r="C176" s="5"/>
    </row>
    <row r="177" ht="15.75" customHeight="1">
      <c r="A177" s="5"/>
      <c r="B177" s="5"/>
      <c r="C177" s="5"/>
    </row>
    <row r="178" ht="15.75" customHeight="1">
      <c r="A178" s="5"/>
      <c r="B178" s="5"/>
      <c r="C178" s="5"/>
    </row>
    <row r="179" ht="15.75" customHeight="1">
      <c r="A179" s="5"/>
      <c r="B179" s="5"/>
      <c r="C179" s="5"/>
    </row>
    <row r="180" ht="15.75" customHeight="1">
      <c r="A180" s="5"/>
      <c r="B180" s="5"/>
      <c r="C180" s="5"/>
    </row>
    <row r="181" ht="15.75" customHeight="1">
      <c r="A181" s="5"/>
      <c r="B181" s="5"/>
      <c r="C181" s="5"/>
    </row>
    <row r="182" ht="15.75" customHeight="1">
      <c r="A182" s="5"/>
      <c r="B182" s="5"/>
      <c r="C182" s="5"/>
    </row>
    <row r="183" ht="15.75" customHeight="1">
      <c r="A183" s="5"/>
      <c r="B183" s="5"/>
      <c r="C183" s="5"/>
    </row>
    <row r="184" ht="15.75" customHeight="1">
      <c r="A184" s="5"/>
      <c r="B184" s="5"/>
      <c r="C184" s="5"/>
    </row>
    <row r="185" ht="15.75" customHeight="1">
      <c r="A185" s="5"/>
      <c r="B185" s="5"/>
      <c r="C185" s="5"/>
    </row>
    <row r="186" ht="15.75" customHeight="1">
      <c r="A186" s="5"/>
      <c r="B186" s="5"/>
      <c r="C186" s="5"/>
    </row>
    <row r="187" ht="15.75" customHeight="1">
      <c r="A187" s="5"/>
      <c r="B187" s="5"/>
      <c r="C187" s="5"/>
    </row>
    <row r="188" ht="15.75" customHeight="1">
      <c r="A188" s="5"/>
      <c r="B188" s="5"/>
      <c r="C188" s="5"/>
    </row>
    <row r="189" ht="15.75" customHeight="1">
      <c r="A189" s="5"/>
      <c r="B189" s="5"/>
      <c r="C189" s="5"/>
    </row>
    <row r="190" ht="15.75" customHeight="1">
      <c r="A190" s="5"/>
      <c r="B190" s="5"/>
      <c r="C190" s="5"/>
    </row>
    <row r="191" ht="15.75" customHeight="1">
      <c r="A191" s="5"/>
      <c r="B191" s="5"/>
      <c r="C191" s="5"/>
    </row>
    <row r="192" ht="15.75" customHeight="1">
      <c r="A192" s="5"/>
      <c r="B192" s="5"/>
      <c r="C192" s="5"/>
    </row>
    <row r="193" ht="15.75" customHeight="1">
      <c r="A193" s="5"/>
      <c r="B193" s="5"/>
      <c r="C193" s="5"/>
    </row>
    <row r="194" ht="15.75" customHeight="1">
      <c r="A194" s="5"/>
      <c r="B194" s="5"/>
      <c r="C194" s="5"/>
    </row>
    <row r="195" ht="15.75" customHeight="1">
      <c r="A195" s="5"/>
      <c r="B195" s="5"/>
      <c r="C195" s="5"/>
    </row>
    <row r="196" ht="15.75" customHeight="1">
      <c r="A196" s="5"/>
      <c r="B196" s="5"/>
      <c r="C196" s="5"/>
    </row>
    <row r="197" ht="15.75" customHeight="1">
      <c r="A197" s="5"/>
      <c r="B197" s="5"/>
      <c r="C197" s="5"/>
    </row>
    <row r="198" ht="15.75" customHeight="1">
      <c r="A198" s="5"/>
      <c r="B198" s="5"/>
      <c r="C198" s="5"/>
    </row>
    <row r="199" ht="15.75" customHeight="1">
      <c r="A199" s="5"/>
      <c r="B199" s="5"/>
      <c r="C199" s="5"/>
    </row>
    <row r="200" ht="15.75" customHeight="1">
      <c r="A200" s="5"/>
      <c r="B200" s="5"/>
      <c r="C200" s="5"/>
    </row>
    <row r="201" ht="15.75" customHeight="1">
      <c r="A201" s="5"/>
      <c r="B201" s="5"/>
      <c r="C201" s="5"/>
    </row>
    <row r="202" ht="15.75" customHeight="1">
      <c r="A202" s="5"/>
      <c r="B202" s="5"/>
      <c r="C202" s="5"/>
    </row>
    <row r="203" ht="15.75" customHeight="1">
      <c r="A203" s="5"/>
      <c r="B203" s="5"/>
      <c r="C203" s="5"/>
    </row>
    <row r="204" ht="15.75" customHeight="1">
      <c r="A204" s="5"/>
      <c r="B204" s="5"/>
      <c r="C204" s="5"/>
    </row>
    <row r="205" ht="15.75" customHeight="1">
      <c r="A205" s="5"/>
      <c r="B205" s="5"/>
      <c r="C205" s="5"/>
    </row>
    <row r="206" ht="15.75" customHeight="1">
      <c r="A206" s="5"/>
      <c r="B206" s="5"/>
      <c r="C206" s="5"/>
    </row>
    <row r="207" ht="15.75" customHeight="1">
      <c r="A207" s="5"/>
      <c r="B207" s="5"/>
      <c r="C207" s="5"/>
    </row>
    <row r="208" ht="15.75" customHeight="1">
      <c r="A208" s="5"/>
      <c r="B208" s="5"/>
      <c r="C208" s="5"/>
    </row>
    <row r="209" ht="15.75" customHeight="1">
      <c r="A209" s="5"/>
      <c r="B209" s="5"/>
      <c r="C209" s="5"/>
    </row>
    <row r="210" ht="15.75" customHeight="1">
      <c r="A210" s="5"/>
      <c r="B210" s="5"/>
      <c r="C210" s="5"/>
    </row>
    <row r="211" ht="15.75" customHeight="1">
      <c r="A211" s="5"/>
      <c r="B211" s="5"/>
      <c r="C211" s="5"/>
    </row>
    <row r="212" ht="15.75" customHeight="1">
      <c r="A212" s="5"/>
      <c r="B212" s="5"/>
      <c r="C212" s="5"/>
    </row>
    <row r="213" ht="15.75" customHeight="1">
      <c r="A213" s="5"/>
      <c r="B213" s="5"/>
      <c r="C213" s="5"/>
    </row>
    <row r="214" ht="15.75" customHeight="1">
      <c r="A214" s="5"/>
      <c r="B214" s="5"/>
      <c r="C214" s="5"/>
    </row>
    <row r="215" ht="15.75" customHeight="1">
      <c r="A215" s="5"/>
      <c r="B215" s="5"/>
      <c r="C215" s="5"/>
    </row>
    <row r="216" ht="15.75" customHeight="1">
      <c r="A216" s="5"/>
      <c r="B216" s="5"/>
      <c r="C216" s="5"/>
    </row>
    <row r="217" ht="15.75" customHeight="1">
      <c r="A217" s="5"/>
      <c r="B217" s="5"/>
      <c r="C217" s="5"/>
    </row>
    <row r="218" ht="15.75" customHeight="1">
      <c r="A218" s="5"/>
      <c r="B218" s="5"/>
      <c r="C218" s="5"/>
    </row>
    <row r="219" ht="15.75" customHeight="1">
      <c r="A219" s="5"/>
      <c r="B219" s="5"/>
      <c r="C219" s="5"/>
    </row>
    <row r="220" ht="15.75" customHeight="1">
      <c r="A220" s="5"/>
      <c r="B220" s="5"/>
      <c r="C220" s="5"/>
    </row>
    <row r="221" ht="15.75" customHeight="1">
      <c r="A221" s="5"/>
      <c r="B221" s="5"/>
      <c r="C221" s="5"/>
    </row>
    <row r="222" ht="15.75" customHeight="1">
      <c r="A222" s="5"/>
      <c r="B222" s="5"/>
      <c r="C222" s="5"/>
    </row>
    <row r="223" ht="15.75" customHeight="1">
      <c r="A223" s="5"/>
      <c r="B223" s="5"/>
      <c r="C223" s="5"/>
    </row>
    <row r="224" ht="15.75" customHeight="1">
      <c r="A224" s="5"/>
      <c r="B224" s="5"/>
      <c r="C224" s="5"/>
    </row>
    <row r="225" ht="15.75" customHeight="1">
      <c r="A225" s="5"/>
      <c r="B225" s="5"/>
      <c r="C225" s="5"/>
    </row>
    <row r="226" ht="15.75" customHeight="1">
      <c r="A226" s="5"/>
      <c r="B226" s="5"/>
      <c r="C226" s="5"/>
    </row>
    <row r="227" ht="15.75" customHeight="1">
      <c r="A227" s="5"/>
      <c r="B227" s="5"/>
      <c r="C227" s="5"/>
    </row>
    <row r="228" ht="15.75" customHeight="1">
      <c r="A228" s="5"/>
      <c r="B228" s="5"/>
      <c r="C228" s="5"/>
    </row>
    <row r="229" ht="15.75" customHeight="1">
      <c r="A229" s="5"/>
      <c r="B229" s="5"/>
      <c r="C229" s="5"/>
    </row>
    <row r="230" ht="15.75" customHeight="1">
      <c r="A230" s="5"/>
      <c r="B230" s="5"/>
      <c r="C230" s="5"/>
    </row>
    <row r="231" ht="15.75" customHeight="1">
      <c r="A231" s="5"/>
      <c r="B231" s="5"/>
      <c r="C231" s="5"/>
    </row>
    <row r="232" ht="15.75" customHeight="1">
      <c r="A232" s="5"/>
      <c r="B232" s="5"/>
      <c r="C232" s="5"/>
    </row>
    <row r="233" ht="15.75" customHeight="1">
      <c r="A233" s="5"/>
      <c r="B233" s="5"/>
      <c r="C233" s="5"/>
    </row>
    <row r="234" ht="15.75" customHeight="1">
      <c r="A234" s="5"/>
      <c r="B234" s="5"/>
      <c r="C234" s="5"/>
    </row>
    <row r="235" ht="15.75" customHeight="1">
      <c r="A235" s="5"/>
      <c r="B235" s="5"/>
      <c r="C235" s="5"/>
    </row>
    <row r="236" ht="15.75" customHeight="1">
      <c r="A236" s="5"/>
      <c r="B236" s="5"/>
      <c r="C236" s="5"/>
    </row>
    <row r="237" ht="15.75" customHeight="1">
      <c r="A237" s="5"/>
      <c r="B237" s="5"/>
      <c r="C237" s="5"/>
    </row>
    <row r="238" ht="15.75" customHeight="1">
      <c r="A238" s="5"/>
      <c r="B238" s="5"/>
      <c r="C238" s="5"/>
    </row>
    <row r="239" ht="15.75" customHeight="1">
      <c r="A239" s="5"/>
      <c r="B239" s="5"/>
      <c r="C239" s="5"/>
    </row>
    <row r="240" ht="15.75" customHeight="1">
      <c r="A240" s="5"/>
      <c r="B240" s="5"/>
      <c r="C240" s="5"/>
    </row>
    <row r="241" ht="15.75" customHeight="1">
      <c r="A241" s="5"/>
      <c r="B241" s="5"/>
      <c r="C241" s="5"/>
    </row>
    <row r="242" ht="15.75" customHeight="1">
      <c r="A242" s="5"/>
      <c r="B242" s="5"/>
      <c r="C242" s="5"/>
    </row>
    <row r="243" ht="15.75" customHeight="1">
      <c r="A243" s="5"/>
      <c r="B243" s="5"/>
      <c r="C243" s="5"/>
    </row>
    <row r="244" ht="15.75" customHeight="1">
      <c r="A244" s="5"/>
      <c r="B244" s="5"/>
      <c r="C244" s="5"/>
    </row>
    <row r="245" ht="15.75" customHeight="1">
      <c r="A245" s="5"/>
      <c r="B245" s="5"/>
      <c r="C245" s="5"/>
    </row>
    <row r="246" ht="15.75" customHeight="1">
      <c r="A246" s="5"/>
      <c r="B246" s="5"/>
      <c r="C246" s="5"/>
    </row>
    <row r="247" ht="15.75" customHeight="1">
      <c r="A247" s="5"/>
      <c r="B247" s="5"/>
      <c r="C247" s="5"/>
    </row>
    <row r="248" ht="15.75" customHeight="1">
      <c r="A248" s="5"/>
      <c r="B248" s="5"/>
      <c r="C248" s="5"/>
    </row>
    <row r="249" ht="15.75" customHeight="1">
      <c r="A249" s="5"/>
      <c r="B249" s="5"/>
      <c r="C249" s="5"/>
    </row>
    <row r="250" ht="15.75" customHeight="1">
      <c r="A250" s="5"/>
      <c r="B250" s="5"/>
      <c r="C250" s="5"/>
    </row>
    <row r="251" ht="15.75" customHeight="1">
      <c r="A251" s="5"/>
      <c r="B251" s="5"/>
      <c r="C251" s="5"/>
    </row>
    <row r="252" ht="15.75" customHeight="1">
      <c r="A252" s="5"/>
      <c r="B252" s="5"/>
      <c r="C252" s="5"/>
    </row>
    <row r="253" ht="15.75" customHeight="1">
      <c r="A253" s="5"/>
      <c r="B253" s="5"/>
      <c r="C253" s="5"/>
    </row>
    <row r="254" ht="15.75" customHeight="1">
      <c r="A254" s="5"/>
      <c r="B254" s="5"/>
      <c r="C254" s="5"/>
    </row>
    <row r="255" ht="15.75" customHeight="1">
      <c r="A255" s="5"/>
      <c r="B255" s="5"/>
      <c r="C255" s="5"/>
    </row>
    <row r="256" ht="15.75" customHeight="1">
      <c r="A256" s="5"/>
      <c r="B256" s="5"/>
      <c r="C256" s="5"/>
    </row>
    <row r="257" ht="15.75" customHeight="1">
      <c r="A257" s="5"/>
      <c r="B257" s="5"/>
      <c r="C257" s="5"/>
    </row>
    <row r="258" ht="15.75" customHeight="1">
      <c r="A258" s="5"/>
      <c r="B258" s="5"/>
      <c r="C258" s="5"/>
    </row>
    <row r="259" ht="15.75" customHeight="1">
      <c r="A259" s="5"/>
      <c r="B259" s="5"/>
      <c r="C259" s="5"/>
    </row>
    <row r="260" ht="15.75" customHeight="1">
      <c r="A260" s="5"/>
      <c r="B260" s="5"/>
      <c r="C260" s="5"/>
    </row>
    <row r="261" ht="15.75" customHeight="1">
      <c r="A261" s="5"/>
      <c r="B261" s="5"/>
      <c r="C261" s="5"/>
    </row>
    <row r="262" ht="15.75" customHeight="1">
      <c r="A262" s="5"/>
      <c r="B262" s="5"/>
      <c r="C262" s="5"/>
    </row>
    <row r="263" ht="15.75" customHeight="1">
      <c r="A263" s="5"/>
      <c r="B263" s="5"/>
      <c r="C263" s="5"/>
    </row>
    <row r="264" ht="15.75" customHeight="1">
      <c r="A264" s="5"/>
      <c r="B264" s="5"/>
      <c r="C264" s="5"/>
    </row>
    <row r="265" ht="15.75" customHeight="1">
      <c r="A265" s="5"/>
      <c r="B265" s="5"/>
      <c r="C265" s="5"/>
    </row>
    <row r="266" ht="15.75" customHeight="1">
      <c r="A266" s="5"/>
      <c r="B266" s="5"/>
      <c r="C266" s="5"/>
    </row>
    <row r="267" ht="15.75" customHeight="1">
      <c r="A267" s="5"/>
      <c r="B267" s="5"/>
      <c r="C267" s="5"/>
    </row>
    <row r="268" ht="15.75" customHeight="1">
      <c r="A268" s="5"/>
      <c r="B268" s="5"/>
      <c r="C268" s="5"/>
    </row>
    <row r="269" ht="15.75" customHeight="1">
      <c r="A269" s="5"/>
      <c r="B269" s="5"/>
      <c r="C269" s="5"/>
    </row>
    <row r="270" ht="15.75" customHeight="1">
      <c r="A270" s="5"/>
      <c r="B270" s="5"/>
      <c r="C270" s="5"/>
    </row>
    <row r="271" ht="15.75" customHeight="1">
      <c r="A271" s="5"/>
      <c r="B271" s="5"/>
      <c r="C271" s="5"/>
    </row>
    <row r="272" ht="15.75" customHeight="1">
      <c r="A272" s="5"/>
      <c r="B272" s="5"/>
      <c r="C272" s="5"/>
    </row>
    <row r="273" ht="15.75" customHeight="1">
      <c r="A273" s="5"/>
      <c r="B273" s="5"/>
      <c r="C273" s="5"/>
    </row>
    <row r="274" ht="15.75" customHeight="1">
      <c r="A274" s="5"/>
      <c r="B274" s="5"/>
      <c r="C274" s="5"/>
    </row>
    <row r="275" ht="15.75" customHeight="1">
      <c r="A275" s="5"/>
      <c r="B275" s="5"/>
      <c r="C275" s="5"/>
    </row>
    <row r="276" ht="15.75" customHeight="1">
      <c r="A276" s="5"/>
      <c r="B276" s="5"/>
      <c r="C276" s="5"/>
    </row>
    <row r="277" ht="15.75" customHeight="1">
      <c r="A277" s="5"/>
      <c r="B277" s="5"/>
      <c r="C277" s="5"/>
    </row>
    <row r="278" ht="15.75" customHeight="1">
      <c r="A278" s="5"/>
      <c r="B278" s="5"/>
      <c r="C278" s="5"/>
    </row>
    <row r="279" ht="15.75" customHeight="1">
      <c r="A279" s="5"/>
      <c r="B279" s="5"/>
      <c r="C279" s="5"/>
    </row>
    <row r="280" ht="15.75" customHeight="1">
      <c r="A280" s="5"/>
      <c r="B280" s="5"/>
      <c r="C280" s="5"/>
    </row>
    <row r="281" ht="15.75" customHeight="1">
      <c r="A281" s="5"/>
      <c r="B281" s="5"/>
      <c r="C281" s="5"/>
    </row>
    <row r="282" ht="15.75" customHeight="1">
      <c r="A282" s="5"/>
      <c r="B282" s="5"/>
      <c r="C282" s="5"/>
    </row>
    <row r="283" ht="15.75" customHeight="1">
      <c r="A283" s="5"/>
      <c r="B283" s="5"/>
      <c r="C283" s="5"/>
    </row>
    <row r="284" ht="15.75" customHeight="1">
      <c r="A284" s="5"/>
      <c r="B284" s="5"/>
      <c r="C284" s="5"/>
    </row>
    <row r="285" ht="15.75" customHeight="1">
      <c r="A285" s="5"/>
      <c r="B285" s="5"/>
      <c r="C285" s="5"/>
    </row>
    <row r="286" ht="15.75" customHeight="1">
      <c r="A286" s="5"/>
      <c r="B286" s="5"/>
      <c r="C286" s="5"/>
    </row>
    <row r="287" ht="15.75" customHeight="1">
      <c r="A287" s="5"/>
      <c r="B287" s="5"/>
      <c r="C287" s="5"/>
    </row>
    <row r="288" ht="15.75" customHeight="1">
      <c r="A288" s="5"/>
      <c r="B288" s="5"/>
      <c r="C288" s="5"/>
    </row>
    <row r="289" ht="15.75" customHeight="1">
      <c r="A289" s="5"/>
      <c r="B289" s="5"/>
      <c r="C289" s="5"/>
    </row>
    <row r="290" ht="15.75" customHeight="1">
      <c r="A290" s="5"/>
      <c r="B290" s="5"/>
      <c r="C290" s="5"/>
    </row>
    <row r="291" ht="15.75" customHeight="1">
      <c r="A291" s="5"/>
      <c r="B291" s="5"/>
      <c r="C291" s="5"/>
    </row>
    <row r="292" ht="15.75" customHeight="1">
      <c r="A292" s="5"/>
      <c r="B292" s="5"/>
      <c r="C292" s="5"/>
    </row>
    <row r="293" ht="15.75" customHeight="1">
      <c r="A293" s="5"/>
      <c r="B293" s="5"/>
      <c r="C293" s="5"/>
    </row>
    <row r="294" ht="15.75" customHeight="1">
      <c r="A294" s="5"/>
      <c r="B294" s="5"/>
      <c r="C294" s="5"/>
    </row>
    <row r="295" ht="15.75" customHeight="1">
      <c r="A295" s="5"/>
      <c r="B295" s="5"/>
      <c r="C295" s="5"/>
    </row>
    <row r="296" ht="15.75" customHeight="1">
      <c r="A296" s="5"/>
      <c r="B296" s="5"/>
      <c r="C296" s="5"/>
    </row>
    <row r="297" ht="15.75" customHeight="1">
      <c r="A297" s="5"/>
      <c r="B297" s="5"/>
      <c r="C297" s="5"/>
    </row>
    <row r="298" ht="15.75" customHeight="1">
      <c r="A298" s="5"/>
      <c r="B298" s="5"/>
      <c r="C298" s="5"/>
    </row>
    <row r="299" ht="15.75" customHeight="1">
      <c r="A299" s="5"/>
      <c r="B299" s="5"/>
      <c r="C299" s="5"/>
    </row>
    <row r="300" ht="15.75" customHeight="1">
      <c r="A300" s="5"/>
      <c r="B300" s="5"/>
      <c r="C300" s="5"/>
    </row>
    <row r="301" ht="15.75" customHeight="1">
      <c r="A301" s="5"/>
      <c r="B301" s="5"/>
      <c r="C301" s="5"/>
    </row>
    <row r="302" ht="15.75" customHeight="1">
      <c r="A302" s="5"/>
      <c r="B302" s="5"/>
      <c r="C302" s="5"/>
    </row>
    <row r="303" ht="15.75" customHeight="1">
      <c r="A303" s="5"/>
      <c r="B303" s="5"/>
      <c r="C303" s="5"/>
    </row>
    <row r="304" ht="15.75" customHeight="1">
      <c r="A304" s="5"/>
      <c r="B304" s="5"/>
      <c r="C304" s="5"/>
    </row>
    <row r="305" ht="15.75" customHeight="1">
      <c r="A305" s="5"/>
      <c r="B305" s="5"/>
      <c r="C305" s="5"/>
    </row>
    <row r="306" ht="15.75" customHeight="1">
      <c r="A306" s="5"/>
      <c r="B306" s="5"/>
      <c r="C306" s="5"/>
    </row>
    <row r="307" ht="15.75" customHeight="1">
      <c r="A307" s="5"/>
      <c r="B307" s="5"/>
      <c r="C307" s="5"/>
    </row>
    <row r="308" ht="15.75" customHeight="1">
      <c r="A308" s="5"/>
      <c r="B308" s="5"/>
      <c r="C308" s="5"/>
    </row>
    <row r="309" ht="15.75" customHeight="1">
      <c r="A309" s="5"/>
      <c r="B309" s="5"/>
      <c r="C309" s="5"/>
    </row>
    <row r="310" ht="15.75" customHeight="1">
      <c r="A310" s="5"/>
      <c r="B310" s="5"/>
      <c r="C310" s="5"/>
    </row>
    <row r="311" ht="15.75" customHeight="1">
      <c r="A311" s="5"/>
      <c r="B311" s="5"/>
      <c r="C311" s="5"/>
    </row>
    <row r="312" ht="15.75" customHeight="1">
      <c r="A312" s="5"/>
      <c r="B312" s="5"/>
      <c r="C312" s="5"/>
    </row>
    <row r="313" ht="15.75" customHeight="1">
      <c r="A313" s="5"/>
      <c r="B313" s="5"/>
      <c r="C313" s="5"/>
    </row>
    <row r="314" ht="15.75" customHeight="1">
      <c r="A314" s="5"/>
      <c r="B314" s="5"/>
      <c r="C314" s="5"/>
    </row>
    <row r="315" ht="15.75" customHeight="1">
      <c r="A315" s="5"/>
      <c r="B315" s="5"/>
      <c r="C315" s="5"/>
    </row>
    <row r="316" ht="15.75" customHeight="1">
      <c r="A316" s="5"/>
      <c r="B316" s="5"/>
      <c r="C316" s="5"/>
    </row>
    <row r="317" ht="15.75" customHeight="1">
      <c r="A317" s="5"/>
      <c r="B317" s="5"/>
      <c r="C317" s="5"/>
    </row>
    <row r="318" ht="15.75" customHeight="1">
      <c r="A318" s="5"/>
      <c r="B318" s="5"/>
      <c r="C318" s="5"/>
    </row>
    <row r="319" ht="15.75" customHeight="1">
      <c r="A319" s="5"/>
      <c r="B319" s="5"/>
      <c r="C319" s="5"/>
    </row>
    <row r="320" ht="15.75" customHeight="1">
      <c r="A320" s="5"/>
      <c r="B320" s="5"/>
      <c r="C320" s="5"/>
    </row>
    <row r="321" ht="15.75" customHeight="1">
      <c r="A321" s="5"/>
      <c r="B321" s="5"/>
      <c r="C321" s="5"/>
    </row>
    <row r="322" ht="15.75" customHeight="1">
      <c r="A322" s="5"/>
      <c r="B322" s="5"/>
      <c r="C322" s="5"/>
    </row>
    <row r="323" ht="15.75" customHeight="1">
      <c r="A323" s="5"/>
      <c r="B323" s="5"/>
      <c r="C323" s="5"/>
    </row>
    <row r="324" ht="15.75" customHeight="1">
      <c r="A324" s="5"/>
      <c r="B324" s="5"/>
      <c r="C324" s="5"/>
    </row>
    <row r="325" ht="15.75" customHeight="1">
      <c r="A325" s="5"/>
      <c r="B325" s="5"/>
      <c r="C325" s="5"/>
    </row>
    <row r="326" ht="15.75" customHeight="1">
      <c r="A326" s="5"/>
      <c r="B326" s="5"/>
      <c r="C326" s="5"/>
    </row>
    <row r="327" ht="15.75" customHeight="1">
      <c r="A327" s="5"/>
      <c r="B327" s="5"/>
      <c r="C327" s="5"/>
    </row>
    <row r="328" ht="15.75" customHeight="1">
      <c r="A328" s="5"/>
      <c r="B328" s="5"/>
      <c r="C328" s="5"/>
    </row>
    <row r="329" ht="15.75" customHeight="1">
      <c r="A329" s="5"/>
      <c r="B329" s="5"/>
      <c r="C329" s="5"/>
    </row>
    <row r="330" ht="15.75" customHeight="1">
      <c r="A330" s="5"/>
      <c r="B330" s="5"/>
      <c r="C330" s="5"/>
    </row>
    <row r="331" ht="15.75" customHeight="1">
      <c r="A331" s="5"/>
      <c r="B331" s="5"/>
      <c r="C331" s="5"/>
    </row>
    <row r="332" ht="15.75" customHeight="1">
      <c r="A332" s="5"/>
      <c r="B332" s="5"/>
      <c r="C332" s="5"/>
    </row>
    <row r="333" ht="15.75" customHeight="1">
      <c r="A333" s="5"/>
      <c r="B333" s="5"/>
      <c r="C333" s="5"/>
    </row>
    <row r="334" ht="15.75" customHeight="1">
      <c r="A334" s="5"/>
      <c r="B334" s="5"/>
      <c r="C334" s="5"/>
    </row>
    <row r="335" ht="15.75" customHeight="1">
      <c r="A335" s="5"/>
      <c r="B335" s="5"/>
      <c r="C335" s="5"/>
    </row>
    <row r="336" ht="15.75" customHeight="1">
      <c r="A336" s="5"/>
      <c r="B336" s="5"/>
      <c r="C336" s="5"/>
    </row>
    <row r="337" ht="15.75" customHeight="1">
      <c r="A337" s="5"/>
      <c r="B337" s="5"/>
      <c r="C337" s="5"/>
    </row>
    <row r="338" ht="15.75" customHeight="1">
      <c r="A338" s="5"/>
      <c r="B338" s="5"/>
      <c r="C338" s="5"/>
    </row>
    <row r="339" ht="15.75" customHeight="1">
      <c r="A339" s="5"/>
      <c r="B339" s="5"/>
      <c r="C339" s="5"/>
    </row>
    <row r="340" ht="15.75" customHeight="1">
      <c r="A340" s="5"/>
      <c r="B340" s="5"/>
      <c r="C340" s="5"/>
    </row>
    <row r="341" ht="15.75" customHeight="1">
      <c r="A341" s="5"/>
      <c r="B341" s="5"/>
      <c r="C341" s="5"/>
    </row>
    <row r="342" ht="15.75" customHeight="1">
      <c r="A342" s="5"/>
      <c r="B342" s="5"/>
      <c r="C342" s="5"/>
    </row>
    <row r="343" ht="15.75" customHeight="1">
      <c r="A343" s="5"/>
      <c r="B343" s="5"/>
      <c r="C343" s="5"/>
    </row>
    <row r="344" ht="15.75" customHeight="1">
      <c r="A344" s="5"/>
      <c r="B344" s="5"/>
      <c r="C344" s="5"/>
    </row>
    <row r="345" ht="15.75" customHeight="1">
      <c r="A345" s="5"/>
      <c r="B345" s="5"/>
      <c r="C345" s="5"/>
    </row>
    <row r="346" ht="15.75" customHeight="1">
      <c r="A346" s="5"/>
      <c r="B346" s="5"/>
      <c r="C346" s="5"/>
    </row>
    <row r="347" ht="15.75" customHeight="1">
      <c r="A347" s="5"/>
      <c r="B347" s="5"/>
      <c r="C347" s="5"/>
    </row>
    <row r="348" ht="15.75" customHeight="1">
      <c r="A348" s="5"/>
      <c r="B348" s="5"/>
      <c r="C348" s="5"/>
    </row>
    <row r="349" ht="15.75" customHeight="1">
      <c r="A349" s="5"/>
      <c r="B349" s="5"/>
      <c r="C349" s="5"/>
    </row>
    <row r="350" ht="15.75" customHeight="1">
      <c r="A350" s="5"/>
      <c r="B350" s="5"/>
      <c r="C350" s="5"/>
    </row>
    <row r="351" ht="15.75" customHeight="1">
      <c r="A351" s="5"/>
      <c r="B351" s="5"/>
      <c r="C351" s="5"/>
    </row>
    <row r="352" ht="15.75" customHeight="1">
      <c r="A352" s="5"/>
      <c r="B352" s="5"/>
      <c r="C352" s="5"/>
    </row>
    <row r="353" ht="15.75" customHeight="1">
      <c r="A353" s="5"/>
      <c r="B353" s="5"/>
      <c r="C353" s="5"/>
    </row>
    <row r="354" ht="15.75" customHeight="1">
      <c r="A354" s="5"/>
      <c r="B354" s="5"/>
      <c r="C354" s="5"/>
    </row>
    <row r="355" ht="15.75" customHeight="1">
      <c r="A355" s="5"/>
      <c r="B355" s="5"/>
      <c r="C355" s="5"/>
    </row>
    <row r="356" ht="15.75" customHeight="1">
      <c r="A356" s="5"/>
      <c r="B356" s="5"/>
      <c r="C356" s="5"/>
    </row>
    <row r="357" ht="15.75" customHeight="1">
      <c r="A357" s="5"/>
      <c r="B357" s="5"/>
      <c r="C357" s="5"/>
    </row>
    <row r="358" ht="15.75" customHeight="1">
      <c r="A358" s="5"/>
      <c r="B358" s="5"/>
      <c r="C358" s="5"/>
    </row>
    <row r="359" ht="15.75" customHeight="1">
      <c r="A359" s="5"/>
      <c r="B359" s="5"/>
      <c r="C359" s="5"/>
    </row>
    <row r="360" ht="15.75" customHeight="1">
      <c r="A360" s="5"/>
      <c r="B360" s="5"/>
      <c r="C360" s="5"/>
    </row>
    <row r="361" ht="15.75" customHeight="1">
      <c r="A361" s="5"/>
      <c r="B361" s="5"/>
      <c r="C361" s="5"/>
    </row>
    <row r="362" ht="15.75" customHeight="1">
      <c r="A362" s="5"/>
      <c r="B362" s="5"/>
      <c r="C362" s="5"/>
    </row>
    <row r="363" ht="15.75" customHeight="1">
      <c r="A363" s="5"/>
      <c r="B363" s="5"/>
      <c r="C363" s="5"/>
    </row>
    <row r="364" ht="15.75" customHeight="1">
      <c r="A364" s="5"/>
      <c r="B364" s="5"/>
      <c r="C364" s="5"/>
    </row>
    <row r="365" ht="15.75" customHeight="1">
      <c r="A365" s="5"/>
      <c r="B365" s="5"/>
      <c r="C365" s="5"/>
    </row>
    <row r="366" ht="15.75" customHeight="1">
      <c r="A366" s="5"/>
      <c r="B366" s="5"/>
      <c r="C366" s="5"/>
    </row>
    <row r="367" ht="15.75" customHeight="1">
      <c r="A367" s="5"/>
      <c r="B367" s="5"/>
      <c r="C367" s="5"/>
    </row>
    <row r="368" ht="15.75" customHeight="1">
      <c r="A368" s="5"/>
      <c r="B368" s="5"/>
      <c r="C368" s="5"/>
    </row>
    <row r="369" ht="15.75" customHeight="1">
      <c r="A369" s="5"/>
      <c r="B369" s="5"/>
      <c r="C369" s="5"/>
    </row>
    <row r="370" ht="15.75" customHeight="1">
      <c r="A370" s="5"/>
      <c r="B370" s="5"/>
      <c r="C370" s="5"/>
    </row>
    <row r="371" ht="15.75" customHeight="1">
      <c r="A371" s="5"/>
      <c r="B371" s="5"/>
      <c r="C371" s="5"/>
    </row>
    <row r="372" ht="15.75" customHeight="1">
      <c r="A372" s="5"/>
      <c r="B372" s="5"/>
      <c r="C372" s="5"/>
    </row>
    <row r="373" ht="15.75" customHeight="1">
      <c r="A373" s="5"/>
      <c r="B373" s="5"/>
      <c r="C373" s="5"/>
    </row>
    <row r="374" ht="15.75" customHeight="1">
      <c r="A374" s="5"/>
      <c r="B374" s="5"/>
      <c r="C374" s="5"/>
    </row>
    <row r="375" ht="15.75" customHeight="1">
      <c r="A375" s="5"/>
      <c r="B375" s="5"/>
      <c r="C375" s="5"/>
    </row>
    <row r="376" ht="15.75" customHeight="1">
      <c r="A376" s="5"/>
      <c r="B376" s="5"/>
      <c r="C376" s="5"/>
    </row>
    <row r="377" ht="15.75" customHeight="1">
      <c r="A377" s="5"/>
      <c r="B377" s="5"/>
      <c r="C377" s="5"/>
    </row>
    <row r="378" ht="15.75" customHeight="1">
      <c r="A378" s="5"/>
      <c r="B378" s="5"/>
      <c r="C378" s="5"/>
    </row>
    <row r="379" ht="15.75" customHeight="1">
      <c r="A379" s="5"/>
      <c r="B379" s="5"/>
      <c r="C379" s="5"/>
    </row>
    <row r="380" ht="15.75" customHeight="1">
      <c r="A380" s="5"/>
      <c r="B380" s="5"/>
      <c r="C380" s="5"/>
    </row>
    <row r="381" ht="15.75" customHeight="1">
      <c r="A381" s="5"/>
      <c r="B381" s="5"/>
      <c r="C381" s="5"/>
    </row>
    <row r="382" ht="15.75" customHeight="1">
      <c r="A382" s="5"/>
      <c r="B382" s="5"/>
      <c r="C382" s="5"/>
    </row>
    <row r="383" ht="15.75" customHeight="1">
      <c r="A383" s="5"/>
      <c r="B383" s="5"/>
      <c r="C383" s="5"/>
    </row>
    <row r="384" ht="15.75" customHeight="1">
      <c r="A384" s="5"/>
      <c r="B384" s="5"/>
      <c r="C384" s="5"/>
    </row>
    <row r="385" ht="15.75" customHeight="1">
      <c r="A385" s="5"/>
      <c r="B385" s="5"/>
      <c r="C385" s="5"/>
    </row>
    <row r="386" ht="15.75" customHeight="1">
      <c r="A386" s="5"/>
      <c r="B386" s="5"/>
      <c r="C386" s="5"/>
    </row>
    <row r="387" ht="15.75" customHeight="1">
      <c r="A387" s="5"/>
      <c r="B387" s="5"/>
      <c r="C387" s="5"/>
    </row>
    <row r="388" ht="15.75" customHeight="1">
      <c r="A388" s="5"/>
      <c r="B388" s="5"/>
      <c r="C388" s="5"/>
    </row>
    <row r="389" ht="15.75" customHeight="1">
      <c r="A389" s="5"/>
      <c r="B389" s="5"/>
      <c r="C389" s="5"/>
    </row>
    <row r="390" ht="15.75" customHeight="1">
      <c r="A390" s="5"/>
      <c r="B390" s="5"/>
      <c r="C390" s="5"/>
    </row>
    <row r="391" ht="15.75" customHeight="1">
      <c r="A391" s="5"/>
      <c r="B391" s="5"/>
      <c r="C391" s="5"/>
    </row>
    <row r="392" ht="15.75" customHeight="1">
      <c r="A392" s="5"/>
      <c r="B392" s="5"/>
      <c r="C392" s="5"/>
    </row>
    <row r="393" ht="15.75" customHeight="1">
      <c r="A393" s="5"/>
      <c r="B393" s="5"/>
      <c r="C393" s="5"/>
    </row>
    <row r="394" ht="15.75" customHeight="1">
      <c r="A394" s="5"/>
      <c r="B394" s="5"/>
      <c r="C394" s="5"/>
    </row>
    <row r="395" ht="15.75" customHeight="1">
      <c r="A395" s="5"/>
      <c r="B395" s="5"/>
      <c r="C395" s="5"/>
    </row>
    <row r="396" ht="15.75" customHeight="1">
      <c r="A396" s="5"/>
      <c r="B396" s="5"/>
      <c r="C396" s="5"/>
    </row>
    <row r="397" ht="15.75" customHeight="1">
      <c r="A397" s="5"/>
      <c r="B397" s="5"/>
      <c r="C397" s="5"/>
    </row>
    <row r="398" ht="15.75" customHeight="1">
      <c r="A398" s="5"/>
      <c r="B398" s="5"/>
      <c r="C398" s="5"/>
    </row>
    <row r="399" ht="15.75" customHeight="1">
      <c r="A399" s="5"/>
      <c r="B399" s="5"/>
      <c r="C399" s="5"/>
    </row>
    <row r="400" ht="15.75" customHeight="1">
      <c r="A400" s="5"/>
      <c r="B400" s="5"/>
      <c r="C400" s="5"/>
    </row>
    <row r="401" ht="15.75" customHeight="1">
      <c r="A401" s="5"/>
      <c r="B401" s="5"/>
      <c r="C401" s="5"/>
    </row>
    <row r="402" ht="15.75" customHeight="1">
      <c r="A402" s="5"/>
      <c r="B402" s="5"/>
      <c r="C402" s="5"/>
    </row>
    <row r="403" ht="15.75" customHeight="1">
      <c r="A403" s="5"/>
      <c r="B403" s="5"/>
      <c r="C403" s="5"/>
    </row>
    <row r="404" ht="15.75" customHeight="1">
      <c r="A404" s="5"/>
      <c r="B404" s="5"/>
      <c r="C404" s="5"/>
    </row>
    <row r="405" ht="15.75" customHeight="1">
      <c r="A405" s="5"/>
      <c r="B405" s="5"/>
      <c r="C405" s="5"/>
    </row>
    <row r="406" ht="15.75" customHeight="1">
      <c r="A406" s="5"/>
      <c r="B406" s="5"/>
      <c r="C406" s="5"/>
    </row>
    <row r="407" ht="15.75" customHeight="1">
      <c r="A407" s="5"/>
      <c r="B407" s="5"/>
      <c r="C407" s="5"/>
    </row>
    <row r="408" ht="15.75" customHeight="1">
      <c r="A408" s="5"/>
      <c r="B408" s="5"/>
      <c r="C408" s="5"/>
    </row>
    <row r="409" ht="15.75" customHeight="1">
      <c r="A409" s="5"/>
      <c r="B409" s="5"/>
      <c r="C409" s="5"/>
    </row>
    <row r="410" ht="15.75" customHeight="1">
      <c r="A410" s="5"/>
      <c r="B410" s="5"/>
      <c r="C410" s="5"/>
    </row>
    <row r="411" ht="15.75" customHeight="1">
      <c r="A411" s="5"/>
      <c r="B411" s="5"/>
      <c r="C411" s="5"/>
    </row>
    <row r="412" ht="15.75" customHeight="1">
      <c r="A412" s="5"/>
      <c r="B412" s="5"/>
      <c r="C412" s="5"/>
    </row>
    <row r="413" ht="15.75" customHeight="1">
      <c r="A413" s="5"/>
      <c r="B413" s="5"/>
      <c r="C413" s="5"/>
    </row>
    <row r="414" ht="15.75" customHeight="1">
      <c r="A414" s="5"/>
      <c r="B414" s="5"/>
      <c r="C414" s="5"/>
    </row>
    <row r="415" ht="15.75" customHeight="1">
      <c r="A415" s="5"/>
      <c r="B415" s="5"/>
      <c r="C415" s="5"/>
    </row>
    <row r="416" ht="15.75" customHeight="1">
      <c r="A416" s="5"/>
      <c r="B416" s="5"/>
      <c r="C416" s="5"/>
    </row>
    <row r="417" ht="15.75" customHeight="1">
      <c r="A417" s="5"/>
      <c r="B417" s="5"/>
      <c r="C417" s="5"/>
    </row>
    <row r="418" ht="15.75" customHeight="1">
      <c r="A418" s="5"/>
      <c r="B418" s="5"/>
      <c r="C418" s="5"/>
    </row>
    <row r="419" ht="15.75" customHeight="1">
      <c r="A419" s="5"/>
      <c r="B419" s="5"/>
      <c r="C419" s="5"/>
    </row>
    <row r="420" ht="15.75" customHeight="1">
      <c r="A420" s="5"/>
      <c r="B420" s="5"/>
      <c r="C420" s="5"/>
    </row>
    <row r="421" ht="15.75" customHeight="1">
      <c r="A421" s="5"/>
      <c r="B421" s="5"/>
      <c r="C421" s="5"/>
    </row>
    <row r="422" ht="15.75" customHeight="1">
      <c r="A422" s="5"/>
      <c r="B422" s="5"/>
      <c r="C422" s="5"/>
    </row>
    <row r="423" ht="15.75" customHeight="1">
      <c r="A423" s="5"/>
      <c r="B423" s="5"/>
      <c r="C423" s="5"/>
    </row>
    <row r="424" ht="15.75" customHeight="1">
      <c r="A424" s="5"/>
      <c r="B424" s="5"/>
      <c r="C424" s="5"/>
    </row>
    <row r="425" ht="15.75" customHeight="1">
      <c r="A425" s="5"/>
      <c r="B425" s="5"/>
      <c r="C425" s="5"/>
    </row>
    <row r="426" ht="15.75" customHeight="1">
      <c r="A426" s="5"/>
      <c r="B426" s="5"/>
      <c r="C426" s="5"/>
    </row>
    <row r="427" ht="15.75" customHeight="1">
      <c r="A427" s="5"/>
      <c r="B427" s="5"/>
      <c r="C427" s="5"/>
    </row>
    <row r="428" ht="15.75" customHeight="1">
      <c r="A428" s="5"/>
      <c r="B428" s="5"/>
      <c r="C428" s="5"/>
    </row>
    <row r="429" ht="15.75" customHeight="1">
      <c r="A429" s="5"/>
      <c r="B429" s="5"/>
      <c r="C429" s="5"/>
    </row>
    <row r="430" ht="15.75" customHeight="1">
      <c r="A430" s="5"/>
      <c r="B430" s="5"/>
      <c r="C430" s="5"/>
    </row>
    <row r="431" ht="15.75" customHeight="1">
      <c r="A431" s="5"/>
      <c r="B431" s="5"/>
      <c r="C431" s="5"/>
    </row>
    <row r="432" ht="15.75" customHeight="1">
      <c r="A432" s="5"/>
      <c r="B432" s="5"/>
      <c r="C432" s="5"/>
    </row>
    <row r="433" ht="15.75" customHeight="1">
      <c r="A433" s="5"/>
      <c r="B433" s="5"/>
      <c r="C433" s="5"/>
    </row>
    <row r="434" ht="15.75" customHeight="1">
      <c r="A434" s="5"/>
      <c r="B434" s="5"/>
      <c r="C434" s="5"/>
    </row>
    <row r="435" ht="15.75" customHeight="1">
      <c r="A435" s="5"/>
      <c r="B435" s="5"/>
      <c r="C435" s="5"/>
    </row>
    <row r="436" ht="15.75" customHeight="1">
      <c r="A436" s="5"/>
      <c r="B436" s="5"/>
      <c r="C436" s="5"/>
    </row>
    <row r="437" ht="15.75" customHeight="1">
      <c r="A437" s="5"/>
      <c r="B437" s="5"/>
      <c r="C437" s="5"/>
    </row>
    <row r="438" ht="15.75" customHeight="1">
      <c r="A438" s="5"/>
      <c r="B438" s="5"/>
      <c r="C438" s="5"/>
    </row>
    <row r="439" ht="15.75" customHeight="1">
      <c r="A439" s="5"/>
      <c r="B439" s="5"/>
      <c r="C439" s="5"/>
    </row>
    <row r="440" ht="15.75" customHeight="1">
      <c r="A440" s="5"/>
      <c r="B440" s="5"/>
      <c r="C440" s="5"/>
    </row>
    <row r="441" ht="15.75" customHeight="1">
      <c r="A441" s="5"/>
      <c r="B441" s="5"/>
      <c r="C441" s="5"/>
    </row>
    <row r="442" ht="15.75" customHeight="1">
      <c r="A442" s="5"/>
      <c r="B442" s="5"/>
      <c r="C442" s="5"/>
    </row>
    <row r="443" ht="15.75" customHeight="1">
      <c r="A443" s="5"/>
      <c r="B443" s="5"/>
      <c r="C443" s="5"/>
    </row>
    <row r="444" ht="15.75" customHeight="1">
      <c r="A444" s="5"/>
      <c r="B444" s="5"/>
      <c r="C444" s="5"/>
    </row>
    <row r="445" ht="15.75" customHeight="1">
      <c r="A445" s="5"/>
      <c r="B445" s="5"/>
      <c r="C445" s="5"/>
    </row>
    <row r="446" ht="15.75" customHeight="1">
      <c r="A446" s="5"/>
      <c r="B446" s="5"/>
      <c r="C446" s="5"/>
    </row>
    <row r="447" ht="15.75" customHeight="1">
      <c r="A447" s="5"/>
      <c r="B447" s="5"/>
      <c r="C447" s="5"/>
    </row>
    <row r="448" ht="15.75" customHeight="1">
      <c r="A448" s="5"/>
      <c r="B448" s="5"/>
      <c r="C448" s="5"/>
    </row>
    <row r="449" ht="15.75" customHeight="1">
      <c r="A449" s="5"/>
      <c r="B449" s="5"/>
      <c r="C449" s="5"/>
    </row>
    <row r="450" ht="15.75" customHeight="1">
      <c r="A450" s="5"/>
      <c r="B450" s="5"/>
      <c r="C450" s="5"/>
    </row>
    <row r="451" ht="15.75" customHeight="1">
      <c r="A451" s="5"/>
      <c r="B451" s="5"/>
      <c r="C451" s="5"/>
    </row>
    <row r="452" ht="15.75" customHeight="1">
      <c r="A452" s="5"/>
      <c r="B452" s="5"/>
      <c r="C452" s="5"/>
    </row>
    <row r="453" ht="15.75" customHeight="1">
      <c r="A453" s="5"/>
      <c r="B453" s="5"/>
      <c r="C453" s="5"/>
    </row>
    <row r="454" ht="15.75" customHeight="1">
      <c r="A454" s="5"/>
      <c r="B454" s="5"/>
      <c r="C454" s="5"/>
    </row>
    <row r="455" ht="15.75" customHeight="1">
      <c r="A455" s="5"/>
      <c r="B455" s="5"/>
      <c r="C455" s="5"/>
    </row>
    <row r="456" ht="15.75" customHeight="1">
      <c r="A456" s="5"/>
      <c r="B456" s="5"/>
      <c r="C456" s="5"/>
    </row>
    <row r="457" ht="15.75" customHeight="1">
      <c r="A457" s="5"/>
      <c r="B457" s="5"/>
      <c r="C457" s="5"/>
    </row>
    <row r="458" ht="15.75" customHeight="1">
      <c r="A458" s="5"/>
      <c r="B458" s="5"/>
      <c r="C458" s="5"/>
    </row>
    <row r="459" ht="15.75" customHeight="1">
      <c r="A459" s="5"/>
      <c r="B459" s="5"/>
      <c r="C459" s="5"/>
    </row>
    <row r="460" ht="15.75" customHeight="1">
      <c r="A460" s="5"/>
      <c r="B460" s="5"/>
      <c r="C460" s="5"/>
    </row>
    <row r="461" ht="15.75" customHeight="1">
      <c r="A461" s="5"/>
      <c r="B461" s="5"/>
      <c r="C461" s="5"/>
    </row>
    <row r="462" ht="15.75" customHeight="1">
      <c r="A462" s="5"/>
      <c r="B462" s="5"/>
      <c r="C462" s="5"/>
    </row>
    <row r="463" ht="15.75" customHeight="1">
      <c r="A463" s="5"/>
      <c r="B463" s="5"/>
      <c r="C463" s="5"/>
    </row>
    <row r="464" ht="15.75" customHeight="1">
      <c r="A464" s="5"/>
      <c r="B464" s="5"/>
      <c r="C464" s="5"/>
    </row>
    <row r="465" ht="15.75" customHeight="1">
      <c r="A465" s="5"/>
      <c r="B465" s="5"/>
      <c r="C465" s="5"/>
    </row>
    <row r="466" ht="15.75" customHeight="1">
      <c r="A466" s="5"/>
      <c r="B466" s="5"/>
      <c r="C466" s="5"/>
    </row>
    <row r="467" ht="15.75" customHeight="1">
      <c r="A467" s="5"/>
      <c r="B467" s="5"/>
      <c r="C467" s="5"/>
    </row>
    <row r="468" ht="15.75" customHeight="1">
      <c r="A468" s="5"/>
      <c r="B468" s="5"/>
      <c r="C468" s="5"/>
    </row>
    <row r="469" ht="15.75" customHeight="1">
      <c r="A469" s="5"/>
      <c r="B469" s="5"/>
      <c r="C469" s="5"/>
    </row>
    <row r="470" ht="15.75" customHeight="1">
      <c r="A470" s="5"/>
      <c r="B470" s="5"/>
      <c r="C470" s="5"/>
    </row>
    <row r="471" ht="15.75" customHeight="1">
      <c r="A471" s="5"/>
      <c r="B471" s="5"/>
      <c r="C471" s="5"/>
    </row>
    <row r="472" ht="15.75" customHeight="1">
      <c r="A472" s="5"/>
      <c r="B472" s="5"/>
      <c r="C472" s="5"/>
    </row>
    <row r="473" ht="15.75" customHeight="1">
      <c r="A473" s="5"/>
      <c r="B473" s="5"/>
      <c r="C473" s="5"/>
    </row>
    <row r="474" ht="15.75" customHeight="1">
      <c r="A474" s="5"/>
      <c r="B474" s="5"/>
      <c r="C474" s="5"/>
    </row>
    <row r="475" ht="15.75" customHeight="1">
      <c r="A475" s="5"/>
      <c r="B475" s="5"/>
      <c r="C475" s="5"/>
    </row>
    <row r="476" ht="15.75" customHeight="1">
      <c r="A476" s="5"/>
      <c r="B476" s="5"/>
      <c r="C476" s="5"/>
    </row>
    <row r="477" ht="15.75" customHeight="1">
      <c r="A477" s="5"/>
      <c r="B477" s="5"/>
      <c r="C477" s="5"/>
    </row>
    <row r="478" ht="15.75" customHeight="1">
      <c r="A478" s="5"/>
      <c r="B478" s="5"/>
      <c r="C478" s="5"/>
    </row>
    <row r="479" ht="15.75" customHeight="1">
      <c r="A479" s="5"/>
      <c r="B479" s="5"/>
      <c r="C479" s="5"/>
    </row>
    <row r="480" ht="15.75" customHeight="1">
      <c r="A480" s="5"/>
      <c r="B480" s="5"/>
      <c r="C480" s="5"/>
    </row>
    <row r="481" ht="15.75" customHeight="1">
      <c r="A481" s="5"/>
      <c r="B481" s="5"/>
      <c r="C481" s="5"/>
    </row>
    <row r="482" ht="15.75" customHeight="1">
      <c r="A482" s="5"/>
      <c r="B482" s="5"/>
      <c r="C482" s="5"/>
    </row>
    <row r="483" ht="15.75" customHeight="1">
      <c r="A483" s="5"/>
      <c r="B483" s="5"/>
      <c r="C483" s="5"/>
    </row>
    <row r="484" ht="15.75" customHeight="1">
      <c r="A484" s="5"/>
      <c r="B484" s="5"/>
      <c r="C484" s="5"/>
    </row>
    <row r="485" ht="15.75" customHeight="1">
      <c r="A485" s="5"/>
      <c r="B485" s="5"/>
      <c r="C485" s="5"/>
    </row>
    <row r="486" ht="15.75" customHeight="1">
      <c r="A486" s="5"/>
      <c r="B486" s="5"/>
      <c r="C486" s="5"/>
    </row>
    <row r="487" ht="15.75" customHeight="1">
      <c r="A487" s="5"/>
      <c r="B487" s="5"/>
      <c r="C487" s="5"/>
    </row>
    <row r="488" ht="15.75" customHeight="1">
      <c r="A488" s="5"/>
      <c r="B488" s="5"/>
      <c r="C488" s="5"/>
    </row>
    <row r="489" ht="15.75" customHeight="1">
      <c r="A489" s="5"/>
      <c r="B489" s="5"/>
      <c r="C489" s="5"/>
    </row>
    <row r="490" ht="15.75" customHeight="1">
      <c r="A490" s="5"/>
      <c r="B490" s="5"/>
      <c r="C490" s="5"/>
    </row>
    <row r="491" ht="15.75" customHeight="1">
      <c r="A491" s="5"/>
      <c r="B491" s="5"/>
      <c r="C491" s="5"/>
    </row>
    <row r="492" ht="15.75" customHeight="1">
      <c r="A492" s="5"/>
      <c r="B492" s="5"/>
      <c r="C492" s="5"/>
    </row>
    <row r="493" ht="15.75" customHeight="1">
      <c r="A493" s="5"/>
      <c r="B493" s="5"/>
      <c r="C493" s="5"/>
    </row>
    <row r="494" ht="15.75" customHeight="1">
      <c r="A494" s="5"/>
      <c r="B494" s="5"/>
      <c r="C494" s="5"/>
    </row>
    <row r="495" ht="15.75" customHeight="1">
      <c r="A495" s="5"/>
      <c r="B495" s="5"/>
      <c r="C495" s="5"/>
    </row>
    <row r="496" ht="15.75" customHeight="1">
      <c r="A496" s="5"/>
      <c r="B496" s="5"/>
      <c r="C496" s="5"/>
    </row>
    <row r="497" ht="15.75" customHeight="1">
      <c r="A497" s="5"/>
      <c r="B497" s="5"/>
      <c r="C497" s="5"/>
    </row>
    <row r="498" ht="15.75" customHeight="1">
      <c r="A498" s="5"/>
      <c r="B498" s="5"/>
      <c r="C498" s="5"/>
    </row>
    <row r="499" ht="15.75" customHeight="1">
      <c r="A499" s="5"/>
      <c r="B499" s="5"/>
      <c r="C499" s="5"/>
    </row>
    <row r="500" ht="15.75" customHeight="1">
      <c r="A500" s="5"/>
      <c r="B500" s="5"/>
      <c r="C500" s="5"/>
    </row>
    <row r="501" ht="15.75" customHeight="1">
      <c r="A501" s="5"/>
      <c r="B501" s="5"/>
      <c r="C501" s="5"/>
    </row>
    <row r="502" ht="15.75" customHeight="1">
      <c r="A502" s="5"/>
      <c r="B502" s="5"/>
      <c r="C502" s="5"/>
    </row>
    <row r="503" ht="15.75" customHeight="1">
      <c r="A503" s="5"/>
      <c r="B503" s="5"/>
      <c r="C503" s="5"/>
    </row>
    <row r="504" ht="15.75" customHeight="1">
      <c r="A504" s="5"/>
      <c r="B504" s="5"/>
      <c r="C504" s="5"/>
    </row>
    <row r="505" ht="15.75" customHeight="1">
      <c r="A505" s="5"/>
      <c r="B505" s="5"/>
      <c r="C505" s="5"/>
    </row>
    <row r="506" ht="15.75" customHeight="1">
      <c r="A506" s="5"/>
      <c r="B506" s="5"/>
      <c r="C506" s="5"/>
    </row>
    <row r="507" ht="15.75" customHeight="1">
      <c r="A507" s="5"/>
      <c r="B507" s="5"/>
      <c r="C507" s="5"/>
    </row>
    <row r="508" ht="15.75" customHeight="1">
      <c r="A508" s="5"/>
      <c r="B508" s="5"/>
      <c r="C508" s="5"/>
    </row>
    <row r="509" ht="15.75" customHeight="1">
      <c r="A509" s="5"/>
      <c r="B509" s="5"/>
      <c r="C509" s="5"/>
    </row>
    <row r="510" ht="15.75" customHeight="1">
      <c r="A510" s="5"/>
      <c r="B510" s="5"/>
      <c r="C510" s="5"/>
    </row>
    <row r="511" ht="15.75" customHeight="1">
      <c r="A511" s="5"/>
      <c r="B511" s="5"/>
      <c r="C511" s="5"/>
    </row>
    <row r="512" ht="15.75" customHeight="1">
      <c r="A512" s="5"/>
      <c r="B512" s="5"/>
      <c r="C512" s="5"/>
    </row>
    <row r="513" ht="15.75" customHeight="1">
      <c r="A513" s="5"/>
      <c r="B513" s="5"/>
      <c r="C513" s="5"/>
    </row>
    <row r="514" ht="15.75" customHeight="1">
      <c r="A514" s="5"/>
      <c r="B514" s="5"/>
      <c r="C514" s="5"/>
    </row>
    <row r="515" ht="15.75" customHeight="1">
      <c r="A515" s="5"/>
      <c r="B515" s="5"/>
      <c r="C515" s="5"/>
    </row>
    <row r="516" ht="15.75" customHeight="1">
      <c r="A516" s="5"/>
      <c r="B516" s="5"/>
      <c r="C516" s="5"/>
    </row>
    <row r="517" ht="15.75" customHeight="1">
      <c r="A517" s="5"/>
      <c r="B517" s="5"/>
      <c r="C517" s="5"/>
    </row>
    <row r="518" ht="15.75" customHeight="1">
      <c r="A518" s="5"/>
      <c r="B518" s="5"/>
      <c r="C518" s="5"/>
    </row>
    <row r="519" ht="15.75" customHeight="1">
      <c r="A519" s="5"/>
      <c r="B519" s="5"/>
      <c r="C519" s="5"/>
    </row>
    <row r="520" ht="15.75" customHeight="1">
      <c r="A520" s="5"/>
      <c r="B520" s="5"/>
      <c r="C520" s="5"/>
    </row>
    <row r="521" ht="15.75" customHeight="1">
      <c r="A521" s="5"/>
      <c r="B521" s="5"/>
      <c r="C521" s="5"/>
    </row>
    <row r="522" ht="15.75" customHeight="1">
      <c r="A522" s="5"/>
      <c r="B522" s="5"/>
      <c r="C522" s="5"/>
    </row>
    <row r="523" ht="15.75" customHeight="1">
      <c r="A523" s="5"/>
      <c r="B523" s="5"/>
      <c r="C523" s="5"/>
    </row>
    <row r="524" ht="15.75" customHeight="1">
      <c r="A524" s="5"/>
      <c r="B524" s="5"/>
      <c r="C524" s="5"/>
    </row>
    <row r="525" ht="15.75" customHeight="1">
      <c r="A525" s="5"/>
      <c r="B525" s="5"/>
      <c r="C525" s="5"/>
    </row>
    <row r="526" ht="15.75" customHeight="1">
      <c r="A526" s="5"/>
      <c r="B526" s="5"/>
      <c r="C526" s="5"/>
    </row>
    <row r="527" ht="15.75" customHeight="1">
      <c r="A527" s="5"/>
      <c r="B527" s="5"/>
      <c r="C527" s="5"/>
    </row>
    <row r="528" ht="15.75" customHeight="1">
      <c r="A528" s="5"/>
      <c r="B528" s="5"/>
      <c r="C528" s="5"/>
    </row>
    <row r="529" ht="15.75" customHeight="1">
      <c r="A529" s="5"/>
      <c r="B529" s="5"/>
      <c r="C529" s="5"/>
    </row>
    <row r="530" ht="15.75" customHeight="1">
      <c r="A530" s="5"/>
      <c r="B530" s="5"/>
      <c r="C530" s="5"/>
    </row>
    <row r="531" ht="15.75" customHeight="1">
      <c r="A531" s="5"/>
      <c r="B531" s="5"/>
      <c r="C531" s="5"/>
    </row>
    <row r="532" ht="15.75" customHeight="1">
      <c r="A532" s="5"/>
      <c r="B532" s="5"/>
      <c r="C532" s="5"/>
    </row>
    <row r="533" ht="15.75" customHeight="1">
      <c r="A533" s="5"/>
      <c r="B533" s="5"/>
      <c r="C533" s="5"/>
    </row>
    <row r="534" ht="15.75" customHeight="1">
      <c r="A534" s="5"/>
      <c r="B534" s="5"/>
      <c r="C534" s="5"/>
    </row>
    <row r="535" ht="15.75" customHeight="1">
      <c r="A535" s="5"/>
      <c r="B535" s="5"/>
      <c r="C535" s="5"/>
    </row>
    <row r="536" ht="15.75" customHeight="1">
      <c r="A536" s="5"/>
      <c r="B536" s="5"/>
      <c r="C536" s="5"/>
    </row>
    <row r="537" ht="15.75" customHeight="1">
      <c r="A537" s="5"/>
      <c r="B537" s="5"/>
      <c r="C537" s="5"/>
    </row>
    <row r="538" ht="15.75" customHeight="1">
      <c r="A538" s="5"/>
      <c r="B538" s="5"/>
      <c r="C538" s="5"/>
    </row>
    <row r="539" ht="15.75" customHeight="1">
      <c r="A539" s="5"/>
      <c r="B539" s="5"/>
      <c r="C539" s="5"/>
    </row>
    <row r="540" ht="15.75" customHeight="1">
      <c r="A540" s="5"/>
      <c r="B540" s="5"/>
      <c r="C540" s="5"/>
    </row>
    <row r="541" ht="15.75" customHeight="1">
      <c r="A541" s="5"/>
      <c r="B541" s="5"/>
      <c r="C541" s="5"/>
    </row>
    <row r="542" ht="15.75" customHeight="1">
      <c r="A542" s="5"/>
      <c r="B542" s="5"/>
      <c r="C542" s="5"/>
    </row>
    <row r="543" ht="15.75" customHeight="1">
      <c r="A543" s="5"/>
      <c r="B543" s="5"/>
      <c r="C543" s="5"/>
    </row>
    <row r="544" ht="15.75" customHeight="1">
      <c r="A544" s="5"/>
      <c r="B544" s="5"/>
      <c r="C544" s="5"/>
    </row>
    <row r="545" ht="15.75" customHeight="1">
      <c r="A545" s="5"/>
      <c r="B545" s="5"/>
      <c r="C545" s="5"/>
    </row>
    <row r="546" ht="15.75" customHeight="1">
      <c r="A546" s="5"/>
      <c r="B546" s="5"/>
      <c r="C546" s="5"/>
    </row>
    <row r="547" ht="15.75" customHeight="1">
      <c r="A547" s="5"/>
      <c r="B547" s="5"/>
      <c r="C547" s="5"/>
    </row>
    <row r="548" ht="15.75" customHeight="1">
      <c r="A548" s="5"/>
      <c r="B548" s="5"/>
      <c r="C548" s="5"/>
    </row>
    <row r="549" ht="15.75" customHeight="1">
      <c r="A549" s="5"/>
      <c r="B549" s="5"/>
      <c r="C549" s="5"/>
    </row>
    <row r="550" ht="15.75" customHeight="1">
      <c r="A550" s="5"/>
      <c r="B550" s="5"/>
      <c r="C550" s="5"/>
    </row>
    <row r="551" ht="15.75" customHeight="1">
      <c r="A551" s="5"/>
      <c r="B551" s="5"/>
      <c r="C551" s="5"/>
    </row>
    <row r="552" ht="15.75" customHeight="1">
      <c r="A552" s="5"/>
      <c r="B552" s="5"/>
      <c r="C552" s="5"/>
    </row>
    <row r="553" ht="15.75" customHeight="1">
      <c r="A553" s="5"/>
      <c r="B553" s="5"/>
      <c r="C553" s="5"/>
    </row>
    <row r="554" ht="15.75" customHeight="1">
      <c r="A554" s="5"/>
      <c r="B554" s="5"/>
      <c r="C554" s="5"/>
    </row>
    <row r="555" ht="15.75" customHeight="1">
      <c r="A555" s="5"/>
      <c r="B555" s="5"/>
      <c r="C555" s="5"/>
    </row>
    <row r="556" ht="15.75" customHeight="1">
      <c r="A556" s="5"/>
      <c r="B556" s="5"/>
      <c r="C556" s="5"/>
    </row>
    <row r="557" ht="15.75" customHeight="1">
      <c r="A557" s="5"/>
      <c r="B557" s="5"/>
      <c r="C557" s="5"/>
    </row>
    <row r="558" ht="15.75" customHeight="1">
      <c r="A558" s="5"/>
      <c r="B558" s="5"/>
      <c r="C558" s="5"/>
    </row>
    <row r="559" ht="15.75" customHeight="1">
      <c r="A559" s="5"/>
      <c r="B559" s="5"/>
      <c r="C559" s="5"/>
    </row>
    <row r="560" ht="15.75" customHeight="1">
      <c r="A560" s="5"/>
      <c r="B560" s="5"/>
      <c r="C560" s="5"/>
    </row>
    <row r="561" ht="15.75" customHeight="1">
      <c r="A561" s="5"/>
      <c r="B561" s="5"/>
      <c r="C561" s="5"/>
    </row>
    <row r="562" ht="15.75" customHeight="1">
      <c r="A562" s="5"/>
      <c r="B562" s="5"/>
      <c r="C562" s="5"/>
    </row>
    <row r="563" ht="15.75" customHeight="1">
      <c r="A563" s="5"/>
      <c r="B563" s="5"/>
      <c r="C563" s="5"/>
    </row>
    <row r="564" ht="15.75" customHeight="1">
      <c r="A564" s="5"/>
      <c r="B564" s="5"/>
      <c r="C564" s="5"/>
    </row>
    <row r="565" ht="15.75" customHeight="1">
      <c r="A565" s="5"/>
      <c r="B565" s="5"/>
      <c r="C565" s="5"/>
    </row>
    <row r="566" ht="15.75" customHeight="1">
      <c r="A566" s="5"/>
      <c r="B566" s="5"/>
      <c r="C566" s="5"/>
    </row>
    <row r="567" ht="15.75" customHeight="1">
      <c r="A567" s="5"/>
      <c r="B567" s="5"/>
      <c r="C567" s="5"/>
    </row>
    <row r="568" ht="15.75" customHeight="1">
      <c r="A568" s="5"/>
      <c r="B568" s="5"/>
      <c r="C568" s="5"/>
    </row>
    <row r="569" ht="15.75" customHeight="1">
      <c r="A569" s="5"/>
      <c r="B569" s="5"/>
      <c r="C569" s="5"/>
    </row>
    <row r="570" ht="15.75" customHeight="1">
      <c r="A570" s="5"/>
      <c r="B570" s="5"/>
      <c r="C570" s="5"/>
    </row>
    <row r="571" ht="15.75" customHeight="1">
      <c r="A571" s="5"/>
      <c r="B571" s="5"/>
      <c r="C571" s="5"/>
    </row>
    <row r="572" ht="15.75" customHeight="1">
      <c r="A572" s="5"/>
      <c r="B572" s="5"/>
      <c r="C572" s="5"/>
    </row>
    <row r="573" ht="15.75" customHeight="1">
      <c r="A573" s="5"/>
      <c r="B573" s="5"/>
      <c r="C573" s="5"/>
    </row>
    <row r="574" ht="15.75" customHeight="1">
      <c r="A574" s="5"/>
      <c r="B574" s="5"/>
      <c r="C574" s="5"/>
    </row>
    <row r="575" ht="15.75" customHeight="1">
      <c r="A575" s="5"/>
      <c r="B575" s="5"/>
      <c r="C575" s="5"/>
    </row>
    <row r="576" ht="15.75" customHeight="1">
      <c r="A576" s="5"/>
      <c r="B576" s="5"/>
      <c r="C576" s="5"/>
    </row>
    <row r="577" ht="15.75" customHeight="1">
      <c r="A577" s="5"/>
      <c r="B577" s="5"/>
      <c r="C577" s="5"/>
    </row>
    <row r="578" ht="15.75" customHeight="1">
      <c r="A578" s="5"/>
      <c r="B578" s="5"/>
      <c r="C578" s="5"/>
    </row>
    <row r="579" ht="15.75" customHeight="1">
      <c r="A579" s="5"/>
      <c r="B579" s="5"/>
      <c r="C579" s="5"/>
    </row>
    <row r="580" ht="15.75" customHeight="1">
      <c r="A580" s="5"/>
      <c r="B580" s="5"/>
      <c r="C580" s="5"/>
    </row>
    <row r="581" ht="15.75" customHeight="1">
      <c r="A581" s="5"/>
      <c r="B581" s="5"/>
      <c r="C581" s="5"/>
    </row>
    <row r="582" ht="15.75" customHeight="1">
      <c r="A582" s="5"/>
      <c r="B582" s="5"/>
      <c r="C582" s="5"/>
    </row>
    <row r="583" ht="15.75" customHeight="1">
      <c r="A583" s="5"/>
      <c r="B583" s="5"/>
      <c r="C583" s="5"/>
    </row>
    <row r="584" ht="15.75" customHeight="1">
      <c r="A584" s="5"/>
      <c r="B584" s="5"/>
      <c r="C584" s="5"/>
    </row>
    <row r="585" ht="15.75" customHeight="1">
      <c r="A585" s="5"/>
      <c r="B585" s="5"/>
      <c r="C585" s="5"/>
    </row>
    <row r="586" ht="15.75" customHeight="1">
      <c r="A586" s="5"/>
      <c r="B586" s="5"/>
      <c r="C586" s="5"/>
    </row>
    <row r="587" ht="15.75" customHeight="1">
      <c r="A587" s="5"/>
      <c r="B587" s="5"/>
      <c r="C587" s="5"/>
    </row>
    <row r="588" ht="15.75" customHeight="1">
      <c r="A588" s="5"/>
      <c r="B588" s="5"/>
      <c r="C588" s="5"/>
    </row>
    <row r="589" ht="15.75" customHeight="1">
      <c r="A589" s="5"/>
      <c r="B589" s="5"/>
      <c r="C589" s="5"/>
    </row>
    <row r="590" ht="15.75" customHeight="1">
      <c r="A590" s="5"/>
      <c r="B590" s="5"/>
      <c r="C590" s="5"/>
    </row>
    <row r="591" ht="15.75" customHeight="1">
      <c r="A591" s="5"/>
      <c r="B591" s="5"/>
      <c r="C591" s="5"/>
    </row>
    <row r="592" ht="15.75" customHeight="1">
      <c r="A592" s="5"/>
      <c r="B592" s="5"/>
      <c r="C592" s="5"/>
    </row>
    <row r="593" ht="15.75" customHeight="1">
      <c r="A593" s="5"/>
      <c r="B593" s="5"/>
      <c r="C593" s="5"/>
    </row>
    <row r="594" ht="15.75" customHeight="1">
      <c r="A594" s="5"/>
      <c r="B594" s="5"/>
      <c r="C594" s="5"/>
    </row>
    <row r="595" ht="15.75" customHeight="1">
      <c r="A595" s="5"/>
      <c r="B595" s="5"/>
      <c r="C595" s="5"/>
    </row>
    <row r="596" ht="15.75" customHeight="1">
      <c r="A596" s="5"/>
      <c r="B596" s="5"/>
      <c r="C596" s="5"/>
    </row>
    <row r="597" ht="15.75" customHeight="1">
      <c r="A597" s="5"/>
      <c r="B597" s="5"/>
      <c r="C597" s="5"/>
    </row>
    <row r="598" ht="15.75" customHeight="1">
      <c r="A598" s="5"/>
      <c r="B598" s="5"/>
      <c r="C598" s="5"/>
    </row>
    <row r="599" ht="15.75" customHeight="1">
      <c r="A599" s="5"/>
      <c r="B599" s="5"/>
      <c r="C599" s="5"/>
    </row>
    <row r="600" ht="15.75" customHeight="1">
      <c r="A600" s="5"/>
      <c r="B600" s="5"/>
      <c r="C600" s="5"/>
    </row>
    <row r="601" ht="15.75" customHeight="1">
      <c r="A601" s="5"/>
      <c r="B601" s="5"/>
      <c r="C601" s="5"/>
    </row>
    <row r="602" ht="15.75" customHeight="1">
      <c r="A602" s="5"/>
      <c r="B602" s="5"/>
      <c r="C602" s="5"/>
    </row>
    <row r="603" ht="15.75" customHeight="1">
      <c r="A603" s="5"/>
      <c r="B603" s="5"/>
      <c r="C603" s="5"/>
    </row>
    <row r="604" ht="15.75" customHeight="1">
      <c r="A604" s="5"/>
      <c r="B604" s="5"/>
      <c r="C604" s="5"/>
    </row>
    <row r="605" ht="15.75" customHeight="1">
      <c r="A605" s="5"/>
      <c r="B605" s="5"/>
      <c r="C605" s="5"/>
    </row>
    <row r="606" ht="15.75" customHeight="1">
      <c r="A606" s="5"/>
      <c r="B606" s="5"/>
      <c r="C606" s="5"/>
    </row>
    <row r="607" ht="15.75" customHeight="1">
      <c r="A607" s="5"/>
      <c r="B607" s="5"/>
      <c r="C607" s="5"/>
    </row>
    <row r="608" ht="15.75" customHeight="1">
      <c r="A608" s="5"/>
      <c r="B608" s="5"/>
      <c r="C608" s="5"/>
    </row>
    <row r="609" ht="15.75" customHeight="1">
      <c r="A609" s="5"/>
      <c r="B609" s="5"/>
      <c r="C609" s="5"/>
    </row>
    <row r="610" ht="15.75" customHeight="1">
      <c r="A610" s="5"/>
      <c r="B610" s="5"/>
      <c r="C610" s="5"/>
    </row>
    <row r="611" ht="15.75" customHeight="1">
      <c r="A611" s="5"/>
      <c r="B611" s="5"/>
      <c r="C611" s="5"/>
    </row>
    <row r="612" ht="15.75" customHeight="1">
      <c r="A612" s="5"/>
      <c r="B612" s="5"/>
      <c r="C612" s="5"/>
    </row>
    <row r="613" ht="15.75" customHeight="1">
      <c r="A613" s="5"/>
      <c r="B613" s="5"/>
      <c r="C613" s="5"/>
    </row>
    <row r="614" ht="15.75" customHeight="1">
      <c r="A614" s="5"/>
      <c r="B614" s="5"/>
      <c r="C614" s="5"/>
    </row>
    <row r="615" ht="15.75" customHeight="1">
      <c r="A615" s="5"/>
      <c r="B615" s="5"/>
      <c r="C615" s="5"/>
    </row>
    <row r="616" ht="15.75" customHeight="1">
      <c r="A616" s="5"/>
      <c r="B616" s="5"/>
      <c r="C616" s="5"/>
    </row>
    <row r="617" ht="15.75" customHeight="1">
      <c r="A617" s="5"/>
      <c r="B617" s="5"/>
      <c r="C617" s="5"/>
    </row>
    <row r="618" ht="15.75" customHeight="1">
      <c r="A618" s="5"/>
      <c r="B618" s="5"/>
      <c r="C618" s="5"/>
    </row>
    <row r="619" ht="15.75" customHeight="1">
      <c r="A619" s="5"/>
      <c r="B619" s="5"/>
      <c r="C619" s="5"/>
    </row>
    <row r="620" ht="15.75" customHeight="1">
      <c r="A620" s="5"/>
      <c r="B620" s="5"/>
      <c r="C620" s="5"/>
    </row>
    <row r="621" ht="15.75" customHeight="1">
      <c r="A621" s="5"/>
      <c r="B621" s="5"/>
      <c r="C621" s="5"/>
    </row>
    <row r="622" ht="15.75" customHeight="1">
      <c r="A622" s="5"/>
      <c r="B622" s="5"/>
      <c r="C622" s="5"/>
    </row>
    <row r="623" ht="15.75" customHeight="1">
      <c r="A623" s="5"/>
      <c r="B623" s="5"/>
      <c r="C623" s="5"/>
    </row>
    <row r="624" ht="15.75" customHeight="1">
      <c r="A624" s="5"/>
      <c r="B624" s="5"/>
      <c r="C624" s="5"/>
    </row>
    <row r="625" ht="15.75" customHeight="1">
      <c r="A625" s="5"/>
      <c r="B625" s="5"/>
      <c r="C625" s="5"/>
    </row>
    <row r="626" ht="15.75" customHeight="1">
      <c r="A626" s="5"/>
      <c r="B626" s="5"/>
      <c r="C626" s="5"/>
    </row>
    <row r="627" ht="15.75" customHeight="1">
      <c r="A627" s="5"/>
      <c r="B627" s="5"/>
      <c r="C627" s="5"/>
    </row>
    <row r="628" ht="15.75" customHeight="1">
      <c r="A628" s="5"/>
      <c r="B628" s="5"/>
      <c r="C628" s="5"/>
    </row>
    <row r="629" ht="15.75" customHeight="1">
      <c r="A629" s="5"/>
      <c r="B629" s="5"/>
      <c r="C629" s="5"/>
    </row>
    <row r="630" ht="15.75" customHeight="1">
      <c r="A630" s="5"/>
      <c r="B630" s="5"/>
      <c r="C630" s="5"/>
    </row>
    <row r="631" ht="15.75" customHeight="1">
      <c r="A631" s="5"/>
      <c r="B631" s="5"/>
      <c r="C631" s="5"/>
    </row>
    <row r="632" ht="15.75" customHeight="1">
      <c r="A632" s="5"/>
      <c r="B632" s="5"/>
      <c r="C632" s="5"/>
    </row>
    <row r="633" ht="15.75" customHeight="1">
      <c r="A633" s="5"/>
      <c r="B633" s="5"/>
      <c r="C633" s="5"/>
    </row>
    <row r="634" ht="15.75" customHeight="1">
      <c r="A634" s="5"/>
      <c r="B634" s="5"/>
      <c r="C634" s="5"/>
    </row>
    <row r="635" ht="15.75" customHeight="1">
      <c r="A635" s="5"/>
      <c r="B635" s="5"/>
      <c r="C635" s="5"/>
    </row>
    <row r="636" ht="15.75" customHeight="1">
      <c r="A636" s="5"/>
      <c r="B636" s="5"/>
      <c r="C636" s="5"/>
    </row>
    <row r="637" ht="15.75" customHeight="1">
      <c r="A637" s="5"/>
      <c r="B637" s="5"/>
      <c r="C637" s="5"/>
    </row>
    <row r="638" ht="15.75" customHeight="1">
      <c r="A638" s="5"/>
      <c r="B638" s="5"/>
      <c r="C638" s="5"/>
    </row>
    <row r="639" ht="15.75" customHeight="1">
      <c r="A639" s="5"/>
      <c r="B639" s="5"/>
      <c r="C639" s="5"/>
    </row>
    <row r="640" ht="15.75" customHeight="1">
      <c r="A640" s="5"/>
      <c r="B640" s="5"/>
      <c r="C640" s="5"/>
    </row>
    <row r="641" ht="15.75" customHeight="1">
      <c r="A641" s="5"/>
      <c r="B641" s="5"/>
      <c r="C641" s="5"/>
    </row>
    <row r="642" ht="15.75" customHeight="1">
      <c r="A642" s="5"/>
      <c r="B642" s="5"/>
      <c r="C642" s="5"/>
    </row>
    <row r="643" ht="15.75" customHeight="1">
      <c r="A643" s="5"/>
      <c r="B643" s="5"/>
      <c r="C643" s="5"/>
    </row>
    <row r="644" ht="15.75" customHeight="1">
      <c r="A644" s="5"/>
      <c r="B644" s="5"/>
      <c r="C644" s="5"/>
    </row>
    <row r="645" ht="15.75" customHeight="1">
      <c r="A645" s="5"/>
      <c r="B645" s="5"/>
      <c r="C645" s="5"/>
    </row>
    <row r="646" ht="15.75" customHeight="1">
      <c r="A646" s="5"/>
      <c r="B646" s="5"/>
      <c r="C646" s="5"/>
    </row>
    <row r="647" ht="15.75" customHeight="1">
      <c r="A647" s="5"/>
      <c r="B647" s="5"/>
      <c r="C647" s="5"/>
    </row>
    <row r="648" ht="15.75" customHeight="1">
      <c r="A648" s="5"/>
      <c r="B648" s="5"/>
      <c r="C648" s="5"/>
    </row>
    <row r="649" ht="15.75" customHeight="1">
      <c r="A649" s="5"/>
      <c r="B649" s="5"/>
      <c r="C649" s="5"/>
    </row>
    <row r="650" ht="15.75" customHeight="1">
      <c r="A650" s="5"/>
      <c r="B650" s="5"/>
      <c r="C650" s="5"/>
    </row>
    <row r="651" ht="15.75" customHeight="1">
      <c r="A651" s="5"/>
      <c r="B651" s="5"/>
      <c r="C651" s="5"/>
    </row>
    <row r="652" ht="15.75" customHeight="1">
      <c r="A652" s="5"/>
      <c r="B652" s="5"/>
      <c r="C652" s="5"/>
    </row>
    <row r="653" ht="15.75" customHeight="1">
      <c r="A653" s="5"/>
      <c r="B653" s="5"/>
      <c r="C653" s="5"/>
    </row>
    <row r="654" ht="15.75" customHeight="1">
      <c r="A654" s="5"/>
      <c r="B654" s="5"/>
      <c r="C654" s="5"/>
    </row>
    <row r="655" ht="15.75" customHeight="1">
      <c r="A655" s="5"/>
      <c r="B655" s="5"/>
      <c r="C655" s="5"/>
    </row>
    <row r="656" ht="15.75" customHeight="1">
      <c r="A656" s="5"/>
      <c r="B656" s="5"/>
      <c r="C656" s="5"/>
    </row>
    <row r="657" ht="15.75" customHeight="1">
      <c r="A657" s="5"/>
      <c r="B657" s="5"/>
      <c r="C657" s="5"/>
    </row>
    <row r="658" ht="15.75" customHeight="1">
      <c r="A658" s="5"/>
      <c r="B658" s="5"/>
      <c r="C658" s="5"/>
    </row>
    <row r="659" ht="15.75" customHeight="1">
      <c r="A659" s="5"/>
      <c r="B659" s="5"/>
      <c r="C659" s="5"/>
    </row>
    <row r="660" ht="15.75" customHeight="1">
      <c r="A660" s="5"/>
      <c r="B660" s="5"/>
      <c r="C660" s="5"/>
    </row>
    <row r="661" ht="15.75" customHeight="1">
      <c r="A661" s="5"/>
      <c r="B661" s="5"/>
      <c r="C661" s="5"/>
    </row>
    <row r="662" ht="15.75" customHeight="1">
      <c r="A662" s="5"/>
      <c r="B662" s="5"/>
      <c r="C662" s="5"/>
    </row>
    <row r="663" ht="15.75" customHeight="1">
      <c r="A663" s="5"/>
      <c r="B663" s="5"/>
      <c r="C663" s="5"/>
    </row>
    <row r="664" ht="15.75" customHeight="1">
      <c r="A664" s="5"/>
      <c r="B664" s="5"/>
      <c r="C664" s="5"/>
    </row>
    <row r="665" ht="15.75" customHeight="1">
      <c r="A665" s="5"/>
      <c r="B665" s="5"/>
      <c r="C665" s="5"/>
    </row>
    <row r="666" ht="15.75" customHeight="1">
      <c r="A666" s="5"/>
      <c r="B666" s="5"/>
      <c r="C666" s="5"/>
    </row>
    <row r="667" ht="15.75" customHeight="1">
      <c r="A667" s="5"/>
      <c r="B667" s="5"/>
      <c r="C667" s="5"/>
    </row>
    <row r="668" ht="15.75" customHeight="1">
      <c r="A668" s="5"/>
      <c r="B668" s="5"/>
      <c r="C668" s="5"/>
    </row>
    <row r="669" ht="15.75" customHeight="1">
      <c r="A669" s="5"/>
      <c r="B669" s="5"/>
      <c r="C669" s="5"/>
    </row>
    <row r="670" ht="15.75" customHeight="1">
      <c r="A670" s="5"/>
      <c r="B670" s="5"/>
      <c r="C670" s="5"/>
    </row>
    <row r="671" ht="15.75" customHeight="1">
      <c r="A671" s="5"/>
      <c r="B671" s="5"/>
      <c r="C671" s="5"/>
    </row>
    <row r="672" ht="15.75" customHeight="1">
      <c r="A672" s="5"/>
      <c r="B672" s="5"/>
      <c r="C672" s="5"/>
    </row>
    <row r="673" ht="15.75" customHeight="1">
      <c r="A673" s="5"/>
      <c r="B673" s="5"/>
      <c r="C673" s="5"/>
    </row>
    <row r="674" ht="15.75" customHeight="1">
      <c r="A674" s="5"/>
      <c r="B674" s="5"/>
      <c r="C674" s="5"/>
    </row>
    <row r="675" ht="15.75" customHeight="1">
      <c r="A675" s="5"/>
      <c r="B675" s="5"/>
      <c r="C675" s="5"/>
    </row>
    <row r="676" ht="15.75" customHeight="1">
      <c r="A676" s="5"/>
      <c r="B676" s="5"/>
      <c r="C676" s="5"/>
    </row>
    <row r="677" ht="15.75" customHeight="1">
      <c r="A677" s="5"/>
      <c r="B677" s="5"/>
      <c r="C677" s="5"/>
    </row>
    <row r="678" ht="15.75" customHeight="1">
      <c r="A678" s="5"/>
      <c r="B678" s="5"/>
      <c r="C678" s="5"/>
    </row>
    <row r="679" ht="15.75" customHeight="1">
      <c r="A679" s="5"/>
      <c r="B679" s="5"/>
      <c r="C679" s="5"/>
    </row>
    <row r="680" ht="15.75" customHeight="1">
      <c r="A680" s="5"/>
      <c r="B680" s="5"/>
      <c r="C680" s="5"/>
    </row>
    <row r="681" ht="15.75" customHeight="1">
      <c r="A681" s="5"/>
      <c r="B681" s="5"/>
      <c r="C681" s="5"/>
    </row>
    <row r="682" ht="15.75" customHeight="1">
      <c r="A682" s="5"/>
      <c r="B682" s="5"/>
      <c r="C682" s="5"/>
    </row>
    <row r="683" ht="15.75" customHeight="1">
      <c r="A683" s="5"/>
      <c r="B683" s="5"/>
      <c r="C683" s="5"/>
    </row>
    <row r="684" ht="15.75" customHeight="1">
      <c r="A684" s="5"/>
      <c r="B684" s="5"/>
      <c r="C684" s="5"/>
    </row>
    <row r="685" ht="15.75" customHeight="1">
      <c r="A685" s="5"/>
      <c r="B685" s="5"/>
      <c r="C685" s="5"/>
    </row>
    <row r="686" ht="15.75" customHeight="1">
      <c r="A686" s="5"/>
      <c r="B686" s="5"/>
      <c r="C686" s="5"/>
    </row>
    <row r="687" ht="15.75" customHeight="1">
      <c r="A687" s="5"/>
      <c r="B687" s="5"/>
      <c r="C687" s="5"/>
    </row>
    <row r="688" ht="15.75" customHeight="1">
      <c r="A688" s="5"/>
      <c r="B688" s="5"/>
      <c r="C688" s="5"/>
    </row>
    <row r="689" ht="15.75" customHeight="1">
      <c r="A689" s="5"/>
      <c r="B689" s="5"/>
      <c r="C689" s="5"/>
    </row>
    <row r="690" ht="15.75" customHeight="1">
      <c r="A690" s="5"/>
      <c r="B690" s="5"/>
      <c r="C690" s="5"/>
    </row>
    <row r="691" ht="15.75" customHeight="1">
      <c r="A691" s="5"/>
      <c r="B691" s="5"/>
      <c r="C691" s="5"/>
    </row>
    <row r="692" ht="15.75" customHeight="1">
      <c r="A692" s="5"/>
      <c r="B692" s="5"/>
      <c r="C692" s="5"/>
    </row>
    <row r="693" ht="15.75" customHeight="1">
      <c r="A693" s="5"/>
      <c r="B693" s="5"/>
      <c r="C693" s="5"/>
    </row>
    <row r="694" ht="15.75" customHeight="1">
      <c r="A694" s="5"/>
      <c r="B694" s="5"/>
      <c r="C694" s="5"/>
    </row>
    <row r="695" ht="15.75" customHeight="1">
      <c r="A695" s="5"/>
      <c r="B695" s="5"/>
      <c r="C695" s="5"/>
    </row>
    <row r="696" ht="15.75" customHeight="1">
      <c r="A696" s="5"/>
      <c r="B696" s="5"/>
      <c r="C696" s="5"/>
    </row>
    <row r="697" ht="15.75" customHeight="1">
      <c r="A697" s="5"/>
      <c r="B697" s="5"/>
      <c r="C697" s="5"/>
    </row>
    <row r="698" ht="15.75" customHeight="1">
      <c r="A698" s="5"/>
      <c r="B698" s="5"/>
      <c r="C698" s="5"/>
    </row>
    <row r="699" ht="15.75" customHeight="1">
      <c r="A699" s="5"/>
      <c r="B699" s="5"/>
      <c r="C699" s="5"/>
    </row>
    <row r="700" ht="15.75" customHeight="1">
      <c r="A700" s="5"/>
      <c r="B700" s="5"/>
      <c r="C700" s="5"/>
    </row>
    <row r="701" ht="15.75" customHeight="1">
      <c r="A701" s="5"/>
      <c r="B701" s="5"/>
      <c r="C701" s="5"/>
    </row>
    <row r="702" ht="15.75" customHeight="1">
      <c r="A702" s="5"/>
      <c r="B702" s="5"/>
      <c r="C702" s="5"/>
    </row>
    <row r="703" ht="15.75" customHeight="1">
      <c r="A703" s="5"/>
      <c r="B703" s="5"/>
      <c r="C703" s="5"/>
    </row>
    <row r="704" ht="15.75" customHeight="1">
      <c r="A704" s="5"/>
      <c r="B704" s="5"/>
      <c r="C704" s="5"/>
    </row>
    <row r="705" ht="15.75" customHeight="1">
      <c r="A705" s="5"/>
      <c r="B705" s="5"/>
      <c r="C705" s="5"/>
    </row>
    <row r="706" ht="15.75" customHeight="1">
      <c r="A706" s="5"/>
      <c r="B706" s="5"/>
      <c r="C706" s="5"/>
    </row>
    <row r="707" ht="15.75" customHeight="1">
      <c r="A707" s="5"/>
      <c r="B707" s="5"/>
      <c r="C707" s="5"/>
    </row>
    <row r="708" ht="15.75" customHeight="1">
      <c r="A708" s="5"/>
      <c r="B708" s="5"/>
      <c r="C708" s="5"/>
    </row>
    <row r="709" ht="15.75" customHeight="1">
      <c r="A709" s="5"/>
      <c r="B709" s="5"/>
      <c r="C709" s="5"/>
    </row>
    <row r="710" ht="15.75" customHeight="1">
      <c r="A710" s="5"/>
      <c r="B710" s="5"/>
      <c r="C710" s="5"/>
    </row>
    <row r="711" ht="15.75" customHeight="1">
      <c r="A711" s="5"/>
      <c r="B711" s="5"/>
      <c r="C711" s="5"/>
    </row>
    <row r="712" ht="15.75" customHeight="1">
      <c r="A712" s="5"/>
      <c r="B712" s="5"/>
      <c r="C712" s="5"/>
    </row>
    <row r="713" ht="15.75" customHeight="1">
      <c r="A713" s="5"/>
      <c r="B713" s="5"/>
      <c r="C713" s="5"/>
    </row>
    <row r="714" ht="15.75" customHeight="1">
      <c r="A714" s="5"/>
      <c r="B714" s="5"/>
      <c r="C714" s="5"/>
    </row>
    <row r="715" ht="15.75" customHeight="1">
      <c r="A715" s="5"/>
      <c r="B715" s="5"/>
      <c r="C715" s="5"/>
    </row>
    <row r="716" ht="15.75" customHeight="1">
      <c r="A716" s="5"/>
      <c r="B716" s="5"/>
      <c r="C716" s="5"/>
    </row>
    <row r="717" ht="15.75" customHeight="1">
      <c r="A717" s="5"/>
      <c r="B717" s="5"/>
      <c r="C717" s="5"/>
    </row>
    <row r="718" ht="15.75" customHeight="1">
      <c r="A718" s="5"/>
      <c r="B718" s="5"/>
      <c r="C718" s="5"/>
    </row>
    <row r="719" ht="15.75" customHeight="1">
      <c r="A719" s="5"/>
      <c r="B719" s="5"/>
      <c r="C719" s="5"/>
    </row>
    <row r="720" ht="15.75" customHeight="1">
      <c r="A720" s="5"/>
      <c r="B720" s="5"/>
      <c r="C720" s="5"/>
    </row>
    <row r="721" ht="15.75" customHeight="1">
      <c r="A721" s="5"/>
      <c r="B721" s="5"/>
      <c r="C721" s="5"/>
    </row>
    <row r="722" ht="15.75" customHeight="1">
      <c r="A722" s="5"/>
      <c r="B722" s="5"/>
      <c r="C722" s="5"/>
    </row>
    <row r="723" ht="15.75" customHeight="1">
      <c r="A723" s="5"/>
      <c r="B723" s="5"/>
      <c r="C723" s="5"/>
    </row>
    <row r="724" ht="15.75" customHeight="1">
      <c r="A724" s="5"/>
      <c r="B724" s="5"/>
      <c r="C724" s="5"/>
    </row>
    <row r="725" ht="15.75" customHeight="1">
      <c r="A725" s="5"/>
      <c r="B725" s="5"/>
      <c r="C725" s="5"/>
    </row>
    <row r="726" ht="15.75" customHeight="1">
      <c r="A726" s="5"/>
      <c r="B726" s="5"/>
      <c r="C726" s="5"/>
    </row>
    <row r="727" ht="15.75" customHeight="1">
      <c r="A727" s="5"/>
      <c r="B727" s="5"/>
      <c r="C727" s="5"/>
    </row>
    <row r="728" ht="15.75" customHeight="1">
      <c r="A728" s="5"/>
      <c r="B728" s="5"/>
      <c r="C728" s="5"/>
    </row>
    <row r="729" ht="15.75" customHeight="1">
      <c r="A729" s="5"/>
      <c r="B729" s="5"/>
      <c r="C729" s="5"/>
    </row>
    <row r="730" ht="15.75" customHeight="1">
      <c r="A730" s="5"/>
      <c r="B730" s="5"/>
      <c r="C730" s="5"/>
    </row>
    <row r="731" ht="15.75" customHeight="1">
      <c r="A731" s="5"/>
      <c r="B731" s="5"/>
      <c r="C731" s="5"/>
    </row>
    <row r="732" ht="15.75" customHeight="1">
      <c r="A732" s="5"/>
      <c r="B732" s="5"/>
      <c r="C732" s="5"/>
    </row>
    <row r="733" ht="15.75" customHeight="1">
      <c r="A733" s="5"/>
      <c r="B733" s="5"/>
      <c r="C733" s="5"/>
    </row>
    <row r="734" ht="15.75" customHeight="1">
      <c r="A734" s="5"/>
      <c r="B734" s="5"/>
      <c r="C734" s="5"/>
    </row>
    <row r="735" ht="15.75" customHeight="1">
      <c r="A735" s="5"/>
      <c r="B735" s="5"/>
      <c r="C735" s="5"/>
    </row>
    <row r="736" ht="15.75" customHeight="1">
      <c r="A736" s="5"/>
      <c r="B736" s="5"/>
      <c r="C736" s="5"/>
    </row>
    <row r="737" ht="15.75" customHeight="1">
      <c r="A737" s="5"/>
      <c r="B737" s="5"/>
      <c r="C737" s="5"/>
    </row>
    <row r="738" ht="15.75" customHeight="1">
      <c r="A738" s="5"/>
      <c r="B738" s="5"/>
      <c r="C738" s="5"/>
    </row>
    <row r="739" ht="15.75" customHeight="1">
      <c r="A739" s="5"/>
      <c r="B739" s="5"/>
      <c r="C739" s="5"/>
    </row>
    <row r="740" ht="15.75" customHeight="1">
      <c r="A740" s="5"/>
      <c r="B740" s="5"/>
      <c r="C740" s="5"/>
    </row>
    <row r="741" ht="15.75" customHeight="1">
      <c r="A741" s="5"/>
      <c r="B741" s="5"/>
      <c r="C741" s="5"/>
    </row>
    <row r="742" ht="15.75" customHeight="1">
      <c r="A742" s="5"/>
      <c r="B742" s="5"/>
      <c r="C742" s="5"/>
    </row>
    <row r="743" ht="15.75" customHeight="1">
      <c r="A743" s="5"/>
      <c r="B743" s="5"/>
      <c r="C743" s="5"/>
    </row>
    <row r="744" ht="15.75" customHeight="1">
      <c r="A744" s="5"/>
      <c r="B744" s="5"/>
      <c r="C744" s="5"/>
    </row>
    <row r="745" ht="15.75" customHeight="1">
      <c r="A745" s="5"/>
      <c r="B745" s="5"/>
      <c r="C745" s="5"/>
    </row>
    <row r="746" ht="15.75" customHeight="1">
      <c r="A746" s="5"/>
      <c r="B746" s="5"/>
      <c r="C746" s="5"/>
    </row>
    <row r="747" ht="15.75" customHeight="1">
      <c r="A747" s="5"/>
      <c r="B747" s="5"/>
      <c r="C747" s="5"/>
    </row>
    <row r="748" ht="15.75" customHeight="1">
      <c r="A748" s="5"/>
      <c r="B748" s="5"/>
      <c r="C748" s="5"/>
    </row>
    <row r="749" ht="15.75" customHeight="1">
      <c r="A749" s="5"/>
      <c r="B749" s="5"/>
      <c r="C749" s="5"/>
    </row>
    <row r="750" ht="15.75" customHeight="1">
      <c r="A750" s="5"/>
      <c r="B750" s="5"/>
      <c r="C750" s="5"/>
    </row>
    <row r="751" ht="15.75" customHeight="1">
      <c r="A751" s="5"/>
      <c r="B751" s="5"/>
      <c r="C751" s="5"/>
    </row>
    <row r="752" ht="15.75" customHeight="1">
      <c r="A752" s="5"/>
      <c r="B752" s="5"/>
      <c r="C752" s="5"/>
    </row>
    <row r="753" ht="15.75" customHeight="1">
      <c r="A753" s="5"/>
      <c r="B753" s="5"/>
      <c r="C753" s="5"/>
    </row>
    <row r="754" ht="15.75" customHeight="1">
      <c r="A754" s="5"/>
      <c r="B754" s="5"/>
      <c r="C754" s="5"/>
    </row>
    <row r="755" ht="15.75" customHeight="1">
      <c r="A755" s="5"/>
      <c r="B755" s="5"/>
      <c r="C755" s="5"/>
    </row>
    <row r="756" ht="15.75" customHeight="1">
      <c r="A756" s="5"/>
      <c r="B756" s="5"/>
      <c r="C756" s="5"/>
    </row>
    <row r="757" ht="15.75" customHeight="1">
      <c r="A757" s="5"/>
      <c r="B757" s="5"/>
      <c r="C757" s="5"/>
    </row>
    <row r="758" ht="15.75" customHeight="1">
      <c r="A758" s="5"/>
      <c r="B758" s="5"/>
      <c r="C758" s="5"/>
    </row>
    <row r="759" ht="15.75" customHeight="1">
      <c r="A759" s="5"/>
      <c r="B759" s="5"/>
      <c r="C759" s="5"/>
    </row>
    <row r="760" ht="15.75" customHeight="1">
      <c r="A760" s="5"/>
      <c r="B760" s="5"/>
      <c r="C760" s="5"/>
    </row>
    <row r="761" ht="15.75" customHeight="1">
      <c r="A761" s="5"/>
      <c r="B761" s="5"/>
      <c r="C761" s="5"/>
    </row>
    <row r="762" ht="15.75" customHeight="1">
      <c r="A762" s="5"/>
      <c r="B762" s="5"/>
      <c r="C762" s="5"/>
    </row>
    <row r="763" ht="15.75" customHeight="1">
      <c r="A763" s="5"/>
      <c r="B763" s="5"/>
      <c r="C763" s="5"/>
    </row>
    <row r="764" ht="15.75" customHeight="1">
      <c r="A764" s="5"/>
      <c r="B764" s="5"/>
      <c r="C764" s="5"/>
    </row>
    <row r="765" ht="15.75" customHeight="1">
      <c r="A765" s="5"/>
      <c r="B765" s="5"/>
      <c r="C765" s="5"/>
    </row>
    <row r="766" ht="15.75" customHeight="1">
      <c r="A766" s="5"/>
      <c r="B766" s="5"/>
      <c r="C766" s="5"/>
    </row>
    <row r="767" ht="15.75" customHeight="1">
      <c r="A767" s="5"/>
      <c r="B767" s="5"/>
      <c r="C767" s="5"/>
    </row>
    <row r="768" ht="15.75" customHeight="1">
      <c r="A768" s="5"/>
      <c r="B768" s="5"/>
      <c r="C768" s="5"/>
    </row>
    <row r="769" ht="15.75" customHeight="1">
      <c r="A769" s="5"/>
      <c r="B769" s="5"/>
      <c r="C769" s="5"/>
    </row>
    <row r="770" ht="15.75" customHeight="1">
      <c r="A770" s="5"/>
      <c r="B770" s="5"/>
      <c r="C770" s="5"/>
    </row>
    <row r="771" ht="15.75" customHeight="1">
      <c r="A771" s="5"/>
      <c r="B771" s="5"/>
      <c r="C771" s="5"/>
    </row>
    <row r="772" ht="15.75" customHeight="1">
      <c r="A772" s="5"/>
      <c r="B772" s="5"/>
      <c r="C772" s="5"/>
    </row>
    <row r="773" ht="15.75" customHeight="1">
      <c r="A773" s="5"/>
      <c r="B773" s="5"/>
      <c r="C773" s="5"/>
    </row>
    <row r="774" ht="15.75" customHeight="1">
      <c r="A774" s="5"/>
      <c r="B774" s="5"/>
      <c r="C774" s="5"/>
    </row>
    <row r="775" ht="15.75" customHeight="1">
      <c r="A775" s="5"/>
      <c r="B775" s="5"/>
      <c r="C775" s="5"/>
    </row>
    <row r="776" ht="15.75" customHeight="1">
      <c r="A776" s="5"/>
      <c r="B776" s="5"/>
      <c r="C776" s="5"/>
    </row>
    <row r="777" ht="15.75" customHeight="1">
      <c r="A777" s="5"/>
      <c r="B777" s="5"/>
      <c r="C777" s="5"/>
    </row>
    <row r="778" ht="15.75" customHeight="1">
      <c r="A778" s="5"/>
      <c r="B778" s="5"/>
      <c r="C778" s="5"/>
    </row>
    <row r="779" ht="15.75" customHeight="1">
      <c r="A779" s="5"/>
      <c r="B779" s="5"/>
      <c r="C779" s="5"/>
    </row>
    <row r="780" ht="15.75" customHeight="1">
      <c r="A780" s="5"/>
      <c r="B780" s="5"/>
      <c r="C780" s="5"/>
    </row>
    <row r="781" ht="15.75" customHeight="1">
      <c r="A781" s="5"/>
      <c r="B781" s="5"/>
      <c r="C781" s="5"/>
    </row>
    <row r="782" ht="15.75" customHeight="1">
      <c r="A782" s="5"/>
      <c r="B782" s="5"/>
      <c r="C782" s="5"/>
    </row>
    <row r="783" ht="15.75" customHeight="1">
      <c r="A783" s="5"/>
      <c r="B783" s="5"/>
      <c r="C783" s="5"/>
    </row>
    <row r="784" ht="15.75" customHeight="1">
      <c r="A784" s="5"/>
      <c r="B784" s="5"/>
      <c r="C784" s="5"/>
    </row>
    <row r="785" ht="15.75" customHeight="1">
      <c r="A785" s="5"/>
      <c r="B785" s="5"/>
      <c r="C785" s="5"/>
    </row>
    <row r="786" ht="15.75" customHeight="1">
      <c r="A786" s="5"/>
      <c r="B786" s="5"/>
      <c r="C786" s="5"/>
    </row>
    <row r="787" ht="15.75" customHeight="1">
      <c r="A787" s="5"/>
      <c r="B787" s="5"/>
      <c r="C787" s="5"/>
    </row>
    <row r="788" ht="15.75" customHeight="1">
      <c r="A788" s="5"/>
      <c r="B788" s="5"/>
      <c r="C788" s="5"/>
    </row>
    <row r="789" ht="15.75" customHeight="1">
      <c r="A789" s="5"/>
      <c r="B789" s="5"/>
      <c r="C789" s="5"/>
    </row>
    <row r="790" ht="15.75" customHeight="1">
      <c r="A790" s="5"/>
      <c r="B790" s="5"/>
      <c r="C790" s="5"/>
    </row>
    <row r="791" ht="15.75" customHeight="1">
      <c r="A791" s="5"/>
      <c r="B791" s="5"/>
      <c r="C791" s="5"/>
    </row>
    <row r="792" ht="15.75" customHeight="1">
      <c r="A792" s="5"/>
      <c r="B792" s="5"/>
      <c r="C792" s="5"/>
    </row>
    <row r="793" ht="15.75" customHeight="1">
      <c r="A793" s="5"/>
      <c r="B793" s="5"/>
      <c r="C793" s="5"/>
    </row>
    <row r="794" ht="15.75" customHeight="1">
      <c r="A794" s="5"/>
      <c r="B794" s="5"/>
      <c r="C794" s="5"/>
    </row>
    <row r="795" ht="15.75" customHeight="1">
      <c r="A795" s="5"/>
      <c r="B795" s="5"/>
      <c r="C795" s="5"/>
    </row>
    <row r="796" ht="15.75" customHeight="1">
      <c r="A796" s="5"/>
      <c r="B796" s="5"/>
      <c r="C796" s="5"/>
    </row>
    <row r="797" ht="15.75" customHeight="1">
      <c r="A797" s="5"/>
      <c r="B797" s="5"/>
      <c r="C797" s="5"/>
    </row>
    <row r="798" ht="15.75" customHeight="1">
      <c r="A798" s="5"/>
      <c r="B798" s="5"/>
      <c r="C798" s="5"/>
    </row>
    <row r="799" ht="15.75" customHeight="1">
      <c r="A799" s="5"/>
      <c r="B799" s="5"/>
      <c r="C799" s="5"/>
    </row>
    <row r="800" ht="15.75" customHeight="1">
      <c r="A800" s="5"/>
      <c r="B800" s="5"/>
      <c r="C800" s="5"/>
    </row>
    <row r="801" ht="15.75" customHeight="1">
      <c r="A801" s="5"/>
      <c r="B801" s="5"/>
      <c r="C801" s="5"/>
    </row>
    <row r="802" ht="15.75" customHeight="1">
      <c r="A802" s="5"/>
      <c r="B802" s="5"/>
      <c r="C802" s="5"/>
    </row>
    <row r="803" ht="15.75" customHeight="1">
      <c r="A803" s="5"/>
      <c r="B803" s="5"/>
      <c r="C803" s="5"/>
    </row>
    <row r="804" ht="15.75" customHeight="1">
      <c r="A804" s="5"/>
      <c r="B804" s="5"/>
      <c r="C804" s="5"/>
    </row>
    <row r="805" ht="15.75" customHeight="1">
      <c r="A805" s="5"/>
      <c r="B805" s="5"/>
      <c r="C805" s="5"/>
    </row>
    <row r="806" ht="15.75" customHeight="1">
      <c r="A806" s="5"/>
      <c r="B806" s="5"/>
      <c r="C806" s="5"/>
    </row>
    <row r="807" ht="15.75" customHeight="1">
      <c r="A807" s="5"/>
      <c r="B807" s="5"/>
      <c r="C807" s="5"/>
    </row>
    <row r="808" ht="15.75" customHeight="1">
      <c r="A808" s="5"/>
      <c r="B808" s="5"/>
      <c r="C808" s="5"/>
    </row>
    <row r="809" ht="15.75" customHeight="1">
      <c r="A809" s="5"/>
      <c r="B809" s="5"/>
      <c r="C809" s="5"/>
    </row>
    <row r="810" ht="15.75" customHeight="1">
      <c r="A810" s="5"/>
      <c r="B810" s="5"/>
      <c r="C810" s="5"/>
    </row>
    <row r="811" ht="15.75" customHeight="1">
      <c r="A811" s="5"/>
      <c r="B811" s="5"/>
      <c r="C811" s="5"/>
    </row>
    <row r="812" ht="15.75" customHeight="1">
      <c r="A812" s="5"/>
      <c r="B812" s="5"/>
      <c r="C812" s="5"/>
    </row>
    <row r="813" ht="15.75" customHeight="1">
      <c r="A813" s="5"/>
      <c r="B813" s="5"/>
      <c r="C813" s="5"/>
    </row>
    <row r="814" ht="15.75" customHeight="1">
      <c r="A814" s="5"/>
      <c r="B814" s="5"/>
      <c r="C814" s="5"/>
    </row>
    <row r="815" ht="15.75" customHeight="1">
      <c r="A815" s="5"/>
      <c r="B815" s="5"/>
      <c r="C815" s="5"/>
    </row>
    <row r="816" ht="15.75" customHeight="1">
      <c r="A816" s="5"/>
      <c r="B816" s="5"/>
      <c r="C816" s="5"/>
    </row>
    <row r="817" ht="15.75" customHeight="1">
      <c r="A817" s="5"/>
      <c r="B817" s="5"/>
      <c r="C817" s="5"/>
    </row>
    <row r="818" ht="15.75" customHeight="1">
      <c r="A818" s="5"/>
      <c r="B818" s="5"/>
      <c r="C818" s="5"/>
    </row>
    <row r="819" ht="15.75" customHeight="1">
      <c r="A819" s="5"/>
      <c r="B819" s="5"/>
      <c r="C819" s="5"/>
    </row>
    <row r="820" ht="15.75" customHeight="1">
      <c r="A820" s="5"/>
      <c r="B820" s="5"/>
      <c r="C820" s="5"/>
    </row>
    <row r="821" ht="15.75" customHeight="1">
      <c r="A821" s="5"/>
      <c r="B821" s="5"/>
      <c r="C821" s="5"/>
    </row>
    <row r="822" ht="15.75" customHeight="1">
      <c r="A822" s="5"/>
      <c r="B822" s="5"/>
      <c r="C822" s="5"/>
    </row>
    <row r="823" ht="15.75" customHeight="1">
      <c r="A823" s="5"/>
      <c r="B823" s="5"/>
      <c r="C823" s="5"/>
    </row>
    <row r="824" ht="15.75" customHeight="1">
      <c r="A824" s="5"/>
      <c r="B824" s="5"/>
      <c r="C824" s="5"/>
    </row>
    <row r="825" ht="15.75" customHeight="1">
      <c r="A825" s="5"/>
      <c r="B825" s="5"/>
      <c r="C825" s="5"/>
    </row>
    <row r="826" ht="15.75" customHeight="1">
      <c r="A826" s="5"/>
      <c r="B826" s="5"/>
      <c r="C826" s="5"/>
    </row>
    <row r="827" ht="15.75" customHeight="1">
      <c r="A827" s="5"/>
      <c r="B827" s="5"/>
      <c r="C827" s="5"/>
    </row>
    <row r="828" ht="15.75" customHeight="1">
      <c r="A828" s="5"/>
      <c r="B828" s="5"/>
      <c r="C828" s="5"/>
    </row>
    <row r="829" ht="15.75" customHeight="1">
      <c r="A829" s="5"/>
      <c r="B829" s="5"/>
      <c r="C829" s="5"/>
    </row>
    <row r="830" ht="15.75" customHeight="1">
      <c r="A830" s="5"/>
      <c r="B830" s="5"/>
      <c r="C830" s="5"/>
    </row>
    <row r="831" ht="15.75" customHeight="1">
      <c r="A831" s="5"/>
      <c r="B831" s="5"/>
      <c r="C831" s="5"/>
    </row>
    <row r="832" ht="15.75" customHeight="1">
      <c r="A832" s="5"/>
      <c r="B832" s="5"/>
      <c r="C832" s="5"/>
    </row>
    <row r="833" ht="15.75" customHeight="1">
      <c r="A833" s="5"/>
      <c r="B833" s="5"/>
      <c r="C833" s="5"/>
    </row>
    <row r="834" ht="15.75" customHeight="1">
      <c r="A834" s="5"/>
      <c r="B834" s="5"/>
      <c r="C834" s="5"/>
    </row>
    <row r="835" ht="15.75" customHeight="1">
      <c r="A835" s="5"/>
      <c r="B835" s="5"/>
      <c r="C835" s="5"/>
    </row>
    <row r="836" ht="15.75" customHeight="1">
      <c r="A836" s="5"/>
      <c r="B836" s="5"/>
      <c r="C836" s="5"/>
    </row>
    <row r="837" ht="15.75" customHeight="1">
      <c r="A837" s="5"/>
      <c r="B837" s="5"/>
      <c r="C837" s="5"/>
    </row>
    <row r="838" ht="15.75" customHeight="1">
      <c r="A838" s="5"/>
      <c r="B838" s="5"/>
      <c r="C838" s="5"/>
    </row>
    <row r="839" ht="15.75" customHeight="1">
      <c r="A839" s="5"/>
      <c r="B839" s="5"/>
      <c r="C839" s="5"/>
    </row>
    <row r="840" ht="15.75" customHeight="1">
      <c r="A840" s="5"/>
      <c r="B840" s="5"/>
      <c r="C840" s="5"/>
    </row>
    <row r="841" ht="15.75" customHeight="1">
      <c r="A841" s="5"/>
      <c r="B841" s="5"/>
      <c r="C841" s="5"/>
    </row>
    <row r="842" ht="15.75" customHeight="1">
      <c r="A842" s="5"/>
      <c r="B842" s="5"/>
      <c r="C842" s="5"/>
    </row>
    <row r="843" ht="15.75" customHeight="1">
      <c r="A843" s="5"/>
      <c r="B843" s="5"/>
      <c r="C843" s="5"/>
    </row>
    <row r="844" ht="15.75" customHeight="1">
      <c r="A844" s="5"/>
      <c r="B844" s="5"/>
      <c r="C844" s="5"/>
    </row>
    <row r="845" ht="15.75" customHeight="1">
      <c r="A845" s="5"/>
      <c r="B845" s="5"/>
      <c r="C845" s="5"/>
    </row>
    <row r="846" ht="15.75" customHeight="1">
      <c r="A846" s="5"/>
      <c r="B846" s="5"/>
      <c r="C846" s="5"/>
    </row>
    <row r="847" ht="15.75" customHeight="1">
      <c r="A847" s="5"/>
      <c r="B847" s="5"/>
      <c r="C847" s="5"/>
    </row>
    <row r="848" ht="15.75" customHeight="1">
      <c r="A848" s="5"/>
      <c r="B848" s="5"/>
      <c r="C848" s="5"/>
    </row>
    <row r="849" ht="15.75" customHeight="1">
      <c r="A849" s="5"/>
      <c r="B849" s="5"/>
      <c r="C849" s="5"/>
    </row>
    <row r="850" ht="15.75" customHeight="1">
      <c r="A850" s="5"/>
      <c r="B850" s="5"/>
      <c r="C850" s="5"/>
    </row>
    <row r="851" ht="15.75" customHeight="1">
      <c r="A851" s="5"/>
      <c r="B851" s="5"/>
      <c r="C851" s="5"/>
    </row>
    <row r="852" ht="15.75" customHeight="1">
      <c r="A852" s="5"/>
      <c r="B852" s="5"/>
      <c r="C852" s="5"/>
    </row>
    <row r="853" ht="15.75" customHeight="1">
      <c r="A853" s="5"/>
      <c r="B853" s="5"/>
      <c r="C853" s="5"/>
    </row>
    <row r="854" ht="15.75" customHeight="1">
      <c r="A854" s="5"/>
      <c r="B854" s="5"/>
      <c r="C854" s="5"/>
    </row>
    <row r="855" ht="15.75" customHeight="1">
      <c r="A855" s="5"/>
      <c r="B855" s="5"/>
      <c r="C855" s="5"/>
    </row>
    <row r="856" ht="15.75" customHeight="1">
      <c r="A856" s="5"/>
      <c r="B856" s="5"/>
      <c r="C856" s="5"/>
    </row>
    <row r="857" ht="15.75" customHeight="1">
      <c r="A857" s="5"/>
      <c r="B857" s="5"/>
      <c r="C857" s="5"/>
    </row>
    <row r="858" ht="15.75" customHeight="1">
      <c r="A858" s="5"/>
      <c r="B858" s="5"/>
      <c r="C858" s="5"/>
    </row>
    <row r="859" ht="15.75" customHeight="1">
      <c r="A859" s="5"/>
      <c r="B859" s="5"/>
      <c r="C859" s="5"/>
    </row>
    <row r="860" ht="15.75" customHeight="1">
      <c r="A860" s="5"/>
      <c r="B860" s="5"/>
      <c r="C860" s="5"/>
    </row>
    <row r="861" ht="15.75" customHeight="1">
      <c r="A861" s="5"/>
      <c r="B861" s="5"/>
      <c r="C861" s="5"/>
    </row>
    <row r="862" ht="15.75" customHeight="1">
      <c r="A862" s="5"/>
      <c r="B862" s="5"/>
      <c r="C862" s="5"/>
    </row>
    <row r="863" ht="15.75" customHeight="1">
      <c r="A863" s="5"/>
      <c r="B863" s="5"/>
      <c r="C863" s="5"/>
    </row>
    <row r="864" ht="15.75" customHeight="1">
      <c r="A864" s="5"/>
      <c r="B864" s="5"/>
      <c r="C864" s="5"/>
    </row>
    <row r="865" ht="15.75" customHeight="1">
      <c r="A865" s="5"/>
      <c r="B865" s="5"/>
      <c r="C865" s="5"/>
    </row>
    <row r="866" ht="15.75" customHeight="1">
      <c r="A866" s="5"/>
      <c r="B866" s="5"/>
      <c r="C866" s="5"/>
    </row>
    <row r="867" ht="15.75" customHeight="1">
      <c r="A867" s="5"/>
      <c r="B867" s="5"/>
      <c r="C867" s="5"/>
    </row>
    <row r="868" ht="15.75" customHeight="1">
      <c r="A868" s="5"/>
      <c r="B868" s="5"/>
      <c r="C868" s="5"/>
    </row>
    <row r="869" ht="15.75" customHeight="1">
      <c r="A869" s="5"/>
      <c r="B869" s="5"/>
      <c r="C869" s="5"/>
    </row>
    <row r="870" ht="15.75" customHeight="1">
      <c r="A870" s="5"/>
      <c r="B870" s="5"/>
      <c r="C870" s="5"/>
    </row>
    <row r="871" ht="15.75" customHeight="1">
      <c r="A871" s="5"/>
      <c r="B871" s="5"/>
      <c r="C871" s="5"/>
    </row>
    <row r="872" ht="15.75" customHeight="1">
      <c r="A872" s="5"/>
      <c r="B872" s="5"/>
      <c r="C872" s="5"/>
    </row>
    <row r="873" ht="15.75" customHeight="1">
      <c r="A873" s="5"/>
      <c r="B873" s="5"/>
      <c r="C873" s="5"/>
    </row>
    <row r="874" ht="15.75" customHeight="1">
      <c r="A874" s="5"/>
      <c r="B874" s="5"/>
      <c r="C874" s="5"/>
    </row>
    <row r="875" ht="15.75" customHeight="1">
      <c r="A875" s="5"/>
      <c r="B875" s="5"/>
      <c r="C875" s="5"/>
    </row>
    <row r="876" ht="15.75" customHeight="1">
      <c r="A876" s="5"/>
      <c r="B876" s="5"/>
      <c r="C876" s="5"/>
    </row>
    <row r="877" ht="15.75" customHeight="1">
      <c r="A877" s="5"/>
      <c r="B877" s="5"/>
      <c r="C877" s="5"/>
    </row>
    <row r="878" ht="15.75" customHeight="1">
      <c r="A878" s="5"/>
      <c r="B878" s="5"/>
      <c r="C878" s="5"/>
    </row>
    <row r="879" ht="15.75" customHeight="1">
      <c r="A879" s="5"/>
      <c r="B879" s="5"/>
      <c r="C879" s="5"/>
    </row>
    <row r="880" ht="15.75" customHeight="1">
      <c r="A880" s="5"/>
      <c r="B880" s="5"/>
      <c r="C880" s="5"/>
    </row>
    <row r="881" ht="15.75" customHeight="1">
      <c r="A881" s="5"/>
      <c r="B881" s="5"/>
      <c r="C881" s="5"/>
    </row>
    <row r="882" ht="15.75" customHeight="1">
      <c r="A882" s="5"/>
      <c r="B882" s="5"/>
      <c r="C882" s="5"/>
    </row>
    <row r="883" ht="15.75" customHeight="1">
      <c r="A883" s="5"/>
      <c r="B883" s="5"/>
      <c r="C883" s="5"/>
    </row>
    <row r="884" ht="15.75" customHeight="1">
      <c r="A884" s="5"/>
      <c r="B884" s="5"/>
      <c r="C884" s="5"/>
    </row>
    <row r="885" ht="15.75" customHeight="1">
      <c r="A885" s="5"/>
      <c r="B885" s="5"/>
      <c r="C885" s="5"/>
    </row>
    <row r="886" ht="15.75" customHeight="1">
      <c r="A886" s="5"/>
      <c r="B886" s="5"/>
      <c r="C886" s="5"/>
    </row>
    <row r="887" ht="15.75" customHeight="1">
      <c r="A887" s="5"/>
      <c r="B887" s="5"/>
      <c r="C887" s="5"/>
    </row>
    <row r="888" ht="15.75" customHeight="1">
      <c r="A888" s="5"/>
      <c r="B888" s="5"/>
      <c r="C888" s="5"/>
    </row>
    <row r="889" ht="15.75" customHeight="1">
      <c r="A889" s="5"/>
      <c r="B889" s="5"/>
      <c r="C889" s="5"/>
    </row>
    <row r="890" ht="15.75" customHeight="1">
      <c r="A890" s="5"/>
      <c r="B890" s="5"/>
      <c r="C890" s="5"/>
    </row>
    <row r="891" ht="15.75" customHeight="1">
      <c r="A891" s="5"/>
      <c r="B891" s="5"/>
      <c r="C891" s="5"/>
    </row>
    <row r="892" ht="15.75" customHeight="1">
      <c r="A892" s="5"/>
      <c r="B892" s="5"/>
      <c r="C892" s="5"/>
    </row>
    <row r="893" ht="15.75" customHeight="1">
      <c r="A893" s="5"/>
      <c r="B893" s="5"/>
      <c r="C893" s="5"/>
    </row>
    <row r="894" ht="15.75" customHeight="1">
      <c r="A894" s="5"/>
      <c r="B894" s="5"/>
      <c r="C894" s="5"/>
    </row>
    <row r="895" ht="15.75" customHeight="1">
      <c r="A895" s="5"/>
      <c r="B895" s="5"/>
      <c r="C895" s="5"/>
    </row>
    <row r="896" ht="15.75" customHeight="1">
      <c r="A896" s="5"/>
      <c r="B896" s="5"/>
      <c r="C896" s="5"/>
    </row>
    <row r="897" ht="15.75" customHeight="1">
      <c r="A897" s="5"/>
      <c r="B897" s="5"/>
      <c r="C897" s="5"/>
    </row>
    <row r="898" ht="15.75" customHeight="1">
      <c r="A898" s="5"/>
      <c r="B898" s="5"/>
      <c r="C898" s="5"/>
    </row>
    <row r="899" ht="15.75" customHeight="1">
      <c r="A899" s="5"/>
      <c r="B899" s="5"/>
      <c r="C899" s="5"/>
    </row>
    <row r="900" ht="15.75" customHeight="1">
      <c r="A900" s="5"/>
      <c r="B900" s="5"/>
      <c r="C900" s="5"/>
    </row>
    <row r="901" ht="15.75" customHeight="1">
      <c r="A901" s="5"/>
      <c r="B901" s="5"/>
      <c r="C901" s="5"/>
    </row>
    <row r="902" ht="15.75" customHeight="1">
      <c r="A902" s="5"/>
      <c r="B902" s="5"/>
      <c r="C902" s="5"/>
    </row>
    <row r="903" ht="15.75" customHeight="1">
      <c r="A903" s="5"/>
      <c r="B903" s="5"/>
      <c r="C903" s="5"/>
    </row>
    <row r="904" ht="15.75" customHeight="1">
      <c r="A904" s="5"/>
      <c r="B904" s="5"/>
      <c r="C904" s="5"/>
    </row>
    <row r="905" ht="15.75" customHeight="1">
      <c r="A905" s="5"/>
      <c r="B905" s="5"/>
      <c r="C905" s="5"/>
    </row>
    <row r="906" ht="15.75" customHeight="1">
      <c r="A906" s="5"/>
      <c r="B906" s="5"/>
      <c r="C906" s="5"/>
    </row>
    <row r="907" ht="15.75" customHeight="1">
      <c r="A907" s="5"/>
      <c r="B907" s="5"/>
      <c r="C907" s="5"/>
    </row>
    <row r="908" ht="15.75" customHeight="1">
      <c r="A908" s="5"/>
      <c r="B908" s="5"/>
      <c r="C908" s="5"/>
    </row>
    <row r="909" ht="15.75" customHeight="1">
      <c r="A909" s="5"/>
      <c r="B909" s="5"/>
      <c r="C909" s="5"/>
    </row>
    <row r="910" ht="15.75" customHeight="1">
      <c r="A910" s="5"/>
      <c r="B910" s="5"/>
      <c r="C910" s="5"/>
    </row>
    <row r="911" ht="15.75" customHeight="1">
      <c r="A911" s="5"/>
      <c r="B911" s="5"/>
      <c r="C911" s="5"/>
    </row>
    <row r="912" ht="15.75" customHeight="1">
      <c r="A912" s="5"/>
      <c r="B912" s="5"/>
      <c r="C912" s="5"/>
    </row>
    <row r="913" ht="15.75" customHeight="1">
      <c r="A913" s="5"/>
      <c r="B913" s="5"/>
      <c r="C913" s="5"/>
    </row>
    <row r="914" ht="15.75" customHeight="1">
      <c r="A914" s="5"/>
      <c r="B914" s="5"/>
      <c r="C914" s="5"/>
    </row>
    <row r="915" ht="15.75" customHeight="1">
      <c r="A915" s="5"/>
      <c r="B915" s="5"/>
      <c r="C915" s="5"/>
    </row>
    <row r="916" ht="15.75" customHeight="1">
      <c r="A916" s="5"/>
      <c r="B916" s="5"/>
      <c r="C916" s="5"/>
    </row>
    <row r="917" ht="15.75" customHeight="1">
      <c r="A917" s="5"/>
      <c r="B917" s="5"/>
      <c r="C917" s="5"/>
    </row>
    <row r="918" ht="15.75" customHeight="1">
      <c r="A918" s="5"/>
      <c r="B918" s="5"/>
      <c r="C918" s="5"/>
    </row>
    <row r="919" ht="15.75" customHeight="1">
      <c r="A919" s="5"/>
      <c r="B919" s="5"/>
      <c r="C919" s="5"/>
    </row>
    <row r="920" ht="15.75" customHeight="1">
      <c r="A920" s="5"/>
      <c r="B920" s="5"/>
      <c r="C920" s="5"/>
    </row>
    <row r="921" ht="15.75" customHeight="1">
      <c r="A921" s="5"/>
      <c r="B921" s="5"/>
      <c r="C921" s="5"/>
    </row>
    <row r="922" ht="15.75" customHeight="1">
      <c r="A922" s="5"/>
      <c r="B922" s="5"/>
      <c r="C922" s="5"/>
    </row>
    <row r="923" ht="15.75" customHeight="1">
      <c r="A923" s="5"/>
      <c r="B923" s="5"/>
      <c r="C923" s="5"/>
    </row>
    <row r="924" ht="15.75" customHeight="1">
      <c r="A924" s="5"/>
      <c r="B924" s="5"/>
      <c r="C924" s="5"/>
    </row>
    <row r="925" ht="15.75" customHeight="1">
      <c r="A925" s="5"/>
      <c r="B925" s="5"/>
      <c r="C925" s="5"/>
    </row>
    <row r="926" ht="15.75" customHeight="1">
      <c r="A926" s="5"/>
      <c r="B926" s="5"/>
      <c r="C926" s="5"/>
    </row>
    <row r="927" ht="15.75" customHeight="1">
      <c r="A927" s="5"/>
      <c r="B927" s="5"/>
      <c r="C927" s="5"/>
    </row>
    <row r="928" ht="15.75" customHeight="1">
      <c r="A928" s="5"/>
      <c r="B928" s="5"/>
      <c r="C928" s="5"/>
    </row>
    <row r="929" ht="15.75" customHeight="1">
      <c r="A929" s="5"/>
      <c r="B929" s="5"/>
      <c r="C929" s="5"/>
    </row>
    <row r="930" ht="15.75" customHeight="1">
      <c r="A930" s="5"/>
      <c r="B930" s="5"/>
      <c r="C930" s="5"/>
    </row>
    <row r="931" ht="15.75" customHeight="1">
      <c r="A931" s="5"/>
      <c r="B931" s="5"/>
      <c r="C931" s="5"/>
    </row>
    <row r="932" ht="15.75" customHeight="1">
      <c r="A932" s="5"/>
      <c r="B932" s="5"/>
      <c r="C932" s="5"/>
    </row>
    <row r="933" ht="15.75" customHeight="1">
      <c r="A933" s="5"/>
      <c r="B933" s="5"/>
      <c r="C933" s="5"/>
    </row>
    <row r="934" ht="15.75" customHeight="1">
      <c r="A934" s="5"/>
      <c r="B934" s="5"/>
      <c r="C934" s="5"/>
    </row>
    <row r="935" ht="15.75" customHeight="1">
      <c r="A935" s="5"/>
      <c r="B935" s="5"/>
      <c r="C935" s="5"/>
    </row>
    <row r="936" ht="15.75" customHeight="1">
      <c r="A936" s="5"/>
      <c r="B936" s="5"/>
      <c r="C936" s="5"/>
    </row>
    <row r="937" ht="15.75" customHeight="1">
      <c r="A937" s="5"/>
      <c r="B937" s="5"/>
      <c r="C937" s="5"/>
    </row>
    <row r="938" ht="15.75" customHeight="1">
      <c r="A938" s="5"/>
      <c r="B938" s="5"/>
      <c r="C938" s="5"/>
    </row>
    <row r="939" ht="15.75" customHeight="1">
      <c r="A939" s="5"/>
      <c r="B939" s="5"/>
      <c r="C939" s="5"/>
    </row>
    <row r="940" ht="15.75" customHeight="1">
      <c r="A940" s="5"/>
      <c r="B940" s="5"/>
      <c r="C940" s="5"/>
    </row>
    <row r="941" ht="15.75" customHeight="1">
      <c r="A941" s="5"/>
      <c r="B941" s="5"/>
      <c r="C941" s="5"/>
    </row>
    <row r="942" ht="15.75" customHeight="1">
      <c r="A942" s="5"/>
      <c r="B942" s="5"/>
      <c r="C942" s="5"/>
    </row>
    <row r="943" ht="15.75" customHeight="1">
      <c r="A943" s="5"/>
      <c r="B943" s="5"/>
      <c r="C943" s="5"/>
    </row>
    <row r="944" ht="15.75" customHeight="1">
      <c r="A944" s="5"/>
      <c r="B944" s="5"/>
      <c r="C944" s="5"/>
    </row>
    <row r="945" ht="15.75" customHeight="1">
      <c r="A945" s="5"/>
      <c r="B945" s="5"/>
      <c r="C945" s="5"/>
    </row>
    <row r="946" ht="15.75" customHeight="1">
      <c r="A946" s="5"/>
      <c r="B946" s="5"/>
      <c r="C946" s="5"/>
    </row>
    <row r="947" ht="15.75" customHeight="1">
      <c r="A947" s="5"/>
      <c r="B947" s="5"/>
      <c r="C947" s="5"/>
    </row>
    <row r="948" ht="15.75" customHeight="1">
      <c r="A948" s="5"/>
      <c r="B948" s="5"/>
      <c r="C948" s="5"/>
    </row>
    <row r="949" ht="15.75" customHeight="1">
      <c r="A949" s="5"/>
      <c r="B949" s="5"/>
      <c r="C949" s="5"/>
    </row>
    <row r="950" ht="15.75" customHeight="1">
      <c r="A950" s="5"/>
      <c r="B950" s="5"/>
      <c r="C950" s="5"/>
    </row>
    <row r="951" ht="15.75" customHeight="1">
      <c r="A951" s="5"/>
      <c r="B951" s="5"/>
      <c r="C951" s="5"/>
    </row>
    <row r="952" ht="15.75" customHeight="1">
      <c r="A952" s="5"/>
      <c r="B952" s="5"/>
      <c r="C952" s="5"/>
    </row>
    <row r="953" ht="15.75" customHeight="1">
      <c r="A953" s="5"/>
      <c r="B953" s="5"/>
      <c r="C953" s="5"/>
    </row>
    <row r="954" ht="15.75" customHeight="1">
      <c r="A954" s="5"/>
      <c r="B954" s="5"/>
      <c r="C954" s="5"/>
    </row>
    <row r="955" ht="15.75" customHeight="1">
      <c r="A955" s="5"/>
      <c r="B955" s="5"/>
      <c r="C955" s="5"/>
    </row>
    <row r="956" ht="15.75" customHeight="1">
      <c r="A956" s="5"/>
      <c r="B956" s="5"/>
      <c r="C956" s="5"/>
    </row>
    <row r="957" ht="15.75" customHeight="1">
      <c r="A957" s="5"/>
      <c r="B957" s="5"/>
      <c r="C957" s="5"/>
    </row>
    <row r="958" ht="15.75" customHeight="1">
      <c r="A958" s="5"/>
      <c r="B958" s="5"/>
      <c r="C958" s="5"/>
    </row>
    <row r="959" ht="15.75" customHeight="1">
      <c r="A959" s="5"/>
      <c r="B959" s="5"/>
      <c r="C959" s="5"/>
    </row>
    <row r="960" ht="15.75" customHeight="1">
      <c r="A960" s="5"/>
      <c r="B960" s="5"/>
      <c r="C960" s="5"/>
    </row>
    <row r="961" ht="15.75" customHeight="1">
      <c r="A961" s="5"/>
      <c r="B961" s="5"/>
      <c r="C961" s="5"/>
    </row>
    <row r="962" ht="15.75" customHeight="1">
      <c r="A962" s="5"/>
      <c r="B962" s="5"/>
      <c r="C962" s="5"/>
    </row>
    <row r="963" ht="15.75" customHeight="1">
      <c r="A963" s="5"/>
      <c r="B963" s="5"/>
      <c r="C963" s="5"/>
    </row>
    <row r="964" ht="15.75" customHeight="1">
      <c r="A964" s="5"/>
      <c r="B964" s="5"/>
      <c r="C964" s="5"/>
    </row>
    <row r="965" ht="15.75" customHeight="1">
      <c r="A965" s="5"/>
      <c r="B965" s="5"/>
      <c r="C965" s="5"/>
    </row>
    <row r="966" ht="15.75" customHeight="1">
      <c r="A966" s="5"/>
      <c r="B966" s="5"/>
      <c r="C966" s="5"/>
    </row>
    <row r="967" ht="15.75" customHeight="1">
      <c r="A967" s="5"/>
      <c r="B967" s="5"/>
      <c r="C967" s="5"/>
    </row>
    <row r="968" ht="15.75" customHeight="1">
      <c r="A968" s="5"/>
      <c r="B968" s="5"/>
      <c r="C968" s="5"/>
    </row>
    <row r="969" ht="15.75" customHeight="1">
      <c r="A969" s="5"/>
      <c r="B969" s="5"/>
      <c r="C969" s="5"/>
    </row>
    <row r="970" ht="15.75" customHeight="1">
      <c r="A970" s="5"/>
      <c r="B970" s="5"/>
      <c r="C970" s="5"/>
    </row>
    <row r="971" ht="15.75" customHeight="1">
      <c r="A971" s="5"/>
      <c r="B971" s="5"/>
      <c r="C971" s="5"/>
    </row>
    <row r="972" ht="15.75" customHeight="1">
      <c r="A972" s="5"/>
      <c r="B972" s="5"/>
      <c r="C972" s="5"/>
    </row>
    <row r="973" ht="15.75" customHeight="1">
      <c r="A973" s="5"/>
      <c r="B973" s="5"/>
      <c r="C973" s="5"/>
    </row>
    <row r="974" ht="15.75" customHeight="1">
      <c r="A974" s="5"/>
      <c r="B974" s="5"/>
      <c r="C974" s="5"/>
    </row>
    <row r="975" ht="15.75" customHeight="1">
      <c r="A975" s="5"/>
      <c r="B975" s="5"/>
      <c r="C975" s="5"/>
    </row>
    <row r="976" ht="15.75" customHeight="1">
      <c r="A976" s="5"/>
      <c r="B976" s="5"/>
      <c r="C976" s="5"/>
    </row>
    <row r="977" ht="15.75" customHeight="1">
      <c r="A977" s="5"/>
      <c r="B977" s="5"/>
      <c r="C977" s="5"/>
    </row>
    <row r="978" ht="15.75" customHeight="1">
      <c r="A978" s="5"/>
      <c r="B978" s="5"/>
      <c r="C978" s="5"/>
    </row>
    <row r="979" ht="15.75" customHeight="1">
      <c r="A979" s="5"/>
      <c r="B979" s="5"/>
      <c r="C979" s="5"/>
    </row>
    <row r="980" ht="15.75" customHeight="1">
      <c r="A980" s="5"/>
      <c r="B980" s="5"/>
      <c r="C980" s="5"/>
    </row>
    <row r="981" ht="15.75" customHeight="1">
      <c r="A981" s="5"/>
      <c r="B981" s="5"/>
      <c r="C981" s="5"/>
    </row>
    <row r="982" ht="15.75" customHeight="1">
      <c r="A982" s="5"/>
      <c r="B982" s="5"/>
      <c r="C982" s="5"/>
    </row>
    <row r="983" ht="15.75" customHeight="1">
      <c r="A983" s="5"/>
      <c r="B983" s="5"/>
      <c r="C983" s="5"/>
    </row>
    <row r="984" ht="15.75" customHeight="1">
      <c r="A984" s="5"/>
      <c r="B984" s="5"/>
      <c r="C984" s="5"/>
    </row>
    <row r="985" ht="15.75" customHeight="1">
      <c r="A985" s="5"/>
      <c r="B985" s="5"/>
      <c r="C985" s="5"/>
    </row>
    <row r="986" ht="15.75" customHeight="1">
      <c r="A986" s="5"/>
      <c r="B986" s="5"/>
      <c r="C986" s="5"/>
    </row>
    <row r="987" ht="15.75" customHeight="1">
      <c r="A987" s="5"/>
      <c r="B987" s="5"/>
      <c r="C987" s="5"/>
    </row>
    <row r="988" ht="15.75" customHeight="1">
      <c r="A988" s="5"/>
      <c r="B988" s="5"/>
      <c r="C988" s="5"/>
    </row>
    <row r="989" ht="15.75" customHeight="1">
      <c r="A989" s="5"/>
      <c r="B989" s="5"/>
      <c r="C989" s="5"/>
    </row>
    <row r="990" ht="15.75" customHeight="1">
      <c r="A990" s="5"/>
      <c r="B990" s="5"/>
      <c r="C990" s="5"/>
    </row>
    <row r="991" ht="15.75" customHeight="1">
      <c r="A991" s="5"/>
      <c r="B991" s="5"/>
      <c r="C991" s="5"/>
    </row>
    <row r="992" ht="15.75" customHeight="1">
      <c r="A992" s="5"/>
      <c r="B992" s="5"/>
      <c r="C992" s="5"/>
    </row>
    <row r="993" ht="15.75" customHeight="1">
      <c r="A993" s="5"/>
      <c r="B993" s="5"/>
      <c r="C993" s="5"/>
    </row>
    <row r="994" ht="15.75" customHeight="1">
      <c r="A994" s="5"/>
      <c r="B994" s="5"/>
      <c r="C994" s="5"/>
    </row>
    <row r="995" ht="15.75" customHeight="1">
      <c r="A995" s="5"/>
      <c r="B995" s="5"/>
      <c r="C995" s="5"/>
    </row>
    <row r="996" ht="15.75" customHeight="1">
      <c r="A996" s="5"/>
      <c r="B996" s="5"/>
      <c r="C996" s="5"/>
    </row>
    <row r="997" ht="15.75" customHeight="1">
      <c r="A997" s="5"/>
      <c r="B997" s="5"/>
      <c r="C997" s="5"/>
    </row>
    <row r="998" ht="15.75" customHeight="1">
      <c r="A998" s="5"/>
      <c r="B998" s="5"/>
      <c r="C998" s="5"/>
    </row>
    <row r="999" ht="15.75" customHeight="1">
      <c r="A999" s="5"/>
      <c r="B999" s="5"/>
      <c r="C999" s="5"/>
    </row>
    <row r="1000" ht="15.75" customHeight="1">
      <c r="A1000" s="5"/>
      <c r="B1000" s="5"/>
      <c r="C1000" s="5"/>
    </row>
  </sheetData>
  <printOptions/>
  <pageMargins bottom="1.0" footer="0.0" header="0.0" left="0.75" right="0.75" top="1.0"/>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25"/>
    <col customWidth="1" min="2" max="2" width="51.63"/>
    <col customWidth="1" min="3" max="3" width="18.63"/>
    <col customWidth="1" min="4" max="4" width="25.63"/>
    <col customWidth="1" min="5" max="5" width="24.0"/>
    <col customWidth="1" min="6" max="6" width="12.63"/>
  </cols>
  <sheetData>
    <row r="1" ht="28.5" customHeight="1">
      <c r="A1" s="7" t="s">
        <v>88</v>
      </c>
      <c r="B1" s="7" t="s">
        <v>89</v>
      </c>
      <c r="C1" s="7" t="s">
        <v>90</v>
      </c>
      <c r="D1" s="7" t="s">
        <v>91</v>
      </c>
      <c r="E1" s="7" t="s">
        <v>92</v>
      </c>
      <c r="F1" s="8"/>
      <c r="G1" s="8"/>
      <c r="H1" s="8"/>
      <c r="I1" s="8"/>
      <c r="J1" s="9"/>
      <c r="K1" s="5"/>
      <c r="L1" s="5"/>
      <c r="M1" s="5"/>
      <c r="N1" s="5"/>
      <c r="O1" s="5"/>
      <c r="P1" s="5"/>
      <c r="Q1" s="5"/>
      <c r="R1" s="5"/>
      <c r="S1" s="5"/>
      <c r="T1" s="5"/>
      <c r="U1" s="5"/>
      <c r="V1" s="5"/>
      <c r="W1" s="5"/>
      <c r="X1" s="5"/>
      <c r="Y1" s="5"/>
      <c r="Z1" s="5"/>
    </row>
    <row r="2" ht="28.5" customHeight="1">
      <c r="A2" s="10" t="s">
        <v>93</v>
      </c>
      <c r="B2" s="11" t="s">
        <v>94</v>
      </c>
      <c r="C2" s="11" t="s">
        <v>95</v>
      </c>
      <c r="D2" s="11" t="s">
        <v>96</v>
      </c>
      <c r="E2" s="12"/>
      <c r="F2" s="13"/>
      <c r="G2" s="13"/>
      <c r="H2" s="13"/>
      <c r="I2" s="13"/>
      <c r="J2" s="14"/>
      <c r="K2" s="5"/>
      <c r="L2" s="5"/>
      <c r="M2" s="5"/>
      <c r="N2" s="5"/>
      <c r="O2" s="5"/>
      <c r="P2" s="5"/>
      <c r="Q2" s="5"/>
      <c r="R2" s="5"/>
      <c r="S2" s="5"/>
      <c r="T2" s="5"/>
      <c r="U2" s="5"/>
      <c r="V2" s="5"/>
      <c r="W2" s="5"/>
      <c r="X2" s="5"/>
      <c r="Y2" s="5"/>
      <c r="Z2" s="5"/>
    </row>
    <row r="3" ht="28.5" customHeight="1">
      <c r="A3" s="10" t="s">
        <v>97</v>
      </c>
      <c r="B3" s="11" t="s">
        <v>98</v>
      </c>
      <c r="C3" s="11" t="s">
        <v>95</v>
      </c>
      <c r="D3" s="11" t="s">
        <v>96</v>
      </c>
      <c r="E3" s="12"/>
      <c r="F3" s="13"/>
      <c r="G3" s="13"/>
      <c r="H3" s="13"/>
      <c r="I3" s="13"/>
      <c r="J3" s="14"/>
      <c r="K3" s="5"/>
      <c r="L3" s="5"/>
      <c r="M3" s="5"/>
      <c r="N3" s="5"/>
      <c r="O3" s="5"/>
      <c r="P3" s="5"/>
      <c r="Q3" s="5"/>
      <c r="R3" s="5"/>
      <c r="S3" s="5"/>
      <c r="T3" s="5"/>
      <c r="U3" s="5"/>
      <c r="V3" s="5"/>
      <c r="W3" s="5"/>
      <c r="X3" s="5"/>
      <c r="Y3" s="5"/>
      <c r="Z3" s="5"/>
    </row>
    <row r="4" ht="28.5" customHeight="1">
      <c r="A4" s="10" t="s">
        <v>99</v>
      </c>
      <c r="B4" s="11" t="s">
        <v>100</v>
      </c>
      <c r="C4" s="11" t="s">
        <v>101</v>
      </c>
      <c r="D4" s="11" t="s">
        <v>102</v>
      </c>
      <c r="E4" s="15" t="s">
        <v>103</v>
      </c>
      <c r="F4" s="13"/>
      <c r="G4" s="13"/>
      <c r="H4" s="13"/>
      <c r="I4" s="13"/>
      <c r="J4" s="14"/>
      <c r="K4" s="5"/>
      <c r="L4" s="5"/>
      <c r="M4" s="5"/>
      <c r="N4" s="5"/>
      <c r="O4" s="5"/>
      <c r="P4" s="5"/>
      <c r="Q4" s="5"/>
      <c r="R4" s="5"/>
      <c r="S4" s="5"/>
      <c r="T4" s="5"/>
      <c r="U4" s="5"/>
      <c r="V4" s="5"/>
      <c r="W4" s="5"/>
      <c r="X4" s="5"/>
      <c r="Y4" s="5"/>
      <c r="Z4" s="5"/>
    </row>
    <row r="5" ht="28.5" customHeight="1">
      <c r="A5" s="10" t="s">
        <v>104</v>
      </c>
      <c r="B5" s="11" t="s">
        <v>105</v>
      </c>
      <c r="C5" s="11" t="s">
        <v>101</v>
      </c>
      <c r="D5" s="11" t="s">
        <v>106</v>
      </c>
      <c r="E5" s="15" t="s">
        <v>107</v>
      </c>
      <c r="F5" s="13"/>
      <c r="G5" s="13"/>
      <c r="H5" s="13"/>
      <c r="I5" s="13"/>
      <c r="J5" s="14"/>
      <c r="K5" s="5"/>
      <c r="L5" s="5"/>
      <c r="M5" s="5"/>
      <c r="N5" s="5"/>
      <c r="O5" s="5"/>
      <c r="P5" s="5"/>
      <c r="Q5" s="5"/>
      <c r="R5" s="5"/>
      <c r="S5" s="5"/>
      <c r="T5" s="5"/>
      <c r="U5" s="5"/>
      <c r="V5" s="5"/>
      <c r="W5" s="5"/>
      <c r="X5" s="5"/>
      <c r="Y5" s="5"/>
      <c r="Z5" s="5"/>
    </row>
    <row r="6" ht="28.5" customHeight="1">
      <c r="A6" s="10" t="s">
        <v>108</v>
      </c>
      <c r="B6" s="11" t="s">
        <v>109</v>
      </c>
      <c r="C6" s="11" t="s">
        <v>101</v>
      </c>
      <c r="D6" s="11" t="s">
        <v>102</v>
      </c>
      <c r="E6" s="15" t="s">
        <v>110</v>
      </c>
      <c r="F6" s="13"/>
      <c r="G6" s="13"/>
      <c r="H6" s="13"/>
      <c r="I6" s="13"/>
      <c r="J6" s="14"/>
      <c r="K6" s="5"/>
      <c r="L6" s="5"/>
      <c r="M6" s="5"/>
      <c r="N6" s="5"/>
      <c r="O6" s="5"/>
      <c r="P6" s="5"/>
      <c r="Q6" s="5"/>
      <c r="R6" s="5"/>
      <c r="S6" s="5"/>
      <c r="T6" s="5"/>
      <c r="U6" s="5"/>
      <c r="V6" s="5"/>
      <c r="W6" s="5"/>
      <c r="X6" s="5"/>
      <c r="Y6" s="5"/>
      <c r="Z6" s="5"/>
    </row>
    <row r="7" ht="28.5" customHeight="1">
      <c r="A7" s="10" t="s">
        <v>111</v>
      </c>
      <c r="B7" s="11" t="s">
        <v>112</v>
      </c>
      <c r="C7" s="11" t="s">
        <v>113</v>
      </c>
      <c r="D7" s="11" t="s">
        <v>114</v>
      </c>
      <c r="E7" s="12"/>
      <c r="F7" s="13"/>
      <c r="G7" s="13"/>
      <c r="H7" s="13"/>
      <c r="I7" s="13"/>
      <c r="J7" s="14"/>
      <c r="K7" s="5"/>
      <c r="L7" s="5"/>
      <c r="M7" s="5"/>
      <c r="N7" s="5"/>
      <c r="O7" s="5"/>
      <c r="P7" s="5"/>
      <c r="Q7" s="5"/>
      <c r="R7" s="5"/>
      <c r="S7" s="5"/>
      <c r="T7" s="5"/>
      <c r="U7" s="5"/>
      <c r="V7" s="5"/>
      <c r="W7" s="5"/>
      <c r="X7" s="5"/>
      <c r="Y7" s="5"/>
      <c r="Z7" s="5"/>
    </row>
    <row r="8" ht="28.5" customHeight="1">
      <c r="A8" s="10" t="s">
        <v>115</v>
      </c>
      <c r="B8" s="16" t="s">
        <v>116</v>
      </c>
      <c r="C8" s="11" t="s">
        <v>101</v>
      </c>
      <c r="D8" s="11" t="s">
        <v>106</v>
      </c>
      <c r="E8" s="15" t="s">
        <v>117</v>
      </c>
      <c r="F8" s="13"/>
      <c r="G8" s="13"/>
      <c r="H8" s="13"/>
      <c r="I8" s="13"/>
      <c r="J8" s="14"/>
      <c r="K8" s="5"/>
      <c r="L8" s="5"/>
      <c r="M8" s="5"/>
      <c r="N8" s="5"/>
      <c r="O8" s="5"/>
      <c r="P8" s="5"/>
      <c r="Q8" s="5"/>
      <c r="R8" s="5"/>
      <c r="S8" s="5"/>
      <c r="T8" s="5"/>
      <c r="U8" s="5"/>
      <c r="V8" s="5"/>
      <c r="W8" s="5"/>
      <c r="X8" s="5"/>
      <c r="Y8" s="5"/>
      <c r="Z8" s="5"/>
    </row>
    <row r="9" ht="28.5" customHeight="1">
      <c r="A9" s="10" t="s">
        <v>118</v>
      </c>
      <c r="B9" s="16" t="s">
        <v>119</v>
      </c>
      <c r="C9" s="11" t="s">
        <v>101</v>
      </c>
      <c r="D9" s="11" t="s">
        <v>106</v>
      </c>
      <c r="E9" s="15" t="s">
        <v>120</v>
      </c>
      <c r="F9" s="13"/>
      <c r="G9" s="13"/>
      <c r="H9" s="13"/>
      <c r="I9" s="13"/>
      <c r="J9" s="14"/>
      <c r="K9" s="5"/>
      <c r="L9" s="5"/>
      <c r="M9" s="5"/>
      <c r="N9" s="5"/>
      <c r="O9" s="5"/>
      <c r="P9" s="5"/>
      <c r="Q9" s="5"/>
      <c r="R9" s="5"/>
      <c r="S9" s="5"/>
      <c r="T9" s="5"/>
      <c r="U9" s="5"/>
      <c r="V9" s="5"/>
      <c r="W9" s="5"/>
      <c r="X9" s="5"/>
      <c r="Y9" s="5"/>
      <c r="Z9" s="5"/>
    </row>
    <row r="10" ht="28.5" customHeight="1">
      <c r="A10" s="10" t="s">
        <v>121</v>
      </c>
      <c r="B10" s="11" t="s">
        <v>122</v>
      </c>
      <c r="C10" s="11" t="s">
        <v>113</v>
      </c>
      <c r="D10" s="11" t="s">
        <v>114</v>
      </c>
      <c r="E10" s="12"/>
      <c r="F10" s="13"/>
      <c r="G10" s="13"/>
      <c r="H10" s="13"/>
      <c r="I10" s="13"/>
      <c r="J10" s="14"/>
      <c r="K10" s="5"/>
      <c r="L10" s="5"/>
      <c r="M10" s="5"/>
      <c r="N10" s="5"/>
      <c r="O10" s="5"/>
      <c r="P10" s="5"/>
      <c r="Q10" s="5"/>
      <c r="R10" s="5"/>
      <c r="S10" s="5"/>
      <c r="T10" s="5"/>
      <c r="U10" s="5"/>
      <c r="V10" s="5"/>
      <c r="W10" s="5"/>
      <c r="X10" s="5"/>
      <c r="Y10" s="5"/>
      <c r="Z10" s="5"/>
    </row>
    <row r="11" ht="28.5" customHeight="1">
      <c r="A11" s="10" t="s">
        <v>123</v>
      </c>
      <c r="B11" s="11" t="s">
        <v>124</v>
      </c>
      <c r="C11" s="11" t="s">
        <v>125</v>
      </c>
      <c r="D11" s="11" t="s">
        <v>126</v>
      </c>
      <c r="E11" s="12"/>
      <c r="F11" s="13"/>
      <c r="G11" s="13"/>
      <c r="H11" s="13"/>
      <c r="I11" s="13"/>
      <c r="J11" s="14"/>
      <c r="K11" s="5"/>
      <c r="L11" s="5"/>
      <c r="M11" s="5"/>
      <c r="N11" s="5"/>
      <c r="O11" s="5"/>
      <c r="P11" s="5"/>
      <c r="Q11" s="5"/>
      <c r="R11" s="5"/>
      <c r="S11" s="5"/>
      <c r="T11" s="5"/>
      <c r="U11" s="5"/>
      <c r="V11" s="5"/>
      <c r="W11" s="5"/>
      <c r="X11" s="5"/>
      <c r="Y11" s="5"/>
      <c r="Z11" s="5"/>
    </row>
    <row r="12" ht="28.5" customHeight="1">
      <c r="A12" s="17" t="s">
        <v>127</v>
      </c>
      <c r="B12" s="18" t="s">
        <v>128</v>
      </c>
      <c r="C12" s="11" t="s">
        <v>101</v>
      </c>
      <c r="D12" s="11" t="s">
        <v>106</v>
      </c>
      <c r="E12" s="15" t="s">
        <v>129</v>
      </c>
      <c r="F12" s="13"/>
      <c r="G12" s="13"/>
      <c r="H12" s="13"/>
      <c r="I12" s="13"/>
      <c r="J12" s="14"/>
      <c r="K12" s="5"/>
      <c r="L12" s="5"/>
      <c r="M12" s="5"/>
      <c r="N12" s="5"/>
      <c r="O12" s="5"/>
      <c r="P12" s="5"/>
      <c r="Q12" s="5"/>
      <c r="R12" s="5"/>
      <c r="S12" s="5"/>
      <c r="T12" s="5"/>
      <c r="U12" s="5"/>
      <c r="V12" s="5"/>
      <c r="W12" s="5"/>
      <c r="X12" s="5"/>
      <c r="Y12" s="5"/>
      <c r="Z12" s="5"/>
    </row>
    <row r="13" ht="28.5" customHeight="1">
      <c r="A13" s="10" t="s">
        <v>130</v>
      </c>
      <c r="B13" s="11" t="s">
        <v>131</v>
      </c>
      <c r="C13" s="11" t="s">
        <v>113</v>
      </c>
      <c r="D13" s="11" t="s">
        <v>114</v>
      </c>
      <c r="E13" s="12"/>
      <c r="F13" s="13"/>
      <c r="G13" s="13"/>
      <c r="H13" s="13"/>
      <c r="I13" s="13"/>
      <c r="J13" s="14"/>
      <c r="K13" s="5"/>
      <c r="L13" s="5"/>
      <c r="M13" s="5"/>
      <c r="N13" s="5"/>
      <c r="O13" s="5"/>
      <c r="P13" s="5"/>
      <c r="Q13" s="5"/>
      <c r="R13" s="5"/>
      <c r="S13" s="5"/>
      <c r="T13" s="5"/>
      <c r="U13" s="5"/>
      <c r="V13" s="5"/>
      <c r="W13" s="5"/>
      <c r="X13" s="5"/>
      <c r="Y13" s="5"/>
      <c r="Z13" s="5"/>
    </row>
    <row r="14" ht="28.5" customHeight="1">
      <c r="A14" s="10" t="s">
        <v>132</v>
      </c>
      <c r="B14" s="11" t="s">
        <v>133</v>
      </c>
      <c r="C14" s="11" t="s">
        <v>113</v>
      </c>
      <c r="D14" s="11" t="s">
        <v>114</v>
      </c>
      <c r="E14" s="12"/>
      <c r="F14" s="13"/>
      <c r="G14" s="13"/>
      <c r="H14" s="13"/>
      <c r="I14" s="13"/>
      <c r="J14" s="14"/>
      <c r="K14" s="5"/>
      <c r="L14" s="5"/>
      <c r="M14" s="5"/>
      <c r="N14" s="5"/>
      <c r="O14" s="5"/>
      <c r="P14" s="5"/>
      <c r="Q14" s="5"/>
      <c r="R14" s="5"/>
      <c r="S14" s="5"/>
      <c r="T14" s="5"/>
      <c r="U14" s="5"/>
      <c r="V14" s="5"/>
      <c r="W14" s="5"/>
      <c r="X14" s="5"/>
      <c r="Y14" s="5"/>
      <c r="Z14" s="5"/>
    </row>
    <row r="15" ht="28.5" customHeight="1">
      <c r="A15" s="10" t="s">
        <v>134</v>
      </c>
      <c r="B15" s="11" t="s">
        <v>135</v>
      </c>
      <c r="C15" s="11" t="s">
        <v>101</v>
      </c>
      <c r="D15" s="11" t="s">
        <v>106</v>
      </c>
      <c r="E15" s="15" t="s">
        <v>136</v>
      </c>
      <c r="F15" s="13"/>
      <c r="G15" s="13"/>
      <c r="H15" s="13"/>
      <c r="I15" s="13"/>
      <c r="J15" s="14"/>
      <c r="K15" s="5"/>
      <c r="L15" s="5"/>
      <c r="M15" s="5"/>
      <c r="N15" s="5"/>
      <c r="O15" s="5"/>
      <c r="P15" s="5"/>
      <c r="Q15" s="5"/>
      <c r="R15" s="5"/>
      <c r="S15" s="5"/>
      <c r="T15" s="5"/>
      <c r="U15" s="5"/>
      <c r="V15" s="5"/>
      <c r="W15" s="5"/>
      <c r="X15" s="5"/>
      <c r="Y15" s="5"/>
      <c r="Z15" s="5"/>
    </row>
    <row r="16" ht="28.5" customHeight="1">
      <c r="A16" s="10" t="s">
        <v>137</v>
      </c>
      <c r="B16" s="11" t="s">
        <v>138</v>
      </c>
      <c r="C16" s="11" t="s">
        <v>101</v>
      </c>
      <c r="D16" s="11" t="s">
        <v>106</v>
      </c>
      <c r="E16" s="15" t="s">
        <v>139</v>
      </c>
      <c r="F16" s="13"/>
      <c r="G16" s="13"/>
      <c r="H16" s="13"/>
      <c r="I16" s="13"/>
      <c r="J16" s="14"/>
      <c r="K16" s="5"/>
      <c r="L16" s="5"/>
      <c r="M16" s="5"/>
      <c r="N16" s="5"/>
      <c r="O16" s="5"/>
      <c r="P16" s="5"/>
      <c r="Q16" s="5"/>
      <c r="R16" s="5"/>
      <c r="S16" s="5"/>
      <c r="T16" s="5"/>
      <c r="U16" s="5"/>
      <c r="V16" s="5"/>
      <c r="W16" s="5"/>
      <c r="X16" s="5"/>
      <c r="Y16" s="5"/>
      <c r="Z16" s="5"/>
    </row>
    <row r="17" ht="28.5" customHeight="1">
      <c r="A17" s="10" t="s">
        <v>140</v>
      </c>
      <c r="B17" s="11" t="s">
        <v>141</v>
      </c>
      <c r="C17" s="11" t="s">
        <v>113</v>
      </c>
      <c r="D17" s="11" t="s">
        <v>142</v>
      </c>
      <c r="E17" s="15" t="s">
        <v>143</v>
      </c>
      <c r="F17" s="13"/>
      <c r="G17" s="13"/>
      <c r="H17" s="13"/>
      <c r="I17" s="13"/>
      <c r="J17" s="14"/>
      <c r="K17" s="5"/>
      <c r="L17" s="5"/>
      <c r="M17" s="5"/>
      <c r="N17" s="5"/>
      <c r="O17" s="5"/>
      <c r="P17" s="5"/>
      <c r="Q17" s="5"/>
      <c r="R17" s="5"/>
      <c r="S17" s="5"/>
      <c r="T17" s="5"/>
      <c r="U17" s="5"/>
      <c r="V17" s="5"/>
      <c r="W17" s="5"/>
      <c r="X17" s="5"/>
      <c r="Y17" s="5"/>
      <c r="Z17" s="5"/>
    </row>
    <row r="18" ht="28.5" customHeight="1">
      <c r="A18" s="10" t="s">
        <v>144</v>
      </c>
      <c r="B18" s="11" t="s">
        <v>145</v>
      </c>
      <c r="C18" s="11" t="s">
        <v>101</v>
      </c>
      <c r="D18" s="11" t="s">
        <v>106</v>
      </c>
      <c r="E18" s="15" t="s">
        <v>146</v>
      </c>
      <c r="F18" s="13"/>
      <c r="G18" s="13"/>
      <c r="H18" s="13"/>
      <c r="I18" s="13"/>
      <c r="J18" s="14"/>
      <c r="K18" s="5"/>
      <c r="L18" s="5"/>
      <c r="M18" s="5"/>
      <c r="N18" s="5"/>
      <c r="O18" s="5"/>
      <c r="P18" s="5"/>
      <c r="Q18" s="5"/>
      <c r="R18" s="5"/>
      <c r="S18" s="5"/>
      <c r="T18" s="5"/>
      <c r="U18" s="5"/>
      <c r="V18" s="5"/>
      <c r="W18" s="5"/>
      <c r="X18" s="5"/>
      <c r="Y18" s="5"/>
      <c r="Z18" s="5"/>
    </row>
    <row r="19" ht="28.5" customHeight="1">
      <c r="A19" s="10" t="s">
        <v>147</v>
      </c>
      <c r="B19" s="11" t="s">
        <v>148</v>
      </c>
      <c r="C19" s="11" t="s">
        <v>101</v>
      </c>
      <c r="D19" s="11" t="s">
        <v>106</v>
      </c>
      <c r="E19" s="15" t="s">
        <v>149</v>
      </c>
      <c r="F19" s="13"/>
      <c r="G19" s="13"/>
      <c r="H19" s="13"/>
      <c r="I19" s="13"/>
      <c r="J19" s="14"/>
      <c r="K19" s="5"/>
      <c r="L19" s="5"/>
      <c r="M19" s="5"/>
      <c r="N19" s="5"/>
      <c r="O19" s="5"/>
      <c r="P19" s="5"/>
      <c r="Q19" s="5"/>
      <c r="R19" s="5"/>
      <c r="S19" s="5"/>
      <c r="T19" s="5"/>
      <c r="U19" s="5"/>
      <c r="V19" s="5"/>
      <c r="W19" s="5"/>
      <c r="X19" s="5"/>
      <c r="Y19" s="5"/>
      <c r="Z19" s="5"/>
    </row>
    <row r="20" ht="28.5" customHeight="1">
      <c r="A20" s="10" t="s">
        <v>150</v>
      </c>
      <c r="B20" s="11" t="s">
        <v>151</v>
      </c>
      <c r="C20" s="11" t="s">
        <v>113</v>
      </c>
      <c r="D20" s="11" t="s">
        <v>114</v>
      </c>
      <c r="E20" s="12"/>
      <c r="F20" s="13"/>
      <c r="G20" s="13"/>
      <c r="H20" s="13"/>
      <c r="I20" s="13"/>
      <c r="J20" s="14"/>
      <c r="K20" s="5"/>
      <c r="L20" s="5"/>
      <c r="M20" s="5"/>
      <c r="N20" s="5"/>
      <c r="O20" s="5"/>
      <c r="P20" s="5"/>
      <c r="Q20" s="5"/>
      <c r="R20" s="5"/>
      <c r="S20" s="5"/>
      <c r="T20" s="5"/>
      <c r="U20" s="5"/>
      <c r="V20" s="5"/>
      <c r="W20" s="5"/>
      <c r="X20" s="5"/>
      <c r="Y20" s="5"/>
      <c r="Z20" s="5"/>
    </row>
    <row r="21" ht="28.5" customHeight="1">
      <c r="A21" s="10" t="s">
        <v>152</v>
      </c>
      <c r="B21" s="11" t="s">
        <v>153</v>
      </c>
      <c r="C21" s="11" t="s">
        <v>101</v>
      </c>
      <c r="D21" s="11" t="s">
        <v>102</v>
      </c>
      <c r="E21" s="15" t="s">
        <v>154</v>
      </c>
      <c r="F21" s="13"/>
      <c r="G21" s="13"/>
      <c r="H21" s="13"/>
      <c r="I21" s="13"/>
      <c r="J21" s="14"/>
      <c r="K21" s="5"/>
      <c r="L21" s="5"/>
      <c r="M21" s="5"/>
      <c r="N21" s="5"/>
      <c r="O21" s="5"/>
      <c r="P21" s="5"/>
      <c r="Q21" s="5"/>
      <c r="R21" s="5"/>
      <c r="S21" s="5"/>
      <c r="T21" s="5"/>
      <c r="U21" s="5"/>
      <c r="V21" s="5"/>
      <c r="W21" s="5"/>
      <c r="X21" s="5"/>
      <c r="Y21" s="5"/>
      <c r="Z21" s="5"/>
    </row>
    <row r="22" ht="28.5" customHeight="1">
      <c r="A22" s="10" t="s">
        <v>155</v>
      </c>
      <c r="B22" s="11" t="s">
        <v>156</v>
      </c>
      <c r="C22" s="11" t="s">
        <v>101</v>
      </c>
      <c r="D22" s="11" t="s">
        <v>106</v>
      </c>
      <c r="E22" s="15" t="s">
        <v>157</v>
      </c>
      <c r="F22" s="13"/>
      <c r="G22" s="13"/>
      <c r="H22" s="13"/>
      <c r="I22" s="13"/>
      <c r="J22" s="14"/>
      <c r="K22" s="5"/>
      <c r="L22" s="5"/>
      <c r="M22" s="5"/>
      <c r="N22" s="5"/>
      <c r="O22" s="5"/>
      <c r="P22" s="5"/>
      <c r="Q22" s="5"/>
      <c r="R22" s="5"/>
      <c r="S22" s="5"/>
      <c r="T22" s="5"/>
      <c r="U22" s="5"/>
      <c r="V22" s="5"/>
      <c r="W22" s="5"/>
      <c r="X22" s="5"/>
      <c r="Y22" s="5"/>
      <c r="Z22" s="5"/>
    </row>
    <row r="23" ht="28.5" customHeight="1">
      <c r="A23" s="10" t="s">
        <v>158</v>
      </c>
      <c r="B23" s="11" t="s">
        <v>159</v>
      </c>
      <c r="C23" s="11" t="s">
        <v>113</v>
      </c>
      <c r="D23" s="11" t="s">
        <v>114</v>
      </c>
      <c r="E23" s="12"/>
      <c r="F23" s="13"/>
      <c r="G23" s="13"/>
      <c r="H23" s="13"/>
      <c r="I23" s="13"/>
      <c r="J23" s="14"/>
      <c r="K23" s="5"/>
      <c r="L23" s="5"/>
      <c r="M23" s="5"/>
      <c r="N23" s="5"/>
      <c r="O23" s="5"/>
      <c r="P23" s="5"/>
      <c r="Q23" s="5"/>
      <c r="R23" s="5"/>
      <c r="S23" s="5"/>
      <c r="T23" s="5"/>
      <c r="U23" s="5"/>
      <c r="V23" s="5"/>
      <c r="W23" s="5"/>
      <c r="X23" s="5"/>
      <c r="Y23" s="5"/>
      <c r="Z23" s="5"/>
    </row>
    <row r="24" ht="28.5" customHeight="1">
      <c r="A24" s="10" t="s">
        <v>160</v>
      </c>
      <c r="B24" s="11" t="s">
        <v>161</v>
      </c>
      <c r="C24" s="11" t="s">
        <v>101</v>
      </c>
      <c r="D24" s="11" t="s">
        <v>106</v>
      </c>
      <c r="E24" s="12" t="s">
        <v>162</v>
      </c>
      <c r="F24" s="13"/>
      <c r="G24" s="13"/>
      <c r="H24" s="13"/>
      <c r="I24" s="13"/>
      <c r="J24" s="14"/>
      <c r="K24" s="5"/>
      <c r="L24" s="5"/>
      <c r="M24" s="5"/>
      <c r="N24" s="5"/>
      <c r="O24" s="5"/>
      <c r="P24" s="5"/>
      <c r="Q24" s="5"/>
      <c r="R24" s="5"/>
      <c r="S24" s="5"/>
      <c r="T24" s="5"/>
      <c r="U24" s="5"/>
      <c r="V24" s="5"/>
      <c r="W24" s="5"/>
      <c r="X24" s="5"/>
      <c r="Y24" s="5"/>
      <c r="Z24" s="5"/>
    </row>
    <row r="25" ht="28.5" customHeight="1">
      <c r="A25" s="10" t="s">
        <v>163</v>
      </c>
      <c r="B25" s="11" t="s">
        <v>164</v>
      </c>
      <c r="C25" s="11" t="s">
        <v>101</v>
      </c>
      <c r="D25" s="11" t="s">
        <v>106</v>
      </c>
      <c r="E25" s="15" t="s">
        <v>165</v>
      </c>
      <c r="F25" s="13"/>
      <c r="G25" s="13"/>
      <c r="H25" s="13"/>
      <c r="I25" s="13"/>
      <c r="J25" s="14"/>
      <c r="K25" s="5"/>
      <c r="L25" s="5"/>
      <c r="M25" s="5"/>
      <c r="N25" s="5"/>
      <c r="O25" s="5"/>
      <c r="P25" s="5"/>
      <c r="Q25" s="5"/>
      <c r="R25" s="5"/>
      <c r="S25" s="5"/>
      <c r="T25" s="5"/>
      <c r="U25" s="5"/>
      <c r="V25" s="5"/>
      <c r="W25" s="5"/>
      <c r="X25" s="5"/>
      <c r="Y25" s="5"/>
      <c r="Z25" s="5"/>
    </row>
    <row r="26" ht="28.5" customHeight="1">
      <c r="A26" s="10" t="s">
        <v>166</v>
      </c>
      <c r="B26" s="11" t="s">
        <v>167</v>
      </c>
      <c r="C26" s="11" t="s">
        <v>101</v>
      </c>
      <c r="D26" s="11" t="s">
        <v>106</v>
      </c>
      <c r="E26" s="15" t="s">
        <v>168</v>
      </c>
      <c r="F26" s="13"/>
      <c r="G26" s="13"/>
      <c r="H26" s="13"/>
      <c r="I26" s="13"/>
      <c r="J26" s="14"/>
      <c r="K26" s="5"/>
      <c r="L26" s="5"/>
      <c r="M26" s="5"/>
      <c r="N26" s="5"/>
      <c r="O26" s="5"/>
      <c r="P26" s="5"/>
      <c r="Q26" s="5"/>
      <c r="R26" s="5"/>
      <c r="S26" s="5"/>
      <c r="T26" s="5"/>
      <c r="U26" s="5"/>
      <c r="V26" s="5"/>
      <c r="W26" s="5"/>
      <c r="X26" s="5"/>
      <c r="Y26" s="5"/>
      <c r="Z26" s="5"/>
    </row>
    <row r="27" ht="28.5" customHeight="1">
      <c r="A27" s="10" t="s">
        <v>169</v>
      </c>
      <c r="B27" s="11" t="s">
        <v>170</v>
      </c>
      <c r="C27" s="11" t="s">
        <v>101</v>
      </c>
      <c r="D27" s="11" t="s">
        <v>106</v>
      </c>
      <c r="E27" s="15" t="s">
        <v>171</v>
      </c>
      <c r="F27" s="13"/>
      <c r="G27" s="13"/>
      <c r="H27" s="13"/>
      <c r="I27" s="13"/>
      <c r="J27" s="14"/>
      <c r="K27" s="5"/>
      <c r="L27" s="5"/>
      <c r="M27" s="5"/>
      <c r="N27" s="5"/>
      <c r="O27" s="5"/>
      <c r="P27" s="5"/>
      <c r="Q27" s="5"/>
      <c r="R27" s="5"/>
      <c r="S27" s="5"/>
      <c r="T27" s="5"/>
      <c r="U27" s="5"/>
      <c r="V27" s="5"/>
      <c r="W27" s="5"/>
      <c r="X27" s="5"/>
      <c r="Y27" s="5"/>
      <c r="Z27" s="5"/>
    </row>
    <row r="28" ht="28.5" customHeight="1">
      <c r="A28" s="10" t="s">
        <v>172</v>
      </c>
      <c r="B28" s="11" t="s">
        <v>173</v>
      </c>
      <c r="C28" s="11" t="s">
        <v>101</v>
      </c>
      <c r="D28" s="11" t="s">
        <v>106</v>
      </c>
      <c r="E28" s="15" t="s">
        <v>174</v>
      </c>
      <c r="F28" s="13"/>
      <c r="G28" s="13"/>
      <c r="H28" s="13"/>
      <c r="I28" s="13"/>
      <c r="J28" s="14"/>
      <c r="K28" s="5"/>
      <c r="L28" s="5"/>
      <c r="M28" s="5"/>
      <c r="N28" s="5"/>
      <c r="O28" s="5"/>
      <c r="P28" s="5"/>
      <c r="Q28" s="5"/>
      <c r="R28" s="5"/>
      <c r="S28" s="5"/>
      <c r="T28" s="5"/>
      <c r="U28" s="5"/>
      <c r="V28" s="5"/>
      <c r="W28" s="5"/>
      <c r="X28" s="5"/>
      <c r="Y28" s="5"/>
      <c r="Z28" s="5"/>
    </row>
    <row r="29" ht="28.5" customHeight="1">
      <c r="A29" s="10" t="s">
        <v>175</v>
      </c>
      <c r="B29" s="11" t="s">
        <v>176</v>
      </c>
      <c r="C29" s="11" t="s">
        <v>125</v>
      </c>
      <c r="D29" s="11" t="s">
        <v>126</v>
      </c>
      <c r="E29" s="12"/>
      <c r="F29" s="13"/>
      <c r="G29" s="13"/>
      <c r="H29" s="13"/>
      <c r="I29" s="13"/>
      <c r="J29" s="14"/>
      <c r="K29" s="5"/>
      <c r="L29" s="5"/>
      <c r="M29" s="5"/>
      <c r="N29" s="5"/>
      <c r="O29" s="5"/>
      <c r="P29" s="5"/>
      <c r="Q29" s="5"/>
      <c r="R29" s="5"/>
      <c r="S29" s="5"/>
      <c r="T29" s="5"/>
      <c r="U29" s="5"/>
      <c r="V29" s="5"/>
      <c r="W29" s="5"/>
      <c r="X29" s="5"/>
      <c r="Y29" s="5"/>
      <c r="Z29" s="5"/>
    </row>
    <row r="30" ht="28.5" customHeight="1">
      <c r="A30" s="10" t="s">
        <v>177</v>
      </c>
      <c r="B30" s="11" t="s">
        <v>178</v>
      </c>
      <c r="C30" s="11" t="s">
        <v>101</v>
      </c>
      <c r="D30" s="11" t="s">
        <v>106</v>
      </c>
      <c r="E30" s="15" t="s">
        <v>179</v>
      </c>
      <c r="F30" s="13"/>
      <c r="G30" s="13"/>
      <c r="H30" s="13"/>
      <c r="I30" s="13"/>
      <c r="J30" s="14"/>
      <c r="K30" s="5"/>
      <c r="L30" s="5"/>
      <c r="M30" s="5"/>
      <c r="N30" s="5"/>
      <c r="O30" s="5"/>
      <c r="P30" s="5"/>
      <c r="Q30" s="5"/>
      <c r="R30" s="5"/>
      <c r="S30" s="5"/>
      <c r="T30" s="5"/>
      <c r="U30" s="5"/>
      <c r="V30" s="5"/>
      <c r="W30" s="5"/>
      <c r="X30" s="5"/>
      <c r="Y30" s="5"/>
      <c r="Z30" s="5"/>
    </row>
    <row r="31" ht="28.5" customHeight="1">
      <c r="A31" s="10" t="s">
        <v>180</v>
      </c>
      <c r="B31" s="11" t="s">
        <v>181</v>
      </c>
      <c r="C31" s="11" t="s">
        <v>101</v>
      </c>
      <c r="D31" s="11" t="s">
        <v>106</v>
      </c>
      <c r="E31" s="15" t="s">
        <v>182</v>
      </c>
      <c r="F31" s="13"/>
      <c r="G31" s="13"/>
      <c r="H31" s="13"/>
      <c r="I31" s="13"/>
      <c r="J31" s="14"/>
      <c r="K31" s="5"/>
      <c r="L31" s="5"/>
      <c r="M31" s="5"/>
      <c r="N31" s="5"/>
      <c r="O31" s="5"/>
      <c r="P31" s="5"/>
      <c r="Q31" s="5"/>
      <c r="R31" s="5"/>
      <c r="S31" s="5"/>
      <c r="T31" s="5"/>
      <c r="U31" s="5"/>
      <c r="V31" s="5"/>
      <c r="W31" s="5"/>
      <c r="X31" s="5"/>
      <c r="Y31" s="5"/>
      <c r="Z31" s="5"/>
    </row>
    <row r="32" ht="28.5" customHeight="1">
      <c r="A32" s="10" t="s">
        <v>183</v>
      </c>
      <c r="B32" s="11" t="s">
        <v>184</v>
      </c>
      <c r="C32" s="11" t="s">
        <v>101</v>
      </c>
      <c r="D32" s="11" t="s">
        <v>106</v>
      </c>
      <c r="E32" s="15" t="s">
        <v>185</v>
      </c>
      <c r="F32" s="13"/>
      <c r="G32" s="13"/>
      <c r="H32" s="13"/>
      <c r="I32" s="13"/>
      <c r="J32" s="14"/>
      <c r="K32" s="5"/>
      <c r="L32" s="5"/>
      <c r="M32" s="5"/>
      <c r="N32" s="5"/>
      <c r="O32" s="5"/>
      <c r="P32" s="5"/>
      <c r="Q32" s="5"/>
      <c r="R32" s="5"/>
      <c r="S32" s="5"/>
      <c r="T32" s="5"/>
      <c r="U32" s="5"/>
      <c r="V32" s="5"/>
      <c r="W32" s="5"/>
      <c r="X32" s="5"/>
      <c r="Y32" s="5"/>
      <c r="Z32" s="5"/>
    </row>
    <row r="33" ht="28.5" customHeight="1">
      <c r="A33" s="10" t="s">
        <v>186</v>
      </c>
      <c r="B33" s="11" t="s">
        <v>187</v>
      </c>
      <c r="C33" s="11" t="s">
        <v>113</v>
      </c>
      <c r="D33" s="11" t="s">
        <v>114</v>
      </c>
      <c r="E33" s="12"/>
      <c r="F33" s="13"/>
      <c r="G33" s="13"/>
      <c r="H33" s="13"/>
      <c r="I33" s="13"/>
      <c r="J33" s="14"/>
      <c r="K33" s="5"/>
      <c r="L33" s="5"/>
      <c r="M33" s="5"/>
      <c r="N33" s="5"/>
      <c r="O33" s="5"/>
      <c r="P33" s="5"/>
      <c r="Q33" s="5"/>
      <c r="R33" s="5"/>
      <c r="S33" s="5"/>
      <c r="T33" s="5"/>
      <c r="U33" s="5"/>
      <c r="V33" s="5"/>
      <c r="W33" s="5"/>
      <c r="X33" s="5"/>
      <c r="Y33" s="5"/>
      <c r="Z33" s="5"/>
    </row>
    <row r="34" ht="28.5" customHeight="1">
      <c r="A34" s="10" t="s">
        <v>188</v>
      </c>
      <c r="B34" s="11" t="s">
        <v>189</v>
      </c>
      <c r="C34" s="11" t="s">
        <v>101</v>
      </c>
      <c r="D34" s="11" t="s">
        <v>106</v>
      </c>
      <c r="E34" s="15" t="s">
        <v>190</v>
      </c>
      <c r="F34" s="13"/>
      <c r="G34" s="13"/>
      <c r="H34" s="13"/>
      <c r="I34" s="13"/>
      <c r="J34" s="14"/>
      <c r="K34" s="5"/>
      <c r="L34" s="5"/>
      <c r="M34" s="5"/>
      <c r="N34" s="5"/>
      <c r="O34" s="5"/>
      <c r="P34" s="5"/>
      <c r="Q34" s="5"/>
      <c r="R34" s="5"/>
      <c r="S34" s="5"/>
      <c r="T34" s="5"/>
      <c r="U34" s="5"/>
      <c r="V34" s="5"/>
      <c r="W34" s="5"/>
      <c r="X34" s="5"/>
      <c r="Y34" s="5"/>
      <c r="Z34" s="5"/>
    </row>
    <row r="35" ht="28.5" customHeight="1">
      <c r="A35" s="10" t="s">
        <v>191</v>
      </c>
      <c r="B35" s="11" t="s">
        <v>192</v>
      </c>
      <c r="C35" s="11" t="s">
        <v>101</v>
      </c>
      <c r="D35" s="11" t="s">
        <v>106</v>
      </c>
      <c r="E35" s="12" t="s">
        <v>193</v>
      </c>
      <c r="F35" s="13"/>
      <c r="G35" s="13"/>
      <c r="H35" s="13"/>
      <c r="I35" s="13"/>
      <c r="J35" s="14"/>
      <c r="K35" s="5"/>
      <c r="L35" s="5"/>
      <c r="M35" s="5"/>
      <c r="N35" s="5"/>
      <c r="O35" s="5"/>
      <c r="P35" s="5"/>
      <c r="Q35" s="5"/>
      <c r="R35" s="5"/>
      <c r="S35" s="5"/>
      <c r="T35" s="5"/>
      <c r="U35" s="5"/>
      <c r="V35" s="5"/>
      <c r="W35" s="5"/>
      <c r="X35" s="5"/>
      <c r="Y35" s="5"/>
      <c r="Z35" s="5"/>
    </row>
    <row r="36" ht="28.5" customHeight="1">
      <c r="A36" s="10" t="s">
        <v>194</v>
      </c>
      <c r="B36" s="11" t="s">
        <v>195</v>
      </c>
      <c r="C36" s="11" t="s">
        <v>101</v>
      </c>
      <c r="D36" s="11" t="s">
        <v>106</v>
      </c>
      <c r="E36" s="15" t="s">
        <v>196</v>
      </c>
      <c r="F36" s="13"/>
      <c r="G36" s="13"/>
      <c r="H36" s="13"/>
      <c r="I36" s="13"/>
      <c r="J36" s="14"/>
      <c r="K36" s="5"/>
      <c r="L36" s="5"/>
      <c r="M36" s="5"/>
      <c r="N36" s="5"/>
      <c r="O36" s="5"/>
      <c r="P36" s="5"/>
      <c r="Q36" s="5"/>
      <c r="R36" s="5"/>
      <c r="S36" s="5"/>
      <c r="T36" s="5"/>
      <c r="U36" s="5"/>
      <c r="V36" s="5"/>
      <c r="W36" s="5"/>
      <c r="X36" s="5"/>
      <c r="Y36" s="5"/>
      <c r="Z36" s="5"/>
    </row>
    <row r="37" ht="28.5" customHeight="1">
      <c r="A37" s="10" t="s">
        <v>197</v>
      </c>
      <c r="B37" s="11" t="s">
        <v>198</v>
      </c>
      <c r="C37" s="11" t="s">
        <v>125</v>
      </c>
      <c r="D37" s="11" t="s">
        <v>126</v>
      </c>
      <c r="E37" s="12"/>
      <c r="F37" s="13"/>
      <c r="G37" s="13"/>
      <c r="H37" s="13"/>
      <c r="I37" s="13"/>
      <c r="J37" s="14"/>
      <c r="K37" s="5"/>
      <c r="L37" s="5"/>
      <c r="M37" s="5"/>
      <c r="N37" s="5"/>
      <c r="O37" s="5"/>
      <c r="P37" s="5"/>
      <c r="Q37" s="5"/>
      <c r="R37" s="5"/>
      <c r="S37" s="5"/>
      <c r="T37" s="5"/>
      <c r="U37" s="5"/>
      <c r="V37" s="5"/>
      <c r="W37" s="5"/>
      <c r="X37" s="5"/>
      <c r="Y37" s="5"/>
      <c r="Z37" s="5"/>
    </row>
    <row r="38" ht="28.5" customHeight="1">
      <c r="A38" s="10" t="s">
        <v>199</v>
      </c>
      <c r="B38" s="11" t="s">
        <v>200</v>
      </c>
      <c r="C38" s="11" t="s">
        <v>101</v>
      </c>
      <c r="D38" s="11" t="s">
        <v>102</v>
      </c>
      <c r="E38" s="15" t="s">
        <v>201</v>
      </c>
      <c r="F38" s="13"/>
      <c r="G38" s="13"/>
      <c r="H38" s="13"/>
      <c r="I38" s="13"/>
      <c r="J38" s="14"/>
      <c r="K38" s="5"/>
      <c r="L38" s="5"/>
      <c r="M38" s="5"/>
      <c r="N38" s="5"/>
      <c r="O38" s="5"/>
      <c r="P38" s="5"/>
      <c r="Q38" s="5"/>
      <c r="R38" s="5"/>
      <c r="S38" s="5"/>
      <c r="T38" s="5"/>
      <c r="U38" s="5"/>
      <c r="V38" s="5"/>
      <c r="W38" s="5"/>
      <c r="X38" s="5"/>
      <c r="Y38" s="5"/>
      <c r="Z38" s="5"/>
    </row>
    <row r="39" ht="28.5" customHeight="1">
      <c r="A39" s="10" t="s">
        <v>202</v>
      </c>
      <c r="B39" s="11" t="s">
        <v>203</v>
      </c>
      <c r="C39" s="11" t="s">
        <v>113</v>
      </c>
      <c r="D39" s="11" t="s">
        <v>102</v>
      </c>
      <c r="E39" s="15" t="s">
        <v>204</v>
      </c>
      <c r="F39" s="13"/>
      <c r="G39" s="13"/>
      <c r="H39" s="13"/>
      <c r="I39" s="13"/>
      <c r="J39" s="14"/>
      <c r="K39" s="5"/>
      <c r="L39" s="5"/>
      <c r="M39" s="5"/>
      <c r="N39" s="5"/>
      <c r="O39" s="5"/>
      <c r="P39" s="5"/>
      <c r="Q39" s="5"/>
      <c r="R39" s="5"/>
      <c r="S39" s="5"/>
      <c r="T39" s="5"/>
      <c r="U39" s="5"/>
      <c r="V39" s="5"/>
      <c r="W39" s="5"/>
      <c r="X39" s="5"/>
      <c r="Y39" s="5"/>
      <c r="Z39" s="5"/>
    </row>
    <row r="40" ht="28.5" customHeight="1">
      <c r="A40" s="10" t="s">
        <v>205</v>
      </c>
      <c r="B40" s="11" t="s">
        <v>206</v>
      </c>
      <c r="C40" s="11" t="s">
        <v>95</v>
      </c>
      <c r="D40" s="11" t="s">
        <v>102</v>
      </c>
      <c r="E40" s="15" t="s">
        <v>207</v>
      </c>
      <c r="F40" s="13"/>
      <c r="G40" s="13"/>
      <c r="H40" s="13"/>
      <c r="I40" s="13"/>
      <c r="J40" s="14"/>
      <c r="K40" s="5"/>
      <c r="L40" s="5"/>
      <c r="M40" s="5"/>
      <c r="N40" s="5"/>
      <c r="O40" s="5"/>
      <c r="P40" s="5"/>
      <c r="Q40" s="5"/>
      <c r="R40" s="5"/>
      <c r="S40" s="5"/>
      <c r="T40" s="5"/>
      <c r="U40" s="5"/>
      <c r="V40" s="5"/>
      <c r="W40" s="5"/>
      <c r="X40" s="5"/>
      <c r="Y40" s="5"/>
      <c r="Z40" s="5"/>
    </row>
    <row r="41" ht="28.5" customHeight="1">
      <c r="A41" s="10" t="s">
        <v>208</v>
      </c>
      <c r="B41" s="17" t="s">
        <v>209</v>
      </c>
      <c r="C41" s="11" t="s">
        <v>113</v>
      </c>
      <c r="D41" s="11" t="s">
        <v>102</v>
      </c>
      <c r="E41" s="15" t="s">
        <v>210</v>
      </c>
      <c r="F41" s="13"/>
      <c r="G41" s="13"/>
      <c r="H41" s="13"/>
      <c r="I41" s="13"/>
      <c r="J41" s="14"/>
      <c r="K41" s="5"/>
      <c r="L41" s="5"/>
      <c r="M41" s="5"/>
      <c r="N41" s="5"/>
      <c r="O41" s="5"/>
      <c r="P41" s="5"/>
      <c r="Q41" s="5"/>
      <c r="R41" s="5"/>
      <c r="S41" s="5"/>
      <c r="T41" s="5"/>
      <c r="U41" s="5"/>
      <c r="V41" s="5"/>
      <c r="W41" s="5"/>
      <c r="X41" s="5"/>
      <c r="Y41" s="5"/>
      <c r="Z41" s="5"/>
    </row>
    <row r="42" ht="28.5" customHeight="1">
      <c r="A42" s="10" t="s">
        <v>211</v>
      </c>
      <c r="B42" s="11" t="s">
        <v>212</v>
      </c>
      <c r="C42" s="11" t="s">
        <v>113</v>
      </c>
      <c r="D42" s="11" t="s">
        <v>102</v>
      </c>
      <c r="E42" s="15" t="s">
        <v>213</v>
      </c>
      <c r="F42" s="13"/>
      <c r="G42" s="13"/>
      <c r="H42" s="13"/>
      <c r="I42" s="13"/>
      <c r="J42" s="14"/>
      <c r="K42" s="5"/>
      <c r="L42" s="5"/>
      <c r="M42" s="5"/>
      <c r="N42" s="5"/>
      <c r="O42" s="5"/>
      <c r="P42" s="5"/>
      <c r="Q42" s="5"/>
      <c r="R42" s="5"/>
      <c r="S42" s="5"/>
      <c r="T42" s="5"/>
      <c r="U42" s="5"/>
      <c r="V42" s="5"/>
      <c r="W42" s="5"/>
      <c r="X42" s="5"/>
      <c r="Y42" s="5"/>
      <c r="Z42" s="5"/>
    </row>
    <row r="43" ht="28.5" customHeight="1">
      <c r="A43" s="10" t="s">
        <v>214</v>
      </c>
      <c r="B43" s="11" t="s">
        <v>215</v>
      </c>
      <c r="C43" s="11" t="s">
        <v>113</v>
      </c>
      <c r="D43" s="11" t="s">
        <v>102</v>
      </c>
      <c r="E43" s="15" t="s">
        <v>216</v>
      </c>
      <c r="F43" s="13"/>
      <c r="G43" s="13"/>
      <c r="H43" s="13"/>
      <c r="I43" s="13"/>
      <c r="J43" s="14"/>
      <c r="K43" s="5"/>
      <c r="L43" s="5"/>
      <c r="M43" s="5"/>
      <c r="N43" s="5"/>
      <c r="O43" s="5"/>
      <c r="P43" s="5"/>
      <c r="Q43" s="5"/>
      <c r="R43" s="5"/>
      <c r="S43" s="5"/>
      <c r="T43" s="5"/>
      <c r="U43" s="5"/>
      <c r="V43" s="5"/>
      <c r="W43" s="5"/>
      <c r="X43" s="5"/>
      <c r="Y43" s="5"/>
      <c r="Z43" s="5"/>
    </row>
    <row r="44" ht="28.5" customHeight="1">
      <c r="A44" s="10" t="s">
        <v>217</v>
      </c>
      <c r="B44" s="11" t="s">
        <v>218</v>
      </c>
      <c r="C44" s="11" t="s">
        <v>113</v>
      </c>
      <c r="D44" s="11" t="s">
        <v>102</v>
      </c>
      <c r="E44" s="15" t="s">
        <v>219</v>
      </c>
      <c r="F44" s="13"/>
      <c r="G44" s="13"/>
      <c r="H44" s="13"/>
      <c r="I44" s="13"/>
      <c r="J44" s="14"/>
      <c r="K44" s="5"/>
      <c r="L44" s="5"/>
      <c r="M44" s="5"/>
      <c r="N44" s="5"/>
      <c r="O44" s="5"/>
      <c r="P44" s="5"/>
      <c r="Q44" s="5"/>
      <c r="R44" s="5"/>
      <c r="S44" s="5"/>
      <c r="T44" s="5"/>
      <c r="U44" s="5"/>
      <c r="V44" s="5"/>
      <c r="W44" s="5"/>
      <c r="X44" s="5"/>
      <c r="Y44" s="5"/>
      <c r="Z44" s="5"/>
    </row>
    <row r="45" ht="28.5" customHeight="1">
      <c r="A45" s="10" t="s">
        <v>220</v>
      </c>
      <c r="B45" s="11" t="s">
        <v>221</v>
      </c>
      <c r="C45" s="11" t="s">
        <v>113</v>
      </c>
      <c r="D45" s="11" t="s">
        <v>102</v>
      </c>
      <c r="E45" s="15" t="s">
        <v>222</v>
      </c>
      <c r="F45" s="13"/>
      <c r="G45" s="13"/>
      <c r="H45" s="13"/>
      <c r="I45" s="13"/>
      <c r="J45" s="14"/>
      <c r="K45" s="5"/>
      <c r="L45" s="5"/>
      <c r="M45" s="5"/>
      <c r="N45" s="5"/>
      <c r="O45" s="5"/>
      <c r="P45" s="5"/>
      <c r="Q45" s="5"/>
      <c r="R45" s="5"/>
      <c r="S45" s="5"/>
      <c r="T45" s="5"/>
      <c r="U45" s="5"/>
      <c r="V45" s="5"/>
      <c r="W45" s="5"/>
      <c r="X45" s="5"/>
      <c r="Y45" s="5"/>
      <c r="Z45" s="5"/>
    </row>
    <row r="46" ht="28.5" customHeight="1">
      <c r="A46" s="10" t="s">
        <v>223</v>
      </c>
      <c r="B46" s="11" t="s">
        <v>224</v>
      </c>
      <c r="C46" s="11" t="s">
        <v>113</v>
      </c>
      <c r="D46" s="11" t="s">
        <v>102</v>
      </c>
      <c r="E46" s="15" t="s">
        <v>225</v>
      </c>
      <c r="F46" s="13"/>
      <c r="G46" s="13"/>
      <c r="H46" s="13"/>
      <c r="I46" s="13"/>
      <c r="J46" s="14"/>
      <c r="K46" s="5"/>
      <c r="L46" s="5"/>
      <c r="M46" s="5"/>
      <c r="N46" s="5"/>
      <c r="O46" s="5"/>
      <c r="P46" s="5"/>
      <c r="Q46" s="5"/>
      <c r="R46" s="5"/>
      <c r="S46" s="5"/>
      <c r="T46" s="5"/>
      <c r="U46" s="5"/>
      <c r="V46" s="5"/>
      <c r="W46" s="5"/>
      <c r="X46" s="5"/>
      <c r="Y46" s="5"/>
      <c r="Z46" s="5"/>
    </row>
    <row r="47" ht="28.5" customHeight="1">
      <c r="A47" s="10" t="s">
        <v>226</v>
      </c>
      <c r="B47" s="11" t="s">
        <v>227</v>
      </c>
      <c r="C47" s="11" t="s">
        <v>113</v>
      </c>
      <c r="D47" s="11" t="s">
        <v>102</v>
      </c>
      <c r="E47" s="15" t="s">
        <v>228</v>
      </c>
      <c r="F47" s="13"/>
      <c r="G47" s="13"/>
      <c r="H47" s="13"/>
      <c r="I47" s="13"/>
      <c r="J47" s="14"/>
      <c r="K47" s="5"/>
      <c r="L47" s="5"/>
      <c r="M47" s="5"/>
      <c r="N47" s="5"/>
      <c r="O47" s="5"/>
      <c r="P47" s="5"/>
      <c r="Q47" s="5"/>
      <c r="R47" s="5"/>
      <c r="S47" s="5"/>
      <c r="T47" s="5"/>
      <c r="U47" s="5"/>
      <c r="V47" s="5"/>
      <c r="W47" s="5"/>
      <c r="X47" s="5"/>
      <c r="Y47" s="5"/>
      <c r="Z47" s="5"/>
    </row>
    <row r="48" ht="28.5" customHeight="1">
      <c r="A48" s="10" t="s">
        <v>229</v>
      </c>
      <c r="B48" s="11" t="s">
        <v>230</v>
      </c>
      <c r="C48" s="11" t="s">
        <v>113</v>
      </c>
      <c r="D48" s="11" t="s">
        <v>102</v>
      </c>
      <c r="E48" s="15" t="s">
        <v>231</v>
      </c>
      <c r="F48" s="13"/>
      <c r="G48" s="13"/>
      <c r="H48" s="13"/>
      <c r="I48" s="13"/>
      <c r="J48" s="14"/>
      <c r="K48" s="5"/>
      <c r="L48" s="5"/>
      <c r="M48" s="5"/>
      <c r="N48" s="5"/>
      <c r="O48" s="5"/>
      <c r="P48" s="5"/>
      <c r="Q48" s="5"/>
      <c r="R48" s="5"/>
      <c r="S48" s="5"/>
      <c r="T48" s="5"/>
      <c r="U48" s="5"/>
      <c r="V48" s="5"/>
      <c r="W48" s="5"/>
      <c r="X48" s="5"/>
      <c r="Y48" s="5"/>
      <c r="Z48" s="5"/>
    </row>
    <row r="49" ht="28.5" customHeight="1">
      <c r="A49" s="10" t="s">
        <v>232</v>
      </c>
      <c r="B49" s="11" t="s">
        <v>233</v>
      </c>
      <c r="C49" s="11" t="s">
        <v>113</v>
      </c>
      <c r="D49" s="11" t="s">
        <v>102</v>
      </c>
      <c r="E49" s="15" t="s">
        <v>234</v>
      </c>
      <c r="F49" s="13"/>
      <c r="G49" s="13"/>
      <c r="H49" s="13"/>
      <c r="I49" s="13"/>
      <c r="J49" s="14"/>
      <c r="K49" s="5"/>
      <c r="L49" s="5"/>
      <c r="M49" s="5"/>
      <c r="N49" s="5"/>
      <c r="O49" s="5"/>
      <c r="P49" s="5"/>
      <c r="Q49" s="5"/>
      <c r="R49" s="5"/>
      <c r="S49" s="5"/>
      <c r="T49" s="5"/>
      <c r="U49" s="5"/>
      <c r="V49" s="5"/>
      <c r="W49" s="5"/>
      <c r="X49" s="5"/>
      <c r="Y49" s="5"/>
      <c r="Z49" s="5"/>
    </row>
    <row r="50" ht="28.5" customHeight="1">
      <c r="A50" s="17" t="s">
        <v>235</v>
      </c>
      <c r="B50" s="17" t="s">
        <v>236</v>
      </c>
      <c r="C50" s="18" t="s">
        <v>125</v>
      </c>
      <c r="D50" s="11" t="s">
        <v>102</v>
      </c>
      <c r="E50" s="15" t="s">
        <v>237</v>
      </c>
      <c r="F50" s="13"/>
      <c r="G50" s="13"/>
      <c r="H50" s="13"/>
      <c r="I50" s="13"/>
      <c r="J50" s="14"/>
      <c r="K50" s="5"/>
      <c r="L50" s="5"/>
      <c r="M50" s="5"/>
      <c r="N50" s="5"/>
      <c r="O50" s="5"/>
      <c r="P50" s="5"/>
      <c r="Q50" s="5"/>
      <c r="R50" s="5"/>
      <c r="S50" s="5"/>
      <c r="T50" s="5"/>
      <c r="U50" s="5"/>
      <c r="V50" s="5"/>
      <c r="W50" s="5"/>
      <c r="X50" s="5"/>
      <c r="Y50" s="5"/>
      <c r="Z50" s="5"/>
    </row>
    <row r="51" ht="28.5" customHeight="1">
      <c r="A51" s="17" t="s">
        <v>238</v>
      </c>
      <c r="B51" s="17" t="s">
        <v>239</v>
      </c>
      <c r="C51" s="18" t="s">
        <v>101</v>
      </c>
      <c r="D51" s="11" t="s">
        <v>102</v>
      </c>
      <c r="E51" s="15" t="s">
        <v>240</v>
      </c>
      <c r="F51" s="13"/>
      <c r="G51" s="13"/>
      <c r="H51" s="13"/>
      <c r="I51" s="13"/>
      <c r="J51" s="14"/>
      <c r="K51" s="5"/>
      <c r="L51" s="5"/>
      <c r="M51" s="5"/>
      <c r="N51" s="5"/>
      <c r="O51" s="5"/>
      <c r="P51" s="5"/>
      <c r="Q51" s="5"/>
      <c r="R51" s="5"/>
      <c r="S51" s="5"/>
      <c r="T51" s="5"/>
      <c r="U51" s="5"/>
      <c r="V51" s="5"/>
      <c r="W51" s="5"/>
      <c r="X51" s="5"/>
      <c r="Y51" s="5"/>
      <c r="Z51" s="5"/>
    </row>
    <row r="52" ht="28.5" customHeight="1">
      <c r="A52" s="10" t="s">
        <v>241</v>
      </c>
      <c r="B52" s="18" t="s">
        <v>242</v>
      </c>
      <c r="C52" s="11" t="s">
        <v>113</v>
      </c>
      <c r="D52" s="11" t="s">
        <v>243</v>
      </c>
      <c r="E52" s="15" t="s">
        <v>244</v>
      </c>
      <c r="F52" s="13"/>
      <c r="G52" s="13"/>
      <c r="H52" s="13"/>
      <c r="I52" s="13"/>
      <c r="J52" s="14"/>
      <c r="K52" s="5"/>
      <c r="L52" s="5"/>
      <c r="M52" s="5"/>
      <c r="N52" s="5"/>
      <c r="O52" s="5"/>
      <c r="P52" s="5"/>
      <c r="Q52" s="5"/>
      <c r="R52" s="5"/>
      <c r="S52" s="5"/>
      <c r="T52" s="5"/>
      <c r="U52" s="5"/>
      <c r="V52" s="5"/>
      <c r="W52" s="5"/>
      <c r="X52" s="5"/>
      <c r="Y52" s="5"/>
      <c r="Z52" s="5"/>
    </row>
    <row r="53" ht="28.5" customHeight="1">
      <c r="A53" s="10" t="s">
        <v>245</v>
      </c>
      <c r="B53" s="17" t="s">
        <v>246</v>
      </c>
      <c r="C53" s="11" t="s">
        <v>113</v>
      </c>
      <c r="D53" s="11" t="s">
        <v>243</v>
      </c>
      <c r="E53" s="15" t="s">
        <v>247</v>
      </c>
      <c r="F53" s="13"/>
      <c r="G53" s="13"/>
      <c r="H53" s="13"/>
      <c r="I53" s="13"/>
      <c r="J53" s="14"/>
      <c r="K53" s="5"/>
      <c r="L53" s="5"/>
      <c r="M53" s="5"/>
      <c r="N53" s="5"/>
      <c r="O53" s="5"/>
      <c r="P53" s="5"/>
      <c r="Q53" s="5"/>
      <c r="R53" s="5"/>
      <c r="S53" s="5"/>
      <c r="T53" s="5"/>
      <c r="U53" s="5"/>
      <c r="V53" s="5"/>
      <c r="W53" s="5"/>
      <c r="X53" s="5"/>
      <c r="Y53" s="5"/>
      <c r="Z53" s="5"/>
    </row>
    <row r="54" ht="28.5" customHeight="1">
      <c r="A54" s="17" t="s">
        <v>248</v>
      </c>
      <c r="B54" s="17" t="s">
        <v>249</v>
      </c>
      <c r="C54" s="19" t="s">
        <v>113</v>
      </c>
      <c r="D54" s="11" t="s">
        <v>102</v>
      </c>
      <c r="E54" s="15" t="s">
        <v>250</v>
      </c>
      <c r="F54" s="13"/>
      <c r="G54" s="13"/>
      <c r="H54" s="13"/>
      <c r="I54" s="13"/>
      <c r="J54" s="14"/>
      <c r="K54" s="5"/>
      <c r="L54" s="5"/>
      <c r="M54" s="5"/>
      <c r="N54" s="5"/>
      <c r="O54" s="5"/>
      <c r="P54" s="5"/>
      <c r="Q54" s="5"/>
      <c r="R54" s="5"/>
      <c r="S54" s="5"/>
      <c r="T54" s="5"/>
      <c r="U54" s="5"/>
      <c r="V54" s="5"/>
      <c r="W54" s="5"/>
      <c r="X54" s="5"/>
      <c r="Y54" s="5"/>
      <c r="Z54" s="5"/>
    </row>
    <row r="55" ht="28.5" customHeight="1">
      <c r="A55" s="17" t="s">
        <v>251</v>
      </c>
      <c r="B55" s="17" t="s">
        <v>252</v>
      </c>
      <c r="C55" s="18" t="s">
        <v>125</v>
      </c>
      <c r="D55" s="11" t="s">
        <v>102</v>
      </c>
      <c r="E55" s="15" t="s">
        <v>253</v>
      </c>
      <c r="F55" s="13"/>
      <c r="G55" s="13"/>
      <c r="H55" s="13"/>
      <c r="I55" s="13"/>
      <c r="J55" s="14"/>
      <c r="K55" s="5"/>
      <c r="L55" s="5"/>
      <c r="M55" s="5"/>
      <c r="N55" s="5"/>
      <c r="O55" s="5"/>
      <c r="P55" s="5"/>
      <c r="Q55" s="5"/>
      <c r="R55" s="5"/>
      <c r="S55" s="5"/>
      <c r="T55" s="5"/>
      <c r="U55" s="5"/>
      <c r="V55" s="5"/>
      <c r="W55" s="5"/>
      <c r="X55" s="5"/>
      <c r="Y55" s="5"/>
      <c r="Z55" s="5"/>
    </row>
    <row r="56" ht="28.5" customHeight="1">
      <c r="A56" s="17" t="s">
        <v>254</v>
      </c>
      <c r="B56" s="17" t="s">
        <v>255</v>
      </c>
      <c r="C56" s="18" t="s">
        <v>125</v>
      </c>
      <c r="D56" s="11" t="s">
        <v>256</v>
      </c>
      <c r="E56" s="12"/>
      <c r="F56" s="13"/>
      <c r="G56" s="13"/>
      <c r="H56" s="13"/>
      <c r="I56" s="13"/>
      <c r="J56" s="14"/>
      <c r="K56" s="5"/>
      <c r="L56" s="5"/>
      <c r="M56" s="5"/>
      <c r="N56" s="5"/>
      <c r="O56" s="5"/>
      <c r="P56" s="5"/>
      <c r="Q56" s="5"/>
      <c r="R56" s="5"/>
      <c r="S56" s="5"/>
      <c r="T56" s="5"/>
      <c r="U56" s="5"/>
      <c r="V56" s="5"/>
      <c r="W56" s="5"/>
      <c r="X56" s="5"/>
      <c r="Y56" s="5"/>
      <c r="Z56" s="5"/>
    </row>
    <row r="57" ht="28.5" customHeight="1">
      <c r="A57" s="17" t="s">
        <v>257</v>
      </c>
      <c r="B57" s="17" t="s">
        <v>258</v>
      </c>
      <c r="C57" s="18" t="s">
        <v>113</v>
      </c>
      <c r="D57" s="11" t="s">
        <v>256</v>
      </c>
      <c r="E57" s="12"/>
      <c r="F57" s="13"/>
      <c r="G57" s="13"/>
      <c r="H57" s="13"/>
      <c r="I57" s="13"/>
      <c r="J57" s="14"/>
      <c r="K57" s="5"/>
      <c r="L57" s="5"/>
      <c r="M57" s="5"/>
      <c r="N57" s="5"/>
      <c r="O57" s="5"/>
      <c r="P57" s="5"/>
      <c r="Q57" s="5"/>
      <c r="R57" s="5"/>
      <c r="S57" s="5"/>
      <c r="T57" s="5"/>
      <c r="U57" s="5"/>
      <c r="V57" s="5"/>
      <c r="W57" s="5"/>
      <c r="X57" s="5"/>
      <c r="Y57" s="5"/>
      <c r="Z57" s="5"/>
    </row>
    <row r="58" ht="28.5" customHeight="1">
      <c r="A58" s="17" t="s">
        <v>259</v>
      </c>
      <c r="B58" s="17" t="s">
        <v>260</v>
      </c>
      <c r="C58" s="18" t="s">
        <v>101</v>
      </c>
      <c r="D58" s="11" t="s">
        <v>102</v>
      </c>
      <c r="E58" s="15" t="s">
        <v>261</v>
      </c>
      <c r="F58" s="13"/>
      <c r="G58" s="13"/>
      <c r="H58" s="13"/>
      <c r="I58" s="13"/>
      <c r="J58" s="14"/>
      <c r="K58" s="5"/>
      <c r="L58" s="5"/>
      <c r="M58" s="5"/>
      <c r="N58" s="5"/>
      <c r="O58" s="5"/>
      <c r="P58" s="5"/>
      <c r="Q58" s="5"/>
      <c r="R58" s="5"/>
      <c r="S58" s="5"/>
      <c r="T58" s="5"/>
      <c r="U58" s="5"/>
      <c r="V58" s="5"/>
      <c r="W58" s="5"/>
      <c r="X58" s="5"/>
      <c r="Y58" s="5"/>
      <c r="Z58" s="5"/>
    </row>
    <row r="59" ht="28.5" customHeight="1">
      <c r="A59" s="17" t="s">
        <v>262</v>
      </c>
      <c r="B59" s="17" t="s">
        <v>263</v>
      </c>
      <c r="C59" s="18" t="s">
        <v>125</v>
      </c>
      <c r="D59" s="20" t="s">
        <v>102</v>
      </c>
      <c r="E59" s="21" t="s">
        <v>264</v>
      </c>
      <c r="F59" s="13"/>
      <c r="G59" s="13"/>
      <c r="H59" s="13"/>
      <c r="I59" s="13"/>
      <c r="J59" s="14"/>
      <c r="K59" s="5"/>
      <c r="L59" s="5"/>
      <c r="M59" s="5"/>
      <c r="N59" s="5"/>
      <c r="O59" s="5"/>
      <c r="P59" s="5"/>
      <c r="Q59" s="5"/>
      <c r="R59" s="5"/>
      <c r="S59" s="5"/>
      <c r="T59" s="5"/>
      <c r="U59" s="5"/>
      <c r="V59" s="5"/>
      <c r="W59" s="5"/>
      <c r="X59" s="5"/>
      <c r="Y59" s="5"/>
      <c r="Z59" s="5"/>
    </row>
    <row r="60" ht="28.5" customHeight="1">
      <c r="A60" s="22" t="s">
        <v>265</v>
      </c>
      <c r="B60" s="22" t="s">
        <v>266</v>
      </c>
      <c r="C60" s="22" t="s">
        <v>113</v>
      </c>
      <c r="D60" s="22" t="s">
        <v>267</v>
      </c>
      <c r="E60" s="22"/>
    </row>
    <row r="61" ht="22.5" customHeight="1">
      <c r="A61" s="5"/>
      <c r="B61" s="5"/>
      <c r="C61" s="5"/>
      <c r="D61" s="5"/>
      <c r="E61" s="5"/>
    </row>
    <row r="62" ht="22.5" customHeight="1">
      <c r="A62" s="5"/>
      <c r="B62" s="5"/>
      <c r="C62" s="5"/>
      <c r="D62" s="5"/>
      <c r="E62" s="5"/>
    </row>
    <row r="63" ht="15.75" customHeight="1">
      <c r="A63" s="5"/>
      <c r="B63" s="5"/>
      <c r="C63" s="5"/>
      <c r="D63" s="5"/>
      <c r="E63" s="5"/>
    </row>
    <row r="64" ht="15.75" customHeight="1">
      <c r="A64" s="5"/>
      <c r="B64" s="5"/>
      <c r="C64" s="5"/>
      <c r="D64" s="5"/>
      <c r="E64" s="5"/>
    </row>
    <row r="65" ht="15.75" customHeight="1">
      <c r="A65" s="5"/>
      <c r="B65" s="5"/>
      <c r="C65" s="5"/>
      <c r="D65" s="5"/>
      <c r="E65" s="5"/>
    </row>
    <row r="66" ht="15.75" customHeight="1">
      <c r="A66" s="5"/>
      <c r="B66" s="5"/>
      <c r="C66" s="5"/>
      <c r="D66" s="5"/>
      <c r="E66" s="5"/>
    </row>
    <row r="67" ht="15.75" customHeight="1">
      <c r="A67" s="5"/>
      <c r="B67" s="5"/>
      <c r="C67" s="5"/>
      <c r="D67" s="5"/>
      <c r="E67" s="5"/>
    </row>
    <row r="68" ht="15.75" customHeight="1">
      <c r="A68" s="5"/>
      <c r="B68" s="5"/>
      <c r="C68" s="5"/>
      <c r="D68" s="5"/>
      <c r="E68" s="5"/>
    </row>
    <row r="69" ht="15.75" customHeight="1">
      <c r="A69" s="5"/>
      <c r="B69" s="5"/>
      <c r="C69" s="5"/>
      <c r="D69" s="5"/>
      <c r="E69" s="5"/>
    </row>
    <row r="70" ht="15.75" customHeight="1">
      <c r="A70" s="5"/>
      <c r="B70" s="5"/>
      <c r="C70" s="5"/>
      <c r="D70" s="5"/>
      <c r="E70" s="5"/>
    </row>
    <row r="71" ht="15.75" customHeight="1">
      <c r="A71" s="5"/>
      <c r="B71" s="5"/>
      <c r="C71" s="5"/>
      <c r="D71" s="5"/>
      <c r="E71" s="5"/>
    </row>
    <row r="72" ht="15.75" customHeight="1">
      <c r="A72" s="5"/>
      <c r="B72" s="5"/>
      <c r="C72" s="5"/>
      <c r="D72" s="5"/>
      <c r="E72" s="5"/>
    </row>
    <row r="73" ht="15.75" customHeight="1">
      <c r="A73" s="5"/>
      <c r="B73" s="5"/>
      <c r="C73" s="5"/>
      <c r="D73" s="5"/>
      <c r="E73" s="5"/>
    </row>
    <row r="74" ht="15.75" customHeight="1">
      <c r="A74" s="5"/>
      <c r="B74" s="5"/>
      <c r="C74" s="5"/>
      <c r="D74" s="5"/>
      <c r="E74" s="5"/>
    </row>
    <row r="75" ht="15.75" customHeight="1">
      <c r="A75" s="5"/>
      <c r="B75" s="5"/>
      <c r="C75" s="5"/>
      <c r="D75" s="5"/>
      <c r="E75" s="5"/>
    </row>
    <row r="76" ht="15.75" customHeight="1">
      <c r="A76" s="5"/>
      <c r="B76" s="5"/>
      <c r="C76" s="5"/>
      <c r="D76" s="5"/>
      <c r="E76" s="5"/>
    </row>
    <row r="77" ht="15.75" customHeight="1">
      <c r="A77" s="5"/>
      <c r="B77" s="5"/>
      <c r="C77" s="5"/>
      <c r="D77" s="5"/>
      <c r="E77" s="5"/>
    </row>
    <row r="78" ht="15.75" customHeight="1">
      <c r="A78" s="5"/>
      <c r="B78" s="5"/>
      <c r="C78" s="5"/>
      <c r="D78" s="5"/>
      <c r="E78" s="5"/>
    </row>
    <row r="79" ht="15.75" customHeight="1">
      <c r="A79" s="5"/>
      <c r="B79" s="5"/>
      <c r="C79" s="5"/>
      <c r="D79" s="5"/>
      <c r="E79" s="5"/>
    </row>
    <row r="80" ht="15.75" customHeight="1">
      <c r="A80" s="5"/>
      <c r="B80" s="5"/>
      <c r="C80" s="5"/>
      <c r="D80" s="5"/>
      <c r="E80" s="5"/>
    </row>
    <row r="81" ht="15.75" customHeight="1">
      <c r="A81" s="5"/>
      <c r="B81" s="5"/>
      <c r="C81" s="5"/>
      <c r="D81" s="5"/>
      <c r="E81" s="5"/>
    </row>
    <row r="82" ht="15.75" customHeight="1">
      <c r="A82" s="5"/>
      <c r="B82" s="5"/>
      <c r="C82" s="5"/>
      <c r="D82" s="5"/>
      <c r="E82" s="5"/>
    </row>
    <row r="83" ht="15.75" customHeight="1">
      <c r="A83" s="5"/>
      <c r="B83" s="5"/>
      <c r="C83" s="5"/>
      <c r="D83" s="5"/>
      <c r="E83" s="5"/>
    </row>
    <row r="84" ht="15.75" customHeight="1">
      <c r="A84" s="5"/>
      <c r="B84" s="5"/>
      <c r="C84" s="5"/>
      <c r="D84" s="5"/>
      <c r="E84" s="5"/>
    </row>
    <row r="85" ht="15.75" customHeight="1">
      <c r="A85" s="5"/>
      <c r="B85" s="5"/>
      <c r="C85" s="5"/>
      <c r="D85" s="5"/>
      <c r="E85" s="5"/>
    </row>
    <row r="86" ht="15.75" customHeight="1">
      <c r="A86" s="5"/>
      <c r="B86" s="5"/>
      <c r="C86" s="5"/>
      <c r="D86" s="5"/>
      <c r="E86" s="5"/>
    </row>
    <row r="87" ht="15.75" customHeight="1">
      <c r="A87" s="5"/>
      <c r="B87" s="5"/>
      <c r="C87" s="5"/>
      <c r="D87" s="5"/>
      <c r="E87" s="5"/>
    </row>
    <row r="88" ht="15.75" customHeight="1">
      <c r="A88" s="5"/>
      <c r="B88" s="5"/>
      <c r="C88" s="5"/>
      <c r="D88" s="5"/>
      <c r="E88" s="5"/>
    </row>
    <row r="89" ht="15.75" customHeight="1">
      <c r="A89" s="5"/>
      <c r="B89" s="5"/>
      <c r="C89" s="5"/>
      <c r="D89" s="5"/>
      <c r="E89" s="5"/>
    </row>
    <row r="90" ht="15.75" customHeight="1">
      <c r="A90" s="5"/>
      <c r="B90" s="5"/>
      <c r="C90" s="5"/>
      <c r="D90" s="5"/>
      <c r="E90" s="5"/>
    </row>
    <row r="91" ht="15.75" customHeight="1">
      <c r="A91" s="5"/>
      <c r="B91" s="5"/>
      <c r="C91" s="5"/>
      <c r="D91" s="5"/>
      <c r="E91" s="5"/>
    </row>
    <row r="92" ht="15.75" customHeight="1">
      <c r="A92" s="5"/>
      <c r="B92" s="5"/>
      <c r="C92" s="5"/>
      <c r="D92" s="5"/>
      <c r="E92" s="5"/>
    </row>
    <row r="93" ht="15.75" customHeight="1">
      <c r="A93" s="5"/>
      <c r="B93" s="5"/>
      <c r="C93" s="5"/>
      <c r="D93" s="5"/>
      <c r="E93" s="5"/>
    </row>
    <row r="94" ht="15.75" customHeight="1">
      <c r="A94" s="5"/>
      <c r="B94" s="5"/>
      <c r="C94" s="5"/>
      <c r="D94" s="5"/>
      <c r="E94" s="5"/>
    </row>
    <row r="95" ht="15.75" customHeight="1">
      <c r="A95" s="5"/>
      <c r="B95" s="5"/>
      <c r="C95" s="5"/>
      <c r="D95" s="5"/>
      <c r="E95" s="5"/>
    </row>
    <row r="96" ht="15.75" customHeight="1">
      <c r="A96" s="5"/>
      <c r="B96" s="5"/>
      <c r="C96" s="5"/>
      <c r="D96" s="5"/>
      <c r="E96" s="5"/>
    </row>
    <row r="97" ht="15.75" customHeight="1">
      <c r="A97" s="5"/>
      <c r="B97" s="5"/>
      <c r="C97" s="5"/>
      <c r="D97" s="5"/>
      <c r="E97" s="5"/>
    </row>
    <row r="98" ht="15.75" customHeight="1">
      <c r="A98" s="5"/>
      <c r="B98" s="5"/>
      <c r="C98" s="5"/>
      <c r="D98" s="5"/>
      <c r="E98" s="5"/>
    </row>
    <row r="99" ht="15.75" customHeight="1">
      <c r="A99" s="5"/>
      <c r="B99" s="5"/>
      <c r="C99" s="5"/>
      <c r="D99" s="5"/>
      <c r="E99" s="5"/>
    </row>
    <row r="100" ht="15.75" customHeight="1">
      <c r="A100" s="5"/>
      <c r="B100" s="5"/>
      <c r="C100" s="5"/>
      <c r="D100" s="5"/>
      <c r="E100" s="5"/>
    </row>
    <row r="101" ht="15.75" customHeight="1">
      <c r="A101" s="5"/>
      <c r="B101" s="5"/>
      <c r="C101" s="5"/>
      <c r="D101" s="5"/>
      <c r="E101" s="5"/>
    </row>
    <row r="102" ht="15.75" customHeight="1">
      <c r="A102" s="5"/>
      <c r="B102" s="5"/>
      <c r="C102" s="5"/>
      <c r="D102" s="5"/>
      <c r="E102" s="5"/>
    </row>
    <row r="103" ht="15.75" customHeight="1">
      <c r="A103" s="5"/>
      <c r="B103" s="5"/>
      <c r="C103" s="5"/>
      <c r="D103" s="5"/>
      <c r="E103" s="5"/>
    </row>
    <row r="104" ht="15.75" customHeight="1">
      <c r="A104" s="5"/>
      <c r="B104" s="5"/>
      <c r="C104" s="5"/>
      <c r="D104" s="5"/>
      <c r="E104" s="5"/>
    </row>
    <row r="105" ht="15.75" customHeight="1">
      <c r="A105" s="5"/>
      <c r="B105" s="5"/>
      <c r="C105" s="5"/>
      <c r="D105" s="5"/>
      <c r="E105" s="5"/>
    </row>
    <row r="106" ht="15.75" customHeight="1">
      <c r="A106" s="5"/>
      <c r="B106" s="5"/>
      <c r="C106" s="5"/>
      <c r="D106" s="5"/>
      <c r="E106" s="5"/>
    </row>
    <row r="107" ht="15.75" customHeight="1">
      <c r="A107" s="5"/>
      <c r="B107" s="5"/>
      <c r="C107" s="5"/>
      <c r="D107" s="5"/>
      <c r="E107" s="5"/>
    </row>
    <row r="108" ht="15.75" customHeight="1">
      <c r="A108" s="5"/>
      <c r="B108" s="5"/>
      <c r="C108" s="5"/>
      <c r="D108" s="5"/>
      <c r="E108" s="5"/>
    </row>
    <row r="109" ht="15.75" customHeight="1">
      <c r="A109" s="5"/>
      <c r="B109" s="5"/>
      <c r="C109" s="5"/>
      <c r="D109" s="5"/>
      <c r="E109" s="5"/>
    </row>
    <row r="110" ht="15.75" customHeight="1">
      <c r="A110" s="5"/>
      <c r="B110" s="5"/>
      <c r="C110" s="5"/>
      <c r="D110" s="5"/>
      <c r="E110" s="5"/>
    </row>
    <row r="111" ht="15.75" customHeight="1">
      <c r="A111" s="5"/>
      <c r="B111" s="5"/>
      <c r="C111" s="5"/>
      <c r="D111" s="5"/>
      <c r="E111" s="5"/>
    </row>
    <row r="112" ht="15.75" customHeight="1">
      <c r="A112" s="5"/>
      <c r="B112" s="5"/>
      <c r="C112" s="5"/>
      <c r="D112" s="5"/>
      <c r="E112" s="5"/>
    </row>
    <row r="113" ht="15.75" customHeight="1">
      <c r="A113" s="5"/>
      <c r="B113" s="5"/>
      <c r="C113" s="5"/>
      <c r="D113" s="5"/>
      <c r="E113" s="5"/>
    </row>
    <row r="114" ht="15.75" customHeight="1">
      <c r="A114" s="5"/>
      <c r="B114" s="5"/>
      <c r="C114" s="5"/>
      <c r="D114" s="5"/>
      <c r="E114" s="5"/>
    </row>
    <row r="115" ht="15.75" customHeight="1">
      <c r="A115" s="5"/>
      <c r="B115" s="5"/>
      <c r="C115" s="5"/>
      <c r="D115" s="5"/>
      <c r="E115" s="5"/>
    </row>
    <row r="116" ht="15.75" customHeight="1">
      <c r="A116" s="5"/>
      <c r="B116" s="5"/>
      <c r="C116" s="5"/>
      <c r="D116" s="5"/>
      <c r="E116" s="5"/>
    </row>
    <row r="117" ht="15.75" customHeight="1">
      <c r="A117" s="5"/>
      <c r="B117" s="5"/>
      <c r="C117" s="5"/>
      <c r="D117" s="5"/>
      <c r="E117" s="5"/>
    </row>
    <row r="118" ht="15.75" customHeight="1">
      <c r="A118" s="5"/>
      <c r="B118" s="5"/>
      <c r="C118" s="5"/>
      <c r="D118" s="5"/>
      <c r="E118" s="5"/>
    </row>
    <row r="119" ht="15.75" customHeight="1">
      <c r="A119" s="5"/>
      <c r="B119" s="5"/>
      <c r="C119" s="5"/>
      <c r="D119" s="5"/>
      <c r="E119" s="5"/>
    </row>
    <row r="120" ht="15.75" customHeight="1">
      <c r="A120" s="5"/>
      <c r="B120" s="5"/>
      <c r="C120" s="5"/>
      <c r="D120" s="5"/>
      <c r="E120" s="5"/>
    </row>
    <row r="121" ht="15.75" customHeight="1">
      <c r="A121" s="5"/>
      <c r="B121" s="5"/>
      <c r="C121" s="5"/>
      <c r="D121" s="5"/>
      <c r="E121" s="5"/>
    </row>
    <row r="122" ht="15.75" customHeight="1">
      <c r="A122" s="5"/>
      <c r="B122" s="5"/>
      <c r="C122" s="5"/>
      <c r="D122" s="5"/>
      <c r="E122" s="5"/>
    </row>
    <row r="123" ht="15.75" customHeight="1">
      <c r="A123" s="5"/>
      <c r="B123" s="5"/>
      <c r="C123" s="5"/>
      <c r="D123" s="5"/>
      <c r="E123" s="5"/>
    </row>
    <row r="124" ht="15.75" customHeight="1">
      <c r="A124" s="5"/>
      <c r="B124" s="5"/>
      <c r="C124" s="5"/>
      <c r="D124" s="5"/>
      <c r="E124" s="5"/>
    </row>
    <row r="125" ht="15.75" customHeight="1">
      <c r="A125" s="5"/>
      <c r="B125" s="5"/>
      <c r="C125" s="5"/>
      <c r="D125" s="5"/>
      <c r="E125" s="5"/>
    </row>
    <row r="126" ht="15.75" customHeight="1">
      <c r="A126" s="5"/>
      <c r="B126" s="5"/>
      <c r="C126" s="5"/>
      <c r="D126" s="5"/>
      <c r="E126" s="5"/>
    </row>
    <row r="127" ht="15.75" customHeight="1">
      <c r="A127" s="5"/>
      <c r="B127" s="5"/>
      <c r="C127" s="5"/>
      <c r="D127" s="5"/>
      <c r="E127" s="5"/>
    </row>
    <row r="128" ht="15.75" customHeight="1">
      <c r="A128" s="5"/>
      <c r="B128" s="5"/>
      <c r="C128" s="5"/>
      <c r="D128" s="5"/>
      <c r="E128" s="5"/>
    </row>
    <row r="129" ht="15.75" customHeight="1">
      <c r="A129" s="5"/>
      <c r="B129" s="5"/>
      <c r="C129" s="5"/>
      <c r="D129" s="5"/>
      <c r="E129" s="5"/>
    </row>
    <row r="130" ht="15.75" customHeight="1">
      <c r="A130" s="5"/>
      <c r="B130" s="5"/>
      <c r="C130" s="5"/>
      <c r="D130" s="5"/>
      <c r="E130" s="5"/>
    </row>
    <row r="131" ht="15.75" customHeight="1">
      <c r="A131" s="5"/>
      <c r="B131" s="5"/>
      <c r="C131" s="5"/>
      <c r="D131" s="5"/>
      <c r="E131" s="5"/>
    </row>
    <row r="132" ht="15.75" customHeight="1">
      <c r="A132" s="5"/>
      <c r="B132" s="5"/>
      <c r="C132" s="5"/>
      <c r="D132" s="5"/>
      <c r="E132" s="5"/>
    </row>
    <row r="133" ht="15.75" customHeight="1">
      <c r="A133" s="5"/>
      <c r="B133" s="5"/>
      <c r="C133" s="5"/>
      <c r="D133" s="5"/>
      <c r="E133" s="5"/>
    </row>
    <row r="134" ht="15.75" customHeight="1">
      <c r="A134" s="5"/>
      <c r="B134" s="5"/>
      <c r="C134" s="5"/>
      <c r="D134" s="5"/>
      <c r="E134" s="5"/>
    </row>
    <row r="135" ht="15.75" customHeight="1">
      <c r="A135" s="5"/>
      <c r="B135" s="5"/>
      <c r="C135" s="5"/>
      <c r="D135" s="5"/>
      <c r="E135" s="5"/>
    </row>
    <row r="136" ht="15.75" customHeight="1">
      <c r="A136" s="5"/>
      <c r="B136" s="5"/>
      <c r="C136" s="5"/>
      <c r="D136" s="5"/>
      <c r="E136" s="5"/>
    </row>
    <row r="137" ht="15.75" customHeight="1">
      <c r="A137" s="5"/>
      <c r="B137" s="5"/>
      <c r="C137" s="5"/>
      <c r="D137" s="5"/>
      <c r="E137" s="5"/>
    </row>
    <row r="138" ht="15.75" customHeight="1">
      <c r="A138" s="5"/>
      <c r="B138" s="5"/>
      <c r="C138" s="5"/>
      <c r="D138" s="5"/>
      <c r="E138" s="5"/>
    </row>
    <row r="139" ht="15.75" customHeight="1">
      <c r="A139" s="5"/>
      <c r="B139" s="5"/>
      <c r="C139" s="5"/>
      <c r="D139" s="5"/>
      <c r="E139" s="5"/>
    </row>
    <row r="140" ht="15.75" customHeight="1">
      <c r="A140" s="5"/>
      <c r="B140" s="5"/>
      <c r="C140" s="5"/>
      <c r="D140" s="5"/>
      <c r="E140" s="5"/>
    </row>
    <row r="141" ht="15.75" customHeight="1">
      <c r="A141" s="5"/>
      <c r="B141" s="5"/>
      <c r="C141" s="5"/>
      <c r="D141" s="5"/>
      <c r="E141" s="5"/>
    </row>
    <row r="142" ht="15.75" customHeight="1">
      <c r="A142" s="5"/>
      <c r="B142" s="5"/>
      <c r="C142" s="5"/>
      <c r="D142" s="5"/>
      <c r="E142" s="5"/>
    </row>
    <row r="143" ht="15.75" customHeight="1">
      <c r="A143" s="5"/>
      <c r="B143" s="5"/>
      <c r="C143" s="5"/>
      <c r="D143" s="5"/>
      <c r="E143" s="5"/>
    </row>
    <row r="144" ht="15.75" customHeight="1">
      <c r="A144" s="5"/>
      <c r="B144" s="5"/>
      <c r="C144" s="5"/>
      <c r="D144" s="5"/>
      <c r="E144" s="5"/>
    </row>
    <row r="145" ht="15.75" customHeight="1">
      <c r="A145" s="5"/>
      <c r="B145" s="5"/>
      <c r="C145" s="5"/>
      <c r="D145" s="5"/>
      <c r="E145" s="5"/>
    </row>
    <row r="146" ht="15.75" customHeight="1">
      <c r="A146" s="5"/>
      <c r="B146" s="5"/>
      <c r="C146" s="5"/>
      <c r="D146" s="5"/>
      <c r="E146" s="5"/>
    </row>
    <row r="147" ht="15.75" customHeight="1">
      <c r="A147" s="5"/>
      <c r="B147" s="5"/>
      <c r="C147" s="5"/>
      <c r="D147" s="5"/>
      <c r="E147" s="5"/>
    </row>
    <row r="148" ht="15.75" customHeight="1">
      <c r="A148" s="5"/>
      <c r="B148" s="5"/>
      <c r="C148" s="5"/>
      <c r="D148" s="5"/>
      <c r="E148" s="5"/>
    </row>
    <row r="149" ht="15.75" customHeight="1">
      <c r="A149" s="5"/>
      <c r="B149" s="5"/>
      <c r="C149" s="5"/>
      <c r="D149" s="5"/>
      <c r="E149" s="5"/>
    </row>
    <row r="150" ht="15.75" customHeight="1">
      <c r="A150" s="5"/>
      <c r="B150" s="5"/>
      <c r="C150" s="5"/>
      <c r="D150" s="5"/>
      <c r="E150" s="5"/>
    </row>
    <row r="151" ht="15.75" customHeight="1">
      <c r="A151" s="5"/>
      <c r="B151" s="5"/>
      <c r="C151" s="5"/>
      <c r="D151" s="5"/>
      <c r="E151" s="5"/>
    </row>
    <row r="152" ht="15.75" customHeight="1">
      <c r="A152" s="5"/>
      <c r="B152" s="5"/>
      <c r="C152" s="5"/>
      <c r="D152" s="5"/>
      <c r="E152" s="5"/>
    </row>
    <row r="153" ht="15.75" customHeight="1">
      <c r="A153" s="5"/>
      <c r="B153" s="5"/>
      <c r="C153" s="5"/>
      <c r="D153" s="5"/>
      <c r="E153" s="5"/>
    </row>
    <row r="154" ht="15.75" customHeight="1">
      <c r="A154" s="5"/>
      <c r="B154" s="5"/>
      <c r="C154" s="5"/>
      <c r="D154" s="5"/>
      <c r="E154" s="5"/>
    </row>
    <row r="155" ht="15.75" customHeight="1">
      <c r="A155" s="5"/>
      <c r="B155" s="5"/>
      <c r="C155" s="5"/>
      <c r="D155" s="5"/>
      <c r="E155" s="5"/>
    </row>
    <row r="156" ht="15.75" customHeight="1">
      <c r="A156" s="5"/>
      <c r="B156" s="5"/>
      <c r="C156" s="5"/>
      <c r="D156" s="5"/>
      <c r="E156" s="5"/>
    </row>
    <row r="157" ht="15.75" customHeight="1">
      <c r="A157" s="5"/>
      <c r="B157" s="5"/>
      <c r="C157" s="5"/>
      <c r="D157" s="5"/>
      <c r="E157" s="5"/>
    </row>
    <row r="158" ht="15.75" customHeight="1">
      <c r="A158" s="5"/>
      <c r="B158" s="5"/>
      <c r="C158" s="5"/>
      <c r="D158" s="5"/>
      <c r="E158" s="5"/>
    </row>
    <row r="159" ht="15.75" customHeight="1">
      <c r="A159" s="5"/>
      <c r="B159" s="5"/>
      <c r="C159" s="5"/>
      <c r="D159" s="5"/>
      <c r="E159" s="5"/>
    </row>
    <row r="160" ht="15.75" customHeight="1">
      <c r="A160" s="5"/>
      <c r="B160" s="5"/>
      <c r="C160" s="5"/>
      <c r="D160" s="5"/>
      <c r="E160" s="5"/>
    </row>
    <row r="161" ht="15.75" customHeight="1">
      <c r="A161" s="5"/>
      <c r="B161" s="5"/>
      <c r="C161" s="5"/>
      <c r="D161" s="5"/>
      <c r="E161" s="5"/>
    </row>
    <row r="162" ht="15.75" customHeight="1">
      <c r="A162" s="5"/>
      <c r="B162" s="5"/>
      <c r="C162" s="5"/>
      <c r="D162" s="5"/>
      <c r="E162" s="5"/>
    </row>
    <row r="163" ht="15.75" customHeight="1">
      <c r="A163" s="5"/>
      <c r="B163" s="5"/>
      <c r="C163" s="5"/>
      <c r="D163" s="5"/>
      <c r="E163" s="5"/>
    </row>
    <row r="164" ht="15.75" customHeight="1">
      <c r="A164" s="5"/>
      <c r="B164" s="5"/>
      <c r="C164" s="5"/>
      <c r="D164" s="5"/>
      <c r="E164" s="5"/>
    </row>
    <row r="165" ht="15.75" customHeight="1">
      <c r="A165" s="5"/>
      <c r="B165" s="5"/>
      <c r="C165" s="5"/>
      <c r="D165" s="5"/>
      <c r="E165" s="5"/>
    </row>
    <row r="166" ht="15.75" customHeight="1">
      <c r="A166" s="5"/>
      <c r="B166" s="5"/>
      <c r="C166" s="5"/>
      <c r="D166" s="5"/>
      <c r="E166" s="5"/>
    </row>
    <row r="167" ht="15.75" customHeight="1">
      <c r="A167" s="5"/>
      <c r="B167" s="5"/>
      <c r="C167" s="5"/>
      <c r="D167" s="5"/>
      <c r="E167" s="5"/>
    </row>
    <row r="168" ht="15.75" customHeight="1">
      <c r="A168" s="5"/>
      <c r="B168" s="5"/>
      <c r="C168" s="5"/>
      <c r="D168" s="5"/>
      <c r="E168" s="5"/>
    </row>
    <row r="169" ht="15.75" customHeight="1">
      <c r="A169" s="5"/>
      <c r="B169" s="5"/>
      <c r="C169" s="5"/>
      <c r="D169" s="5"/>
      <c r="E169" s="5"/>
    </row>
    <row r="170" ht="15.75" customHeight="1">
      <c r="A170" s="5"/>
      <c r="B170" s="5"/>
      <c r="C170" s="5"/>
      <c r="D170" s="5"/>
      <c r="E170" s="5"/>
    </row>
    <row r="171" ht="15.75" customHeight="1">
      <c r="A171" s="5"/>
      <c r="B171" s="5"/>
      <c r="C171" s="5"/>
      <c r="D171" s="5"/>
      <c r="E171" s="5"/>
    </row>
    <row r="172" ht="15.75" customHeight="1">
      <c r="A172" s="5"/>
      <c r="B172" s="5"/>
      <c r="C172" s="5"/>
      <c r="D172" s="5"/>
      <c r="E172" s="5"/>
    </row>
    <row r="173" ht="15.75" customHeight="1">
      <c r="A173" s="5"/>
      <c r="B173" s="5"/>
      <c r="C173" s="5"/>
      <c r="D173" s="5"/>
      <c r="E173" s="5"/>
    </row>
    <row r="174" ht="15.75" customHeight="1">
      <c r="A174" s="5"/>
      <c r="B174" s="5"/>
      <c r="C174" s="5"/>
      <c r="D174" s="5"/>
      <c r="E174" s="5"/>
    </row>
    <row r="175" ht="15.75" customHeight="1">
      <c r="A175" s="5"/>
      <c r="B175" s="5"/>
      <c r="C175" s="5"/>
      <c r="D175" s="5"/>
      <c r="E175" s="5"/>
    </row>
    <row r="176" ht="15.75" customHeight="1">
      <c r="A176" s="5"/>
      <c r="B176" s="5"/>
      <c r="C176" s="5"/>
      <c r="D176" s="5"/>
      <c r="E176" s="5"/>
    </row>
    <row r="177" ht="15.75" customHeight="1">
      <c r="A177" s="5"/>
      <c r="B177" s="5"/>
      <c r="C177" s="5"/>
      <c r="D177" s="5"/>
      <c r="E177" s="5"/>
    </row>
    <row r="178" ht="15.75" customHeight="1">
      <c r="A178" s="5"/>
      <c r="B178" s="5"/>
      <c r="C178" s="5"/>
      <c r="D178" s="5"/>
      <c r="E178" s="5"/>
    </row>
    <row r="179" ht="15.75" customHeight="1">
      <c r="A179" s="5"/>
      <c r="B179" s="5"/>
      <c r="C179" s="5"/>
      <c r="D179" s="5"/>
      <c r="E179" s="5"/>
    </row>
    <row r="180" ht="15.75" customHeight="1">
      <c r="A180" s="5"/>
      <c r="B180" s="5"/>
      <c r="C180" s="5"/>
      <c r="D180" s="5"/>
      <c r="E180" s="5"/>
    </row>
    <row r="181" ht="15.75" customHeight="1">
      <c r="A181" s="5"/>
      <c r="B181" s="5"/>
      <c r="C181" s="5"/>
      <c r="D181" s="5"/>
      <c r="E181" s="5"/>
    </row>
    <row r="182" ht="15.75" customHeight="1">
      <c r="A182" s="5"/>
      <c r="B182" s="5"/>
      <c r="C182" s="5"/>
      <c r="D182" s="5"/>
      <c r="E182" s="5"/>
    </row>
    <row r="183" ht="15.75" customHeight="1">
      <c r="A183" s="5"/>
      <c r="B183" s="5"/>
      <c r="C183" s="5"/>
      <c r="D183" s="5"/>
      <c r="E183" s="5"/>
    </row>
    <row r="184" ht="15.75" customHeight="1">
      <c r="A184" s="5"/>
      <c r="B184" s="5"/>
      <c r="C184" s="5"/>
      <c r="D184" s="5"/>
      <c r="E184" s="5"/>
    </row>
    <row r="185" ht="15.75" customHeight="1">
      <c r="A185" s="5"/>
      <c r="B185" s="5"/>
      <c r="C185" s="5"/>
      <c r="D185" s="5"/>
      <c r="E185" s="5"/>
    </row>
    <row r="186" ht="15.75" customHeight="1">
      <c r="A186" s="5"/>
      <c r="B186" s="5"/>
      <c r="C186" s="5"/>
      <c r="D186" s="5"/>
      <c r="E186" s="5"/>
    </row>
    <row r="187" ht="15.75" customHeight="1">
      <c r="A187" s="5"/>
      <c r="B187" s="5"/>
      <c r="C187" s="5"/>
      <c r="D187" s="5"/>
      <c r="E187" s="5"/>
    </row>
    <row r="188" ht="15.75" customHeight="1">
      <c r="A188" s="5"/>
      <c r="B188" s="5"/>
      <c r="C188" s="5"/>
      <c r="D188" s="5"/>
      <c r="E188" s="5"/>
    </row>
    <row r="189" ht="15.75" customHeight="1">
      <c r="A189" s="5"/>
      <c r="B189" s="5"/>
      <c r="C189" s="5"/>
      <c r="D189" s="5"/>
      <c r="E189" s="5"/>
    </row>
    <row r="190" ht="15.75" customHeight="1">
      <c r="A190" s="5"/>
      <c r="B190" s="5"/>
      <c r="C190" s="5"/>
      <c r="D190" s="5"/>
      <c r="E190" s="5"/>
    </row>
    <row r="191" ht="15.75" customHeight="1">
      <c r="A191" s="5"/>
      <c r="B191" s="5"/>
      <c r="C191" s="5"/>
      <c r="D191" s="5"/>
      <c r="E191" s="5"/>
    </row>
    <row r="192" ht="15.75" customHeight="1">
      <c r="A192" s="5"/>
      <c r="B192" s="5"/>
      <c r="C192" s="5"/>
      <c r="D192" s="5"/>
      <c r="E192" s="5"/>
    </row>
    <row r="193" ht="15.75" customHeight="1">
      <c r="A193" s="5"/>
      <c r="B193" s="5"/>
      <c r="C193" s="5"/>
      <c r="D193" s="5"/>
      <c r="E193" s="5"/>
    </row>
    <row r="194" ht="15.75" customHeight="1">
      <c r="A194" s="5"/>
      <c r="B194" s="5"/>
      <c r="C194" s="5"/>
      <c r="D194" s="5"/>
      <c r="E194" s="5"/>
    </row>
    <row r="195" ht="15.75" customHeight="1">
      <c r="A195" s="5"/>
      <c r="B195" s="5"/>
      <c r="C195" s="5"/>
      <c r="D195" s="5"/>
      <c r="E195" s="5"/>
    </row>
    <row r="196" ht="15.75" customHeight="1">
      <c r="A196" s="5"/>
      <c r="B196" s="5"/>
      <c r="C196" s="5"/>
      <c r="D196" s="5"/>
      <c r="E196" s="5"/>
    </row>
    <row r="197" ht="15.75" customHeight="1">
      <c r="A197" s="5"/>
      <c r="B197" s="5"/>
      <c r="C197" s="5"/>
      <c r="D197" s="5"/>
      <c r="E197" s="5"/>
    </row>
    <row r="198" ht="15.75" customHeight="1">
      <c r="A198" s="5"/>
      <c r="B198" s="5"/>
      <c r="C198" s="5"/>
      <c r="D198" s="5"/>
      <c r="E198" s="5"/>
    </row>
    <row r="199" ht="15.75" customHeight="1">
      <c r="A199" s="5"/>
      <c r="B199" s="5"/>
      <c r="C199" s="5"/>
      <c r="D199" s="5"/>
      <c r="E199" s="5"/>
    </row>
    <row r="200" ht="15.75" customHeight="1">
      <c r="A200" s="5"/>
      <c r="B200" s="5"/>
      <c r="C200" s="5"/>
      <c r="D200" s="5"/>
      <c r="E200" s="5"/>
    </row>
    <row r="201" ht="15.75" customHeight="1">
      <c r="A201" s="5"/>
      <c r="B201" s="5"/>
      <c r="C201" s="5"/>
      <c r="D201" s="5"/>
      <c r="E201" s="5"/>
    </row>
    <row r="202" ht="15.75" customHeight="1">
      <c r="A202" s="5"/>
      <c r="B202" s="5"/>
      <c r="C202" s="5"/>
      <c r="D202" s="5"/>
      <c r="E202" s="5"/>
    </row>
    <row r="203" ht="15.75" customHeight="1">
      <c r="A203" s="5"/>
      <c r="B203" s="5"/>
      <c r="C203" s="5"/>
      <c r="D203" s="5"/>
      <c r="E203" s="5"/>
    </row>
    <row r="204" ht="15.75" customHeight="1">
      <c r="A204" s="5"/>
      <c r="B204" s="5"/>
      <c r="C204" s="5"/>
      <c r="D204" s="5"/>
      <c r="E204" s="5"/>
    </row>
    <row r="205" ht="15.75" customHeight="1">
      <c r="A205" s="5"/>
      <c r="B205" s="5"/>
      <c r="C205" s="5"/>
      <c r="D205" s="5"/>
      <c r="E205" s="5"/>
    </row>
    <row r="206" ht="15.75" customHeight="1">
      <c r="A206" s="5"/>
      <c r="B206" s="5"/>
      <c r="C206" s="5"/>
      <c r="D206" s="5"/>
      <c r="E206" s="5"/>
    </row>
    <row r="207" ht="15.75" customHeight="1">
      <c r="A207" s="5"/>
      <c r="B207" s="5"/>
      <c r="C207" s="5"/>
      <c r="D207" s="5"/>
      <c r="E207" s="5"/>
    </row>
    <row r="208" ht="15.75" customHeight="1">
      <c r="A208" s="5"/>
      <c r="B208" s="5"/>
      <c r="C208" s="5"/>
      <c r="D208" s="5"/>
      <c r="E208" s="5"/>
    </row>
    <row r="209" ht="15.75" customHeight="1">
      <c r="A209" s="5"/>
      <c r="B209" s="5"/>
      <c r="C209" s="5"/>
      <c r="D209" s="5"/>
      <c r="E209" s="5"/>
    </row>
    <row r="210" ht="15.75" customHeight="1">
      <c r="A210" s="5"/>
      <c r="B210" s="5"/>
      <c r="C210" s="5"/>
      <c r="D210" s="5"/>
      <c r="E210" s="5"/>
    </row>
    <row r="211" ht="15.75" customHeight="1">
      <c r="A211" s="5"/>
      <c r="B211" s="5"/>
      <c r="C211" s="5"/>
      <c r="D211" s="5"/>
      <c r="E211" s="5"/>
    </row>
    <row r="212" ht="15.75" customHeight="1">
      <c r="A212" s="5"/>
      <c r="B212" s="5"/>
      <c r="C212" s="5"/>
      <c r="D212" s="5"/>
      <c r="E212" s="5"/>
    </row>
    <row r="213" ht="15.75" customHeight="1">
      <c r="A213" s="5"/>
      <c r="B213" s="5"/>
      <c r="C213" s="5"/>
      <c r="D213" s="5"/>
      <c r="E213" s="5"/>
    </row>
    <row r="214" ht="15.75" customHeight="1">
      <c r="A214" s="5"/>
      <c r="B214" s="5"/>
      <c r="C214" s="5"/>
      <c r="D214" s="5"/>
      <c r="E214" s="5"/>
    </row>
    <row r="215" ht="15.75" customHeight="1">
      <c r="A215" s="5"/>
      <c r="B215" s="5"/>
      <c r="C215" s="5"/>
      <c r="D215" s="5"/>
      <c r="E215" s="5"/>
    </row>
    <row r="216" ht="15.75" customHeight="1">
      <c r="A216" s="5"/>
      <c r="B216" s="5"/>
      <c r="C216" s="5"/>
      <c r="D216" s="5"/>
      <c r="E216" s="5"/>
    </row>
    <row r="217" ht="15.75" customHeight="1">
      <c r="A217" s="5"/>
      <c r="B217" s="5"/>
      <c r="C217" s="5"/>
      <c r="D217" s="5"/>
      <c r="E217" s="5"/>
    </row>
    <row r="218" ht="15.75" customHeight="1">
      <c r="A218" s="5"/>
      <c r="B218" s="5"/>
      <c r="C218" s="5"/>
      <c r="D218" s="5"/>
      <c r="E218" s="5"/>
    </row>
    <row r="219" ht="15.75" customHeight="1">
      <c r="A219" s="5"/>
      <c r="B219" s="5"/>
      <c r="C219" s="5"/>
      <c r="D219" s="5"/>
      <c r="E219" s="5"/>
    </row>
    <row r="220" ht="15.75" customHeight="1">
      <c r="A220" s="5"/>
      <c r="B220" s="5"/>
      <c r="C220" s="5"/>
      <c r="D220" s="5"/>
      <c r="E220" s="5"/>
    </row>
    <row r="221" ht="15.75" customHeight="1">
      <c r="A221" s="5"/>
      <c r="B221" s="5"/>
      <c r="C221" s="5"/>
      <c r="D221" s="5"/>
      <c r="E221" s="5"/>
    </row>
    <row r="222" ht="15.75" customHeight="1">
      <c r="A222" s="5"/>
      <c r="B222" s="5"/>
      <c r="C222" s="5"/>
      <c r="D222" s="5"/>
      <c r="E222" s="5"/>
    </row>
    <row r="223" ht="15.75" customHeight="1">
      <c r="A223" s="5"/>
      <c r="B223" s="5"/>
      <c r="C223" s="5"/>
      <c r="D223" s="5"/>
      <c r="E223" s="5"/>
    </row>
    <row r="224" ht="15.75" customHeight="1">
      <c r="A224" s="5"/>
      <c r="B224" s="5"/>
      <c r="C224" s="5"/>
      <c r="D224" s="5"/>
      <c r="E224" s="5"/>
    </row>
    <row r="225" ht="15.75" customHeight="1">
      <c r="A225" s="5"/>
      <c r="B225" s="5"/>
      <c r="C225" s="5"/>
      <c r="D225" s="5"/>
      <c r="E225" s="5"/>
    </row>
    <row r="226" ht="15.75" customHeight="1">
      <c r="A226" s="5"/>
      <c r="B226" s="5"/>
      <c r="C226" s="5"/>
      <c r="D226" s="5"/>
      <c r="E226" s="5"/>
    </row>
    <row r="227" ht="15.75" customHeight="1">
      <c r="A227" s="5"/>
      <c r="B227" s="5"/>
      <c r="C227" s="5"/>
      <c r="D227" s="5"/>
      <c r="E227" s="5"/>
    </row>
    <row r="228" ht="15.75" customHeight="1">
      <c r="A228" s="5"/>
      <c r="B228" s="5"/>
      <c r="C228" s="5"/>
      <c r="D228" s="5"/>
      <c r="E228" s="5"/>
    </row>
    <row r="229" ht="15.75" customHeight="1">
      <c r="A229" s="5"/>
      <c r="B229" s="5"/>
      <c r="C229" s="5"/>
      <c r="D229" s="5"/>
      <c r="E229" s="5"/>
    </row>
    <row r="230" ht="15.75" customHeight="1">
      <c r="A230" s="5"/>
      <c r="B230" s="5"/>
      <c r="C230" s="5"/>
      <c r="D230" s="5"/>
      <c r="E230" s="5"/>
    </row>
    <row r="231" ht="15.75" customHeight="1">
      <c r="A231" s="5"/>
      <c r="B231" s="5"/>
      <c r="C231" s="5"/>
      <c r="D231" s="5"/>
      <c r="E231" s="5"/>
    </row>
    <row r="232" ht="15.75" customHeight="1">
      <c r="A232" s="5"/>
      <c r="B232" s="5"/>
      <c r="C232" s="5"/>
      <c r="D232" s="5"/>
      <c r="E232" s="5"/>
    </row>
    <row r="233" ht="15.75" customHeight="1">
      <c r="A233" s="5"/>
      <c r="B233" s="5"/>
      <c r="C233" s="5"/>
      <c r="D233" s="5"/>
      <c r="E233" s="5"/>
    </row>
    <row r="234" ht="15.75" customHeight="1">
      <c r="A234" s="5"/>
      <c r="B234" s="5"/>
      <c r="C234" s="5"/>
      <c r="D234" s="5"/>
      <c r="E234" s="5"/>
    </row>
    <row r="235" ht="15.75" customHeight="1">
      <c r="A235" s="5"/>
      <c r="B235" s="5"/>
      <c r="C235" s="5"/>
      <c r="D235" s="5"/>
      <c r="E235" s="5"/>
    </row>
    <row r="236" ht="15.75" customHeight="1">
      <c r="A236" s="5"/>
      <c r="B236" s="5"/>
      <c r="C236" s="5"/>
      <c r="D236" s="5"/>
      <c r="E236" s="5"/>
    </row>
    <row r="237" ht="15.75" customHeight="1">
      <c r="A237" s="5"/>
      <c r="B237" s="5"/>
      <c r="C237" s="5"/>
      <c r="D237" s="5"/>
      <c r="E237" s="5"/>
    </row>
    <row r="238" ht="15.75" customHeight="1">
      <c r="A238" s="5"/>
      <c r="B238" s="5"/>
      <c r="C238" s="5"/>
      <c r="D238" s="5"/>
      <c r="E238" s="5"/>
    </row>
    <row r="239" ht="15.75" customHeight="1">
      <c r="A239" s="5"/>
      <c r="B239" s="5"/>
      <c r="C239" s="5"/>
      <c r="D239" s="5"/>
      <c r="E239" s="5"/>
    </row>
    <row r="240" ht="15.75" customHeight="1">
      <c r="A240" s="5"/>
      <c r="B240" s="5"/>
      <c r="C240" s="5"/>
      <c r="D240" s="5"/>
      <c r="E240" s="5"/>
    </row>
    <row r="241" ht="15.75" customHeight="1">
      <c r="A241" s="5"/>
      <c r="B241" s="5"/>
      <c r="C241" s="5"/>
      <c r="D241" s="5"/>
      <c r="E241" s="5"/>
    </row>
    <row r="242" ht="15.75" customHeight="1">
      <c r="A242" s="5"/>
      <c r="B242" s="5"/>
      <c r="C242" s="5"/>
      <c r="D242" s="5"/>
      <c r="E242" s="5"/>
    </row>
    <row r="243" ht="15.75" customHeight="1">
      <c r="A243" s="5"/>
      <c r="B243" s="5"/>
      <c r="C243" s="5"/>
      <c r="D243" s="5"/>
      <c r="E243" s="5"/>
    </row>
    <row r="244" ht="15.75" customHeight="1">
      <c r="A244" s="5"/>
      <c r="B244" s="5"/>
      <c r="C244" s="5"/>
      <c r="D244" s="5"/>
      <c r="E244" s="5"/>
    </row>
    <row r="245" ht="15.75" customHeight="1">
      <c r="A245" s="5"/>
      <c r="B245" s="5"/>
      <c r="C245" s="5"/>
      <c r="D245" s="5"/>
      <c r="E245" s="5"/>
    </row>
    <row r="246" ht="15.75" customHeight="1">
      <c r="A246" s="5"/>
      <c r="B246" s="5"/>
      <c r="C246" s="5"/>
      <c r="D246" s="5"/>
      <c r="E246" s="5"/>
    </row>
    <row r="247" ht="15.75" customHeight="1">
      <c r="A247" s="5"/>
      <c r="B247" s="5"/>
      <c r="C247" s="5"/>
      <c r="D247" s="5"/>
      <c r="E247" s="5"/>
    </row>
    <row r="248" ht="15.75" customHeight="1">
      <c r="A248" s="5"/>
      <c r="B248" s="5"/>
      <c r="C248" s="5"/>
      <c r="D248" s="5"/>
      <c r="E248" s="5"/>
    </row>
    <row r="249" ht="15.75" customHeight="1">
      <c r="A249" s="5"/>
      <c r="B249" s="5"/>
      <c r="C249" s="5"/>
      <c r="D249" s="5"/>
      <c r="E249" s="5"/>
    </row>
    <row r="250" ht="15.75" customHeight="1">
      <c r="A250" s="5"/>
      <c r="B250" s="5"/>
      <c r="C250" s="5"/>
      <c r="D250" s="5"/>
      <c r="E250" s="5"/>
    </row>
    <row r="251" ht="15.75" customHeight="1">
      <c r="A251" s="5"/>
      <c r="B251" s="5"/>
      <c r="C251" s="5"/>
      <c r="D251" s="5"/>
      <c r="E251" s="5"/>
    </row>
    <row r="252" ht="15.75" customHeight="1">
      <c r="A252" s="5"/>
      <c r="B252" s="5"/>
      <c r="C252" s="5"/>
      <c r="D252" s="5"/>
      <c r="E252" s="5"/>
    </row>
    <row r="253" ht="15.75" customHeight="1">
      <c r="A253" s="5"/>
      <c r="B253" s="5"/>
      <c r="C253" s="5"/>
      <c r="D253" s="5"/>
      <c r="E253" s="5"/>
    </row>
    <row r="254" ht="15.75" customHeight="1">
      <c r="A254" s="5"/>
      <c r="B254" s="5"/>
      <c r="C254" s="5"/>
      <c r="D254" s="5"/>
      <c r="E254" s="5"/>
    </row>
    <row r="255" ht="15.75" customHeight="1">
      <c r="A255" s="5"/>
      <c r="B255" s="5"/>
      <c r="C255" s="5"/>
      <c r="D255" s="5"/>
      <c r="E255" s="5"/>
    </row>
    <row r="256" ht="15.75" customHeight="1">
      <c r="A256" s="5"/>
      <c r="B256" s="5"/>
      <c r="C256" s="5"/>
      <c r="D256" s="5"/>
      <c r="E256" s="5"/>
    </row>
    <row r="257" ht="15.75" customHeight="1">
      <c r="A257" s="5"/>
      <c r="B257" s="5"/>
      <c r="C257" s="5"/>
      <c r="D257" s="5"/>
      <c r="E257" s="5"/>
    </row>
    <row r="258" ht="15.75" customHeight="1">
      <c r="A258" s="5"/>
      <c r="B258" s="5"/>
      <c r="C258" s="5"/>
      <c r="D258" s="5"/>
      <c r="E258" s="5"/>
    </row>
    <row r="259" ht="15.75" customHeight="1">
      <c r="A259" s="5"/>
      <c r="B259" s="5"/>
      <c r="C259" s="5"/>
      <c r="D259" s="5"/>
      <c r="E259" s="5"/>
    </row>
    <row r="260" ht="15.75" customHeight="1">
      <c r="A260" s="5"/>
      <c r="B260" s="5"/>
      <c r="C260" s="5"/>
      <c r="D260" s="5"/>
      <c r="E260" s="5"/>
    </row>
    <row r="261" ht="15.75" customHeight="1">
      <c r="A261" s="5"/>
      <c r="B261" s="5"/>
      <c r="C261" s="5"/>
      <c r="D261" s="5"/>
      <c r="E261" s="5"/>
    </row>
    <row r="262" ht="15.75" customHeight="1">
      <c r="A262" s="5"/>
      <c r="B262" s="5"/>
      <c r="C262" s="5"/>
      <c r="D262" s="5"/>
      <c r="E262" s="5"/>
    </row>
    <row r="263" ht="15.75" customHeight="1">
      <c r="A263" s="5"/>
      <c r="B263" s="5"/>
      <c r="C263" s="5"/>
      <c r="D263" s="5"/>
      <c r="E263" s="5"/>
    </row>
    <row r="264" ht="15.75" customHeight="1">
      <c r="A264" s="5"/>
      <c r="B264" s="5"/>
      <c r="C264" s="5"/>
      <c r="D264" s="5"/>
      <c r="E264" s="5"/>
    </row>
    <row r="265" ht="15.75" customHeight="1">
      <c r="A265" s="5"/>
      <c r="B265" s="5"/>
      <c r="C265" s="5"/>
      <c r="D265" s="5"/>
      <c r="E265" s="5"/>
    </row>
    <row r="266" ht="15.75" customHeight="1">
      <c r="A266" s="5"/>
      <c r="B266" s="5"/>
      <c r="C266" s="5"/>
      <c r="D266" s="5"/>
      <c r="E266" s="5"/>
    </row>
    <row r="267" ht="15.75" customHeight="1">
      <c r="A267" s="5"/>
      <c r="B267" s="5"/>
      <c r="C267" s="5"/>
      <c r="D267" s="5"/>
      <c r="E267" s="5"/>
    </row>
    <row r="268" ht="15.75" customHeight="1">
      <c r="A268" s="5"/>
      <c r="B268" s="5"/>
      <c r="C268" s="5"/>
      <c r="D268" s="5"/>
      <c r="E268" s="5"/>
    </row>
    <row r="269" ht="15.75" customHeight="1">
      <c r="A269" s="5"/>
      <c r="B269" s="5"/>
      <c r="C269" s="5"/>
      <c r="D269" s="5"/>
      <c r="E269" s="5"/>
    </row>
    <row r="270" ht="15.75" customHeight="1">
      <c r="A270" s="5"/>
      <c r="B270" s="5"/>
      <c r="C270" s="5"/>
      <c r="D270" s="5"/>
      <c r="E270" s="5"/>
    </row>
    <row r="271" ht="15.75" customHeight="1">
      <c r="A271" s="5"/>
      <c r="B271" s="5"/>
      <c r="C271" s="5"/>
      <c r="D271" s="5"/>
      <c r="E271" s="5"/>
    </row>
    <row r="272" ht="15.75" customHeight="1">
      <c r="A272" s="5"/>
      <c r="B272" s="5"/>
      <c r="C272" s="5"/>
      <c r="D272" s="5"/>
      <c r="E272" s="5"/>
    </row>
    <row r="273" ht="15.75" customHeight="1">
      <c r="A273" s="5"/>
      <c r="B273" s="5"/>
      <c r="C273" s="5"/>
      <c r="D273" s="5"/>
      <c r="E273" s="5"/>
    </row>
    <row r="274" ht="15.75" customHeight="1">
      <c r="A274" s="5"/>
      <c r="B274" s="5"/>
      <c r="C274" s="5"/>
      <c r="D274" s="5"/>
      <c r="E274" s="5"/>
    </row>
    <row r="275" ht="15.75" customHeight="1">
      <c r="A275" s="5"/>
      <c r="B275" s="5"/>
      <c r="C275" s="5"/>
      <c r="D275" s="5"/>
      <c r="E275" s="5"/>
    </row>
    <row r="276" ht="15.75" customHeight="1">
      <c r="A276" s="5"/>
      <c r="B276" s="5"/>
      <c r="C276" s="5"/>
      <c r="D276" s="5"/>
      <c r="E276" s="5"/>
    </row>
    <row r="277" ht="15.75" customHeight="1">
      <c r="A277" s="5"/>
      <c r="B277" s="5"/>
      <c r="C277" s="5"/>
      <c r="D277" s="5"/>
      <c r="E277" s="5"/>
    </row>
    <row r="278" ht="15.75" customHeight="1">
      <c r="A278" s="5"/>
      <c r="B278" s="5"/>
      <c r="C278" s="5"/>
      <c r="D278" s="5"/>
      <c r="E278" s="5"/>
    </row>
    <row r="279" ht="15.75" customHeight="1">
      <c r="A279" s="5"/>
      <c r="B279" s="5"/>
      <c r="C279" s="5"/>
      <c r="D279" s="5"/>
      <c r="E279" s="5"/>
    </row>
    <row r="280" ht="15.75" customHeight="1">
      <c r="A280" s="5"/>
      <c r="B280" s="5"/>
      <c r="C280" s="5"/>
      <c r="D280" s="5"/>
      <c r="E280" s="5"/>
    </row>
    <row r="281" ht="15.75" customHeight="1">
      <c r="A281" s="5"/>
      <c r="B281" s="5"/>
      <c r="C281" s="5"/>
      <c r="D281" s="5"/>
      <c r="E281" s="5"/>
    </row>
    <row r="282" ht="15.75" customHeight="1">
      <c r="A282" s="5"/>
      <c r="B282" s="5"/>
      <c r="C282" s="5"/>
      <c r="D282" s="5"/>
      <c r="E282" s="5"/>
    </row>
    <row r="283" ht="15.75" customHeight="1">
      <c r="A283" s="5"/>
      <c r="B283" s="5"/>
      <c r="C283" s="5"/>
      <c r="D283" s="5"/>
      <c r="E283" s="5"/>
    </row>
    <row r="284" ht="15.75" customHeight="1">
      <c r="A284" s="5"/>
      <c r="B284" s="5"/>
      <c r="C284" s="5"/>
      <c r="D284" s="5"/>
      <c r="E284" s="5"/>
    </row>
    <row r="285" ht="15.75" customHeight="1">
      <c r="A285" s="5"/>
      <c r="B285" s="5"/>
      <c r="C285" s="5"/>
      <c r="D285" s="5"/>
      <c r="E285" s="5"/>
    </row>
    <row r="286" ht="15.75" customHeight="1">
      <c r="A286" s="5"/>
      <c r="B286" s="5"/>
      <c r="C286" s="5"/>
      <c r="D286" s="5"/>
      <c r="E286" s="5"/>
    </row>
    <row r="287" ht="15.75" customHeight="1">
      <c r="A287" s="5"/>
      <c r="B287" s="5"/>
      <c r="C287" s="5"/>
      <c r="D287" s="5"/>
      <c r="E287" s="5"/>
    </row>
    <row r="288" ht="15.75" customHeight="1">
      <c r="A288" s="5"/>
      <c r="B288" s="5"/>
      <c r="C288" s="5"/>
      <c r="D288" s="5"/>
      <c r="E288" s="5"/>
    </row>
    <row r="289" ht="15.75" customHeight="1">
      <c r="A289" s="5"/>
      <c r="B289" s="5"/>
      <c r="C289" s="5"/>
      <c r="D289" s="5"/>
      <c r="E289" s="5"/>
    </row>
    <row r="290" ht="15.75" customHeight="1">
      <c r="A290" s="5"/>
      <c r="B290" s="5"/>
      <c r="C290" s="5"/>
      <c r="D290" s="5"/>
      <c r="E290" s="5"/>
    </row>
    <row r="291" ht="15.75" customHeight="1">
      <c r="A291" s="5"/>
      <c r="B291" s="5"/>
      <c r="C291" s="5"/>
      <c r="D291" s="5"/>
      <c r="E291" s="5"/>
    </row>
    <row r="292" ht="15.75" customHeight="1">
      <c r="A292" s="5"/>
      <c r="B292" s="5"/>
      <c r="C292" s="5"/>
      <c r="D292" s="5"/>
      <c r="E292" s="5"/>
    </row>
    <row r="293" ht="15.75" customHeight="1">
      <c r="A293" s="5"/>
      <c r="B293" s="5"/>
      <c r="C293" s="5"/>
      <c r="D293" s="5"/>
      <c r="E293" s="5"/>
    </row>
    <row r="294" ht="15.75" customHeight="1">
      <c r="A294" s="5"/>
      <c r="B294" s="5"/>
      <c r="C294" s="5"/>
      <c r="D294" s="5"/>
      <c r="E294" s="5"/>
    </row>
    <row r="295" ht="15.75" customHeight="1">
      <c r="A295" s="5"/>
      <c r="B295" s="5"/>
      <c r="C295" s="5"/>
      <c r="D295" s="5"/>
      <c r="E295" s="5"/>
    </row>
    <row r="296" ht="15.75" customHeight="1">
      <c r="A296" s="5"/>
      <c r="B296" s="5"/>
      <c r="C296" s="5"/>
      <c r="D296" s="5"/>
      <c r="E296" s="5"/>
    </row>
    <row r="297" ht="15.75" customHeight="1">
      <c r="A297" s="5"/>
      <c r="B297" s="5"/>
      <c r="C297" s="5"/>
      <c r="D297" s="5"/>
      <c r="E297" s="5"/>
    </row>
    <row r="298" ht="15.75" customHeight="1">
      <c r="A298" s="5"/>
      <c r="B298" s="5"/>
      <c r="C298" s="5"/>
      <c r="D298" s="5"/>
      <c r="E298" s="5"/>
    </row>
    <row r="299" ht="15.75" customHeight="1">
      <c r="A299" s="5"/>
      <c r="B299" s="5"/>
      <c r="C299" s="5"/>
      <c r="D299" s="5"/>
      <c r="E299" s="5"/>
    </row>
    <row r="300" ht="15.75" customHeight="1">
      <c r="A300" s="5"/>
      <c r="B300" s="5"/>
      <c r="C300" s="5"/>
      <c r="D300" s="5"/>
      <c r="E300" s="5"/>
    </row>
    <row r="301" ht="15.75" customHeight="1">
      <c r="A301" s="5"/>
      <c r="B301" s="5"/>
      <c r="C301" s="5"/>
      <c r="D301" s="5"/>
      <c r="E301" s="5"/>
    </row>
    <row r="302" ht="15.75" customHeight="1">
      <c r="A302" s="5"/>
      <c r="B302" s="5"/>
      <c r="C302" s="5"/>
      <c r="D302" s="5"/>
      <c r="E302" s="5"/>
    </row>
    <row r="303" ht="15.75" customHeight="1">
      <c r="A303" s="5"/>
      <c r="B303" s="5"/>
      <c r="C303" s="5"/>
      <c r="D303" s="5"/>
      <c r="E303" s="5"/>
    </row>
    <row r="304" ht="15.75" customHeight="1">
      <c r="A304" s="5"/>
      <c r="B304" s="5"/>
      <c r="C304" s="5"/>
      <c r="D304" s="5"/>
      <c r="E304" s="5"/>
    </row>
    <row r="305" ht="15.75" customHeight="1">
      <c r="A305" s="5"/>
      <c r="B305" s="5"/>
      <c r="C305" s="5"/>
      <c r="D305" s="5"/>
      <c r="E305" s="5"/>
    </row>
    <row r="306" ht="15.75" customHeight="1">
      <c r="A306" s="5"/>
      <c r="B306" s="5"/>
      <c r="C306" s="5"/>
      <c r="D306" s="5"/>
      <c r="E306" s="5"/>
    </row>
    <row r="307" ht="15.75" customHeight="1">
      <c r="A307" s="5"/>
      <c r="B307" s="5"/>
      <c r="C307" s="5"/>
      <c r="D307" s="5"/>
      <c r="E307" s="5"/>
    </row>
    <row r="308" ht="15.75" customHeight="1">
      <c r="A308" s="5"/>
      <c r="B308" s="5"/>
      <c r="C308" s="5"/>
      <c r="D308" s="5"/>
      <c r="E308" s="5"/>
    </row>
    <row r="309" ht="15.75" customHeight="1">
      <c r="A309" s="5"/>
      <c r="B309" s="5"/>
      <c r="C309" s="5"/>
      <c r="D309" s="5"/>
      <c r="E309" s="5"/>
    </row>
    <row r="310" ht="15.75" customHeight="1">
      <c r="A310" s="5"/>
      <c r="B310" s="5"/>
      <c r="C310" s="5"/>
      <c r="D310" s="5"/>
      <c r="E310" s="5"/>
    </row>
    <row r="311" ht="15.75" customHeight="1">
      <c r="A311" s="5"/>
      <c r="B311" s="5"/>
      <c r="C311" s="5"/>
      <c r="D311" s="5"/>
      <c r="E311" s="5"/>
    </row>
    <row r="312" ht="15.75" customHeight="1">
      <c r="A312" s="5"/>
      <c r="B312" s="5"/>
      <c r="C312" s="5"/>
      <c r="D312" s="5"/>
      <c r="E312" s="5"/>
    </row>
    <row r="313" ht="15.75" customHeight="1">
      <c r="A313" s="5"/>
      <c r="B313" s="5"/>
      <c r="C313" s="5"/>
      <c r="D313" s="5"/>
      <c r="E313" s="5"/>
    </row>
    <row r="314" ht="15.75" customHeight="1">
      <c r="A314" s="5"/>
      <c r="B314" s="5"/>
      <c r="C314" s="5"/>
      <c r="D314" s="5"/>
      <c r="E314" s="5"/>
    </row>
    <row r="315" ht="15.75" customHeight="1">
      <c r="A315" s="5"/>
      <c r="B315" s="5"/>
      <c r="C315" s="5"/>
      <c r="D315" s="5"/>
      <c r="E315" s="5"/>
    </row>
    <row r="316" ht="15.75" customHeight="1">
      <c r="A316" s="5"/>
      <c r="B316" s="5"/>
      <c r="C316" s="5"/>
      <c r="D316" s="5"/>
      <c r="E316" s="5"/>
    </row>
    <row r="317" ht="15.75" customHeight="1">
      <c r="A317" s="5"/>
      <c r="B317" s="5"/>
      <c r="C317" s="5"/>
      <c r="D317" s="5"/>
      <c r="E317" s="5"/>
    </row>
    <row r="318" ht="15.75" customHeight="1">
      <c r="A318" s="5"/>
      <c r="B318" s="5"/>
      <c r="C318" s="5"/>
      <c r="D318" s="5"/>
      <c r="E318" s="5"/>
    </row>
    <row r="319" ht="15.75" customHeight="1">
      <c r="A319" s="5"/>
      <c r="B319" s="5"/>
      <c r="C319" s="5"/>
      <c r="D319" s="5"/>
      <c r="E319" s="5"/>
    </row>
    <row r="320" ht="15.75" customHeight="1">
      <c r="A320" s="5"/>
      <c r="B320" s="5"/>
      <c r="C320" s="5"/>
      <c r="D320" s="5"/>
      <c r="E320" s="5"/>
    </row>
    <row r="321" ht="15.75" customHeight="1">
      <c r="A321" s="5"/>
      <c r="B321" s="5"/>
      <c r="C321" s="5"/>
      <c r="D321" s="5"/>
      <c r="E321" s="5"/>
    </row>
    <row r="322" ht="15.75" customHeight="1">
      <c r="A322" s="5"/>
      <c r="B322" s="5"/>
      <c r="C322" s="5"/>
      <c r="D322" s="5"/>
      <c r="E322" s="5"/>
    </row>
    <row r="323" ht="15.75" customHeight="1">
      <c r="A323" s="5"/>
      <c r="B323" s="5"/>
      <c r="C323" s="5"/>
      <c r="D323" s="5"/>
      <c r="E323" s="5"/>
    </row>
    <row r="324" ht="15.75" customHeight="1">
      <c r="A324" s="5"/>
      <c r="B324" s="5"/>
      <c r="C324" s="5"/>
      <c r="D324" s="5"/>
      <c r="E324" s="5"/>
    </row>
    <row r="325" ht="15.75" customHeight="1">
      <c r="A325" s="5"/>
      <c r="B325" s="5"/>
      <c r="C325" s="5"/>
      <c r="D325" s="5"/>
      <c r="E325" s="5"/>
    </row>
    <row r="326" ht="15.75" customHeight="1">
      <c r="A326" s="5"/>
      <c r="B326" s="5"/>
      <c r="C326" s="5"/>
      <c r="D326" s="5"/>
      <c r="E326" s="5"/>
    </row>
    <row r="327" ht="15.75" customHeight="1">
      <c r="A327" s="5"/>
      <c r="B327" s="5"/>
      <c r="C327" s="5"/>
      <c r="D327" s="5"/>
      <c r="E327" s="5"/>
    </row>
    <row r="328" ht="15.75" customHeight="1">
      <c r="A328" s="5"/>
      <c r="B328" s="5"/>
      <c r="C328" s="5"/>
      <c r="D328" s="5"/>
      <c r="E328" s="5"/>
    </row>
    <row r="329" ht="15.75" customHeight="1">
      <c r="A329" s="5"/>
      <c r="B329" s="5"/>
      <c r="C329" s="5"/>
      <c r="D329" s="5"/>
      <c r="E329" s="5"/>
    </row>
    <row r="330" ht="15.75" customHeight="1">
      <c r="A330" s="5"/>
      <c r="B330" s="5"/>
      <c r="C330" s="5"/>
      <c r="D330" s="5"/>
      <c r="E330" s="5"/>
    </row>
    <row r="331" ht="15.75" customHeight="1">
      <c r="A331" s="5"/>
      <c r="B331" s="5"/>
      <c r="C331" s="5"/>
      <c r="D331" s="5"/>
      <c r="E331" s="5"/>
    </row>
    <row r="332" ht="15.75" customHeight="1">
      <c r="A332" s="5"/>
      <c r="B332" s="5"/>
      <c r="C332" s="5"/>
      <c r="D332" s="5"/>
      <c r="E332" s="5"/>
    </row>
    <row r="333" ht="15.75" customHeight="1">
      <c r="A333" s="5"/>
      <c r="B333" s="5"/>
      <c r="C333" s="5"/>
      <c r="D333" s="5"/>
      <c r="E333" s="5"/>
    </row>
    <row r="334" ht="15.75" customHeight="1">
      <c r="A334" s="5"/>
      <c r="B334" s="5"/>
      <c r="C334" s="5"/>
      <c r="D334" s="5"/>
      <c r="E334" s="5"/>
    </row>
    <row r="335" ht="15.75" customHeight="1">
      <c r="A335" s="5"/>
      <c r="B335" s="5"/>
      <c r="C335" s="5"/>
      <c r="D335" s="5"/>
      <c r="E335" s="5"/>
    </row>
    <row r="336" ht="15.75" customHeight="1">
      <c r="A336" s="5"/>
      <c r="B336" s="5"/>
      <c r="C336" s="5"/>
      <c r="D336" s="5"/>
      <c r="E336" s="5"/>
    </row>
    <row r="337" ht="15.75" customHeight="1">
      <c r="A337" s="5"/>
      <c r="B337" s="5"/>
      <c r="C337" s="5"/>
      <c r="D337" s="5"/>
      <c r="E337" s="5"/>
    </row>
    <row r="338" ht="15.75" customHeight="1">
      <c r="A338" s="5"/>
      <c r="B338" s="5"/>
      <c r="C338" s="5"/>
      <c r="D338" s="5"/>
      <c r="E338" s="5"/>
    </row>
    <row r="339" ht="15.75" customHeight="1">
      <c r="A339" s="5"/>
      <c r="B339" s="5"/>
      <c r="C339" s="5"/>
      <c r="D339" s="5"/>
      <c r="E339" s="5"/>
    </row>
    <row r="340" ht="15.75" customHeight="1">
      <c r="A340" s="5"/>
      <c r="B340" s="5"/>
      <c r="C340" s="5"/>
      <c r="D340" s="5"/>
      <c r="E340" s="5"/>
    </row>
    <row r="341" ht="15.75" customHeight="1">
      <c r="A341" s="5"/>
      <c r="B341" s="5"/>
      <c r="C341" s="5"/>
      <c r="D341" s="5"/>
      <c r="E341" s="5"/>
    </row>
    <row r="342" ht="15.75" customHeight="1">
      <c r="A342" s="5"/>
      <c r="B342" s="5"/>
      <c r="C342" s="5"/>
      <c r="D342" s="5"/>
      <c r="E342" s="5"/>
    </row>
    <row r="343" ht="15.75" customHeight="1">
      <c r="A343" s="5"/>
      <c r="B343" s="5"/>
      <c r="C343" s="5"/>
      <c r="D343" s="5"/>
      <c r="E343" s="5"/>
    </row>
    <row r="344" ht="15.75" customHeight="1">
      <c r="A344" s="5"/>
      <c r="B344" s="5"/>
      <c r="C344" s="5"/>
      <c r="D344" s="5"/>
      <c r="E344" s="5"/>
    </row>
    <row r="345" ht="15.75" customHeight="1">
      <c r="A345" s="5"/>
      <c r="B345" s="5"/>
      <c r="C345" s="5"/>
      <c r="D345" s="5"/>
      <c r="E345" s="5"/>
    </row>
    <row r="346" ht="15.75" customHeight="1">
      <c r="A346" s="5"/>
      <c r="B346" s="5"/>
      <c r="C346" s="5"/>
      <c r="D346" s="5"/>
      <c r="E346" s="5"/>
    </row>
    <row r="347" ht="15.75" customHeight="1">
      <c r="A347" s="5"/>
      <c r="B347" s="5"/>
      <c r="C347" s="5"/>
      <c r="D347" s="5"/>
      <c r="E347" s="5"/>
    </row>
    <row r="348" ht="15.75" customHeight="1">
      <c r="A348" s="5"/>
      <c r="B348" s="5"/>
      <c r="C348" s="5"/>
      <c r="D348" s="5"/>
      <c r="E348" s="5"/>
    </row>
    <row r="349" ht="15.75" customHeight="1">
      <c r="A349" s="5"/>
      <c r="B349" s="5"/>
      <c r="C349" s="5"/>
      <c r="D349" s="5"/>
      <c r="E349" s="5"/>
    </row>
    <row r="350" ht="15.75" customHeight="1">
      <c r="A350" s="5"/>
      <c r="B350" s="5"/>
      <c r="C350" s="5"/>
      <c r="D350" s="5"/>
      <c r="E350" s="5"/>
    </row>
    <row r="351" ht="15.75" customHeight="1">
      <c r="A351" s="5"/>
      <c r="B351" s="5"/>
      <c r="C351" s="5"/>
      <c r="D351" s="5"/>
      <c r="E351" s="5"/>
    </row>
    <row r="352" ht="15.75" customHeight="1">
      <c r="A352" s="5"/>
      <c r="B352" s="5"/>
      <c r="C352" s="5"/>
      <c r="D352" s="5"/>
      <c r="E352" s="5"/>
    </row>
    <row r="353" ht="15.75" customHeight="1">
      <c r="A353" s="5"/>
      <c r="B353" s="5"/>
      <c r="C353" s="5"/>
      <c r="D353" s="5"/>
      <c r="E353" s="5"/>
    </row>
    <row r="354" ht="15.75" customHeight="1">
      <c r="A354" s="5"/>
      <c r="B354" s="5"/>
      <c r="C354" s="5"/>
      <c r="D354" s="5"/>
      <c r="E354" s="5"/>
    </row>
    <row r="355" ht="15.75" customHeight="1">
      <c r="A355" s="5"/>
      <c r="B355" s="5"/>
      <c r="C355" s="5"/>
      <c r="D355" s="5"/>
      <c r="E355" s="5"/>
    </row>
    <row r="356" ht="15.75" customHeight="1">
      <c r="A356" s="5"/>
      <c r="B356" s="5"/>
      <c r="C356" s="5"/>
      <c r="D356" s="5"/>
      <c r="E356" s="5"/>
    </row>
    <row r="357" ht="15.75" customHeight="1">
      <c r="A357" s="5"/>
      <c r="B357" s="5"/>
      <c r="C357" s="5"/>
      <c r="D357" s="5"/>
      <c r="E357" s="5"/>
    </row>
    <row r="358" ht="15.75" customHeight="1">
      <c r="A358" s="5"/>
      <c r="B358" s="5"/>
      <c r="C358" s="5"/>
      <c r="D358" s="5"/>
      <c r="E358" s="5"/>
    </row>
    <row r="359" ht="15.75" customHeight="1">
      <c r="A359" s="5"/>
      <c r="B359" s="5"/>
      <c r="C359" s="5"/>
      <c r="D359" s="5"/>
      <c r="E359" s="5"/>
    </row>
    <row r="360" ht="15.75" customHeight="1">
      <c r="A360" s="5"/>
      <c r="B360" s="5"/>
      <c r="C360" s="5"/>
      <c r="D360" s="5"/>
      <c r="E360" s="5"/>
    </row>
    <row r="361" ht="15.75" customHeight="1">
      <c r="A361" s="5"/>
      <c r="B361" s="5"/>
      <c r="C361" s="5"/>
      <c r="D361" s="5"/>
      <c r="E361" s="5"/>
    </row>
    <row r="362" ht="15.75" customHeight="1">
      <c r="A362" s="5"/>
      <c r="B362" s="5"/>
      <c r="C362" s="5"/>
      <c r="D362" s="5"/>
      <c r="E362" s="5"/>
    </row>
    <row r="363" ht="15.75" customHeight="1">
      <c r="A363" s="5"/>
      <c r="B363" s="5"/>
      <c r="C363" s="5"/>
      <c r="D363" s="5"/>
      <c r="E363" s="5"/>
    </row>
    <row r="364" ht="15.75" customHeight="1">
      <c r="A364" s="5"/>
      <c r="B364" s="5"/>
      <c r="C364" s="5"/>
      <c r="D364" s="5"/>
      <c r="E364" s="5"/>
    </row>
    <row r="365" ht="15.75" customHeight="1">
      <c r="A365" s="5"/>
      <c r="B365" s="5"/>
      <c r="C365" s="5"/>
      <c r="D365" s="5"/>
      <c r="E365" s="5"/>
    </row>
    <row r="366" ht="15.75" customHeight="1">
      <c r="A366" s="5"/>
      <c r="B366" s="5"/>
      <c r="C366" s="5"/>
      <c r="D366" s="5"/>
      <c r="E366" s="5"/>
    </row>
    <row r="367" ht="15.75" customHeight="1">
      <c r="A367" s="5"/>
      <c r="B367" s="5"/>
      <c r="C367" s="5"/>
      <c r="D367" s="5"/>
      <c r="E367" s="5"/>
    </row>
    <row r="368" ht="15.75" customHeight="1">
      <c r="A368" s="5"/>
      <c r="B368" s="5"/>
      <c r="C368" s="5"/>
      <c r="D368" s="5"/>
      <c r="E368" s="5"/>
    </row>
    <row r="369" ht="15.75" customHeight="1">
      <c r="A369" s="5"/>
      <c r="B369" s="5"/>
      <c r="C369" s="5"/>
      <c r="D369" s="5"/>
      <c r="E369" s="5"/>
    </row>
    <row r="370" ht="15.75" customHeight="1">
      <c r="A370" s="5"/>
      <c r="B370" s="5"/>
      <c r="C370" s="5"/>
      <c r="D370" s="5"/>
      <c r="E370" s="5"/>
    </row>
    <row r="371" ht="15.75" customHeight="1">
      <c r="A371" s="5"/>
      <c r="B371" s="5"/>
      <c r="C371" s="5"/>
      <c r="D371" s="5"/>
      <c r="E371" s="5"/>
    </row>
    <row r="372" ht="15.75" customHeight="1">
      <c r="A372" s="5"/>
      <c r="B372" s="5"/>
      <c r="C372" s="5"/>
      <c r="D372" s="5"/>
      <c r="E372" s="5"/>
    </row>
    <row r="373" ht="15.75" customHeight="1">
      <c r="A373" s="5"/>
      <c r="B373" s="5"/>
      <c r="C373" s="5"/>
      <c r="D373" s="5"/>
      <c r="E373" s="5"/>
    </row>
    <row r="374" ht="15.75" customHeight="1">
      <c r="A374" s="5"/>
      <c r="B374" s="5"/>
      <c r="C374" s="5"/>
      <c r="D374" s="5"/>
      <c r="E374" s="5"/>
    </row>
    <row r="375" ht="15.75" customHeight="1">
      <c r="A375" s="5"/>
      <c r="B375" s="5"/>
      <c r="C375" s="5"/>
      <c r="D375" s="5"/>
      <c r="E375" s="5"/>
    </row>
    <row r="376" ht="15.75" customHeight="1">
      <c r="A376" s="5"/>
      <c r="B376" s="5"/>
      <c r="C376" s="5"/>
      <c r="D376" s="5"/>
      <c r="E376" s="5"/>
    </row>
    <row r="377" ht="15.75" customHeight="1">
      <c r="A377" s="5"/>
      <c r="B377" s="5"/>
      <c r="C377" s="5"/>
      <c r="D377" s="5"/>
      <c r="E377" s="5"/>
    </row>
    <row r="378" ht="15.75" customHeight="1">
      <c r="A378" s="5"/>
      <c r="B378" s="5"/>
      <c r="C378" s="5"/>
      <c r="D378" s="5"/>
      <c r="E378" s="5"/>
    </row>
    <row r="379" ht="15.75" customHeight="1">
      <c r="A379" s="5"/>
      <c r="B379" s="5"/>
      <c r="C379" s="5"/>
      <c r="D379" s="5"/>
      <c r="E379" s="5"/>
    </row>
    <row r="380" ht="15.75" customHeight="1">
      <c r="A380" s="5"/>
      <c r="B380" s="5"/>
      <c r="C380" s="5"/>
      <c r="D380" s="5"/>
      <c r="E380" s="5"/>
    </row>
    <row r="381" ht="15.75" customHeight="1">
      <c r="A381" s="5"/>
      <c r="B381" s="5"/>
      <c r="C381" s="5"/>
      <c r="D381" s="5"/>
      <c r="E381" s="5"/>
    </row>
    <row r="382" ht="15.75" customHeight="1">
      <c r="A382" s="5"/>
      <c r="B382" s="5"/>
      <c r="C382" s="5"/>
      <c r="D382" s="5"/>
      <c r="E382" s="5"/>
    </row>
    <row r="383" ht="15.75" customHeight="1">
      <c r="A383" s="5"/>
      <c r="B383" s="5"/>
      <c r="C383" s="5"/>
      <c r="D383" s="5"/>
      <c r="E383" s="5"/>
    </row>
    <row r="384" ht="15.75" customHeight="1">
      <c r="A384" s="5"/>
      <c r="B384" s="5"/>
      <c r="C384" s="5"/>
      <c r="D384" s="5"/>
      <c r="E384" s="5"/>
    </row>
    <row r="385" ht="15.75" customHeight="1">
      <c r="A385" s="5"/>
      <c r="B385" s="5"/>
      <c r="C385" s="5"/>
      <c r="D385" s="5"/>
      <c r="E385" s="5"/>
    </row>
    <row r="386" ht="15.75" customHeight="1">
      <c r="A386" s="5"/>
      <c r="B386" s="5"/>
      <c r="C386" s="5"/>
      <c r="D386" s="5"/>
      <c r="E386" s="5"/>
    </row>
    <row r="387" ht="15.75" customHeight="1">
      <c r="A387" s="5"/>
      <c r="B387" s="5"/>
      <c r="C387" s="5"/>
      <c r="D387" s="5"/>
      <c r="E387" s="5"/>
    </row>
    <row r="388" ht="15.75" customHeight="1">
      <c r="A388" s="5"/>
      <c r="B388" s="5"/>
      <c r="C388" s="5"/>
      <c r="D388" s="5"/>
      <c r="E388" s="5"/>
    </row>
    <row r="389" ht="15.75" customHeight="1">
      <c r="A389" s="5"/>
      <c r="B389" s="5"/>
      <c r="C389" s="5"/>
      <c r="D389" s="5"/>
      <c r="E389" s="5"/>
    </row>
    <row r="390" ht="15.75" customHeight="1">
      <c r="A390" s="5"/>
      <c r="B390" s="5"/>
      <c r="C390" s="5"/>
      <c r="D390" s="5"/>
      <c r="E390" s="5"/>
    </row>
    <row r="391" ht="15.75" customHeight="1">
      <c r="A391" s="5"/>
      <c r="B391" s="5"/>
      <c r="C391" s="5"/>
      <c r="D391" s="5"/>
      <c r="E391" s="5"/>
    </row>
    <row r="392" ht="15.75" customHeight="1">
      <c r="A392" s="5"/>
      <c r="B392" s="5"/>
      <c r="C392" s="5"/>
      <c r="D392" s="5"/>
      <c r="E392" s="5"/>
    </row>
    <row r="393" ht="15.75" customHeight="1">
      <c r="A393" s="5"/>
      <c r="B393" s="5"/>
      <c r="C393" s="5"/>
      <c r="D393" s="5"/>
      <c r="E393" s="5"/>
    </row>
    <row r="394" ht="15.75" customHeight="1">
      <c r="A394" s="5"/>
      <c r="B394" s="5"/>
      <c r="C394" s="5"/>
      <c r="D394" s="5"/>
      <c r="E394" s="5"/>
    </row>
    <row r="395" ht="15.75" customHeight="1">
      <c r="A395" s="5"/>
      <c r="B395" s="5"/>
      <c r="C395" s="5"/>
      <c r="D395" s="5"/>
      <c r="E395" s="5"/>
    </row>
    <row r="396" ht="15.75" customHeight="1">
      <c r="A396" s="5"/>
      <c r="B396" s="5"/>
      <c r="C396" s="5"/>
      <c r="D396" s="5"/>
      <c r="E396" s="5"/>
    </row>
    <row r="397" ht="15.75" customHeight="1">
      <c r="A397" s="5"/>
      <c r="B397" s="5"/>
      <c r="C397" s="5"/>
      <c r="D397" s="5"/>
      <c r="E397" s="5"/>
    </row>
    <row r="398" ht="15.75" customHeight="1">
      <c r="A398" s="5"/>
      <c r="B398" s="5"/>
      <c r="C398" s="5"/>
      <c r="D398" s="5"/>
      <c r="E398" s="5"/>
    </row>
    <row r="399" ht="15.75" customHeight="1">
      <c r="A399" s="5"/>
      <c r="B399" s="5"/>
      <c r="C399" s="5"/>
      <c r="D399" s="5"/>
      <c r="E399" s="5"/>
    </row>
    <row r="400" ht="15.75" customHeight="1">
      <c r="A400" s="5"/>
      <c r="B400" s="5"/>
      <c r="C400" s="5"/>
      <c r="D400" s="5"/>
      <c r="E400" s="5"/>
    </row>
    <row r="401" ht="15.75" customHeight="1">
      <c r="A401" s="5"/>
      <c r="B401" s="5"/>
      <c r="C401" s="5"/>
      <c r="D401" s="5"/>
      <c r="E401" s="5"/>
    </row>
    <row r="402" ht="15.75" customHeight="1">
      <c r="A402" s="5"/>
      <c r="B402" s="5"/>
      <c r="C402" s="5"/>
      <c r="D402" s="5"/>
      <c r="E402" s="5"/>
    </row>
    <row r="403" ht="15.75" customHeight="1">
      <c r="A403" s="5"/>
      <c r="B403" s="5"/>
      <c r="C403" s="5"/>
      <c r="D403" s="5"/>
      <c r="E403" s="5"/>
    </row>
    <row r="404" ht="15.75" customHeight="1">
      <c r="A404" s="5"/>
      <c r="B404" s="5"/>
      <c r="C404" s="5"/>
      <c r="D404" s="5"/>
      <c r="E404" s="5"/>
    </row>
    <row r="405" ht="15.75" customHeight="1">
      <c r="A405" s="5"/>
      <c r="B405" s="5"/>
      <c r="C405" s="5"/>
      <c r="D405" s="5"/>
      <c r="E405" s="5"/>
    </row>
    <row r="406" ht="15.75" customHeight="1">
      <c r="A406" s="5"/>
      <c r="B406" s="5"/>
      <c r="C406" s="5"/>
      <c r="D406" s="5"/>
      <c r="E406" s="5"/>
    </row>
    <row r="407" ht="15.75" customHeight="1">
      <c r="A407" s="5"/>
      <c r="B407" s="5"/>
      <c r="C407" s="5"/>
      <c r="D407" s="5"/>
      <c r="E407" s="5"/>
    </row>
    <row r="408" ht="15.75" customHeight="1">
      <c r="A408" s="5"/>
      <c r="B408" s="5"/>
      <c r="C408" s="5"/>
      <c r="D408" s="5"/>
      <c r="E408" s="5"/>
    </row>
    <row r="409" ht="15.75" customHeight="1">
      <c r="A409" s="5"/>
      <c r="B409" s="5"/>
      <c r="C409" s="5"/>
      <c r="D409" s="5"/>
      <c r="E409" s="5"/>
    </row>
    <row r="410" ht="15.75" customHeight="1">
      <c r="A410" s="5"/>
      <c r="B410" s="5"/>
      <c r="C410" s="5"/>
      <c r="D410" s="5"/>
      <c r="E410" s="5"/>
    </row>
    <row r="411" ht="15.75" customHeight="1">
      <c r="A411" s="5"/>
      <c r="B411" s="5"/>
      <c r="C411" s="5"/>
      <c r="D411" s="5"/>
      <c r="E411" s="5"/>
    </row>
    <row r="412" ht="15.75" customHeight="1">
      <c r="A412" s="5"/>
      <c r="B412" s="5"/>
      <c r="C412" s="5"/>
      <c r="D412" s="5"/>
      <c r="E412" s="5"/>
    </row>
    <row r="413" ht="15.75" customHeight="1">
      <c r="A413" s="5"/>
      <c r="B413" s="5"/>
      <c r="C413" s="5"/>
      <c r="D413" s="5"/>
      <c r="E413" s="5"/>
    </row>
    <row r="414" ht="15.75" customHeight="1">
      <c r="A414" s="5"/>
      <c r="B414" s="5"/>
      <c r="C414" s="5"/>
      <c r="D414" s="5"/>
      <c r="E414" s="5"/>
    </row>
    <row r="415" ht="15.75" customHeight="1">
      <c r="A415" s="5"/>
      <c r="B415" s="5"/>
      <c r="C415" s="5"/>
      <c r="D415" s="5"/>
      <c r="E415" s="5"/>
    </row>
    <row r="416" ht="15.75" customHeight="1">
      <c r="A416" s="5"/>
      <c r="B416" s="5"/>
      <c r="C416" s="5"/>
      <c r="D416" s="5"/>
      <c r="E416" s="5"/>
    </row>
    <row r="417" ht="15.75" customHeight="1">
      <c r="A417" s="5"/>
      <c r="B417" s="5"/>
      <c r="C417" s="5"/>
      <c r="D417" s="5"/>
      <c r="E417" s="5"/>
    </row>
    <row r="418" ht="15.75" customHeight="1">
      <c r="A418" s="5"/>
      <c r="B418" s="5"/>
      <c r="C418" s="5"/>
      <c r="D418" s="5"/>
      <c r="E418" s="5"/>
    </row>
    <row r="419" ht="15.75" customHeight="1">
      <c r="A419" s="5"/>
      <c r="B419" s="5"/>
      <c r="C419" s="5"/>
      <c r="D419" s="5"/>
      <c r="E419" s="5"/>
    </row>
    <row r="420" ht="15.75" customHeight="1">
      <c r="A420" s="5"/>
      <c r="B420" s="5"/>
      <c r="C420" s="5"/>
      <c r="D420" s="5"/>
      <c r="E420" s="5"/>
    </row>
    <row r="421" ht="15.75" customHeight="1">
      <c r="A421" s="5"/>
      <c r="B421" s="5"/>
      <c r="C421" s="5"/>
      <c r="D421" s="5"/>
      <c r="E421" s="5"/>
    </row>
    <row r="422" ht="15.75" customHeight="1">
      <c r="A422" s="5"/>
      <c r="B422" s="5"/>
      <c r="C422" s="5"/>
      <c r="D422" s="5"/>
      <c r="E422" s="5"/>
    </row>
    <row r="423" ht="15.75" customHeight="1">
      <c r="A423" s="5"/>
      <c r="B423" s="5"/>
      <c r="C423" s="5"/>
      <c r="D423" s="5"/>
      <c r="E423" s="5"/>
    </row>
    <row r="424" ht="15.75" customHeight="1">
      <c r="A424" s="5"/>
      <c r="B424" s="5"/>
      <c r="C424" s="5"/>
      <c r="D424" s="5"/>
      <c r="E424" s="5"/>
    </row>
    <row r="425" ht="15.75" customHeight="1">
      <c r="A425" s="5"/>
      <c r="B425" s="5"/>
      <c r="C425" s="5"/>
      <c r="D425" s="5"/>
      <c r="E425" s="5"/>
    </row>
    <row r="426" ht="15.75" customHeight="1">
      <c r="A426" s="5"/>
      <c r="B426" s="5"/>
      <c r="C426" s="5"/>
      <c r="D426" s="5"/>
      <c r="E426" s="5"/>
    </row>
    <row r="427" ht="15.75" customHeight="1">
      <c r="A427" s="5"/>
      <c r="B427" s="5"/>
      <c r="C427" s="5"/>
      <c r="D427" s="5"/>
      <c r="E427" s="5"/>
    </row>
    <row r="428" ht="15.75" customHeight="1">
      <c r="A428" s="5"/>
      <c r="B428" s="5"/>
      <c r="C428" s="5"/>
      <c r="D428" s="5"/>
      <c r="E428" s="5"/>
    </row>
    <row r="429" ht="15.75" customHeight="1">
      <c r="A429" s="5"/>
      <c r="B429" s="5"/>
      <c r="C429" s="5"/>
      <c r="D429" s="5"/>
      <c r="E429" s="5"/>
    </row>
    <row r="430" ht="15.75" customHeight="1">
      <c r="A430" s="5"/>
      <c r="B430" s="5"/>
      <c r="C430" s="5"/>
      <c r="D430" s="5"/>
      <c r="E430" s="5"/>
    </row>
    <row r="431" ht="15.75" customHeight="1">
      <c r="A431" s="5"/>
      <c r="B431" s="5"/>
      <c r="C431" s="5"/>
      <c r="D431" s="5"/>
      <c r="E431" s="5"/>
    </row>
    <row r="432" ht="15.75" customHeight="1">
      <c r="A432" s="5"/>
      <c r="B432" s="5"/>
      <c r="C432" s="5"/>
      <c r="D432" s="5"/>
      <c r="E432" s="5"/>
    </row>
    <row r="433" ht="15.75" customHeight="1">
      <c r="A433" s="5"/>
      <c r="B433" s="5"/>
      <c r="C433" s="5"/>
      <c r="D433" s="5"/>
      <c r="E433" s="5"/>
    </row>
    <row r="434" ht="15.75" customHeight="1">
      <c r="A434" s="5"/>
      <c r="B434" s="5"/>
      <c r="C434" s="5"/>
      <c r="D434" s="5"/>
      <c r="E434" s="5"/>
    </row>
    <row r="435" ht="15.75" customHeight="1">
      <c r="A435" s="5"/>
      <c r="B435" s="5"/>
      <c r="C435" s="5"/>
      <c r="D435" s="5"/>
      <c r="E435" s="5"/>
    </row>
    <row r="436" ht="15.75" customHeight="1">
      <c r="A436" s="5"/>
      <c r="B436" s="5"/>
      <c r="C436" s="5"/>
      <c r="D436" s="5"/>
      <c r="E436" s="5"/>
    </row>
    <row r="437" ht="15.75" customHeight="1">
      <c r="A437" s="5"/>
      <c r="B437" s="5"/>
      <c r="C437" s="5"/>
      <c r="D437" s="5"/>
      <c r="E437" s="5"/>
    </row>
    <row r="438" ht="15.75" customHeight="1">
      <c r="A438" s="5"/>
      <c r="B438" s="5"/>
      <c r="C438" s="5"/>
      <c r="D438" s="5"/>
      <c r="E438" s="5"/>
    </row>
    <row r="439" ht="15.75" customHeight="1">
      <c r="A439" s="5"/>
      <c r="B439" s="5"/>
      <c r="C439" s="5"/>
      <c r="D439" s="5"/>
      <c r="E439" s="5"/>
    </row>
    <row r="440" ht="15.75" customHeight="1">
      <c r="A440" s="5"/>
      <c r="B440" s="5"/>
      <c r="C440" s="5"/>
      <c r="D440" s="5"/>
      <c r="E440" s="5"/>
    </row>
    <row r="441" ht="15.75" customHeight="1">
      <c r="A441" s="5"/>
      <c r="B441" s="5"/>
      <c r="C441" s="5"/>
      <c r="D441" s="5"/>
      <c r="E441" s="5"/>
    </row>
    <row r="442" ht="15.75" customHeight="1">
      <c r="A442" s="5"/>
      <c r="B442" s="5"/>
      <c r="C442" s="5"/>
      <c r="D442" s="5"/>
      <c r="E442" s="5"/>
    </row>
    <row r="443" ht="15.75" customHeight="1">
      <c r="A443" s="5"/>
      <c r="B443" s="5"/>
      <c r="C443" s="5"/>
      <c r="D443" s="5"/>
      <c r="E443" s="5"/>
    </row>
    <row r="444" ht="15.75" customHeight="1">
      <c r="A444" s="5"/>
      <c r="B444" s="5"/>
      <c r="C444" s="5"/>
      <c r="D444" s="5"/>
      <c r="E444" s="5"/>
    </row>
    <row r="445" ht="15.75" customHeight="1">
      <c r="A445" s="5"/>
      <c r="B445" s="5"/>
      <c r="C445" s="5"/>
      <c r="D445" s="5"/>
      <c r="E445" s="5"/>
    </row>
    <row r="446" ht="15.75" customHeight="1">
      <c r="A446" s="5"/>
      <c r="B446" s="5"/>
      <c r="C446" s="5"/>
      <c r="D446" s="5"/>
      <c r="E446" s="5"/>
    </row>
    <row r="447" ht="15.75" customHeight="1">
      <c r="A447" s="5"/>
      <c r="B447" s="5"/>
      <c r="C447" s="5"/>
      <c r="D447" s="5"/>
      <c r="E447" s="5"/>
    </row>
    <row r="448" ht="15.75" customHeight="1">
      <c r="A448" s="5"/>
      <c r="B448" s="5"/>
      <c r="C448" s="5"/>
      <c r="D448" s="5"/>
      <c r="E448" s="5"/>
    </row>
    <row r="449" ht="15.75" customHeight="1">
      <c r="A449" s="5"/>
      <c r="B449" s="5"/>
      <c r="C449" s="5"/>
      <c r="D449" s="5"/>
      <c r="E449" s="5"/>
    </row>
    <row r="450" ht="15.75" customHeight="1">
      <c r="A450" s="5"/>
      <c r="B450" s="5"/>
      <c r="C450" s="5"/>
      <c r="D450" s="5"/>
      <c r="E450" s="5"/>
    </row>
    <row r="451" ht="15.75" customHeight="1">
      <c r="A451" s="5"/>
      <c r="B451" s="5"/>
      <c r="C451" s="5"/>
      <c r="D451" s="5"/>
      <c r="E451" s="5"/>
    </row>
    <row r="452" ht="15.75" customHeight="1">
      <c r="A452" s="5"/>
      <c r="B452" s="5"/>
      <c r="C452" s="5"/>
      <c r="D452" s="5"/>
      <c r="E452" s="5"/>
    </row>
    <row r="453" ht="15.75" customHeight="1">
      <c r="A453" s="5"/>
      <c r="B453" s="5"/>
      <c r="C453" s="5"/>
      <c r="D453" s="5"/>
      <c r="E453" s="5"/>
    </row>
    <row r="454" ht="15.75" customHeight="1">
      <c r="A454" s="5"/>
      <c r="B454" s="5"/>
      <c r="C454" s="5"/>
      <c r="D454" s="5"/>
      <c r="E454" s="5"/>
    </row>
    <row r="455" ht="15.75" customHeight="1">
      <c r="A455" s="5"/>
      <c r="B455" s="5"/>
      <c r="C455" s="5"/>
      <c r="D455" s="5"/>
      <c r="E455" s="5"/>
    </row>
    <row r="456" ht="15.75" customHeight="1">
      <c r="A456" s="5"/>
      <c r="B456" s="5"/>
      <c r="C456" s="5"/>
      <c r="D456" s="5"/>
      <c r="E456" s="5"/>
    </row>
    <row r="457" ht="15.75" customHeight="1">
      <c r="A457" s="5"/>
      <c r="B457" s="5"/>
      <c r="C457" s="5"/>
      <c r="D457" s="5"/>
      <c r="E457" s="5"/>
    </row>
    <row r="458" ht="15.75" customHeight="1">
      <c r="A458" s="5"/>
      <c r="B458" s="5"/>
      <c r="C458" s="5"/>
      <c r="D458" s="5"/>
      <c r="E458" s="5"/>
    </row>
    <row r="459" ht="15.75" customHeight="1">
      <c r="A459" s="5"/>
      <c r="B459" s="5"/>
      <c r="C459" s="5"/>
      <c r="D459" s="5"/>
      <c r="E459" s="5"/>
    </row>
    <row r="460" ht="15.75" customHeight="1">
      <c r="A460" s="5"/>
      <c r="B460" s="5"/>
      <c r="C460" s="5"/>
      <c r="D460" s="5"/>
      <c r="E460" s="5"/>
    </row>
    <row r="461" ht="15.75" customHeight="1">
      <c r="A461" s="5"/>
      <c r="B461" s="5"/>
      <c r="C461" s="5"/>
      <c r="D461" s="5"/>
      <c r="E461" s="5"/>
    </row>
    <row r="462" ht="15.75" customHeight="1">
      <c r="A462" s="5"/>
      <c r="B462" s="5"/>
      <c r="C462" s="5"/>
      <c r="D462" s="5"/>
      <c r="E462" s="5"/>
    </row>
    <row r="463" ht="15.75" customHeight="1">
      <c r="A463" s="5"/>
      <c r="B463" s="5"/>
      <c r="C463" s="5"/>
      <c r="D463" s="5"/>
      <c r="E463" s="5"/>
    </row>
    <row r="464" ht="15.75" customHeight="1">
      <c r="A464" s="5"/>
      <c r="B464" s="5"/>
      <c r="C464" s="5"/>
      <c r="D464" s="5"/>
      <c r="E464" s="5"/>
    </row>
    <row r="465" ht="15.75" customHeight="1">
      <c r="A465" s="5"/>
      <c r="B465" s="5"/>
      <c r="C465" s="5"/>
      <c r="D465" s="5"/>
      <c r="E465" s="5"/>
    </row>
    <row r="466" ht="15.75" customHeight="1">
      <c r="A466" s="5"/>
      <c r="B466" s="5"/>
      <c r="C466" s="5"/>
      <c r="D466" s="5"/>
      <c r="E466" s="5"/>
    </row>
    <row r="467" ht="15.75" customHeight="1">
      <c r="A467" s="5"/>
      <c r="B467" s="5"/>
      <c r="C467" s="5"/>
      <c r="D467" s="5"/>
      <c r="E467" s="5"/>
    </row>
    <row r="468" ht="15.75" customHeight="1">
      <c r="A468" s="5"/>
      <c r="B468" s="5"/>
      <c r="C468" s="5"/>
      <c r="D468" s="5"/>
      <c r="E468" s="5"/>
    </row>
    <row r="469" ht="15.75" customHeight="1">
      <c r="A469" s="5"/>
      <c r="B469" s="5"/>
      <c r="C469" s="5"/>
      <c r="D469" s="5"/>
      <c r="E469" s="5"/>
    </row>
    <row r="470" ht="15.75" customHeight="1">
      <c r="A470" s="5"/>
      <c r="B470" s="5"/>
      <c r="C470" s="5"/>
      <c r="D470" s="5"/>
      <c r="E470" s="5"/>
    </row>
    <row r="471" ht="15.75" customHeight="1">
      <c r="A471" s="5"/>
      <c r="B471" s="5"/>
      <c r="C471" s="5"/>
      <c r="D471" s="5"/>
      <c r="E471" s="5"/>
    </row>
    <row r="472" ht="15.75" customHeight="1">
      <c r="A472" s="5"/>
      <c r="B472" s="5"/>
      <c r="C472" s="5"/>
      <c r="D472" s="5"/>
      <c r="E472" s="5"/>
    </row>
    <row r="473" ht="15.75" customHeight="1">
      <c r="A473" s="5"/>
      <c r="B473" s="5"/>
      <c r="C473" s="5"/>
      <c r="D473" s="5"/>
      <c r="E473" s="5"/>
    </row>
    <row r="474" ht="15.75" customHeight="1">
      <c r="A474" s="5"/>
      <c r="B474" s="5"/>
      <c r="C474" s="5"/>
      <c r="D474" s="5"/>
      <c r="E474" s="5"/>
    </row>
    <row r="475" ht="15.75" customHeight="1">
      <c r="A475" s="5"/>
      <c r="B475" s="5"/>
      <c r="C475" s="5"/>
      <c r="D475" s="5"/>
      <c r="E475" s="5"/>
    </row>
    <row r="476" ht="15.75" customHeight="1">
      <c r="A476" s="5"/>
      <c r="B476" s="5"/>
      <c r="C476" s="5"/>
      <c r="D476" s="5"/>
      <c r="E476" s="5"/>
    </row>
    <row r="477" ht="15.75" customHeight="1">
      <c r="A477" s="5"/>
      <c r="B477" s="5"/>
      <c r="C477" s="5"/>
      <c r="D477" s="5"/>
      <c r="E477" s="5"/>
    </row>
    <row r="478" ht="15.75" customHeight="1">
      <c r="A478" s="5"/>
      <c r="B478" s="5"/>
      <c r="C478" s="5"/>
      <c r="D478" s="5"/>
      <c r="E478" s="5"/>
    </row>
    <row r="479" ht="15.75" customHeight="1">
      <c r="A479" s="5"/>
      <c r="B479" s="5"/>
      <c r="C479" s="5"/>
      <c r="D479" s="5"/>
      <c r="E479" s="5"/>
    </row>
    <row r="480" ht="15.75" customHeight="1">
      <c r="A480" s="5"/>
      <c r="B480" s="5"/>
      <c r="C480" s="5"/>
      <c r="D480" s="5"/>
      <c r="E480" s="5"/>
    </row>
    <row r="481" ht="15.75" customHeight="1">
      <c r="A481" s="5"/>
      <c r="B481" s="5"/>
      <c r="C481" s="5"/>
      <c r="D481" s="5"/>
      <c r="E481" s="5"/>
    </row>
    <row r="482" ht="15.75" customHeight="1">
      <c r="A482" s="5"/>
      <c r="B482" s="5"/>
      <c r="C482" s="5"/>
      <c r="D482" s="5"/>
      <c r="E482" s="5"/>
    </row>
    <row r="483" ht="15.75" customHeight="1">
      <c r="A483" s="5"/>
      <c r="B483" s="5"/>
      <c r="C483" s="5"/>
      <c r="D483" s="5"/>
      <c r="E483" s="5"/>
    </row>
    <row r="484" ht="15.75" customHeight="1">
      <c r="A484" s="5"/>
      <c r="B484" s="5"/>
      <c r="C484" s="5"/>
      <c r="D484" s="5"/>
      <c r="E484" s="5"/>
    </row>
    <row r="485" ht="15.75" customHeight="1">
      <c r="A485" s="5"/>
      <c r="B485" s="5"/>
      <c r="C485" s="5"/>
      <c r="D485" s="5"/>
      <c r="E485" s="5"/>
    </row>
    <row r="486" ht="15.75" customHeight="1">
      <c r="A486" s="5"/>
      <c r="B486" s="5"/>
      <c r="C486" s="5"/>
      <c r="D486" s="5"/>
      <c r="E486" s="5"/>
    </row>
    <row r="487" ht="15.75" customHeight="1">
      <c r="A487" s="5"/>
      <c r="B487" s="5"/>
      <c r="C487" s="5"/>
      <c r="D487" s="5"/>
      <c r="E487" s="5"/>
    </row>
    <row r="488" ht="15.75" customHeight="1">
      <c r="A488" s="5"/>
      <c r="B488" s="5"/>
      <c r="C488" s="5"/>
      <c r="D488" s="5"/>
      <c r="E488" s="5"/>
    </row>
    <row r="489" ht="15.75" customHeight="1">
      <c r="A489" s="5"/>
      <c r="B489" s="5"/>
      <c r="C489" s="5"/>
      <c r="D489" s="5"/>
      <c r="E489" s="5"/>
    </row>
    <row r="490" ht="15.75" customHeight="1">
      <c r="A490" s="5"/>
      <c r="B490" s="5"/>
      <c r="C490" s="5"/>
      <c r="D490" s="5"/>
      <c r="E490" s="5"/>
    </row>
    <row r="491" ht="15.75" customHeight="1">
      <c r="A491" s="5"/>
      <c r="B491" s="5"/>
      <c r="C491" s="5"/>
      <c r="D491" s="5"/>
      <c r="E491" s="5"/>
    </row>
    <row r="492" ht="15.75" customHeight="1">
      <c r="A492" s="5"/>
      <c r="B492" s="5"/>
      <c r="C492" s="5"/>
      <c r="D492" s="5"/>
      <c r="E492" s="5"/>
    </row>
    <row r="493" ht="15.75" customHeight="1">
      <c r="A493" s="5"/>
      <c r="B493" s="5"/>
      <c r="C493" s="5"/>
      <c r="D493" s="5"/>
      <c r="E493" s="5"/>
    </row>
    <row r="494" ht="15.75" customHeight="1">
      <c r="A494" s="5"/>
      <c r="B494" s="5"/>
      <c r="C494" s="5"/>
      <c r="D494" s="5"/>
      <c r="E494" s="5"/>
    </row>
    <row r="495" ht="15.75" customHeight="1">
      <c r="A495" s="5"/>
      <c r="B495" s="5"/>
      <c r="C495" s="5"/>
      <c r="D495" s="5"/>
      <c r="E495" s="5"/>
    </row>
    <row r="496" ht="15.75" customHeight="1">
      <c r="A496" s="5"/>
      <c r="B496" s="5"/>
      <c r="C496" s="5"/>
      <c r="D496" s="5"/>
      <c r="E496" s="5"/>
    </row>
    <row r="497" ht="15.75" customHeight="1">
      <c r="A497" s="5"/>
      <c r="B497" s="5"/>
      <c r="C497" s="5"/>
      <c r="D497" s="5"/>
      <c r="E497" s="5"/>
    </row>
    <row r="498" ht="15.75" customHeight="1">
      <c r="A498" s="5"/>
      <c r="B498" s="5"/>
      <c r="C498" s="5"/>
      <c r="D498" s="5"/>
      <c r="E498" s="5"/>
    </row>
    <row r="499" ht="15.75" customHeight="1">
      <c r="A499" s="5"/>
      <c r="B499" s="5"/>
      <c r="C499" s="5"/>
      <c r="D499" s="5"/>
      <c r="E499" s="5"/>
    </row>
    <row r="500" ht="15.75" customHeight="1">
      <c r="A500" s="5"/>
      <c r="B500" s="5"/>
      <c r="C500" s="5"/>
      <c r="D500" s="5"/>
      <c r="E500" s="5"/>
    </row>
    <row r="501" ht="15.75" customHeight="1">
      <c r="A501" s="5"/>
      <c r="B501" s="5"/>
      <c r="C501" s="5"/>
      <c r="D501" s="5"/>
      <c r="E501" s="5"/>
    </row>
    <row r="502" ht="15.75" customHeight="1">
      <c r="A502" s="5"/>
      <c r="B502" s="5"/>
      <c r="C502" s="5"/>
      <c r="D502" s="5"/>
      <c r="E502" s="5"/>
    </row>
    <row r="503" ht="15.75" customHeight="1">
      <c r="A503" s="5"/>
      <c r="B503" s="5"/>
      <c r="C503" s="5"/>
      <c r="D503" s="5"/>
      <c r="E503" s="5"/>
    </row>
    <row r="504" ht="15.75" customHeight="1">
      <c r="A504" s="5"/>
      <c r="B504" s="5"/>
      <c r="C504" s="5"/>
      <c r="D504" s="5"/>
      <c r="E504" s="5"/>
    </row>
    <row r="505" ht="15.75" customHeight="1">
      <c r="A505" s="5"/>
      <c r="B505" s="5"/>
      <c r="C505" s="5"/>
      <c r="D505" s="5"/>
      <c r="E505" s="5"/>
    </row>
    <row r="506" ht="15.75" customHeight="1">
      <c r="A506" s="5"/>
      <c r="B506" s="5"/>
      <c r="C506" s="5"/>
      <c r="D506" s="5"/>
      <c r="E506" s="5"/>
    </row>
    <row r="507" ht="15.75" customHeight="1">
      <c r="A507" s="5"/>
      <c r="B507" s="5"/>
      <c r="C507" s="5"/>
      <c r="D507" s="5"/>
      <c r="E507" s="5"/>
    </row>
    <row r="508" ht="15.75" customHeight="1">
      <c r="A508" s="5"/>
      <c r="B508" s="5"/>
      <c r="C508" s="5"/>
      <c r="D508" s="5"/>
      <c r="E508" s="5"/>
    </row>
    <row r="509" ht="15.75" customHeight="1">
      <c r="A509" s="5"/>
      <c r="B509" s="5"/>
      <c r="C509" s="5"/>
      <c r="D509" s="5"/>
      <c r="E509" s="5"/>
    </row>
    <row r="510" ht="15.75" customHeight="1">
      <c r="A510" s="5"/>
      <c r="B510" s="5"/>
      <c r="C510" s="5"/>
      <c r="D510" s="5"/>
      <c r="E510" s="5"/>
    </row>
    <row r="511" ht="15.75" customHeight="1">
      <c r="A511" s="5"/>
      <c r="B511" s="5"/>
      <c r="C511" s="5"/>
      <c r="D511" s="5"/>
      <c r="E511" s="5"/>
    </row>
    <row r="512" ht="15.75" customHeight="1">
      <c r="A512" s="5"/>
      <c r="B512" s="5"/>
      <c r="C512" s="5"/>
      <c r="D512" s="5"/>
      <c r="E512" s="5"/>
    </row>
    <row r="513" ht="15.75" customHeight="1">
      <c r="A513" s="5"/>
      <c r="B513" s="5"/>
      <c r="C513" s="5"/>
      <c r="D513" s="5"/>
      <c r="E513" s="5"/>
    </row>
    <row r="514" ht="15.75" customHeight="1">
      <c r="A514" s="5"/>
      <c r="B514" s="5"/>
      <c r="C514" s="5"/>
      <c r="D514" s="5"/>
      <c r="E514" s="5"/>
    </row>
    <row r="515" ht="15.75" customHeight="1">
      <c r="A515" s="5"/>
      <c r="B515" s="5"/>
      <c r="C515" s="5"/>
      <c r="D515" s="5"/>
      <c r="E515" s="5"/>
    </row>
    <row r="516" ht="15.75" customHeight="1">
      <c r="A516" s="5"/>
      <c r="B516" s="5"/>
      <c r="C516" s="5"/>
      <c r="D516" s="5"/>
      <c r="E516" s="5"/>
    </row>
    <row r="517" ht="15.75" customHeight="1">
      <c r="A517" s="5"/>
      <c r="B517" s="5"/>
      <c r="C517" s="5"/>
      <c r="D517" s="5"/>
      <c r="E517" s="5"/>
    </row>
    <row r="518" ht="15.75" customHeight="1">
      <c r="A518" s="5"/>
      <c r="B518" s="5"/>
      <c r="C518" s="5"/>
      <c r="D518" s="5"/>
      <c r="E518" s="5"/>
    </row>
    <row r="519" ht="15.75" customHeight="1">
      <c r="A519" s="5"/>
      <c r="B519" s="5"/>
      <c r="C519" s="5"/>
      <c r="D519" s="5"/>
      <c r="E519" s="5"/>
    </row>
    <row r="520" ht="15.75" customHeight="1">
      <c r="A520" s="5"/>
      <c r="B520" s="5"/>
      <c r="C520" s="5"/>
      <c r="D520" s="5"/>
      <c r="E520" s="5"/>
    </row>
    <row r="521" ht="15.75" customHeight="1">
      <c r="A521" s="5"/>
      <c r="B521" s="5"/>
      <c r="C521" s="5"/>
      <c r="D521" s="5"/>
      <c r="E521" s="5"/>
    </row>
    <row r="522" ht="15.75" customHeight="1">
      <c r="A522" s="5"/>
      <c r="B522" s="5"/>
      <c r="C522" s="5"/>
      <c r="D522" s="5"/>
      <c r="E522" s="5"/>
    </row>
    <row r="523" ht="15.75" customHeight="1">
      <c r="A523" s="5"/>
      <c r="B523" s="5"/>
      <c r="C523" s="5"/>
      <c r="D523" s="5"/>
      <c r="E523" s="5"/>
    </row>
    <row r="524" ht="15.75" customHeight="1">
      <c r="A524" s="5"/>
      <c r="B524" s="5"/>
      <c r="C524" s="5"/>
      <c r="D524" s="5"/>
      <c r="E524" s="5"/>
    </row>
    <row r="525" ht="15.75" customHeight="1">
      <c r="A525" s="5"/>
      <c r="B525" s="5"/>
      <c r="C525" s="5"/>
      <c r="D525" s="5"/>
      <c r="E525" s="5"/>
    </row>
    <row r="526" ht="15.75" customHeight="1">
      <c r="A526" s="5"/>
      <c r="B526" s="5"/>
      <c r="C526" s="5"/>
      <c r="D526" s="5"/>
      <c r="E526" s="5"/>
    </row>
    <row r="527" ht="15.75" customHeight="1">
      <c r="A527" s="5"/>
      <c r="B527" s="5"/>
      <c r="C527" s="5"/>
      <c r="D527" s="5"/>
      <c r="E527" s="5"/>
    </row>
    <row r="528" ht="15.75" customHeight="1">
      <c r="A528" s="5"/>
      <c r="B528" s="5"/>
      <c r="C528" s="5"/>
      <c r="D528" s="5"/>
      <c r="E528" s="5"/>
    </row>
    <row r="529" ht="15.75" customHeight="1">
      <c r="A529" s="5"/>
      <c r="B529" s="5"/>
      <c r="C529" s="5"/>
      <c r="D529" s="5"/>
      <c r="E529" s="5"/>
    </row>
    <row r="530" ht="15.75" customHeight="1">
      <c r="A530" s="5"/>
      <c r="B530" s="5"/>
      <c r="C530" s="5"/>
      <c r="D530" s="5"/>
      <c r="E530" s="5"/>
    </row>
    <row r="531" ht="15.75" customHeight="1">
      <c r="A531" s="5"/>
      <c r="B531" s="5"/>
      <c r="C531" s="5"/>
      <c r="D531" s="5"/>
      <c r="E531" s="5"/>
    </row>
    <row r="532" ht="15.75" customHeight="1">
      <c r="A532" s="5"/>
      <c r="B532" s="5"/>
      <c r="C532" s="5"/>
      <c r="D532" s="5"/>
      <c r="E532" s="5"/>
    </row>
    <row r="533" ht="15.75" customHeight="1">
      <c r="A533" s="5"/>
      <c r="B533" s="5"/>
      <c r="C533" s="5"/>
      <c r="D533" s="5"/>
      <c r="E533" s="5"/>
    </row>
    <row r="534" ht="15.75" customHeight="1">
      <c r="A534" s="5"/>
      <c r="B534" s="5"/>
      <c r="C534" s="5"/>
      <c r="D534" s="5"/>
      <c r="E534" s="5"/>
    </row>
    <row r="535" ht="15.75" customHeight="1">
      <c r="A535" s="5"/>
      <c r="B535" s="5"/>
      <c r="C535" s="5"/>
      <c r="D535" s="5"/>
      <c r="E535" s="5"/>
    </row>
    <row r="536" ht="15.75" customHeight="1">
      <c r="A536" s="5"/>
      <c r="B536" s="5"/>
      <c r="C536" s="5"/>
      <c r="D536" s="5"/>
      <c r="E536" s="5"/>
    </row>
    <row r="537" ht="15.75" customHeight="1">
      <c r="A537" s="5"/>
      <c r="B537" s="5"/>
      <c r="C537" s="5"/>
      <c r="D537" s="5"/>
      <c r="E537" s="5"/>
    </row>
    <row r="538" ht="15.75" customHeight="1">
      <c r="A538" s="5"/>
      <c r="B538" s="5"/>
      <c r="C538" s="5"/>
      <c r="D538" s="5"/>
      <c r="E538" s="5"/>
    </row>
    <row r="539" ht="15.75" customHeight="1">
      <c r="A539" s="5"/>
      <c r="B539" s="5"/>
      <c r="C539" s="5"/>
      <c r="D539" s="5"/>
      <c r="E539" s="5"/>
    </row>
    <row r="540" ht="15.75" customHeight="1">
      <c r="A540" s="5"/>
      <c r="B540" s="5"/>
      <c r="C540" s="5"/>
      <c r="D540" s="5"/>
      <c r="E540" s="5"/>
    </row>
    <row r="541" ht="15.75" customHeight="1">
      <c r="A541" s="5"/>
      <c r="B541" s="5"/>
      <c r="C541" s="5"/>
      <c r="D541" s="5"/>
      <c r="E541" s="5"/>
    </row>
    <row r="542" ht="15.75" customHeight="1">
      <c r="A542" s="5"/>
      <c r="B542" s="5"/>
      <c r="C542" s="5"/>
      <c r="D542" s="5"/>
      <c r="E542" s="5"/>
    </row>
    <row r="543" ht="15.75" customHeight="1">
      <c r="A543" s="5"/>
      <c r="B543" s="5"/>
      <c r="C543" s="5"/>
      <c r="D543" s="5"/>
      <c r="E543" s="5"/>
    </row>
    <row r="544" ht="15.75" customHeight="1">
      <c r="A544" s="5"/>
      <c r="B544" s="5"/>
      <c r="C544" s="5"/>
      <c r="D544" s="5"/>
      <c r="E544" s="5"/>
    </row>
    <row r="545" ht="15.75" customHeight="1">
      <c r="A545" s="5"/>
      <c r="B545" s="5"/>
      <c r="C545" s="5"/>
      <c r="D545" s="5"/>
      <c r="E545" s="5"/>
    </row>
    <row r="546" ht="15.75" customHeight="1">
      <c r="A546" s="5"/>
      <c r="B546" s="5"/>
      <c r="C546" s="5"/>
      <c r="D546" s="5"/>
      <c r="E546" s="5"/>
    </row>
    <row r="547" ht="15.75" customHeight="1">
      <c r="A547" s="5"/>
      <c r="B547" s="5"/>
      <c r="C547" s="5"/>
      <c r="D547" s="5"/>
      <c r="E547" s="5"/>
    </row>
    <row r="548" ht="15.75" customHeight="1">
      <c r="A548" s="5"/>
      <c r="B548" s="5"/>
      <c r="C548" s="5"/>
      <c r="D548" s="5"/>
      <c r="E548" s="5"/>
    </row>
    <row r="549" ht="15.75" customHeight="1">
      <c r="A549" s="5"/>
      <c r="B549" s="5"/>
      <c r="C549" s="5"/>
      <c r="D549" s="5"/>
      <c r="E549" s="5"/>
    </row>
    <row r="550" ht="15.75" customHeight="1">
      <c r="A550" s="5"/>
      <c r="B550" s="5"/>
      <c r="C550" s="5"/>
      <c r="D550" s="5"/>
      <c r="E550" s="5"/>
    </row>
    <row r="551" ht="15.75" customHeight="1">
      <c r="A551" s="5"/>
      <c r="B551" s="5"/>
      <c r="C551" s="5"/>
      <c r="D551" s="5"/>
      <c r="E551" s="5"/>
    </row>
    <row r="552" ht="15.75" customHeight="1">
      <c r="A552" s="5"/>
      <c r="B552" s="5"/>
      <c r="C552" s="5"/>
      <c r="D552" s="5"/>
      <c r="E552" s="5"/>
    </row>
    <row r="553" ht="15.75" customHeight="1">
      <c r="A553" s="5"/>
      <c r="B553" s="5"/>
      <c r="C553" s="5"/>
      <c r="D553" s="5"/>
      <c r="E553" s="5"/>
    </row>
    <row r="554" ht="15.75" customHeight="1">
      <c r="A554" s="5"/>
      <c r="B554" s="5"/>
      <c r="C554" s="5"/>
      <c r="D554" s="5"/>
      <c r="E554" s="5"/>
    </row>
    <row r="555" ht="15.75" customHeight="1">
      <c r="A555" s="5"/>
      <c r="B555" s="5"/>
      <c r="C555" s="5"/>
      <c r="D555" s="5"/>
      <c r="E555" s="5"/>
    </row>
    <row r="556" ht="15.75" customHeight="1">
      <c r="A556" s="5"/>
      <c r="B556" s="5"/>
      <c r="C556" s="5"/>
      <c r="D556" s="5"/>
      <c r="E556" s="5"/>
    </row>
    <row r="557" ht="15.75" customHeight="1">
      <c r="A557" s="5"/>
      <c r="B557" s="5"/>
      <c r="C557" s="5"/>
      <c r="D557" s="5"/>
      <c r="E557" s="5"/>
    </row>
    <row r="558" ht="15.75" customHeight="1">
      <c r="A558" s="5"/>
      <c r="B558" s="5"/>
      <c r="C558" s="5"/>
      <c r="D558" s="5"/>
      <c r="E558" s="5"/>
    </row>
    <row r="559" ht="15.75" customHeight="1">
      <c r="A559" s="5"/>
      <c r="B559" s="5"/>
      <c r="C559" s="5"/>
      <c r="D559" s="5"/>
      <c r="E559" s="5"/>
    </row>
    <row r="560" ht="15.75" customHeight="1">
      <c r="A560" s="5"/>
      <c r="B560" s="5"/>
      <c r="C560" s="5"/>
      <c r="D560" s="5"/>
      <c r="E560" s="5"/>
    </row>
    <row r="561" ht="15.75" customHeight="1">
      <c r="A561" s="5"/>
      <c r="B561" s="5"/>
      <c r="C561" s="5"/>
      <c r="D561" s="5"/>
      <c r="E561" s="5"/>
    </row>
    <row r="562" ht="15.75" customHeight="1">
      <c r="A562" s="5"/>
      <c r="B562" s="5"/>
      <c r="C562" s="5"/>
      <c r="D562" s="5"/>
      <c r="E562" s="5"/>
    </row>
    <row r="563" ht="15.75" customHeight="1">
      <c r="A563" s="5"/>
      <c r="B563" s="5"/>
      <c r="C563" s="5"/>
      <c r="D563" s="5"/>
      <c r="E563" s="5"/>
    </row>
    <row r="564" ht="15.75" customHeight="1">
      <c r="A564" s="5"/>
      <c r="B564" s="5"/>
      <c r="C564" s="5"/>
      <c r="D564" s="5"/>
      <c r="E564" s="5"/>
    </row>
    <row r="565" ht="15.75" customHeight="1">
      <c r="A565" s="5"/>
      <c r="B565" s="5"/>
      <c r="C565" s="5"/>
      <c r="D565" s="5"/>
      <c r="E565" s="5"/>
    </row>
    <row r="566" ht="15.75" customHeight="1">
      <c r="A566" s="5"/>
      <c r="B566" s="5"/>
      <c r="C566" s="5"/>
      <c r="D566" s="5"/>
      <c r="E566" s="5"/>
    </row>
    <row r="567" ht="15.75" customHeight="1">
      <c r="A567" s="5"/>
      <c r="B567" s="5"/>
      <c r="C567" s="5"/>
      <c r="D567" s="5"/>
      <c r="E567" s="5"/>
    </row>
    <row r="568" ht="15.75" customHeight="1">
      <c r="A568" s="5"/>
      <c r="B568" s="5"/>
      <c r="C568" s="5"/>
      <c r="D568" s="5"/>
      <c r="E568" s="5"/>
    </row>
    <row r="569" ht="15.75" customHeight="1">
      <c r="A569" s="5"/>
      <c r="B569" s="5"/>
      <c r="C569" s="5"/>
      <c r="D569" s="5"/>
      <c r="E569" s="5"/>
    </row>
    <row r="570" ht="15.75" customHeight="1">
      <c r="A570" s="5"/>
      <c r="B570" s="5"/>
      <c r="C570" s="5"/>
      <c r="D570" s="5"/>
      <c r="E570" s="5"/>
    </row>
    <row r="571" ht="15.75" customHeight="1">
      <c r="A571" s="5"/>
      <c r="B571" s="5"/>
      <c r="C571" s="5"/>
      <c r="D571" s="5"/>
      <c r="E571" s="5"/>
    </row>
    <row r="572" ht="15.75" customHeight="1">
      <c r="A572" s="5"/>
      <c r="B572" s="5"/>
      <c r="C572" s="5"/>
      <c r="D572" s="5"/>
      <c r="E572" s="5"/>
    </row>
    <row r="573" ht="15.75" customHeight="1">
      <c r="A573" s="5"/>
      <c r="B573" s="5"/>
      <c r="C573" s="5"/>
      <c r="D573" s="5"/>
      <c r="E573" s="5"/>
    </row>
    <row r="574" ht="15.75" customHeight="1">
      <c r="A574" s="5"/>
      <c r="B574" s="5"/>
      <c r="C574" s="5"/>
      <c r="D574" s="5"/>
      <c r="E574" s="5"/>
    </row>
    <row r="575" ht="15.75" customHeight="1">
      <c r="A575" s="5"/>
      <c r="B575" s="5"/>
      <c r="C575" s="5"/>
      <c r="D575" s="5"/>
      <c r="E575" s="5"/>
    </row>
    <row r="576" ht="15.75" customHeight="1">
      <c r="A576" s="5"/>
      <c r="B576" s="5"/>
      <c r="C576" s="5"/>
      <c r="D576" s="5"/>
      <c r="E576" s="5"/>
    </row>
    <row r="577" ht="15.75" customHeight="1">
      <c r="A577" s="5"/>
      <c r="B577" s="5"/>
      <c r="C577" s="5"/>
      <c r="D577" s="5"/>
      <c r="E577" s="5"/>
    </row>
    <row r="578" ht="15.75" customHeight="1">
      <c r="A578" s="5"/>
      <c r="B578" s="5"/>
      <c r="C578" s="5"/>
      <c r="D578" s="5"/>
      <c r="E578" s="5"/>
    </row>
    <row r="579" ht="15.75" customHeight="1">
      <c r="A579" s="5"/>
      <c r="B579" s="5"/>
      <c r="C579" s="5"/>
      <c r="D579" s="5"/>
      <c r="E579" s="5"/>
    </row>
    <row r="580" ht="15.75" customHeight="1">
      <c r="A580" s="5"/>
      <c r="B580" s="5"/>
      <c r="C580" s="5"/>
      <c r="D580" s="5"/>
      <c r="E580" s="5"/>
    </row>
    <row r="581" ht="15.75" customHeight="1">
      <c r="A581" s="5"/>
      <c r="B581" s="5"/>
      <c r="C581" s="5"/>
      <c r="D581" s="5"/>
      <c r="E581" s="5"/>
    </row>
    <row r="582" ht="15.75" customHeight="1">
      <c r="A582" s="5"/>
      <c r="B582" s="5"/>
      <c r="C582" s="5"/>
      <c r="D582" s="5"/>
      <c r="E582" s="5"/>
    </row>
    <row r="583" ht="15.75" customHeight="1">
      <c r="A583" s="5"/>
      <c r="B583" s="5"/>
      <c r="C583" s="5"/>
      <c r="D583" s="5"/>
      <c r="E583" s="5"/>
    </row>
    <row r="584" ht="15.75" customHeight="1">
      <c r="A584" s="5"/>
      <c r="B584" s="5"/>
      <c r="C584" s="5"/>
      <c r="D584" s="5"/>
      <c r="E584" s="5"/>
    </row>
    <row r="585" ht="15.75" customHeight="1">
      <c r="A585" s="5"/>
      <c r="B585" s="5"/>
      <c r="C585" s="5"/>
      <c r="D585" s="5"/>
      <c r="E585" s="5"/>
    </row>
    <row r="586" ht="15.75" customHeight="1">
      <c r="A586" s="5"/>
      <c r="B586" s="5"/>
      <c r="C586" s="5"/>
      <c r="D586" s="5"/>
      <c r="E586" s="5"/>
    </row>
    <row r="587" ht="15.75" customHeight="1">
      <c r="A587" s="5"/>
      <c r="B587" s="5"/>
      <c r="C587" s="5"/>
      <c r="D587" s="5"/>
      <c r="E587" s="5"/>
    </row>
    <row r="588" ht="15.75" customHeight="1">
      <c r="A588" s="5"/>
      <c r="B588" s="5"/>
      <c r="C588" s="5"/>
      <c r="D588" s="5"/>
      <c r="E588" s="5"/>
    </row>
    <row r="589" ht="15.75" customHeight="1">
      <c r="A589" s="5"/>
      <c r="B589" s="5"/>
      <c r="C589" s="5"/>
      <c r="D589" s="5"/>
      <c r="E589" s="5"/>
    </row>
    <row r="590" ht="15.75" customHeight="1">
      <c r="A590" s="5"/>
      <c r="B590" s="5"/>
      <c r="C590" s="5"/>
      <c r="D590" s="5"/>
      <c r="E590" s="5"/>
    </row>
    <row r="591" ht="15.75" customHeight="1">
      <c r="A591" s="5"/>
      <c r="B591" s="5"/>
      <c r="C591" s="5"/>
      <c r="D591" s="5"/>
      <c r="E591" s="5"/>
    </row>
    <row r="592" ht="15.75" customHeight="1">
      <c r="A592" s="5"/>
      <c r="B592" s="5"/>
      <c r="C592" s="5"/>
      <c r="D592" s="5"/>
      <c r="E592" s="5"/>
    </row>
    <row r="593" ht="15.75" customHeight="1">
      <c r="A593" s="5"/>
      <c r="B593" s="5"/>
      <c r="C593" s="5"/>
      <c r="D593" s="5"/>
      <c r="E593" s="5"/>
    </row>
    <row r="594" ht="15.75" customHeight="1">
      <c r="A594" s="5"/>
      <c r="B594" s="5"/>
      <c r="C594" s="5"/>
      <c r="D594" s="5"/>
      <c r="E594" s="5"/>
    </row>
    <row r="595" ht="15.75" customHeight="1">
      <c r="A595" s="5"/>
      <c r="B595" s="5"/>
      <c r="C595" s="5"/>
      <c r="D595" s="5"/>
      <c r="E595" s="5"/>
    </row>
    <row r="596" ht="15.75" customHeight="1">
      <c r="A596" s="5"/>
      <c r="B596" s="5"/>
      <c r="C596" s="5"/>
      <c r="D596" s="5"/>
      <c r="E596" s="5"/>
    </row>
    <row r="597" ht="15.75" customHeight="1">
      <c r="A597" s="5"/>
      <c r="B597" s="5"/>
      <c r="C597" s="5"/>
      <c r="D597" s="5"/>
      <c r="E597" s="5"/>
    </row>
    <row r="598" ht="15.75" customHeight="1">
      <c r="A598" s="5"/>
      <c r="B598" s="5"/>
      <c r="C598" s="5"/>
      <c r="D598" s="5"/>
      <c r="E598" s="5"/>
    </row>
    <row r="599" ht="15.75" customHeight="1">
      <c r="A599" s="5"/>
      <c r="B599" s="5"/>
      <c r="C599" s="5"/>
      <c r="D599" s="5"/>
      <c r="E599" s="5"/>
    </row>
    <row r="600" ht="15.75" customHeight="1">
      <c r="A600" s="5"/>
      <c r="B600" s="5"/>
      <c r="C600" s="5"/>
      <c r="D600" s="5"/>
      <c r="E600" s="5"/>
    </row>
    <row r="601" ht="15.75" customHeight="1">
      <c r="A601" s="5"/>
      <c r="B601" s="5"/>
      <c r="C601" s="5"/>
      <c r="D601" s="5"/>
      <c r="E601" s="5"/>
    </row>
    <row r="602" ht="15.75" customHeight="1">
      <c r="A602" s="5"/>
      <c r="B602" s="5"/>
      <c r="C602" s="5"/>
      <c r="D602" s="5"/>
      <c r="E602" s="5"/>
    </row>
    <row r="603" ht="15.75" customHeight="1">
      <c r="A603" s="5"/>
      <c r="B603" s="5"/>
      <c r="C603" s="5"/>
      <c r="D603" s="5"/>
      <c r="E603" s="5"/>
    </row>
    <row r="604" ht="15.75" customHeight="1">
      <c r="A604" s="5"/>
      <c r="B604" s="5"/>
      <c r="C604" s="5"/>
      <c r="D604" s="5"/>
      <c r="E604" s="5"/>
    </row>
    <row r="605" ht="15.75" customHeight="1">
      <c r="A605" s="5"/>
      <c r="B605" s="5"/>
      <c r="C605" s="5"/>
      <c r="D605" s="5"/>
      <c r="E605" s="5"/>
    </row>
    <row r="606" ht="15.75" customHeight="1">
      <c r="A606" s="5"/>
      <c r="B606" s="5"/>
      <c r="C606" s="5"/>
      <c r="D606" s="5"/>
      <c r="E606" s="5"/>
    </row>
    <row r="607" ht="15.75" customHeight="1">
      <c r="A607" s="5"/>
      <c r="B607" s="5"/>
      <c r="C607" s="5"/>
      <c r="D607" s="5"/>
      <c r="E607" s="5"/>
    </row>
    <row r="608" ht="15.75" customHeight="1">
      <c r="A608" s="5"/>
      <c r="B608" s="5"/>
      <c r="C608" s="5"/>
      <c r="D608" s="5"/>
      <c r="E608" s="5"/>
    </row>
    <row r="609" ht="15.75" customHeight="1">
      <c r="A609" s="5"/>
      <c r="B609" s="5"/>
      <c r="C609" s="5"/>
      <c r="D609" s="5"/>
      <c r="E609" s="5"/>
    </row>
    <row r="610" ht="15.75" customHeight="1">
      <c r="A610" s="5"/>
      <c r="B610" s="5"/>
      <c r="C610" s="5"/>
      <c r="D610" s="5"/>
      <c r="E610" s="5"/>
    </row>
    <row r="611" ht="15.75" customHeight="1">
      <c r="A611" s="5"/>
      <c r="B611" s="5"/>
      <c r="C611" s="5"/>
      <c r="D611" s="5"/>
      <c r="E611" s="5"/>
    </row>
    <row r="612" ht="15.75" customHeight="1">
      <c r="A612" s="5"/>
      <c r="B612" s="5"/>
      <c r="C612" s="5"/>
      <c r="D612" s="5"/>
      <c r="E612" s="5"/>
    </row>
    <row r="613" ht="15.75" customHeight="1">
      <c r="A613" s="5"/>
      <c r="B613" s="5"/>
      <c r="C613" s="5"/>
      <c r="D613" s="5"/>
      <c r="E613" s="5"/>
    </row>
    <row r="614" ht="15.75" customHeight="1">
      <c r="A614" s="5"/>
      <c r="B614" s="5"/>
      <c r="C614" s="5"/>
      <c r="D614" s="5"/>
      <c r="E614" s="5"/>
    </row>
    <row r="615" ht="15.75" customHeight="1">
      <c r="A615" s="5"/>
      <c r="B615" s="5"/>
      <c r="C615" s="5"/>
      <c r="D615" s="5"/>
      <c r="E615" s="5"/>
    </row>
    <row r="616" ht="15.75" customHeight="1">
      <c r="A616" s="5"/>
      <c r="B616" s="5"/>
      <c r="C616" s="5"/>
      <c r="D616" s="5"/>
      <c r="E616" s="5"/>
    </row>
    <row r="617" ht="15.75" customHeight="1">
      <c r="A617" s="5"/>
      <c r="B617" s="5"/>
      <c r="C617" s="5"/>
      <c r="D617" s="5"/>
      <c r="E617" s="5"/>
    </row>
    <row r="618" ht="15.75" customHeight="1">
      <c r="A618" s="5"/>
      <c r="B618" s="5"/>
      <c r="C618" s="5"/>
      <c r="D618" s="5"/>
      <c r="E618" s="5"/>
    </row>
    <row r="619" ht="15.75" customHeight="1">
      <c r="A619" s="5"/>
      <c r="B619" s="5"/>
      <c r="C619" s="5"/>
      <c r="D619" s="5"/>
      <c r="E619" s="5"/>
    </row>
    <row r="620" ht="15.75" customHeight="1">
      <c r="A620" s="5"/>
      <c r="B620" s="5"/>
      <c r="C620" s="5"/>
      <c r="D620" s="5"/>
      <c r="E620" s="5"/>
    </row>
    <row r="621" ht="15.75" customHeight="1">
      <c r="A621" s="5"/>
      <c r="B621" s="5"/>
      <c r="C621" s="5"/>
      <c r="D621" s="5"/>
      <c r="E621" s="5"/>
    </row>
    <row r="622" ht="15.75" customHeight="1">
      <c r="A622" s="5"/>
      <c r="B622" s="5"/>
      <c r="C622" s="5"/>
      <c r="D622" s="5"/>
      <c r="E622" s="5"/>
    </row>
    <row r="623" ht="15.75" customHeight="1">
      <c r="A623" s="5"/>
      <c r="B623" s="5"/>
      <c r="C623" s="5"/>
      <c r="D623" s="5"/>
      <c r="E623" s="5"/>
    </row>
    <row r="624" ht="15.75" customHeight="1">
      <c r="A624" s="5"/>
      <c r="B624" s="5"/>
      <c r="C624" s="5"/>
      <c r="D624" s="5"/>
      <c r="E624" s="5"/>
    </row>
    <row r="625" ht="15.75" customHeight="1">
      <c r="A625" s="5"/>
      <c r="B625" s="5"/>
      <c r="C625" s="5"/>
      <c r="D625" s="5"/>
      <c r="E625" s="5"/>
    </row>
    <row r="626" ht="15.75" customHeight="1">
      <c r="A626" s="5"/>
      <c r="B626" s="5"/>
      <c r="C626" s="5"/>
      <c r="D626" s="5"/>
      <c r="E626" s="5"/>
    </row>
    <row r="627" ht="15.75" customHeight="1">
      <c r="A627" s="5"/>
      <c r="B627" s="5"/>
      <c r="C627" s="5"/>
      <c r="D627" s="5"/>
      <c r="E627" s="5"/>
    </row>
    <row r="628" ht="15.75" customHeight="1">
      <c r="A628" s="5"/>
      <c r="B628" s="5"/>
      <c r="C628" s="5"/>
      <c r="D628" s="5"/>
      <c r="E628" s="5"/>
    </row>
    <row r="629" ht="15.75" customHeight="1">
      <c r="A629" s="5"/>
      <c r="B629" s="5"/>
      <c r="C629" s="5"/>
      <c r="D629" s="5"/>
      <c r="E629" s="5"/>
    </row>
    <row r="630" ht="15.75" customHeight="1">
      <c r="A630" s="5"/>
      <c r="B630" s="5"/>
      <c r="C630" s="5"/>
      <c r="D630" s="5"/>
      <c r="E630" s="5"/>
    </row>
    <row r="631" ht="15.75" customHeight="1">
      <c r="A631" s="5"/>
      <c r="B631" s="5"/>
      <c r="C631" s="5"/>
      <c r="D631" s="5"/>
      <c r="E631" s="5"/>
    </row>
    <row r="632" ht="15.75" customHeight="1">
      <c r="A632" s="5"/>
      <c r="B632" s="5"/>
      <c r="C632" s="5"/>
      <c r="D632" s="5"/>
      <c r="E632" s="5"/>
    </row>
    <row r="633" ht="15.75" customHeight="1">
      <c r="A633" s="5"/>
      <c r="B633" s="5"/>
      <c r="C633" s="5"/>
      <c r="D633" s="5"/>
      <c r="E633" s="5"/>
    </row>
    <row r="634" ht="15.75" customHeight="1">
      <c r="A634" s="5"/>
      <c r="B634" s="5"/>
      <c r="C634" s="5"/>
      <c r="D634" s="5"/>
      <c r="E634" s="5"/>
    </row>
    <row r="635" ht="15.75" customHeight="1">
      <c r="A635" s="5"/>
      <c r="B635" s="5"/>
      <c r="C635" s="5"/>
      <c r="D635" s="5"/>
      <c r="E635" s="5"/>
    </row>
    <row r="636" ht="15.75" customHeight="1">
      <c r="A636" s="5"/>
      <c r="B636" s="5"/>
      <c r="C636" s="5"/>
      <c r="D636" s="5"/>
      <c r="E636" s="5"/>
    </row>
    <row r="637" ht="15.75" customHeight="1">
      <c r="A637" s="5"/>
      <c r="B637" s="5"/>
      <c r="C637" s="5"/>
      <c r="D637" s="5"/>
      <c r="E637" s="5"/>
    </row>
    <row r="638" ht="15.75" customHeight="1">
      <c r="A638" s="5"/>
      <c r="B638" s="5"/>
      <c r="C638" s="5"/>
      <c r="D638" s="5"/>
      <c r="E638" s="5"/>
    </row>
    <row r="639" ht="15.75" customHeight="1">
      <c r="A639" s="5"/>
      <c r="B639" s="5"/>
      <c r="C639" s="5"/>
      <c r="D639" s="5"/>
      <c r="E639" s="5"/>
    </row>
    <row r="640" ht="15.75" customHeight="1">
      <c r="A640" s="5"/>
      <c r="B640" s="5"/>
      <c r="C640" s="5"/>
      <c r="D640" s="5"/>
      <c r="E640" s="5"/>
    </row>
    <row r="641" ht="15.75" customHeight="1">
      <c r="A641" s="5"/>
      <c r="B641" s="5"/>
      <c r="C641" s="5"/>
      <c r="D641" s="5"/>
      <c r="E641" s="5"/>
    </row>
    <row r="642" ht="15.75" customHeight="1">
      <c r="A642" s="5"/>
      <c r="B642" s="5"/>
      <c r="C642" s="5"/>
      <c r="D642" s="5"/>
      <c r="E642" s="5"/>
    </row>
    <row r="643" ht="15.75" customHeight="1">
      <c r="A643" s="5"/>
      <c r="B643" s="5"/>
      <c r="C643" s="5"/>
      <c r="D643" s="5"/>
      <c r="E643" s="5"/>
    </row>
    <row r="644" ht="15.75" customHeight="1">
      <c r="A644" s="5"/>
      <c r="B644" s="5"/>
      <c r="C644" s="5"/>
      <c r="D644" s="5"/>
      <c r="E644" s="5"/>
    </row>
    <row r="645" ht="15.75" customHeight="1">
      <c r="A645" s="5"/>
      <c r="B645" s="5"/>
      <c r="C645" s="5"/>
      <c r="D645" s="5"/>
      <c r="E645" s="5"/>
    </row>
    <row r="646" ht="15.75" customHeight="1">
      <c r="A646" s="5"/>
      <c r="B646" s="5"/>
      <c r="C646" s="5"/>
      <c r="D646" s="5"/>
      <c r="E646" s="5"/>
    </row>
    <row r="647" ht="15.75" customHeight="1">
      <c r="A647" s="5"/>
      <c r="B647" s="5"/>
      <c r="C647" s="5"/>
      <c r="D647" s="5"/>
      <c r="E647" s="5"/>
    </row>
    <row r="648" ht="15.75" customHeight="1">
      <c r="A648" s="5"/>
      <c r="B648" s="5"/>
      <c r="C648" s="5"/>
      <c r="D648" s="5"/>
      <c r="E648" s="5"/>
    </row>
    <row r="649" ht="15.75" customHeight="1">
      <c r="A649" s="5"/>
      <c r="B649" s="5"/>
      <c r="C649" s="5"/>
      <c r="D649" s="5"/>
      <c r="E649" s="5"/>
    </row>
    <row r="650" ht="15.75" customHeight="1">
      <c r="A650" s="5"/>
      <c r="B650" s="5"/>
      <c r="C650" s="5"/>
      <c r="D650" s="5"/>
      <c r="E650" s="5"/>
    </row>
    <row r="651" ht="15.75" customHeight="1">
      <c r="A651" s="5"/>
      <c r="B651" s="5"/>
      <c r="C651" s="5"/>
      <c r="D651" s="5"/>
      <c r="E651" s="5"/>
    </row>
    <row r="652" ht="15.75" customHeight="1">
      <c r="A652" s="5"/>
      <c r="B652" s="5"/>
      <c r="C652" s="5"/>
      <c r="D652" s="5"/>
      <c r="E652" s="5"/>
    </row>
    <row r="653" ht="15.75" customHeight="1">
      <c r="A653" s="5"/>
      <c r="B653" s="5"/>
      <c r="C653" s="5"/>
      <c r="D653" s="5"/>
      <c r="E653" s="5"/>
    </row>
    <row r="654" ht="15.75" customHeight="1">
      <c r="A654" s="5"/>
      <c r="B654" s="5"/>
      <c r="C654" s="5"/>
      <c r="D654" s="5"/>
      <c r="E654" s="5"/>
    </row>
    <row r="655" ht="15.75" customHeight="1">
      <c r="A655" s="5"/>
      <c r="B655" s="5"/>
      <c r="C655" s="5"/>
      <c r="D655" s="5"/>
      <c r="E655" s="5"/>
    </row>
    <row r="656" ht="15.75" customHeight="1">
      <c r="A656" s="5"/>
      <c r="B656" s="5"/>
      <c r="C656" s="5"/>
      <c r="D656" s="5"/>
      <c r="E656" s="5"/>
    </row>
    <row r="657" ht="15.75" customHeight="1">
      <c r="A657" s="5"/>
      <c r="B657" s="5"/>
      <c r="C657" s="5"/>
      <c r="D657" s="5"/>
      <c r="E657" s="5"/>
    </row>
    <row r="658" ht="15.75" customHeight="1">
      <c r="A658" s="5"/>
      <c r="B658" s="5"/>
      <c r="C658" s="5"/>
      <c r="D658" s="5"/>
      <c r="E658" s="5"/>
    </row>
    <row r="659" ht="15.75" customHeight="1">
      <c r="A659" s="5"/>
      <c r="B659" s="5"/>
      <c r="C659" s="5"/>
      <c r="D659" s="5"/>
      <c r="E659" s="5"/>
    </row>
    <row r="660" ht="15.75" customHeight="1">
      <c r="A660" s="5"/>
      <c r="B660" s="5"/>
      <c r="C660" s="5"/>
      <c r="D660" s="5"/>
      <c r="E660" s="5"/>
    </row>
    <row r="661" ht="15.75" customHeight="1">
      <c r="A661" s="5"/>
      <c r="B661" s="5"/>
      <c r="C661" s="5"/>
      <c r="D661" s="5"/>
      <c r="E661" s="5"/>
    </row>
    <row r="662" ht="15.75" customHeight="1">
      <c r="A662" s="5"/>
      <c r="B662" s="5"/>
      <c r="C662" s="5"/>
      <c r="D662" s="5"/>
      <c r="E662" s="5"/>
    </row>
    <row r="663" ht="15.75" customHeight="1">
      <c r="A663" s="5"/>
      <c r="B663" s="5"/>
      <c r="C663" s="5"/>
      <c r="D663" s="5"/>
      <c r="E663" s="5"/>
    </row>
    <row r="664" ht="15.75" customHeight="1">
      <c r="A664" s="5"/>
      <c r="B664" s="5"/>
      <c r="C664" s="5"/>
      <c r="D664" s="5"/>
      <c r="E664" s="5"/>
    </row>
    <row r="665" ht="15.75" customHeight="1">
      <c r="A665" s="5"/>
      <c r="B665" s="5"/>
      <c r="C665" s="5"/>
      <c r="D665" s="5"/>
      <c r="E665" s="5"/>
    </row>
    <row r="666" ht="15.75" customHeight="1">
      <c r="A666" s="5"/>
      <c r="B666" s="5"/>
      <c r="C666" s="5"/>
      <c r="D666" s="5"/>
      <c r="E666" s="5"/>
    </row>
    <row r="667" ht="15.75" customHeight="1">
      <c r="A667" s="5"/>
      <c r="B667" s="5"/>
      <c r="C667" s="5"/>
      <c r="D667" s="5"/>
      <c r="E667" s="5"/>
    </row>
    <row r="668" ht="15.75" customHeight="1">
      <c r="A668" s="5"/>
      <c r="B668" s="5"/>
      <c r="C668" s="5"/>
      <c r="D668" s="5"/>
      <c r="E668" s="5"/>
    </row>
    <row r="669" ht="15.75" customHeight="1">
      <c r="A669" s="5"/>
      <c r="B669" s="5"/>
      <c r="C669" s="5"/>
      <c r="D669" s="5"/>
      <c r="E669" s="5"/>
    </row>
    <row r="670" ht="15.75" customHeight="1">
      <c r="A670" s="5"/>
      <c r="B670" s="5"/>
      <c r="C670" s="5"/>
      <c r="D670" s="5"/>
      <c r="E670" s="5"/>
    </row>
    <row r="671" ht="15.75" customHeight="1">
      <c r="A671" s="5"/>
      <c r="B671" s="5"/>
      <c r="C671" s="5"/>
      <c r="D671" s="5"/>
      <c r="E671" s="5"/>
    </row>
    <row r="672" ht="15.75" customHeight="1">
      <c r="A672" s="5"/>
      <c r="B672" s="5"/>
      <c r="C672" s="5"/>
      <c r="D672" s="5"/>
      <c r="E672" s="5"/>
    </row>
    <row r="673" ht="15.75" customHeight="1">
      <c r="A673" s="5"/>
      <c r="B673" s="5"/>
      <c r="C673" s="5"/>
      <c r="D673" s="5"/>
      <c r="E673" s="5"/>
    </row>
    <row r="674" ht="15.75" customHeight="1">
      <c r="A674" s="5"/>
      <c r="B674" s="5"/>
      <c r="C674" s="5"/>
      <c r="D674" s="5"/>
      <c r="E674" s="5"/>
    </row>
    <row r="675" ht="15.75" customHeight="1">
      <c r="A675" s="5"/>
      <c r="B675" s="5"/>
      <c r="C675" s="5"/>
      <c r="D675" s="5"/>
      <c r="E675" s="5"/>
    </row>
    <row r="676" ht="15.75" customHeight="1">
      <c r="A676" s="5"/>
      <c r="B676" s="5"/>
      <c r="C676" s="5"/>
      <c r="D676" s="5"/>
      <c r="E676" s="5"/>
    </row>
    <row r="677" ht="15.75" customHeight="1">
      <c r="A677" s="5"/>
      <c r="B677" s="5"/>
      <c r="C677" s="5"/>
      <c r="D677" s="5"/>
      <c r="E677" s="5"/>
    </row>
    <row r="678" ht="15.75" customHeight="1">
      <c r="A678" s="5"/>
      <c r="B678" s="5"/>
      <c r="C678" s="5"/>
      <c r="D678" s="5"/>
      <c r="E678" s="5"/>
    </row>
    <row r="679" ht="15.75" customHeight="1">
      <c r="A679" s="5"/>
      <c r="B679" s="5"/>
      <c r="C679" s="5"/>
      <c r="D679" s="5"/>
      <c r="E679" s="5"/>
    </row>
    <row r="680" ht="15.75" customHeight="1">
      <c r="A680" s="5"/>
      <c r="B680" s="5"/>
      <c r="C680" s="5"/>
      <c r="D680" s="5"/>
      <c r="E680" s="5"/>
    </row>
    <row r="681" ht="15.75" customHeight="1">
      <c r="A681" s="5"/>
      <c r="B681" s="5"/>
      <c r="C681" s="5"/>
      <c r="D681" s="5"/>
      <c r="E681" s="5"/>
    </row>
    <row r="682" ht="15.75" customHeight="1">
      <c r="A682" s="5"/>
      <c r="B682" s="5"/>
      <c r="C682" s="5"/>
      <c r="D682" s="5"/>
      <c r="E682" s="5"/>
    </row>
    <row r="683" ht="15.75" customHeight="1">
      <c r="A683" s="5"/>
      <c r="B683" s="5"/>
      <c r="C683" s="5"/>
      <c r="D683" s="5"/>
      <c r="E683" s="5"/>
    </row>
    <row r="684" ht="15.75" customHeight="1">
      <c r="A684" s="5"/>
      <c r="B684" s="5"/>
      <c r="C684" s="5"/>
      <c r="D684" s="5"/>
      <c r="E684" s="5"/>
    </row>
    <row r="685" ht="15.75" customHeight="1">
      <c r="A685" s="5"/>
      <c r="B685" s="5"/>
      <c r="C685" s="5"/>
      <c r="D685" s="5"/>
      <c r="E685" s="5"/>
    </row>
    <row r="686" ht="15.75" customHeight="1">
      <c r="A686" s="5"/>
      <c r="B686" s="5"/>
      <c r="C686" s="5"/>
      <c r="D686" s="5"/>
      <c r="E686" s="5"/>
    </row>
    <row r="687" ht="15.75" customHeight="1">
      <c r="A687" s="5"/>
      <c r="B687" s="5"/>
      <c r="C687" s="5"/>
      <c r="D687" s="5"/>
      <c r="E687" s="5"/>
    </row>
    <row r="688" ht="15.75" customHeight="1">
      <c r="A688" s="5"/>
      <c r="B688" s="5"/>
      <c r="C688" s="5"/>
      <c r="D688" s="5"/>
      <c r="E688" s="5"/>
    </row>
    <row r="689" ht="15.75" customHeight="1">
      <c r="A689" s="5"/>
      <c r="B689" s="5"/>
      <c r="C689" s="5"/>
      <c r="D689" s="5"/>
      <c r="E689" s="5"/>
    </row>
    <row r="690" ht="15.75" customHeight="1">
      <c r="A690" s="5"/>
      <c r="B690" s="5"/>
      <c r="C690" s="5"/>
      <c r="D690" s="5"/>
      <c r="E690" s="5"/>
    </row>
    <row r="691" ht="15.75" customHeight="1">
      <c r="A691" s="5"/>
      <c r="B691" s="5"/>
      <c r="C691" s="5"/>
      <c r="D691" s="5"/>
      <c r="E691" s="5"/>
    </row>
    <row r="692" ht="15.75" customHeight="1">
      <c r="A692" s="5"/>
      <c r="B692" s="5"/>
      <c r="C692" s="5"/>
      <c r="D692" s="5"/>
      <c r="E692" s="5"/>
    </row>
    <row r="693" ht="15.75" customHeight="1">
      <c r="A693" s="5"/>
      <c r="B693" s="5"/>
      <c r="C693" s="5"/>
      <c r="D693" s="5"/>
      <c r="E693" s="5"/>
    </row>
    <row r="694" ht="15.75" customHeight="1">
      <c r="A694" s="5"/>
      <c r="B694" s="5"/>
      <c r="C694" s="5"/>
      <c r="D694" s="5"/>
      <c r="E694" s="5"/>
    </row>
    <row r="695" ht="15.75" customHeight="1">
      <c r="A695" s="5"/>
      <c r="B695" s="5"/>
      <c r="C695" s="5"/>
      <c r="D695" s="5"/>
      <c r="E695" s="5"/>
    </row>
    <row r="696" ht="15.75" customHeight="1">
      <c r="A696" s="5"/>
      <c r="B696" s="5"/>
      <c r="C696" s="5"/>
      <c r="D696" s="5"/>
      <c r="E696" s="5"/>
    </row>
    <row r="697" ht="15.75" customHeight="1">
      <c r="A697" s="5"/>
      <c r="B697" s="5"/>
      <c r="C697" s="5"/>
      <c r="D697" s="5"/>
      <c r="E697" s="5"/>
    </row>
    <row r="698" ht="15.75" customHeight="1">
      <c r="A698" s="5"/>
      <c r="B698" s="5"/>
      <c r="C698" s="5"/>
      <c r="D698" s="5"/>
      <c r="E698" s="5"/>
    </row>
    <row r="699" ht="15.75" customHeight="1">
      <c r="A699" s="5"/>
      <c r="B699" s="5"/>
      <c r="C699" s="5"/>
      <c r="D699" s="5"/>
      <c r="E699" s="5"/>
    </row>
    <row r="700" ht="15.75" customHeight="1">
      <c r="A700" s="5"/>
      <c r="B700" s="5"/>
      <c r="C700" s="5"/>
      <c r="D700" s="5"/>
      <c r="E700" s="5"/>
    </row>
    <row r="701" ht="15.75" customHeight="1">
      <c r="A701" s="5"/>
      <c r="B701" s="5"/>
      <c r="C701" s="5"/>
      <c r="D701" s="5"/>
      <c r="E701" s="5"/>
    </row>
    <row r="702" ht="15.75" customHeight="1">
      <c r="A702" s="5"/>
      <c r="B702" s="5"/>
      <c r="C702" s="5"/>
      <c r="D702" s="5"/>
      <c r="E702" s="5"/>
    </row>
    <row r="703" ht="15.75" customHeight="1">
      <c r="A703" s="5"/>
      <c r="B703" s="5"/>
      <c r="C703" s="5"/>
      <c r="D703" s="5"/>
      <c r="E703" s="5"/>
    </row>
    <row r="704" ht="15.75" customHeight="1">
      <c r="A704" s="5"/>
      <c r="B704" s="5"/>
      <c r="C704" s="5"/>
      <c r="D704" s="5"/>
      <c r="E704" s="5"/>
    </row>
    <row r="705" ht="15.75" customHeight="1">
      <c r="A705" s="5"/>
      <c r="B705" s="5"/>
      <c r="C705" s="5"/>
      <c r="D705" s="5"/>
      <c r="E705" s="5"/>
    </row>
    <row r="706" ht="15.75" customHeight="1">
      <c r="A706" s="5"/>
      <c r="B706" s="5"/>
      <c r="C706" s="5"/>
      <c r="D706" s="5"/>
      <c r="E706" s="5"/>
    </row>
    <row r="707" ht="15.75" customHeight="1">
      <c r="A707" s="5"/>
      <c r="B707" s="5"/>
      <c r="C707" s="5"/>
      <c r="D707" s="5"/>
      <c r="E707" s="5"/>
    </row>
    <row r="708" ht="15.75" customHeight="1">
      <c r="A708" s="5"/>
      <c r="B708" s="5"/>
      <c r="C708" s="5"/>
      <c r="D708" s="5"/>
      <c r="E708" s="5"/>
    </row>
    <row r="709" ht="15.75" customHeight="1">
      <c r="A709" s="5"/>
      <c r="B709" s="5"/>
      <c r="C709" s="5"/>
      <c r="D709" s="5"/>
      <c r="E709" s="5"/>
    </row>
    <row r="710" ht="15.75" customHeight="1">
      <c r="A710" s="5"/>
      <c r="B710" s="5"/>
      <c r="C710" s="5"/>
      <c r="D710" s="5"/>
      <c r="E710" s="5"/>
    </row>
    <row r="711" ht="15.75" customHeight="1">
      <c r="A711" s="5"/>
      <c r="B711" s="5"/>
      <c r="C711" s="5"/>
      <c r="D711" s="5"/>
      <c r="E711" s="5"/>
    </row>
    <row r="712" ht="15.75" customHeight="1">
      <c r="A712" s="5"/>
      <c r="B712" s="5"/>
      <c r="C712" s="5"/>
      <c r="D712" s="5"/>
      <c r="E712" s="5"/>
    </row>
    <row r="713" ht="15.75" customHeight="1">
      <c r="A713" s="5"/>
      <c r="B713" s="5"/>
      <c r="C713" s="5"/>
      <c r="D713" s="5"/>
      <c r="E713" s="5"/>
    </row>
    <row r="714" ht="15.75" customHeight="1">
      <c r="A714" s="5"/>
      <c r="B714" s="5"/>
      <c r="C714" s="5"/>
      <c r="D714" s="5"/>
      <c r="E714" s="5"/>
    </row>
    <row r="715" ht="15.75" customHeight="1">
      <c r="A715" s="5"/>
      <c r="B715" s="5"/>
      <c r="C715" s="5"/>
      <c r="D715" s="5"/>
      <c r="E715" s="5"/>
    </row>
    <row r="716" ht="15.75" customHeight="1">
      <c r="A716" s="5"/>
      <c r="B716" s="5"/>
      <c r="C716" s="5"/>
      <c r="D716" s="5"/>
      <c r="E716" s="5"/>
    </row>
    <row r="717" ht="15.75" customHeight="1">
      <c r="A717" s="5"/>
      <c r="B717" s="5"/>
      <c r="C717" s="5"/>
      <c r="D717" s="5"/>
      <c r="E717" s="5"/>
    </row>
    <row r="718" ht="15.75" customHeight="1">
      <c r="A718" s="5"/>
      <c r="B718" s="5"/>
      <c r="C718" s="5"/>
      <c r="D718" s="5"/>
      <c r="E718" s="5"/>
    </row>
    <row r="719" ht="15.75" customHeight="1">
      <c r="A719" s="5"/>
      <c r="B719" s="5"/>
      <c r="C719" s="5"/>
      <c r="D719" s="5"/>
      <c r="E719" s="5"/>
    </row>
    <row r="720" ht="15.75" customHeight="1">
      <c r="A720" s="5"/>
      <c r="B720" s="5"/>
      <c r="C720" s="5"/>
      <c r="D720" s="5"/>
      <c r="E720" s="5"/>
    </row>
    <row r="721" ht="15.75" customHeight="1">
      <c r="A721" s="5"/>
      <c r="B721" s="5"/>
      <c r="C721" s="5"/>
      <c r="D721" s="5"/>
      <c r="E721" s="5"/>
    </row>
    <row r="722" ht="15.75" customHeight="1">
      <c r="A722" s="5"/>
      <c r="B722" s="5"/>
      <c r="C722" s="5"/>
      <c r="D722" s="5"/>
      <c r="E722" s="5"/>
    </row>
    <row r="723" ht="15.75" customHeight="1">
      <c r="A723" s="5"/>
      <c r="B723" s="5"/>
      <c r="C723" s="5"/>
      <c r="D723" s="5"/>
      <c r="E723" s="5"/>
    </row>
    <row r="724" ht="15.75" customHeight="1">
      <c r="A724" s="5"/>
      <c r="B724" s="5"/>
      <c r="C724" s="5"/>
      <c r="D724" s="5"/>
      <c r="E724" s="5"/>
    </row>
    <row r="725" ht="15.75" customHeight="1">
      <c r="A725" s="5"/>
      <c r="B725" s="5"/>
      <c r="C725" s="5"/>
      <c r="D725" s="5"/>
      <c r="E725" s="5"/>
    </row>
    <row r="726" ht="15.75" customHeight="1">
      <c r="A726" s="5"/>
      <c r="B726" s="5"/>
      <c r="C726" s="5"/>
      <c r="D726" s="5"/>
      <c r="E726" s="5"/>
    </row>
    <row r="727" ht="15.75" customHeight="1">
      <c r="A727" s="5"/>
      <c r="B727" s="5"/>
      <c r="C727" s="5"/>
      <c r="D727" s="5"/>
      <c r="E727" s="5"/>
    </row>
    <row r="728" ht="15.75" customHeight="1">
      <c r="A728" s="5"/>
      <c r="B728" s="5"/>
      <c r="C728" s="5"/>
      <c r="D728" s="5"/>
      <c r="E728" s="5"/>
    </row>
    <row r="729" ht="15.75" customHeight="1">
      <c r="A729" s="5"/>
      <c r="B729" s="5"/>
      <c r="C729" s="5"/>
      <c r="D729" s="5"/>
      <c r="E729" s="5"/>
    </row>
    <row r="730" ht="15.75" customHeight="1">
      <c r="A730" s="5"/>
      <c r="B730" s="5"/>
      <c r="C730" s="5"/>
      <c r="D730" s="5"/>
      <c r="E730" s="5"/>
    </row>
    <row r="731" ht="15.75" customHeight="1">
      <c r="A731" s="5"/>
      <c r="B731" s="5"/>
      <c r="C731" s="5"/>
      <c r="D731" s="5"/>
      <c r="E731" s="5"/>
    </row>
    <row r="732" ht="15.75" customHeight="1">
      <c r="A732" s="5"/>
      <c r="B732" s="5"/>
      <c r="C732" s="5"/>
      <c r="D732" s="5"/>
      <c r="E732" s="5"/>
    </row>
    <row r="733" ht="15.75" customHeight="1">
      <c r="A733" s="5"/>
      <c r="B733" s="5"/>
      <c r="C733" s="5"/>
      <c r="D733" s="5"/>
      <c r="E733" s="5"/>
    </row>
    <row r="734" ht="15.75" customHeight="1">
      <c r="A734" s="5"/>
      <c r="B734" s="5"/>
      <c r="C734" s="5"/>
      <c r="D734" s="5"/>
      <c r="E734" s="5"/>
    </row>
    <row r="735" ht="15.75" customHeight="1">
      <c r="A735" s="5"/>
      <c r="B735" s="5"/>
      <c r="C735" s="5"/>
      <c r="D735" s="5"/>
      <c r="E735" s="5"/>
    </row>
    <row r="736" ht="15.75" customHeight="1">
      <c r="A736" s="5"/>
      <c r="B736" s="5"/>
      <c r="C736" s="5"/>
      <c r="D736" s="5"/>
      <c r="E736" s="5"/>
    </row>
    <row r="737" ht="15.75" customHeight="1">
      <c r="A737" s="5"/>
      <c r="B737" s="5"/>
      <c r="C737" s="5"/>
      <c r="D737" s="5"/>
      <c r="E737" s="5"/>
    </row>
    <row r="738" ht="15.75" customHeight="1">
      <c r="A738" s="5"/>
      <c r="B738" s="5"/>
      <c r="C738" s="5"/>
      <c r="D738" s="5"/>
      <c r="E738" s="5"/>
    </row>
    <row r="739" ht="15.75" customHeight="1">
      <c r="A739" s="5"/>
      <c r="B739" s="5"/>
      <c r="C739" s="5"/>
      <c r="D739" s="5"/>
      <c r="E739" s="5"/>
    </row>
    <row r="740" ht="15.75" customHeight="1">
      <c r="A740" s="5"/>
      <c r="B740" s="5"/>
      <c r="C740" s="5"/>
      <c r="D740" s="5"/>
      <c r="E740" s="5"/>
    </row>
    <row r="741" ht="15.75" customHeight="1">
      <c r="A741" s="5"/>
      <c r="B741" s="5"/>
      <c r="C741" s="5"/>
      <c r="D741" s="5"/>
      <c r="E741" s="5"/>
    </row>
    <row r="742" ht="15.75" customHeight="1">
      <c r="A742" s="5"/>
      <c r="B742" s="5"/>
      <c r="C742" s="5"/>
      <c r="D742" s="5"/>
      <c r="E742" s="5"/>
    </row>
    <row r="743" ht="15.75" customHeight="1">
      <c r="A743" s="5"/>
      <c r="B743" s="5"/>
      <c r="C743" s="5"/>
      <c r="D743" s="5"/>
      <c r="E743" s="5"/>
    </row>
    <row r="744" ht="15.75" customHeight="1">
      <c r="A744" s="5"/>
      <c r="B744" s="5"/>
      <c r="C744" s="5"/>
      <c r="D744" s="5"/>
      <c r="E744" s="5"/>
    </row>
    <row r="745" ht="15.75" customHeight="1">
      <c r="A745" s="5"/>
      <c r="B745" s="5"/>
      <c r="C745" s="5"/>
      <c r="D745" s="5"/>
      <c r="E745" s="5"/>
    </row>
    <row r="746" ht="15.75" customHeight="1">
      <c r="A746" s="5"/>
      <c r="B746" s="5"/>
      <c r="C746" s="5"/>
      <c r="D746" s="5"/>
      <c r="E746" s="5"/>
    </row>
    <row r="747" ht="15.75" customHeight="1">
      <c r="A747" s="5"/>
      <c r="B747" s="5"/>
      <c r="C747" s="5"/>
      <c r="D747" s="5"/>
      <c r="E747" s="5"/>
    </row>
    <row r="748" ht="15.75" customHeight="1">
      <c r="A748" s="5"/>
      <c r="B748" s="5"/>
      <c r="C748" s="5"/>
      <c r="D748" s="5"/>
      <c r="E748" s="5"/>
    </row>
    <row r="749" ht="15.75" customHeight="1">
      <c r="A749" s="5"/>
      <c r="B749" s="5"/>
      <c r="C749" s="5"/>
      <c r="D749" s="5"/>
      <c r="E749" s="5"/>
    </row>
    <row r="750" ht="15.75" customHeight="1">
      <c r="A750" s="5"/>
      <c r="B750" s="5"/>
      <c r="C750" s="5"/>
      <c r="D750" s="5"/>
      <c r="E750" s="5"/>
    </row>
    <row r="751" ht="15.75" customHeight="1">
      <c r="A751" s="5"/>
      <c r="B751" s="5"/>
      <c r="C751" s="5"/>
      <c r="D751" s="5"/>
      <c r="E751" s="5"/>
    </row>
    <row r="752" ht="15.75" customHeight="1">
      <c r="A752" s="5"/>
      <c r="B752" s="5"/>
      <c r="C752" s="5"/>
      <c r="D752" s="5"/>
      <c r="E752" s="5"/>
    </row>
    <row r="753" ht="15.75" customHeight="1">
      <c r="A753" s="5"/>
      <c r="B753" s="5"/>
      <c r="C753" s="5"/>
      <c r="D753" s="5"/>
      <c r="E753" s="5"/>
    </row>
    <row r="754" ht="15.75" customHeight="1">
      <c r="A754" s="5"/>
      <c r="B754" s="5"/>
      <c r="C754" s="5"/>
      <c r="D754" s="5"/>
      <c r="E754" s="5"/>
    </row>
    <row r="755" ht="15.75" customHeight="1">
      <c r="A755" s="5"/>
      <c r="B755" s="5"/>
      <c r="C755" s="5"/>
      <c r="D755" s="5"/>
      <c r="E755" s="5"/>
    </row>
    <row r="756" ht="15.75" customHeight="1">
      <c r="A756" s="5"/>
      <c r="B756" s="5"/>
      <c r="C756" s="5"/>
      <c r="D756" s="5"/>
      <c r="E756" s="5"/>
    </row>
    <row r="757" ht="15.75" customHeight="1">
      <c r="A757" s="5"/>
      <c r="B757" s="5"/>
      <c r="C757" s="5"/>
      <c r="D757" s="5"/>
      <c r="E757" s="5"/>
    </row>
    <row r="758" ht="15.75" customHeight="1">
      <c r="A758" s="5"/>
      <c r="B758" s="5"/>
      <c r="C758" s="5"/>
      <c r="D758" s="5"/>
      <c r="E758" s="5"/>
    </row>
    <row r="759" ht="15.75" customHeight="1">
      <c r="A759" s="5"/>
      <c r="B759" s="5"/>
      <c r="C759" s="5"/>
      <c r="D759" s="5"/>
      <c r="E759" s="5"/>
    </row>
    <row r="760" ht="15.75" customHeight="1">
      <c r="A760" s="5"/>
      <c r="B760" s="5"/>
      <c r="C760" s="5"/>
      <c r="D760" s="5"/>
      <c r="E760" s="5"/>
    </row>
    <row r="761" ht="15.75" customHeight="1">
      <c r="A761" s="5"/>
      <c r="B761" s="5"/>
      <c r="C761" s="5"/>
      <c r="D761" s="5"/>
      <c r="E761" s="5"/>
    </row>
    <row r="762" ht="15.75" customHeight="1">
      <c r="A762" s="5"/>
      <c r="B762" s="5"/>
      <c r="C762" s="5"/>
      <c r="D762" s="5"/>
      <c r="E762" s="5"/>
    </row>
    <row r="763" ht="15.75" customHeight="1">
      <c r="A763" s="5"/>
      <c r="B763" s="5"/>
      <c r="C763" s="5"/>
      <c r="D763" s="5"/>
      <c r="E763" s="5"/>
    </row>
    <row r="764" ht="15.75" customHeight="1">
      <c r="A764" s="5"/>
      <c r="B764" s="5"/>
      <c r="C764" s="5"/>
      <c r="D764" s="5"/>
      <c r="E764" s="5"/>
    </row>
    <row r="765" ht="15.75" customHeight="1">
      <c r="A765" s="5"/>
      <c r="B765" s="5"/>
      <c r="C765" s="5"/>
      <c r="D765" s="5"/>
      <c r="E765" s="5"/>
    </row>
    <row r="766" ht="15.75" customHeight="1">
      <c r="A766" s="5"/>
      <c r="B766" s="5"/>
      <c r="C766" s="5"/>
      <c r="D766" s="5"/>
      <c r="E766" s="5"/>
    </row>
    <row r="767" ht="15.75" customHeight="1">
      <c r="A767" s="5"/>
      <c r="B767" s="5"/>
      <c r="C767" s="5"/>
      <c r="D767" s="5"/>
      <c r="E767" s="5"/>
    </row>
    <row r="768" ht="15.75" customHeight="1">
      <c r="A768" s="5"/>
      <c r="B768" s="5"/>
      <c r="C768" s="5"/>
      <c r="D768" s="5"/>
      <c r="E768" s="5"/>
    </row>
    <row r="769" ht="15.75" customHeight="1">
      <c r="A769" s="5"/>
      <c r="B769" s="5"/>
      <c r="C769" s="5"/>
      <c r="D769" s="5"/>
      <c r="E769" s="5"/>
    </row>
    <row r="770" ht="15.75" customHeight="1">
      <c r="A770" s="5"/>
      <c r="B770" s="5"/>
      <c r="C770" s="5"/>
      <c r="D770" s="5"/>
      <c r="E770" s="5"/>
    </row>
    <row r="771" ht="15.75" customHeight="1">
      <c r="A771" s="5"/>
      <c r="B771" s="5"/>
      <c r="C771" s="5"/>
      <c r="D771" s="5"/>
      <c r="E771" s="5"/>
    </row>
    <row r="772" ht="15.75" customHeight="1">
      <c r="A772" s="5"/>
      <c r="B772" s="5"/>
      <c r="C772" s="5"/>
      <c r="D772" s="5"/>
      <c r="E772" s="5"/>
    </row>
    <row r="773" ht="15.75" customHeight="1">
      <c r="A773" s="5"/>
      <c r="B773" s="5"/>
      <c r="C773" s="5"/>
      <c r="D773" s="5"/>
      <c r="E773" s="5"/>
    </row>
    <row r="774" ht="15.75" customHeight="1">
      <c r="A774" s="5"/>
      <c r="B774" s="5"/>
      <c r="C774" s="5"/>
      <c r="D774" s="5"/>
      <c r="E774" s="5"/>
    </row>
    <row r="775" ht="15.75" customHeight="1">
      <c r="A775" s="5"/>
      <c r="B775" s="5"/>
      <c r="C775" s="5"/>
      <c r="D775" s="5"/>
      <c r="E775" s="5"/>
    </row>
    <row r="776" ht="15.75" customHeight="1">
      <c r="A776" s="5"/>
      <c r="B776" s="5"/>
      <c r="C776" s="5"/>
      <c r="D776" s="5"/>
      <c r="E776" s="5"/>
    </row>
    <row r="777" ht="15.75" customHeight="1">
      <c r="A777" s="5"/>
      <c r="B777" s="5"/>
      <c r="C777" s="5"/>
      <c r="D777" s="5"/>
      <c r="E777" s="5"/>
    </row>
    <row r="778" ht="15.75" customHeight="1">
      <c r="A778" s="5"/>
      <c r="B778" s="5"/>
      <c r="C778" s="5"/>
      <c r="D778" s="5"/>
      <c r="E778" s="5"/>
    </row>
    <row r="779" ht="15.75" customHeight="1">
      <c r="A779" s="5"/>
      <c r="B779" s="5"/>
      <c r="C779" s="5"/>
      <c r="D779" s="5"/>
      <c r="E779" s="5"/>
    </row>
    <row r="780" ht="15.75" customHeight="1">
      <c r="A780" s="5"/>
      <c r="B780" s="5"/>
      <c r="C780" s="5"/>
      <c r="D780" s="5"/>
      <c r="E780" s="5"/>
    </row>
    <row r="781" ht="15.75" customHeight="1">
      <c r="A781" s="5"/>
      <c r="B781" s="5"/>
      <c r="C781" s="5"/>
      <c r="D781" s="5"/>
      <c r="E781" s="5"/>
    </row>
    <row r="782" ht="15.75" customHeight="1">
      <c r="A782" s="5"/>
      <c r="B782" s="5"/>
      <c r="C782" s="5"/>
      <c r="D782" s="5"/>
      <c r="E782" s="5"/>
    </row>
    <row r="783" ht="15.75" customHeight="1">
      <c r="A783" s="5"/>
      <c r="B783" s="5"/>
      <c r="C783" s="5"/>
      <c r="D783" s="5"/>
      <c r="E783" s="5"/>
    </row>
    <row r="784" ht="15.75" customHeight="1">
      <c r="A784" s="5"/>
      <c r="B784" s="5"/>
      <c r="C784" s="5"/>
      <c r="D784" s="5"/>
      <c r="E784" s="5"/>
    </row>
    <row r="785" ht="15.75" customHeight="1">
      <c r="A785" s="5"/>
      <c r="B785" s="5"/>
      <c r="C785" s="5"/>
      <c r="D785" s="5"/>
      <c r="E785" s="5"/>
    </row>
    <row r="786" ht="15.75" customHeight="1">
      <c r="A786" s="5"/>
      <c r="B786" s="5"/>
      <c r="C786" s="5"/>
      <c r="D786" s="5"/>
      <c r="E786" s="5"/>
    </row>
    <row r="787" ht="15.75" customHeight="1">
      <c r="A787" s="5"/>
      <c r="B787" s="5"/>
      <c r="C787" s="5"/>
      <c r="D787" s="5"/>
      <c r="E787" s="5"/>
    </row>
    <row r="788" ht="15.75" customHeight="1">
      <c r="A788" s="5"/>
      <c r="B788" s="5"/>
      <c r="C788" s="5"/>
      <c r="D788" s="5"/>
      <c r="E788" s="5"/>
    </row>
    <row r="789" ht="15.75" customHeight="1">
      <c r="A789" s="5"/>
      <c r="B789" s="5"/>
      <c r="C789" s="5"/>
      <c r="D789" s="5"/>
      <c r="E789" s="5"/>
    </row>
    <row r="790" ht="15.75" customHeight="1">
      <c r="A790" s="5"/>
      <c r="B790" s="5"/>
      <c r="C790" s="5"/>
      <c r="D790" s="5"/>
      <c r="E790" s="5"/>
    </row>
    <row r="791" ht="15.75" customHeight="1">
      <c r="A791" s="5"/>
      <c r="B791" s="5"/>
      <c r="C791" s="5"/>
      <c r="D791" s="5"/>
      <c r="E791" s="5"/>
    </row>
    <row r="792" ht="15.75" customHeight="1">
      <c r="A792" s="5"/>
      <c r="B792" s="5"/>
      <c r="C792" s="5"/>
      <c r="D792" s="5"/>
      <c r="E792" s="5"/>
    </row>
    <row r="793" ht="15.75" customHeight="1">
      <c r="A793" s="5"/>
      <c r="B793" s="5"/>
      <c r="C793" s="5"/>
      <c r="D793" s="5"/>
      <c r="E793" s="5"/>
    </row>
    <row r="794" ht="15.75" customHeight="1">
      <c r="A794" s="5"/>
      <c r="B794" s="5"/>
      <c r="C794" s="5"/>
      <c r="D794" s="5"/>
      <c r="E794" s="5"/>
    </row>
    <row r="795" ht="15.75" customHeight="1">
      <c r="A795" s="5"/>
      <c r="B795" s="5"/>
      <c r="C795" s="5"/>
      <c r="D795" s="5"/>
      <c r="E795" s="5"/>
    </row>
    <row r="796" ht="15.75" customHeight="1">
      <c r="A796" s="5"/>
      <c r="B796" s="5"/>
      <c r="C796" s="5"/>
      <c r="D796" s="5"/>
      <c r="E796" s="5"/>
    </row>
    <row r="797" ht="15.75" customHeight="1">
      <c r="A797" s="5"/>
      <c r="B797" s="5"/>
      <c r="C797" s="5"/>
      <c r="D797" s="5"/>
      <c r="E797" s="5"/>
    </row>
    <row r="798" ht="15.75" customHeight="1">
      <c r="A798" s="5"/>
      <c r="B798" s="5"/>
      <c r="C798" s="5"/>
      <c r="D798" s="5"/>
      <c r="E798" s="5"/>
    </row>
    <row r="799" ht="15.75" customHeight="1">
      <c r="A799" s="5"/>
      <c r="B799" s="5"/>
      <c r="C799" s="5"/>
      <c r="D799" s="5"/>
      <c r="E799" s="5"/>
    </row>
    <row r="800" ht="15.75" customHeight="1">
      <c r="A800" s="5"/>
      <c r="B800" s="5"/>
      <c r="C800" s="5"/>
      <c r="D800" s="5"/>
      <c r="E800" s="5"/>
    </row>
    <row r="801" ht="15.75" customHeight="1">
      <c r="A801" s="5"/>
      <c r="B801" s="5"/>
      <c r="C801" s="5"/>
      <c r="D801" s="5"/>
      <c r="E801" s="5"/>
    </row>
    <row r="802" ht="15.75" customHeight="1">
      <c r="A802" s="5"/>
      <c r="B802" s="5"/>
      <c r="C802" s="5"/>
      <c r="D802" s="5"/>
      <c r="E802" s="5"/>
    </row>
    <row r="803" ht="15.75" customHeight="1">
      <c r="A803" s="5"/>
      <c r="B803" s="5"/>
      <c r="C803" s="5"/>
      <c r="D803" s="5"/>
      <c r="E803" s="5"/>
    </row>
    <row r="804" ht="15.75" customHeight="1">
      <c r="A804" s="5"/>
      <c r="B804" s="5"/>
      <c r="C804" s="5"/>
      <c r="D804" s="5"/>
      <c r="E804" s="5"/>
    </row>
    <row r="805" ht="15.75" customHeight="1">
      <c r="A805" s="5"/>
      <c r="B805" s="5"/>
      <c r="C805" s="5"/>
      <c r="D805" s="5"/>
      <c r="E805" s="5"/>
    </row>
    <row r="806" ht="15.75" customHeight="1">
      <c r="A806" s="5"/>
      <c r="B806" s="5"/>
      <c r="C806" s="5"/>
      <c r="D806" s="5"/>
      <c r="E806" s="5"/>
    </row>
    <row r="807" ht="15.75" customHeight="1">
      <c r="A807" s="5"/>
      <c r="B807" s="5"/>
      <c r="C807" s="5"/>
      <c r="D807" s="5"/>
      <c r="E807" s="5"/>
    </row>
    <row r="808" ht="15.75" customHeight="1">
      <c r="A808" s="5"/>
      <c r="B808" s="5"/>
      <c r="C808" s="5"/>
      <c r="D808" s="5"/>
      <c r="E808" s="5"/>
    </row>
    <row r="809" ht="15.75" customHeight="1">
      <c r="A809" s="5"/>
      <c r="B809" s="5"/>
      <c r="C809" s="5"/>
      <c r="D809" s="5"/>
      <c r="E809" s="5"/>
    </row>
    <row r="810" ht="15.75" customHeight="1">
      <c r="A810" s="5"/>
      <c r="B810" s="5"/>
      <c r="C810" s="5"/>
      <c r="D810" s="5"/>
      <c r="E810" s="5"/>
    </row>
    <row r="811" ht="15.75" customHeight="1">
      <c r="A811" s="5"/>
      <c r="B811" s="5"/>
      <c r="C811" s="5"/>
      <c r="D811" s="5"/>
      <c r="E811" s="5"/>
    </row>
    <row r="812" ht="15.75" customHeight="1">
      <c r="A812" s="5"/>
      <c r="B812" s="5"/>
      <c r="C812" s="5"/>
      <c r="D812" s="5"/>
      <c r="E812" s="5"/>
    </row>
    <row r="813" ht="15.75" customHeight="1">
      <c r="A813" s="5"/>
      <c r="B813" s="5"/>
      <c r="C813" s="5"/>
      <c r="D813" s="5"/>
      <c r="E813" s="5"/>
    </row>
    <row r="814" ht="15.75" customHeight="1">
      <c r="A814" s="5"/>
      <c r="B814" s="5"/>
      <c r="C814" s="5"/>
      <c r="D814" s="5"/>
      <c r="E814" s="5"/>
    </row>
    <row r="815" ht="15.75" customHeight="1">
      <c r="A815" s="5"/>
      <c r="B815" s="5"/>
      <c r="C815" s="5"/>
      <c r="D815" s="5"/>
      <c r="E815" s="5"/>
    </row>
    <row r="816" ht="15.75" customHeight="1">
      <c r="A816" s="5"/>
      <c r="B816" s="5"/>
      <c r="C816" s="5"/>
      <c r="D816" s="5"/>
      <c r="E816" s="5"/>
    </row>
    <row r="817" ht="15.75" customHeight="1">
      <c r="A817" s="5"/>
      <c r="B817" s="5"/>
      <c r="C817" s="5"/>
      <c r="D817" s="5"/>
      <c r="E817" s="5"/>
    </row>
    <row r="818" ht="15.75" customHeight="1">
      <c r="A818" s="5"/>
      <c r="B818" s="5"/>
      <c r="C818" s="5"/>
      <c r="D818" s="5"/>
      <c r="E818" s="5"/>
    </row>
    <row r="819" ht="15.75" customHeight="1">
      <c r="A819" s="5"/>
      <c r="B819" s="5"/>
      <c r="C819" s="5"/>
      <c r="D819" s="5"/>
      <c r="E819" s="5"/>
    </row>
    <row r="820" ht="15.75" customHeight="1">
      <c r="A820" s="5"/>
      <c r="B820" s="5"/>
      <c r="C820" s="5"/>
      <c r="D820" s="5"/>
      <c r="E820" s="5"/>
    </row>
    <row r="821" ht="15.75" customHeight="1">
      <c r="A821" s="5"/>
      <c r="B821" s="5"/>
      <c r="C821" s="5"/>
      <c r="D821" s="5"/>
      <c r="E821" s="5"/>
    </row>
    <row r="822" ht="15.75" customHeight="1">
      <c r="A822" s="5"/>
      <c r="B822" s="5"/>
      <c r="C822" s="5"/>
      <c r="D822" s="5"/>
      <c r="E822" s="5"/>
    </row>
    <row r="823" ht="15.75" customHeight="1">
      <c r="A823" s="5"/>
      <c r="B823" s="5"/>
      <c r="C823" s="5"/>
      <c r="D823" s="5"/>
      <c r="E823" s="5"/>
    </row>
    <row r="824" ht="15.75" customHeight="1">
      <c r="A824" s="5"/>
      <c r="B824" s="5"/>
      <c r="C824" s="5"/>
      <c r="D824" s="5"/>
      <c r="E824" s="5"/>
    </row>
    <row r="825" ht="15.75" customHeight="1">
      <c r="A825" s="5"/>
      <c r="B825" s="5"/>
      <c r="C825" s="5"/>
      <c r="D825" s="5"/>
      <c r="E825" s="5"/>
    </row>
    <row r="826" ht="15.75" customHeight="1">
      <c r="A826" s="5"/>
      <c r="B826" s="5"/>
      <c r="C826" s="5"/>
      <c r="D826" s="5"/>
      <c r="E826" s="5"/>
    </row>
    <row r="827" ht="15.75" customHeight="1">
      <c r="A827" s="5"/>
      <c r="B827" s="5"/>
      <c r="C827" s="5"/>
      <c r="D827" s="5"/>
      <c r="E827" s="5"/>
    </row>
    <row r="828" ht="15.75" customHeight="1">
      <c r="A828" s="5"/>
      <c r="B828" s="5"/>
      <c r="C828" s="5"/>
      <c r="D828" s="5"/>
      <c r="E828" s="5"/>
    </row>
    <row r="829" ht="15.75" customHeight="1">
      <c r="A829" s="5"/>
      <c r="B829" s="5"/>
      <c r="C829" s="5"/>
      <c r="D829" s="5"/>
      <c r="E829" s="5"/>
    </row>
    <row r="830" ht="15.75" customHeight="1">
      <c r="A830" s="5"/>
      <c r="B830" s="5"/>
      <c r="C830" s="5"/>
      <c r="D830" s="5"/>
      <c r="E830" s="5"/>
    </row>
    <row r="831" ht="15.75" customHeight="1">
      <c r="A831" s="5"/>
      <c r="B831" s="5"/>
      <c r="C831" s="5"/>
      <c r="D831" s="5"/>
      <c r="E831" s="5"/>
    </row>
    <row r="832" ht="15.75" customHeight="1">
      <c r="A832" s="5"/>
      <c r="B832" s="5"/>
      <c r="C832" s="5"/>
      <c r="D832" s="5"/>
      <c r="E832" s="5"/>
    </row>
    <row r="833" ht="15.75" customHeight="1">
      <c r="A833" s="5"/>
      <c r="B833" s="5"/>
      <c r="C833" s="5"/>
      <c r="D833" s="5"/>
      <c r="E833" s="5"/>
    </row>
    <row r="834" ht="15.75" customHeight="1">
      <c r="A834" s="5"/>
      <c r="B834" s="5"/>
      <c r="C834" s="5"/>
      <c r="D834" s="5"/>
      <c r="E834" s="5"/>
    </row>
    <row r="835" ht="15.75" customHeight="1">
      <c r="A835" s="5"/>
      <c r="B835" s="5"/>
      <c r="C835" s="5"/>
      <c r="D835" s="5"/>
      <c r="E835" s="5"/>
    </row>
    <row r="836" ht="15.75" customHeight="1">
      <c r="A836" s="5"/>
      <c r="B836" s="5"/>
      <c r="C836" s="5"/>
      <c r="D836" s="5"/>
      <c r="E836" s="5"/>
    </row>
    <row r="837" ht="15.75" customHeight="1">
      <c r="A837" s="5"/>
      <c r="B837" s="5"/>
      <c r="C837" s="5"/>
      <c r="D837" s="5"/>
      <c r="E837" s="5"/>
    </row>
    <row r="838" ht="15.75" customHeight="1">
      <c r="A838" s="5"/>
      <c r="B838" s="5"/>
      <c r="C838" s="5"/>
      <c r="D838" s="5"/>
      <c r="E838" s="5"/>
    </row>
    <row r="839" ht="15.75" customHeight="1">
      <c r="A839" s="5"/>
      <c r="B839" s="5"/>
      <c r="C839" s="5"/>
      <c r="D839" s="5"/>
      <c r="E839" s="5"/>
    </row>
    <row r="840" ht="15.75" customHeight="1">
      <c r="A840" s="5"/>
      <c r="B840" s="5"/>
      <c r="C840" s="5"/>
      <c r="D840" s="5"/>
      <c r="E840" s="5"/>
    </row>
    <row r="841" ht="15.75" customHeight="1">
      <c r="A841" s="5"/>
      <c r="B841" s="5"/>
      <c r="C841" s="5"/>
      <c r="D841" s="5"/>
      <c r="E841" s="5"/>
    </row>
    <row r="842" ht="15.75" customHeight="1">
      <c r="A842" s="5"/>
      <c r="B842" s="5"/>
      <c r="C842" s="5"/>
      <c r="D842" s="5"/>
      <c r="E842" s="5"/>
    </row>
    <row r="843" ht="15.75" customHeight="1">
      <c r="A843" s="5"/>
      <c r="B843" s="5"/>
      <c r="C843" s="5"/>
      <c r="D843" s="5"/>
      <c r="E843" s="5"/>
    </row>
    <row r="844" ht="15.75" customHeight="1">
      <c r="A844" s="5"/>
      <c r="B844" s="5"/>
      <c r="C844" s="5"/>
      <c r="D844" s="5"/>
      <c r="E844" s="5"/>
    </row>
    <row r="845" ht="15.75" customHeight="1">
      <c r="A845" s="5"/>
      <c r="B845" s="5"/>
      <c r="C845" s="5"/>
      <c r="D845" s="5"/>
      <c r="E845" s="5"/>
    </row>
    <row r="846" ht="15.75" customHeight="1">
      <c r="A846" s="5"/>
      <c r="B846" s="5"/>
      <c r="C846" s="5"/>
      <c r="D846" s="5"/>
      <c r="E846" s="5"/>
    </row>
    <row r="847" ht="15.75" customHeight="1">
      <c r="A847" s="5"/>
      <c r="B847" s="5"/>
      <c r="C847" s="5"/>
      <c r="D847" s="5"/>
      <c r="E847" s="5"/>
    </row>
    <row r="848" ht="15.75" customHeight="1">
      <c r="A848" s="5"/>
      <c r="B848" s="5"/>
      <c r="C848" s="5"/>
      <c r="D848" s="5"/>
      <c r="E848" s="5"/>
    </row>
    <row r="849" ht="15.75" customHeight="1">
      <c r="A849" s="5"/>
      <c r="B849" s="5"/>
      <c r="C849" s="5"/>
      <c r="D849" s="5"/>
      <c r="E849" s="5"/>
    </row>
    <row r="850" ht="15.75" customHeight="1">
      <c r="A850" s="5"/>
      <c r="B850" s="5"/>
      <c r="C850" s="5"/>
      <c r="D850" s="5"/>
      <c r="E850" s="5"/>
    </row>
    <row r="851" ht="15.75" customHeight="1">
      <c r="A851" s="5"/>
      <c r="B851" s="5"/>
      <c r="C851" s="5"/>
      <c r="D851" s="5"/>
      <c r="E851" s="5"/>
    </row>
    <row r="852" ht="15.75" customHeight="1">
      <c r="A852" s="5"/>
      <c r="B852" s="5"/>
      <c r="C852" s="5"/>
      <c r="D852" s="5"/>
      <c r="E852" s="5"/>
    </row>
    <row r="853" ht="15.75" customHeight="1">
      <c r="A853" s="5"/>
      <c r="B853" s="5"/>
      <c r="C853" s="5"/>
      <c r="D853" s="5"/>
      <c r="E853" s="5"/>
    </row>
    <row r="854" ht="15.75" customHeight="1">
      <c r="A854" s="5"/>
      <c r="B854" s="5"/>
      <c r="C854" s="5"/>
      <c r="D854" s="5"/>
      <c r="E854" s="5"/>
    </row>
    <row r="855" ht="15.75" customHeight="1">
      <c r="A855" s="5"/>
      <c r="B855" s="5"/>
      <c r="C855" s="5"/>
      <c r="D855" s="5"/>
      <c r="E855" s="5"/>
    </row>
    <row r="856" ht="15.75" customHeight="1">
      <c r="A856" s="5"/>
      <c r="B856" s="5"/>
      <c r="C856" s="5"/>
      <c r="D856" s="5"/>
      <c r="E856" s="5"/>
    </row>
    <row r="857" ht="15.75" customHeight="1">
      <c r="A857" s="5"/>
      <c r="B857" s="5"/>
      <c r="C857" s="5"/>
      <c r="D857" s="5"/>
      <c r="E857" s="5"/>
    </row>
    <row r="858" ht="15.75" customHeight="1">
      <c r="A858" s="5"/>
      <c r="B858" s="5"/>
      <c r="C858" s="5"/>
      <c r="D858" s="5"/>
      <c r="E858" s="5"/>
    </row>
    <row r="859" ht="15.75" customHeight="1">
      <c r="A859" s="5"/>
      <c r="B859" s="5"/>
      <c r="C859" s="5"/>
      <c r="D859" s="5"/>
      <c r="E859" s="5"/>
    </row>
    <row r="860" ht="15.75" customHeight="1">
      <c r="A860" s="5"/>
      <c r="B860" s="5"/>
      <c r="C860" s="5"/>
      <c r="D860" s="5"/>
      <c r="E860" s="5"/>
    </row>
    <row r="861" ht="15.75" customHeight="1">
      <c r="A861" s="5"/>
      <c r="B861" s="5"/>
      <c r="C861" s="5"/>
      <c r="D861" s="5"/>
      <c r="E861" s="5"/>
    </row>
    <row r="862" ht="15.75" customHeight="1">
      <c r="A862" s="5"/>
      <c r="B862" s="5"/>
      <c r="C862" s="5"/>
      <c r="D862" s="5"/>
      <c r="E862" s="5"/>
    </row>
    <row r="863" ht="15.75" customHeight="1">
      <c r="A863" s="5"/>
      <c r="B863" s="5"/>
      <c r="C863" s="5"/>
      <c r="D863" s="5"/>
      <c r="E863" s="5"/>
    </row>
    <row r="864" ht="15.75" customHeight="1">
      <c r="A864" s="5"/>
      <c r="B864" s="5"/>
      <c r="C864" s="5"/>
      <c r="D864" s="5"/>
      <c r="E864" s="5"/>
    </row>
    <row r="865" ht="15.75" customHeight="1">
      <c r="A865" s="5"/>
      <c r="B865" s="5"/>
      <c r="C865" s="5"/>
      <c r="D865" s="5"/>
      <c r="E865" s="5"/>
    </row>
    <row r="866" ht="15.75" customHeight="1">
      <c r="A866" s="5"/>
      <c r="B866" s="5"/>
      <c r="C866" s="5"/>
      <c r="D866" s="5"/>
      <c r="E866" s="5"/>
    </row>
    <row r="867" ht="15.75" customHeight="1">
      <c r="A867" s="5"/>
      <c r="B867" s="5"/>
      <c r="C867" s="5"/>
      <c r="D867" s="5"/>
      <c r="E867" s="5"/>
    </row>
    <row r="868" ht="15.75" customHeight="1">
      <c r="A868" s="5"/>
      <c r="B868" s="5"/>
      <c r="C868" s="5"/>
      <c r="D868" s="5"/>
      <c r="E868" s="5"/>
    </row>
    <row r="869" ht="15.75" customHeight="1">
      <c r="A869" s="5"/>
      <c r="B869" s="5"/>
      <c r="C869" s="5"/>
      <c r="D869" s="5"/>
      <c r="E869" s="5"/>
    </row>
    <row r="870" ht="15.75" customHeight="1">
      <c r="A870" s="5"/>
      <c r="B870" s="5"/>
      <c r="C870" s="5"/>
      <c r="D870" s="5"/>
      <c r="E870" s="5"/>
    </row>
    <row r="871" ht="15.75" customHeight="1">
      <c r="A871" s="5"/>
      <c r="B871" s="5"/>
      <c r="C871" s="5"/>
      <c r="D871" s="5"/>
      <c r="E871" s="5"/>
    </row>
    <row r="872" ht="15.75" customHeight="1">
      <c r="A872" s="5"/>
      <c r="B872" s="5"/>
      <c r="C872" s="5"/>
      <c r="D872" s="5"/>
      <c r="E872" s="5"/>
    </row>
    <row r="873" ht="15.75" customHeight="1">
      <c r="A873" s="5"/>
      <c r="B873" s="5"/>
      <c r="C873" s="5"/>
      <c r="D873" s="5"/>
      <c r="E873" s="5"/>
    </row>
    <row r="874" ht="15.75" customHeight="1">
      <c r="A874" s="5"/>
      <c r="B874" s="5"/>
      <c r="C874" s="5"/>
      <c r="D874" s="5"/>
      <c r="E874" s="5"/>
    </row>
    <row r="875" ht="15.75" customHeight="1">
      <c r="A875" s="5"/>
      <c r="B875" s="5"/>
      <c r="C875" s="5"/>
      <c r="D875" s="5"/>
      <c r="E875" s="5"/>
    </row>
    <row r="876" ht="15.75" customHeight="1">
      <c r="A876" s="5"/>
      <c r="B876" s="5"/>
      <c r="C876" s="5"/>
      <c r="D876" s="5"/>
      <c r="E876" s="5"/>
    </row>
    <row r="877" ht="15.75" customHeight="1">
      <c r="A877" s="5"/>
      <c r="B877" s="5"/>
      <c r="C877" s="5"/>
      <c r="D877" s="5"/>
      <c r="E877" s="5"/>
    </row>
    <row r="878" ht="15.75" customHeight="1">
      <c r="A878" s="5"/>
      <c r="B878" s="5"/>
      <c r="C878" s="5"/>
      <c r="D878" s="5"/>
      <c r="E878" s="5"/>
    </row>
    <row r="879" ht="15.75" customHeight="1">
      <c r="A879" s="5"/>
      <c r="B879" s="5"/>
      <c r="C879" s="5"/>
      <c r="D879" s="5"/>
      <c r="E879" s="5"/>
    </row>
    <row r="880" ht="15.75" customHeight="1">
      <c r="A880" s="5"/>
      <c r="B880" s="5"/>
      <c r="C880" s="5"/>
      <c r="D880" s="5"/>
      <c r="E880" s="5"/>
    </row>
    <row r="881" ht="15.75" customHeight="1">
      <c r="A881" s="5"/>
      <c r="B881" s="5"/>
      <c r="C881" s="5"/>
      <c r="D881" s="5"/>
      <c r="E881" s="5"/>
    </row>
    <row r="882" ht="15.75" customHeight="1">
      <c r="A882" s="5"/>
      <c r="B882" s="5"/>
      <c r="C882" s="5"/>
      <c r="D882" s="5"/>
      <c r="E882" s="5"/>
    </row>
    <row r="883" ht="15.75" customHeight="1">
      <c r="A883" s="5"/>
      <c r="B883" s="5"/>
      <c r="C883" s="5"/>
      <c r="D883" s="5"/>
      <c r="E883" s="5"/>
    </row>
    <row r="884" ht="15.75" customHeight="1">
      <c r="A884" s="5"/>
      <c r="B884" s="5"/>
      <c r="C884" s="5"/>
      <c r="D884" s="5"/>
      <c r="E884" s="5"/>
    </row>
    <row r="885" ht="15.75" customHeight="1">
      <c r="A885" s="5"/>
      <c r="B885" s="5"/>
      <c r="C885" s="5"/>
      <c r="D885" s="5"/>
      <c r="E885" s="5"/>
    </row>
    <row r="886" ht="15.75" customHeight="1">
      <c r="A886" s="5"/>
      <c r="B886" s="5"/>
      <c r="C886" s="5"/>
      <c r="D886" s="5"/>
      <c r="E886" s="5"/>
    </row>
    <row r="887" ht="15.75" customHeight="1">
      <c r="A887" s="5"/>
      <c r="B887" s="5"/>
      <c r="C887" s="5"/>
      <c r="D887" s="5"/>
      <c r="E887" s="5"/>
    </row>
    <row r="888" ht="15.75" customHeight="1">
      <c r="A888" s="5"/>
      <c r="B888" s="5"/>
      <c r="C888" s="5"/>
      <c r="D888" s="5"/>
      <c r="E888" s="5"/>
    </row>
    <row r="889" ht="15.75" customHeight="1">
      <c r="A889" s="5"/>
      <c r="B889" s="5"/>
      <c r="C889" s="5"/>
      <c r="D889" s="5"/>
      <c r="E889" s="5"/>
    </row>
    <row r="890" ht="15.75" customHeight="1">
      <c r="A890" s="5"/>
      <c r="B890" s="5"/>
      <c r="C890" s="5"/>
      <c r="D890" s="5"/>
      <c r="E890" s="5"/>
    </row>
    <row r="891" ht="15.75" customHeight="1">
      <c r="A891" s="5"/>
      <c r="B891" s="5"/>
      <c r="C891" s="5"/>
      <c r="D891" s="5"/>
      <c r="E891" s="5"/>
    </row>
    <row r="892" ht="15.75" customHeight="1">
      <c r="A892" s="5"/>
      <c r="B892" s="5"/>
      <c r="C892" s="5"/>
      <c r="D892" s="5"/>
      <c r="E892" s="5"/>
    </row>
    <row r="893" ht="15.75" customHeight="1">
      <c r="A893" s="5"/>
      <c r="B893" s="5"/>
      <c r="C893" s="5"/>
      <c r="D893" s="5"/>
      <c r="E893" s="5"/>
    </row>
    <row r="894" ht="15.75" customHeight="1">
      <c r="A894" s="5"/>
      <c r="B894" s="5"/>
      <c r="C894" s="5"/>
      <c r="D894" s="5"/>
      <c r="E894" s="5"/>
    </row>
    <row r="895" ht="15.75" customHeight="1">
      <c r="A895" s="5"/>
      <c r="B895" s="5"/>
      <c r="C895" s="5"/>
      <c r="D895" s="5"/>
      <c r="E895" s="5"/>
    </row>
    <row r="896" ht="15.75" customHeight="1">
      <c r="A896" s="5"/>
      <c r="B896" s="5"/>
      <c r="C896" s="5"/>
      <c r="D896" s="5"/>
      <c r="E896" s="5"/>
    </row>
    <row r="897" ht="15.75" customHeight="1">
      <c r="A897" s="5"/>
      <c r="B897" s="5"/>
      <c r="C897" s="5"/>
      <c r="D897" s="5"/>
      <c r="E897" s="5"/>
    </row>
    <row r="898" ht="15.75" customHeight="1">
      <c r="A898" s="5"/>
      <c r="B898" s="5"/>
      <c r="C898" s="5"/>
      <c r="D898" s="5"/>
      <c r="E898" s="5"/>
    </row>
    <row r="899" ht="15.75" customHeight="1">
      <c r="A899" s="5"/>
      <c r="B899" s="5"/>
      <c r="C899" s="5"/>
      <c r="D899" s="5"/>
      <c r="E899" s="5"/>
    </row>
    <row r="900" ht="15.75" customHeight="1">
      <c r="A900" s="5"/>
      <c r="B900" s="5"/>
      <c r="C900" s="5"/>
      <c r="D900" s="5"/>
      <c r="E900" s="5"/>
    </row>
    <row r="901" ht="15.75" customHeight="1">
      <c r="A901" s="5"/>
      <c r="B901" s="5"/>
      <c r="C901" s="5"/>
      <c r="D901" s="5"/>
      <c r="E901" s="5"/>
    </row>
    <row r="902" ht="15.75" customHeight="1">
      <c r="A902" s="5"/>
      <c r="B902" s="5"/>
      <c r="C902" s="5"/>
      <c r="D902" s="5"/>
      <c r="E902" s="5"/>
    </row>
    <row r="903" ht="15.75" customHeight="1">
      <c r="A903" s="5"/>
      <c r="B903" s="5"/>
      <c r="C903" s="5"/>
      <c r="D903" s="5"/>
      <c r="E903" s="5"/>
    </row>
    <row r="904" ht="15.75" customHeight="1">
      <c r="A904" s="5"/>
      <c r="B904" s="5"/>
      <c r="C904" s="5"/>
      <c r="D904" s="5"/>
      <c r="E904" s="5"/>
    </row>
    <row r="905" ht="15.75" customHeight="1">
      <c r="A905" s="5"/>
      <c r="B905" s="5"/>
      <c r="C905" s="5"/>
      <c r="D905" s="5"/>
      <c r="E905" s="5"/>
    </row>
    <row r="906" ht="15.75" customHeight="1">
      <c r="A906" s="5"/>
      <c r="B906" s="5"/>
      <c r="C906" s="5"/>
      <c r="D906" s="5"/>
      <c r="E906" s="5"/>
    </row>
    <row r="907" ht="15.75" customHeight="1">
      <c r="A907" s="5"/>
      <c r="B907" s="5"/>
      <c r="C907" s="5"/>
      <c r="D907" s="5"/>
      <c r="E907" s="5"/>
    </row>
    <row r="908" ht="15.75" customHeight="1">
      <c r="A908" s="5"/>
      <c r="B908" s="5"/>
      <c r="C908" s="5"/>
      <c r="D908" s="5"/>
      <c r="E908" s="5"/>
    </row>
    <row r="909" ht="15.75" customHeight="1">
      <c r="A909" s="5"/>
      <c r="B909" s="5"/>
      <c r="C909" s="5"/>
      <c r="D909" s="5"/>
      <c r="E909" s="5"/>
    </row>
    <row r="910" ht="15.75" customHeight="1">
      <c r="A910" s="5"/>
      <c r="B910" s="5"/>
      <c r="C910" s="5"/>
      <c r="D910" s="5"/>
      <c r="E910" s="5"/>
    </row>
    <row r="911" ht="15.75" customHeight="1">
      <c r="A911" s="5"/>
      <c r="B911" s="5"/>
      <c r="C911" s="5"/>
      <c r="D911" s="5"/>
      <c r="E911" s="5"/>
    </row>
    <row r="912" ht="15.75" customHeight="1">
      <c r="A912" s="5"/>
      <c r="B912" s="5"/>
      <c r="C912" s="5"/>
      <c r="D912" s="5"/>
      <c r="E912" s="5"/>
    </row>
    <row r="913" ht="15.75" customHeight="1">
      <c r="A913" s="5"/>
      <c r="B913" s="5"/>
      <c r="C913" s="5"/>
      <c r="D913" s="5"/>
      <c r="E913" s="5"/>
    </row>
    <row r="914" ht="15.75" customHeight="1">
      <c r="A914" s="5"/>
      <c r="B914" s="5"/>
      <c r="C914" s="5"/>
      <c r="D914" s="5"/>
      <c r="E914" s="5"/>
    </row>
    <row r="915" ht="15.75" customHeight="1">
      <c r="A915" s="5"/>
      <c r="B915" s="5"/>
      <c r="C915" s="5"/>
      <c r="D915" s="5"/>
      <c r="E915" s="5"/>
    </row>
    <row r="916" ht="15.75" customHeight="1">
      <c r="A916" s="5"/>
      <c r="B916" s="5"/>
      <c r="C916" s="5"/>
      <c r="D916" s="5"/>
      <c r="E916" s="5"/>
    </row>
    <row r="917" ht="15.75" customHeight="1">
      <c r="A917" s="5"/>
      <c r="B917" s="5"/>
      <c r="C917" s="5"/>
      <c r="D917" s="5"/>
      <c r="E917" s="5"/>
    </row>
    <row r="918" ht="15.75" customHeight="1">
      <c r="A918" s="5"/>
      <c r="B918" s="5"/>
      <c r="C918" s="5"/>
      <c r="D918" s="5"/>
      <c r="E918" s="5"/>
    </row>
    <row r="919" ht="15.75" customHeight="1">
      <c r="A919" s="5"/>
      <c r="B919" s="5"/>
      <c r="C919" s="5"/>
      <c r="D919" s="5"/>
      <c r="E919" s="5"/>
    </row>
    <row r="920" ht="15.75" customHeight="1">
      <c r="A920" s="5"/>
      <c r="B920" s="5"/>
      <c r="C920" s="5"/>
      <c r="D920" s="5"/>
      <c r="E920" s="5"/>
    </row>
    <row r="921" ht="15.75" customHeight="1">
      <c r="A921" s="5"/>
      <c r="B921" s="5"/>
      <c r="C921" s="5"/>
      <c r="D921" s="5"/>
      <c r="E921" s="5"/>
    </row>
    <row r="922" ht="15.75" customHeight="1">
      <c r="A922" s="5"/>
      <c r="B922" s="5"/>
      <c r="C922" s="5"/>
      <c r="D922" s="5"/>
      <c r="E922" s="5"/>
    </row>
    <row r="923" ht="15.75" customHeight="1">
      <c r="A923" s="5"/>
      <c r="B923" s="5"/>
      <c r="C923" s="5"/>
      <c r="D923" s="5"/>
      <c r="E923" s="5"/>
    </row>
    <row r="924" ht="15.75" customHeight="1">
      <c r="A924" s="5"/>
      <c r="B924" s="5"/>
      <c r="C924" s="5"/>
      <c r="D924" s="5"/>
      <c r="E924" s="5"/>
    </row>
    <row r="925" ht="15.75" customHeight="1">
      <c r="A925" s="5"/>
      <c r="B925" s="5"/>
      <c r="C925" s="5"/>
      <c r="D925" s="5"/>
      <c r="E925" s="5"/>
    </row>
    <row r="926" ht="15.75" customHeight="1">
      <c r="A926" s="5"/>
      <c r="B926" s="5"/>
      <c r="C926" s="5"/>
      <c r="D926" s="5"/>
      <c r="E926" s="5"/>
    </row>
    <row r="927" ht="15.75" customHeight="1">
      <c r="A927" s="5"/>
      <c r="B927" s="5"/>
      <c r="C927" s="5"/>
      <c r="D927" s="5"/>
      <c r="E927" s="5"/>
    </row>
    <row r="928" ht="15.75" customHeight="1">
      <c r="A928" s="5"/>
      <c r="B928" s="5"/>
      <c r="C928" s="5"/>
      <c r="D928" s="5"/>
      <c r="E928" s="5"/>
    </row>
    <row r="929" ht="15.75" customHeight="1">
      <c r="A929" s="5"/>
      <c r="B929" s="5"/>
      <c r="C929" s="5"/>
      <c r="D929" s="5"/>
      <c r="E929" s="5"/>
    </row>
    <row r="930" ht="15.75" customHeight="1">
      <c r="A930" s="5"/>
      <c r="B930" s="5"/>
      <c r="C930" s="5"/>
      <c r="D930" s="5"/>
      <c r="E930" s="5"/>
    </row>
    <row r="931" ht="15.75" customHeight="1">
      <c r="A931" s="5"/>
      <c r="B931" s="5"/>
      <c r="C931" s="5"/>
      <c r="D931" s="5"/>
      <c r="E931" s="5"/>
    </row>
    <row r="932" ht="15.75" customHeight="1">
      <c r="A932" s="5"/>
      <c r="B932" s="5"/>
      <c r="C932" s="5"/>
      <c r="D932" s="5"/>
      <c r="E932" s="5"/>
    </row>
    <row r="933" ht="15.75" customHeight="1">
      <c r="A933" s="5"/>
      <c r="B933" s="5"/>
      <c r="C933" s="5"/>
      <c r="D933" s="5"/>
      <c r="E933" s="5"/>
    </row>
    <row r="934" ht="15.75" customHeight="1">
      <c r="A934" s="5"/>
      <c r="B934" s="5"/>
      <c r="C934" s="5"/>
      <c r="D934" s="5"/>
      <c r="E934" s="5"/>
    </row>
    <row r="935" ht="15.75" customHeight="1">
      <c r="A935" s="5"/>
      <c r="B935" s="5"/>
      <c r="C935" s="5"/>
      <c r="D935" s="5"/>
      <c r="E935" s="5"/>
    </row>
    <row r="936" ht="15.75" customHeight="1">
      <c r="A936" s="5"/>
      <c r="B936" s="5"/>
      <c r="C936" s="5"/>
      <c r="D936" s="5"/>
      <c r="E936" s="5"/>
    </row>
    <row r="937" ht="15.75" customHeight="1">
      <c r="A937" s="5"/>
      <c r="B937" s="5"/>
      <c r="C937" s="5"/>
      <c r="D937" s="5"/>
      <c r="E937" s="5"/>
    </row>
    <row r="938" ht="15.75" customHeight="1">
      <c r="A938" s="5"/>
      <c r="B938" s="5"/>
      <c r="C938" s="5"/>
      <c r="D938" s="5"/>
      <c r="E938" s="5"/>
    </row>
    <row r="939" ht="15.75" customHeight="1">
      <c r="A939" s="5"/>
      <c r="B939" s="5"/>
      <c r="C939" s="5"/>
      <c r="D939" s="5"/>
      <c r="E939" s="5"/>
    </row>
    <row r="940" ht="15.75" customHeight="1">
      <c r="A940" s="5"/>
      <c r="B940" s="5"/>
      <c r="C940" s="5"/>
      <c r="D940" s="5"/>
      <c r="E940" s="5"/>
    </row>
    <row r="941" ht="15.75" customHeight="1">
      <c r="A941" s="5"/>
      <c r="B941" s="5"/>
      <c r="C941" s="5"/>
      <c r="D941" s="5"/>
      <c r="E941" s="5"/>
    </row>
    <row r="942" ht="15.75" customHeight="1">
      <c r="A942" s="5"/>
      <c r="B942" s="5"/>
      <c r="C942" s="5"/>
      <c r="D942" s="5"/>
      <c r="E942" s="5"/>
    </row>
    <row r="943" ht="15.75" customHeight="1">
      <c r="A943" s="5"/>
      <c r="B943" s="5"/>
      <c r="C943" s="5"/>
      <c r="D943" s="5"/>
      <c r="E943" s="5"/>
    </row>
    <row r="944" ht="15.75" customHeight="1">
      <c r="A944" s="5"/>
      <c r="B944" s="5"/>
      <c r="C944" s="5"/>
      <c r="D944" s="5"/>
      <c r="E944" s="5"/>
    </row>
    <row r="945" ht="15.75" customHeight="1">
      <c r="A945" s="5"/>
      <c r="B945" s="5"/>
      <c r="C945" s="5"/>
      <c r="D945" s="5"/>
      <c r="E945" s="5"/>
    </row>
    <row r="946" ht="15.75" customHeight="1">
      <c r="A946" s="5"/>
      <c r="B946" s="5"/>
      <c r="C946" s="5"/>
      <c r="D946" s="5"/>
      <c r="E946" s="5"/>
    </row>
    <row r="947" ht="15.75" customHeight="1">
      <c r="A947" s="5"/>
      <c r="B947" s="5"/>
      <c r="C947" s="5"/>
      <c r="D947" s="5"/>
      <c r="E947" s="5"/>
    </row>
    <row r="948" ht="15.75" customHeight="1">
      <c r="A948" s="5"/>
      <c r="B948" s="5"/>
      <c r="C948" s="5"/>
      <c r="D948" s="5"/>
      <c r="E948" s="5"/>
    </row>
    <row r="949" ht="15.75" customHeight="1">
      <c r="A949" s="5"/>
      <c r="B949" s="5"/>
      <c r="C949" s="5"/>
      <c r="D949" s="5"/>
      <c r="E949" s="5"/>
    </row>
    <row r="950" ht="15.75" customHeight="1">
      <c r="A950" s="5"/>
      <c r="B950" s="5"/>
      <c r="C950" s="5"/>
      <c r="D950" s="5"/>
      <c r="E950" s="5"/>
    </row>
    <row r="951" ht="15.75" customHeight="1">
      <c r="A951" s="5"/>
      <c r="B951" s="5"/>
      <c r="C951" s="5"/>
      <c r="D951" s="5"/>
      <c r="E951" s="5"/>
    </row>
    <row r="952" ht="15.75" customHeight="1">
      <c r="A952" s="5"/>
      <c r="B952" s="5"/>
      <c r="C952" s="5"/>
      <c r="D952" s="5"/>
      <c r="E952" s="5"/>
    </row>
    <row r="953" ht="15.75" customHeight="1">
      <c r="A953" s="5"/>
      <c r="B953" s="5"/>
      <c r="C953" s="5"/>
      <c r="D953" s="5"/>
      <c r="E953" s="5"/>
    </row>
    <row r="954" ht="15.75" customHeight="1">
      <c r="A954" s="5"/>
      <c r="B954" s="5"/>
      <c r="C954" s="5"/>
      <c r="D954" s="5"/>
      <c r="E954" s="5"/>
    </row>
    <row r="955" ht="15.75" customHeight="1">
      <c r="A955" s="5"/>
      <c r="B955" s="5"/>
      <c r="C955" s="5"/>
      <c r="D955" s="5"/>
      <c r="E955" s="5"/>
    </row>
    <row r="956" ht="15.75" customHeight="1">
      <c r="A956" s="5"/>
      <c r="B956" s="5"/>
      <c r="C956" s="5"/>
      <c r="D956" s="5"/>
      <c r="E956" s="5"/>
    </row>
    <row r="957" ht="15.75" customHeight="1">
      <c r="A957" s="5"/>
      <c r="B957" s="5"/>
      <c r="C957" s="5"/>
      <c r="D957" s="5"/>
      <c r="E957" s="5"/>
    </row>
    <row r="958" ht="15.75" customHeight="1">
      <c r="A958" s="5"/>
      <c r="B958" s="5"/>
      <c r="C958" s="5"/>
      <c r="D958" s="5"/>
      <c r="E958" s="5"/>
    </row>
    <row r="959" ht="15.75" customHeight="1">
      <c r="A959" s="5"/>
      <c r="B959" s="5"/>
      <c r="C959" s="5"/>
      <c r="D959" s="5"/>
      <c r="E959" s="5"/>
    </row>
    <row r="960" ht="15.75" customHeight="1">
      <c r="A960" s="5"/>
      <c r="B960" s="5"/>
      <c r="C960" s="5"/>
      <c r="D960" s="5"/>
      <c r="E960" s="5"/>
    </row>
    <row r="961" ht="15.75" customHeight="1">
      <c r="A961" s="5"/>
      <c r="B961" s="5"/>
      <c r="C961" s="5"/>
      <c r="D961" s="5"/>
      <c r="E961" s="5"/>
    </row>
    <row r="962" ht="15.75" customHeight="1">
      <c r="A962" s="5"/>
      <c r="B962" s="5"/>
      <c r="C962" s="5"/>
      <c r="D962" s="5"/>
      <c r="E962" s="5"/>
    </row>
    <row r="963" ht="15.75" customHeight="1">
      <c r="A963" s="5"/>
      <c r="B963" s="5"/>
      <c r="C963" s="5"/>
      <c r="D963" s="5"/>
      <c r="E963" s="5"/>
    </row>
    <row r="964" ht="15.75" customHeight="1">
      <c r="A964" s="5"/>
      <c r="B964" s="5"/>
      <c r="C964" s="5"/>
      <c r="D964" s="5"/>
      <c r="E964" s="5"/>
    </row>
    <row r="965" ht="15.75" customHeight="1">
      <c r="A965" s="5"/>
      <c r="B965" s="5"/>
      <c r="C965" s="5"/>
      <c r="D965" s="5"/>
      <c r="E965" s="5"/>
    </row>
    <row r="966" ht="15.75" customHeight="1">
      <c r="A966" s="5"/>
      <c r="B966" s="5"/>
      <c r="C966" s="5"/>
      <c r="D966" s="5"/>
      <c r="E966" s="5"/>
    </row>
    <row r="967" ht="15.75" customHeight="1">
      <c r="A967" s="5"/>
      <c r="B967" s="5"/>
      <c r="C967" s="5"/>
      <c r="D967" s="5"/>
      <c r="E967" s="5"/>
    </row>
    <row r="968" ht="15.75" customHeight="1">
      <c r="A968" s="5"/>
      <c r="B968" s="5"/>
      <c r="C968" s="5"/>
      <c r="D968" s="5"/>
      <c r="E968" s="5"/>
    </row>
    <row r="969" ht="15.75" customHeight="1">
      <c r="A969" s="5"/>
      <c r="B969" s="5"/>
      <c r="C969" s="5"/>
      <c r="D969" s="5"/>
      <c r="E969" s="5"/>
    </row>
    <row r="970" ht="15.75" customHeight="1">
      <c r="A970" s="5"/>
      <c r="B970" s="5"/>
      <c r="C970" s="5"/>
      <c r="D970" s="5"/>
      <c r="E970" s="5"/>
    </row>
    <row r="971" ht="15.75" customHeight="1">
      <c r="A971" s="5"/>
      <c r="B971" s="5"/>
      <c r="C971" s="5"/>
      <c r="D971" s="5"/>
      <c r="E971" s="5"/>
    </row>
    <row r="972" ht="15.75" customHeight="1">
      <c r="A972" s="5"/>
      <c r="B972" s="5"/>
      <c r="C972" s="5"/>
      <c r="D972" s="5"/>
      <c r="E972" s="5"/>
    </row>
    <row r="973" ht="15.75" customHeight="1">
      <c r="A973" s="5"/>
      <c r="B973" s="5"/>
      <c r="C973" s="5"/>
      <c r="D973" s="5"/>
      <c r="E973" s="5"/>
    </row>
    <row r="974" ht="15.75" customHeight="1">
      <c r="A974" s="5"/>
      <c r="B974" s="5"/>
      <c r="C974" s="5"/>
      <c r="D974" s="5"/>
      <c r="E974" s="5"/>
    </row>
    <row r="975" ht="15.75" customHeight="1">
      <c r="A975" s="5"/>
      <c r="B975" s="5"/>
      <c r="C975" s="5"/>
      <c r="D975" s="5"/>
      <c r="E975" s="5"/>
    </row>
    <row r="976" ht="15.75" customHeight="1">
      <c r="A976" s="5"/>
      <c r="B976" s="5"/>
      <c r="C976" s="5"/>
      <c r="D976" s="5"/>
      <c r="E976" s="5"/>
    </row>
    <row r="977" ht="15.75" customHeight="1">
      <c r="A977" s="5"/>
      <c r="B977" s="5"/>
      <c r="C977" s="5"/>
      <c r="D977" s="5"/>
      <c r="E977" s="5"/>
    </row>
    <row r="978" ht="15.75" customHeight="1">
      <c r="A978" s="5"/>
      <c r="B978" s="5"/>
      <c r="C978" s="5"/>
      <c r="D978" s="5"/>
      <c r="E978" s="5"/>
    </row>
    <row r="979" ht="15.75" customHeight="1">
      <c r="A979" s="5"/>
      <c r="B979" s="5"/>
      <c r="C979" s="5"/>
      <c r="D979" s="5"/>
      <c r="E979" s="5"/>
    </row>
    <row r="980" ht="15.75" customHeight="1">
      <c r="A980" s="5"/>
      <c r="B980" s="5"/>
      <c r="C980" s="5"/>
      <c r="D980" s="5"/>
      <c r="E980" s="5"/>
    </row>
    <row r="981" ht="15.75" customHeight="1">
      <c r="A981" s="5"/>
      <c r="B981" s="5"/>
      <c r="C981" s="5"/>
      <c r="D981" s="5"/>
      <c r="E981" s="5"/>
    </row>
    <row r="982" ht="15.75" customHeight="1">
      <c r="A982" s="5"/>
      <c r="B982" s="5"/>
      <c r="C982" s="5"/>
      <c r="D982" s="5"/>
      <c r="E982" s="5"/>
    </row>
    <row r="983" ht="15.75" customHeight="1">
      <c r="A983" s="5"/>
      <c r="B983" s="5"/>
      <c r="C983" s="5"/>
      <c r="D983" s="5"/>
      <c r="E983" s="5"/>
    </row>
    <row r="984" ht="15.75" customHeight="1">
      <c r="A984" s="5"/>
      <c r="B984" s="5"/>
      <c r="C984" s="5"/>
      <c r="D984" s="5"/>
      <c r="E984" s="5"/>
    </row>
    <row r="985" ht="15.75" customHeight="1">
      <c r="A985" s="5"/>
      <c r="B985" s="5"/>
      <c r="C985" s="5"/>
      <c r="D985" s="5"/>
      <c r="E985" s="5"/>
    </row>
    <row r="986" ht="15.75" customHeight="1">
      <c r="A986" s="5"/>
      <c r="B986" s="5"/>
      <c r="C986" s="5"/>
      <c r="D986" s="5"/>
      <c r="E986" s="5"/>
    </row>
    <row r="987" ht="15.75" customHeight="1">
      <c r="A987" s="5"/>
      <c r="B987" s="5"/>
      <c r="C987" s="5"/>
      <c r="D987" s="5"/>
      <c r="E987" s="5"/>
    </row>
    <row r="988" ht="15.75" customHeight="1">
      <c r="A988" s="5"/>
      <c r="B988" s="5"/>
      <c r="C988" s="5"/>
      <c r="D988" s="5"/>
      <c r="E988" s="5"/>
    </row>
    <row r="989" ht="15.75" customHeight="1">
      <c r="A989" s="5"/>
      <c r="B989" s="5"/>
      <c r="C989" s="5"/>
      <c r="D989" s="5"/>
      <c r="E989" s="5"/>
    </row>
    <row r="990" ht="15.75" customHeight="1">
      <c r="A990" s="5"/>
      <c r="B990" s="5"/>
      <c r="C990" s="5"/>
      <c r="D990" s="5"/>
      <c r="E990" s="5"/>
    </row>
    <row r="991" ht="15.75" customHeight="1">
      <c r="A991" s="5"/>
      <c r="B991" s="5"/>
      <c r="C991" s="5"/>
      <c r="D991" s="5"/>
      <c r="E991" s="5"/>
    </row>
    <row r="992" ht="15.75" customHeight="1">
      <c r="A992" s="5"/>
      <c r="B992" s="5"/>
      <c r="C992" s="5"/>
      <c r="D992" s="5"/>
      <c r="E992" s="5"/>
    </row>
    <row r="993" ht="15.75" customHeight="1">
      <c r="A993" s="5"/>
      <c r="B993" s="5"/>
      <c r="C993" s="5"/>
      <c r="D993" s="5"/>
      <c r="E993" s="5"/>
    </row>
    <row r="994" ht="15.75" customHeight="1">
      <c r="A994" s="5"/>
      <c r="B994" s="5"/>
      <c r="C994" s="5"/>
      <c r="D994" s="5"/>
      <c r="E994" s="5"/>
    </row>
    <row r="995" ht="15.75" customHeight="1">
      <c r="A995" s="5"/>
      <c r="B995" s="5"/>
      <c r="C995" s="5"/>
      <c r="D995" s="5"/>
      <c r="E995" s="5"/>
    </row>
    <row r="996" ht="15.75" customHeight="1">
      <c r="A996" s="5"/>
      <c r="B996" s="5"/>
      <c r="C996" s="5"/>
      <c r="D996" s="5"/>
      <c r="E996" s="5"/>
    </row>
    <row r="997" ht="15.75" customHeight="1">
      <c r="A997" s="5"/>
      <c r="B997" s="5"/>
      <c r="C997" s="5"/>
      <c r="D997" s="5"/>
      <c r="E997" s="5"/>
    </row>
    <row r="998" ht="15.75" customHeight="1">
      <c r="A998" s="5"/>
      <c r="B998" s="5"/>
      <c r="C998" s="5"/>
      <c r="D998" s="5"/>
      <c r="E998" s="5"/>
    </row>
    <row r="999" ht="15.75" customHeight="1">
      <c r="A999" s="5"/>
      <c r="B999" s="5"/>
      <c r="C999" s="5"/>
      <c r="D999" s="5"/>
      <c r="E999" s="5"/>
    </row>
    <row r="1000" ht="15.75" customHeight="1">
      <c r="A1000" s="5"/>
      <c r="B1000" s="5"/>
      <c r="C1000" s="5"/>
      <c r="D1000" s="5"/>
      <c r="E1000" s="5"/>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9.88"/>
    <col customWidth="1" min="2" max="2" width="20.0"/>
    <col customWidth="1" min="3" max="3" width="12.5"/>
    <col customWidth="1" min="4" max="6" width="12.63"/>
  </cols>
  <sheetData>
    <row r="1" ht="15.0" customHeight="1">
      <c r="A1" s="23" t="s">
        <v>268</v>
      </c>
      <c r="B1" s="5"/>
      <c r="C1" s="24"/>
      <c r="D1" s="25"/>
      <c r="E1" s="25"/>
      <c r="F1" s="25"/>
      <c r="G1" s="25"/>
      <c r="H1" s="25"/>
      <c r="I1" s="25"/>
      <c r="J1" s="25"/>
      <c r="K1" s="25"/>
      <c r="L1" s="25"/>
      <c r="M1" s="25"/>
      <c r="N1" s="25"/>
      <c r="O1" s="25"/>
      <c r="P1" s="25"/>
      <c r="Q1" s="25"/>
      <c r="R1" s="25"/>
      <c r="S1" s="25"/>
      <c r="T1" s="25"/>
      <c r="U1" s="25"/>
      <c r="V1" s="25"/>
      <c r="W1" s="25"/>
      <c r="X1" s="25"/>
      <c r="Y1" s="25"/>
      <c r="Z1" s="25"/>
    </row>
    <row r="2">
      <c r="A2" s="5"/>
      <c r="B2" s="5"/>
      <c r="C2" s="5"/>
    </row>
    <row r="3">
      <c r="A3" s="5" t="s">
        <v>269</v>
      </c>
      <c r="B3" s="5"/>
      <c r="C3" s="5"/>
    </row>
    <row r="4">
      <c r="A4" s="5" t="s">
        <v>270</v>
      </c>
      <c r="B4" s="5"/>
      <c r="C4" s="5"/>
    </row>
    <row r="5">
      <c r="A5" s="5" t="s">
        <v>271</v>
      </c>
      <c r="B5" s="5"/>
      <c r="C5" s="5"/>
    </row>
    <row r="6">
      <c r="A6" s="5" t="s">
        <v>272</v>
      </c>
      <c r="B6" s="5"/>
      <c r="C6" s="5"/>
    </row>
    <row r="7">
      <c r="A7" s="5" t="s">
        <v>273</v>
      </c>
      <c r="B7" s="5"/>
      <c r="C7" s="5"/>
    </row>
    <row r="8">
      <c r="A8" s="5"/>
      <c r="B8" s="5"/>
      <c r="C8" s="5"/>
    </row>
    <row r="9">
      <c r="A9" s="5" t="s">
        <v>274</v>
      </c>
      <c r="B9" s="5"/>
      <c r="C9" s="5"/>
    </row>
    <row r="10">
      <c r="A10" s="5" t="s">
        <v>275</v>
      </c>
      <c r="B10" s="5"/>
      <c r="C10" s="5"/>
    </row>
    <row r="11">
      <c r="A11" s="5" t="s">
        <v>276</v>
      </c>
      <c r="B11" s="5"/>
      <c r="C11" s="5"/>
    </row>
    <row r="12">
      <c r="A12" s="5" t="s">
        <v>277</v>
      </c>
      <c r="B12" s="5"/>
      <c r="C12" s="5"/>
    </row>
    <row r="13">
      <c r="A13" s="5"/>
      <c r="B13" s="5"/>
      <c r="C13" s="5"/>
    </row>
    <row r="14">
      <c r="A14" s="5" t="s">
        <v>278</v>
      </c>
      <c r="B14" s="5"/>
      <c r="C14" s="5"/>
    </row>
    <row r="15">
      <c r="A15" s="5" t="s">
        <v>279</v>
      </c>
      <c r="B15" s="5"/>
      <c r="C15" s="5"/>
    </row>
    <row r="16">
      <c r="A16" s="5" t="s">
        <v>280</v>
      </c>
      <c r="B16" s="5"/>
      <c r="C16" s="5"/>
    </row>
    <row r="17">
      <c r="A17" s="5" t="s">
        <v>281</v>
      </c>
      <c r="B17" s="5"/>
      <c r="C17" s="5"/>
    </row>
    <row r="18">
      <c r="A18" s="5"/>
      <c r="B18" s="5"/>
      <c r="C18" s="5"/>
    </row>
    <row r="19">
      <c r="A19" s="5" t="s">
        <v>282</v>
      </c>
      <c r="B19" s="5"/>
      <c r="C19" s="5"/>
    </row>
    <row r="20">
      <c r="A20" s="5" t="s">
        <v>283</v>
      </c>
      <c r="B20" s="5"/>
      <c r="C20" s="5"/>
    </row>
    <row r="21" ht="15.75" customHeight="1">
      <c r="A21" s="5" t="s">
        <v>284</v>
      </c>
      <c r="B21" s="5"/>
      <c r="C21" s="5"/>
    </row>
    <row r="22" ht="15.75" customHeight="1">
      <c r="A22" s="5"/>
      <c r="B22" s="5"/>
      <c r="C22" s="5"/>
    </row>
    <row r="23" ht="15.75" customHeight="1">
      <c r="A23" s="5" t="s">
        <v>285</v>
      </c>
      <c r="B23" s="5"/>
      <c r="C23" s="5"/>
    </row>
    <row r="24" ht="15.75" customHeight="1">
      <c r="A24" s="5" t="s">
        <v>286</v>
      </c>
      <c r="B24" s="5"/>
      <c r="C24" s="5"/>
    </row>
    <row r="25" ht="15.75" customHeight="1">
      <c r="A25" s="5" t="s">
        <v>287</v>
      </c>
      <c r="B25" s="5"/>
      <c r="C25" s="5"/>
    </row>
    <row r="26" ht="15.75" customHeight="1">
      <c r="A26" s="5" t="s">
        <v>288</v>
      </c>
      <c r="B26" s="5"/>
      <c r="C26" s="5"/>
    </row>
    <row r="27" ht="15.75" customHeight="1">
      <c r="A27" s="5"/>
      <c r="B27" s="5"/>
      <c r="C27" s="5"/>
    </row>
    <row r="28" ht="15.75" customHeight="1">
      <c r="A28" s="5" t="s">
        <v>289</v>
      </c>
      <c r="B28" s="5"/>
      <c r="C28" s="5"/>
    </row>
    <row r="29" ht="15.75" customHeight="1">
      <c r="A29" s="5" t="s">
        <v>290</v>
      </c>
      <c r="B29" s="5"/>
      <c r="C29" s="5"/>
    </row>
    <row r="30" ht="15.75" customHeight="1">
      <c r="A30" s="5" t="s">
        <v>291</v>
      </c>
      <c r="B30" s="5"/>
      <c r="C30" s="5"/>
    </row>
    <row r="31" ht="15.75" customHeight="1">
      <c r="A31" s="5" t="s">
        <v>292</v>
      </c>
      <c r="B31" s="5"/>
      <c r="C31" s="5"/>
    </row>
    <row r="32" ht="15.75" customHeight="1">
      <c r="A32" s="5" t="s">
        <v>293</v>
      </c>
      <c r="B32" s="5"/>
      <c r="C32" s="5"/>
    </row>
    <row r="33" ht="15.75" customHeight="1">
      <c r="A33" s="5" t="s">
        <v>294</v>
      </c>
      <c r="B33" s="5"/>
      <c r="C33" s="5"/>
    </row>
    <row r="34" ht="15.75" customHeight="1">
      <c r="A34" s="5"/>
      <c r="B34" s="5"/>
      <c r="C34" s="5"/>
    </row>
    <row r="35" ht="15.75" customHeight="1">
      <c r="A35" s="5" t="s">
        <v>295</v>
      </c>
      <c r="B35" s="5"/>
      <c r="C35" s="5"/>
    </row>
    <row r="36" ht="15.75" customHeight="1">
      <c r="A36" s="5" t="s">
        <v>296</v>
      </c>
      <c r="B36" s="5"/>
      <c r="C36" s="5"/>
    </row>
    <row r="37" ht="15.75" customHeight="1">
      <c r="A37" s="5" t="s">
        <v>297</v>
      </c>
      <c r="B37" s="5"/>
      <c r="C37" s="5"/>
    </row>
    <row r="38" ht="15.75" customHeight="1">
      <c r="A38" s="5" t="s">
        <v>298</v>
      </c>
      <c r="B38" s="5"/>
      <c r="C38" s="5"/>
    </row>
    <row r="39" ht="15.75" customHeight="1">
      <c r="A39" s="5" t="s">
        <v>299</v>
      </c>
      <c r="B39" s="5"/>
      <c r="C39" s="5"/>
    </row>
    <row r="40" ht="15.75" customHeight="1">
      <c r="A40" s="5"/>
      <c r="B40" s="5"/>
      <c r="C40" s="5"/>
    </row>
    <row r="41" ht="15.75" customHeight="1">
      <c r="A41" s="5" t="s">
        <v>300</v>
      </c>
      <c r="B41" s="5"/>
      <c r="C41" s="5"/>
    </row>
    <row r="42" ht="15.75" customHeight="1">
      <c r="A42" s="5" t="s">
        <v>301</v>
      </c>
      <c r="B42" s="5"/>
      <c r="C42" s="5"/>
    </row>
    <row r="43" ht="15.75" customHeight="1">
      <c r="A43" s="5" t="s">
        <v>302</v>
      </c>
      <c r="B43" s="5"/>
      <c r="C43" s="5"/>
    </row>
    <row r="44" ht="15.75" customHeight="1">
      <c r="A44" s="5" t="s">
        <v>303</v>
      </c>
      <c r="B44" s="5"/>
      <c r="C44" s="5"/>
    </row>
    <row r="45" ht="15.75" customHeight="1">
      <c r="A45" s="5" t="s">
        <v>304</v>
      </c>
      <c r="B45" s="5"/>
      <c r="C45" s="5"/>
    </row>
    <row r="46" ht="15.75" customHeight="1">
      <c r="A46" s="5"/>
      <c r="B46" s="5"/>
      <c r="C46" s="5"/>
    </row>
    <row r="47" ht="15.75" customHeight="1">
      <c r="A47" s="5" t="s">
        <v>305</v>
      </c>
      <c r="B47" s="5"/>
      <c r="C47" s="5"/>
    </row>
    <row r="48" ht="15.75" customHeight="1">
      <c r="A48" s="5" t="s">
        <v>306</v>
      </c>
      <c r="B48" s="5"/>
      <c r="C48" s="5"/>
    </row>
    <row r="49" ht="15.75" customHeight="1">
      <c r="A49" s="5" t="s">
        <v>307</v>
      </c>
      <c r="B49" s="5"/>
      <c r="C49" s="5"/>
    </row>
    <row r="50" ht="15.75" customHeight="1">
      <c r="A50" s="5" t="s">
        <v>308</v>
      </c>
      <c r="B50" s="5"/>
      <c r="C50" s="5"/>
    </row>
    <row r="51" ht="15.75" customHeight="1">
      <c r="A51" s="5" t="s">
        <v>309</v>
      </c>
      <c r="B51" s="5"/>
      <c r="C51" s="5"/>
    </row>
    <row r="52" ht="15.75" customHeight="1">
      <c r="A52" s="5" t="s">
        <v>310</v>
      </c>
      <c r="B52" s="5"/>
      <c r="C52" s="5"/>
    </row>
    <row r="53" ht="15.75" customHeight="1">
      <c r="A53" s="5"/>
      <c r="B53" s="5"/>
      <c r="C53" s="5"/>
    </row>
    <row r="54" ht="15.75" customHeight="1">
      <c r="A54" s="5" t="s">
        <v>311</v>
      </c>
      <c r="B54" s="5"/>
      <c r="C54" s="5"/>
    </row>
    <row r="55" ht="15.75" customHeight="1">
      <c r="A55" s="5" t="s">
        <v>312</v>
      </c>
      <c r="B55" s="5"/>
      <c r="C55" s="5"/>
    </row>
    <row r="56" ht="15.75" customHeight="1">
      <c r="A56" s="5" t="s">
        <v>313</v>
      </c>
      <c r="B56" s="5"/>
      <c r="C56" s="5"/>
    </row>
    <row r="57" ht="15.75" customHeight="1">
      <c r="A57" s="5"/>
      <c r="B57" s="5"/>
      <c r="C57" s="5"/>
    </row>
    <row r="58" ht="15.75" customHeight="1">
      <c r="A58" s="5" t="s">
        <v>314</v>
      </c>
      <c r="B58" s="5"/>
      <c r="C58" s="5"/>
    </row>
    <row r="59" ht="15.75" customHeight="1">
      <c r="A59" s="5" t="s">
        <v>315</v>
      </c>
      <c r="B59" s="5"/>
      <c r="C59" s="5"/>
    </row>
    <row r="60" ht="15.75" customHeight="1">
      <c r="A60" s="5" t="s">
        <v>316</v>
      </c>
      <c r="B60" s="5"/>
      <c r="C60" s="5"/>
    </row>
    <row r="61" ht="15.75" customHeight="1">
      <c r="A61" s="5" t="s">
        <v>317</v>
      </c>
      <c r="B61" s="5"/>
      <c r="C61" s="5"/>
    </row>
    <row r="62" ht="15.75" customHeight="1">
      <c r="A62" s="5" t="s">
        <v>318</v>
      </c>
      <c r="B62" s="5"/>
      <c r="C62" s="5"/>
    </row>
    <row r="63" ht="15.75" customHeight="1">
      <c r="A63" s="5" t="s">
        <v>319</v>
      </c>
      <c r="B63" s="5"/>
      <c r="C63" s="5"/>
    </row>
    <row r="64" ht="15.75" customHeight="1">
      <c r="A64" s="5" t="s">
        <v>320</v>
      </c>
      <c r="B64" s="5"/>
      <c r="C64" s="5"/>
    </row>
    <row r="65" ht="15.75" customHeight="1">
      <c r="A65" s="5"/>
      <c r="B65" s="5"/>
      <c r="C65" s="5"/>
    </row>
    <row r="66" ht="15.75" customHeight="1">
      <c r="A66" s="5" t="s">
        <v>321</v>
      </c>
      <c r="B66" s="5"/>
      <c r="C66" s="5"/>
    </row>
    <row r="67" ht="15.75" customHeight="1">
      <c r="A67" s="5" t="s">
        <v>322</v>
      </c>
      <c r="B67" s="5"/>
      <c r="C67" s="5"/>
    </row>
    <row r="68" ht="15.75" customHeight="1">
      <c r="A68" s="5" t="s">
        <v>323</v>
      </c>
      <c r="B68" s="5"/>
      <c r="C68" s="5"/>
    </row>
    <row r="69" ht="15.75" customHeight="1">
      <c r="A69" s="5" t="s">
        <v>324</v>
      </c>
      <c r="B69" s="5"/>
      <c r="C69" s="5"/>
    </row>
    <row r="70" ht="15.75" customHeight="1">
      <c r="A70" s="5"/>
      <c r="B70" s="5"/>
      <c r="C70" s="5"/>
    </row>
    <row r="71" ht="15.75" customHeight="1">
      <c r="A71" s="5" t="s">
        <v>325</v>
      </c>
      <c r="B71" s="5"/>
      <c r="C71" s="5"/>
    </row>
    <row r="72" ht="15.75" customHeight="1">
      <c r="A72" s="5" t="s">
        <v>326</v>
      </c>
      <c r="B72" s="5"/>
      <c r="C72" s="5"/>
    </row>
    <row r="73" ht="15.75" customHeight="1">
      <c r="A73" s="5" t="s">
        <v>327</v>
      </c>
      <c r="B73" s="5"/>
      <c r="C73" s="5"/>
    </row>
    <row r="74" ht="15.75" customHeight="1">
      <c r="A74" s="5" t="s">
        <v>328</v>
      </c>
      <c r="B74" s="5"/>
      <c r="C74" s="5"/>
    </row>
    <row r="75" ht="15.75" customHeight="1">
      <c r="A75" s="5"/>
      <c r="B75" s="5"/>
      <c r="C75" s="5"/>
    </row>
    <row r="76" ht="15.75" customHeight="1">
      <c r="A76" s="5" t="s">
        <v>329</v>
      </c>
      <c r="B76" s="5"/>
      <c r="C76" s="5"/>
    </row>
    <row r="77" ht="15.75" customHeight="1">
      <c r="A77" s="5" t="s">
        <v>330</v>
      </c>
      <c r="B77" s="5"/>
      <c r="C77" s="5"/>
    </row>
    <row r="78" ht="15.75" customHeight="1">
      <c r="A78" s="5" t="s">
        <v>331</v>
      </c>
      <c r="B78" s="5"/>
      <c r="C78" s="5"/>
    </row>
    <row r="79" ht="15.75" customHeight="1">
      <c r="A79" s="5" t="s">
        <v>332</v>
      </c>
      <c r="B79" s="5"/>
      <c r="C79" s="5"/>
    </row>
    <row r="80" ht="15.75" customHeight="1">
      <c r="A80" s="5"/>
      <c r="B80" s="5"/>
      <c r="C80" s="5"/>
    </row>
    <row r="81" ht="15.75" customHeight="1">
      <c r="A81" s="5" t="s">
        <v>333</v>
      </c>
      <c r="B81" s="5"/>
      <c r="C81" s="5"/>
    </row>
    <row r="82" ht="15.75" customHeight="1">
      <c r="A82" s="5" t="s">
        <v>334</v>
      </c>
      <c r="B82" s="5"/>
      <c r="C82" s="5"/>
    </row>
    <row r="83" ht="15.75" customHeight="1">
      <c r="A83" s="5" t="s">
        <v>335</v>
      </c>
      <c r="B83" s="5"/>
      <c r="C83" s="5"/>
    </row>
    <row r="84" ht="15.75" customHeight="1">
      <c r="A84" s="5" t="s">
        <v>336</v>
      </c>
      <c r="B84" s="5"/>
      <c r="C84" s="5"/>
    </row>
    <row r="85" ht="15.75" customHeight="1">
      <c r="A85" s="5" t="s">
        <v>337</v>
      </c>
      <c r="B85" s="5"/>
      <c r="C85" s="5"/>
    </row>
    <row r="86" ht="15.75" customHeight="1">
      <c r="A86" s="5" t="s">
        <v>338</v>
      </c>
      <c r="B86" s="5"/>
      <c r="C86" s="5"/>
    </row>
    <row r="87" ht="15.75" customHeight="1">
      <c r="A87" s="5"/>
      <c r="B87" s="5"/>
      <c r="C87" s="5"/>
    </row>
    <row r="88" ht="15.75" customHeight="1">
      <c r="A88" s="5"/>
      <c r="B88" s="5"/>
      <c r="C88" s="5"/>
    </row>
    <row r="89" ht="15.75" customHeight="1">
      <c r="A89" s="5"/>
      <c r="B89" s="5"/>
      <c r="C89" s="5"/>
    </row>
    <row r="90" ht="15.75" customHeight="1">
      <c r="A90" s="5"/>
      <c r="B90" s="5"/>
      <c r="C90" s="5"/>
    </row>
    <row r="91" ht="15.75" customHeight="1">
      <c r="A91" s="5"/>
      <c r="B91" s="5"/>
      <c r="C91" s="5"/>
    </row>
    <row r="92" ht="15.75" customHeight="1">
      <c r="A92" s="5"/>
      <c r="B92" s="5"/>
      <c r="C92" s="5"/>
    </row>
    <row r="93" ht="15.75" customHeight="1">
      <c r="A93" s="5"/>
      <c r="B93" s="5"/>
      <c r="C93" s="5"/>
    </row>
    <row r="94" ht="15.75" customHeight="1">
      <c r="A94" s="5"/>
      <c r="B94" s="5"/>
      <c r="C94" s="5"/>
    </row>
    <row r="95" ht="15.75" customHeight="1">
      <c r="A95" s="5"/>
      <c r="B95" s="5"/>
      <c r="C95" s="5"/>
    </row>
    <row r="96" ht="15.75" customHeight="1">
      <c r="A96" s="5"/>
      <c r="B96" s="5"/>
      <c r="C96" s="5"/>
    </row>
    <row r="97" ht="15.75" customHeight="1">
      <c r="A97" s="5"/>
      <c r="B97" s="5"/>
      <c r="C97" s="5"/>
    </row>
    <row r="98" ht="15.75" customHeight="1">
      <c r="A98" s="5"/>
      <c r="B98" s="5"/>
      <c r="C98" s="5"/>
    </row>
    <row r="99" ht="15.75" customHeight="1">
      <c r="A99" s="5"/>
      <c r="B99" s="5"/>
      <c r="C99" s="5"/>
    </row>
    <row r="100" ht="15.75" customHeight="1">
      <c r="A100" s="5"/>
      <c r="B100" s="5"/>
      <c r="C100" s="5"/>
    </row>
    <row r="101" ht="15.75" customHeight="1">
      <c r="A101" s="5"/>
      <c r="B101" s="5"/>
      <c r="C101" s="5"/>
    </row>
    <row r="102" ht="15.75" customHeight="1">
      <c r="A102" s="5"/>
      <c r="B102" s="5"/>
      <c r="C102" s="5"/>
    </row>
    <row r="103" ht="15.75" customHeight="1">
      <c r="A103" s="5"/>
      <c r="B103" s="5"/>
      <c r="C103" s="5"/>
    </row>
    <row r="104" ht="15.75" customHeight="1">
      <c r="A104" s="5"/>
      <c r="B104" s="5"/>
      <c r="C104" s="5"/>
    </row>
    <row r="105" ht="15.75" customHeight="1">
      <c r="A105" s="5"/>
      <c r="B105" s="5"/>
      <c r="C105" s="5"/>
    </row>
    <row r="106" ht="15.75" customHeight="1">
      <c r="A106" s="5"/>
      <c r="B106" s="5"/>
      <c r="C106" s="5"/>
    </row>
    <row r="107" ht="15.75" customHeight="1">
      <c r="A107" s="5"/>
      <c r="B107" s="5"/>
      <c r="C107" s="5"/>
    </row>
    <row r="108" ht="15.75" customHeight="1">
      <c r="A108" s="5"/>
      <c r="B108" s="5"/>
      <c r="C108" s="5"/>
    </row>
    <row r="109" ht="15.75" customHeight="1">
      <c r="A109" s="5"/>
      <c r="B109" s="5"/>
      <c r="C109" s="5"/>
    </row>
    <row r="110" ht="15.75" customHeight="1">
      <c r="A110" s="5"/>
      <c r="B110" s="5"/>
      <c r="C110" s="5"/>
    </row>
    <row r="111" ht="15.75" customHeight="1">
      <c r="A111" s="5"/>
      <c r="B111" s="5"/>
      <c r="C111" s="5"/>
    </row>
    <row r="112" ht="15.75" customHeight="1">
      <c r="A112" s="5"/>
      <c r="B112" s="5"/>
      <c r="C112" s="5"/>
    </row>
    <row r="113" ht="15.75" customHeight="1">
      <c r="A113" s="5"/>
      <c r="B113" s="5"/>
      <c r="C113" s="5"/>
    </row>
    <row r="114" ht="15.75" customHeight="1">
      <c r="A114" s="5"/>
      <c r="B114" s="5"/>
      <c r="C114" s="5"/>
    </row>
    <row r="115" ht="15.75" customHeight="1">
      <c r="A115" s="5"/>
      <c r="B115" s="5"/>
      <c r="C115" s="5"/>
    </row>
    <row r="116" ht="15.75" customHeight="1">
      <c r="A116" s="5"/>
      <c r="B116" s="5"/>
      <c r="C116" s="5"/>
    </row>
    <row r="117" ht="15.75" customHeight="1">
      <c r="A117" s="5"/>
      <c r="B117" s="5"/>
      <c r="C117" s="5"/>
    </row>
    <row r="118" ht="15.75" customHeight="1">
      <c r="A118" s="5"/>
      <c r="B118" s="5"/>
      <c r="C118" s="5"/>
    </row>
    <row r="119" ht="15.75" customHeight="1">
      <c r="A119" s="5"/>
      <c r="B119" s="5"/>
      <c r="C119" s="5"/>
    </row>
    <row r="120" ht="15.75" customHeight="1">
      <c r="A120" s="5"/>
      <c r="B120" s="5"/>
      <c r="C120" s="5"/>
    </row>
    <row r="121" ht="15.75" customHeight="1">
      <c r="A121" s="5"/>
      <c r="B121" s="5"/>
      <c r="C121" s="5"/>
    </row>
    <row r="122" ht="15.75" customHeight="1">
      <c r="A122" s="5"/>
      <c r="B122" s="5"/>
      <c r="C122" s="5"/>
    </row>
    <row r="123" ht="15.75" customHeight="1">
      <c r="A123" s="5"/>
      <c r="B123" s="5"/>
      <c r="C123" s="5"/>
    </row>
    <row r="124" ht="15.75" customHeight="1">
      <c r="A124" s="5"/>
      <c r="B124" s="5"/>
      <c r="C124" s="5"/>
    </row>
    <row r="125" ht="15.75" customHeight="1">
      <c r="A125" s="5"/>
      <c r="B125" s="5"/>
      <c r="C125" s="5"/>
    </row>
    <row r="126" ht="15.75" customHeight="1">
      <c r="A126" s="5"/>
      <c r="B126" s="5"/>
      <c r="C126" s="5"/>
    </row>
    <row r="127" ht="15.75" customHeight="1">
      <c r="A127" s="5"/>
      <c r="B127" s="5"/>
      <c r="C127" s="5"/>
    </row>
    <row r="128" ht="15.75" customHeight="1">
      <c r="A128" s="5"/>
      <c r="B128" s="5"/>
      <c r="C128" s="5"/>
    </row>
    <row r="129" ht="15.75" customHeight="1">
      <c r="A129" s="5"/>
      <c r="B129" s="5"/>
      <c r="C129" s="5"/>
    </row>
    <row r="130" ht="15.75" customHeight="1">
      <c r="A130" s="5"/>
      <c r="B130" s="5"/>
      <c r="C130" s="5"/>
    </row>
    <row r="131" ht="15.75" customHeight="1">
      <c r="A131" s="5"/>
      <c r="B131" s="5"/>
      <c r="C131" s="5"/>
    </row>
    <row r="132" ht="15.75" customHeight="1">
      <c r="A132" s="5"/>
      <c r="B132" s="5"/>
      <c r="C132" s="5"/>
    </row>
    <row r="133" ht="15.75" customHeight="1">
      <c r="A133" s="5"/>
      <c r="B133" s="5"/>
      <c r="C133" s="5"/>
    </row>
    <row r="134" ht="15.75" customHeight="1">
      <c r="A134" s="5"/>
      <c r="B134" s="5"/>
      <c r="C134" s="5"/>
    </row>
    <row r="135" ht="15.75" customHeight="1">
      <c r="A135" s="5"/>
      <c r="B135" s="5"/>
      <c r="C135" s="5"/>
    </row>
    <row r="136" ht="15.75" customHeight="1">
      <c r="A136" s="5"/>
      <c r="B136" s="5"/>
      <c r="C136" s="5"/>
    </row>
    <row r="137" ht="15.75" customHeight="1">
      <c r="A137" s="5"/>
      <c r="B137" s="5"/>
      <c r="C137" s="5"/>
    </row>
    <row r="138" ht="15.75" customHeight="1">
      <c r="A138" s="5"/>
      <c r="B138" s="5"/>
      <c r="C138" s="5"/>
    </row>
    <row r="139" ht="15.75" customHeight="1">
      <c r="A139" s="5"/>
      <c r="B139" s="5"/>
      <c r="C139" s="5"/>
    </row>
    <row r="140" ht="15.75" customHeight="1">
      <c r="A140" s="5"/>
      <c r="B140" s="5"/>
      <c r="C140" s="5"/>
    </row>
    <row r="141" ht="15.75" customHeight="1">
      <c r="A141" s="5"/>
      <c r="B141" s="5"/>
      <c r="C141" s="5"/>
    </row>
    <row r="142" ht="15.75" customHeight="1">
      <c r="A142" s="5"/>
      <c r="B142" s="5"/>
      <c r="C142" s="5"/>
    </row>
    <row r="143" ht="15.75" customHeight="1">
      <c r="A143" s="5"/>
      <c r="B143" s="5"/>
      <c r="C143" s="5"/>
    </row>
    <row r="144" ht="15.75" customHeight="1">
      <c r="A144" s="5"/>
      <c r="B144" s="5"/>
      <c r="C144" s="5"/>
    </row>
    <row r="145" ht="15.75" customHeight="1">
      <c r="A145" s="5"/>
      <c r="B145" s="5"/>
      <c r="C145" s="5"/>
    </row>
    <row r="146" ht="15.75" customHeight="1">
      <c r="A146" s="5"/>
      <c r="B146" s="5"/>
      <c r="C146" s="5"/>
    </row>
    <row r="147" ht="15.75" customHeight="1">
      <c r="A147" s="5"/>
      <c r="B147" s="5"/>
      <c r="C147" s="5"/>
    </row>
    <row r="148" ht="15.75" customHeight="1">
      <c r="A148" s="5"/>
      <c r="B148" s="5"/>
      <c r="C148" s="5"/>
    </row>
    <row r="149" ht="15.75" customHeight="1">
      <c r="A149" s="5"/>
      <c r="B149" s="5"/>
      <c r="C149" s="5"/>
    </row>
    <row r="150" ht="15.75" customHeight="1">
      <c r="A150" s="5"/>
      <c r="B150" s="5"/>
      <c r="C150" s="5"/>
    </row>
    <row r="151" ht="15.75" customHeight="1">
      <c r="A151" s="5"/>
      <c r="B151" s="5"/>
      <c r="C151" s="5"/>
    </row>
    <row r="152" ht="15.75" customHeight="1">
      <c r="A152" s="5"/>
      <c r="B152" s="5"/>
      <c r="C152" s="5"/>
    </row>
    <row r="153" ht="15.75" customHeight="1">
      <c r="A153" s="5"/>
      <c r="B153" s="5"/>
      <c r="C153" s="5"/>
    </row>
    <row r="154" ht="15.75" customHeight="1">
      <c r="A154" s="5"/>
      <c r="B154" s="5"/>
      <c r="C154" s="5"/>
    </row>
    <row r="155" ht="15.75" customHeight="1">
      <c r="A155" s="5"/>
      <c r="B155" s="5"/>
      <c r="C155" s="5"/>
    </row>
    <row r="156" ht="15.75" customHeight="1">
      <c r="A156" s="5"/>
      <c r="B156" s="5"/>
      <c r="C156" s="5"/>
    </row>
    <row r="157" ht="15.75" customHeight="1">
      <c r="A157" s="5"/>
      <c r="B157" s="5"/>
      <c r="C157" s="5"/>
    </row>
    <row r="158" ht="15.75" customHeight="1">
      <c r="A158" s="5"/>
      <c r="B158" s="5"/>
      <c r="C158" s="5"/>
    </row>
    <row r="159" ht="15.75" customHeight="1">
      <c r="A159" s="5"/>
      <c r="B159" s="5"/>
      <c r="C159" s="5"/>
    </row>
    <row r="160" ht="15.75" customHeight="1">
      <c r="A160" s="5"/>
      <c r="B160" s="5"/>
      <c r="C160" s="5"/>
    </row>
    <row r="161" ht="15.75" customHeight="1">
      <c r="A161" s="5"/>
      <c r="B161" s="5"/>
      <c r="C161" s="5"/>
    </row>
    <row r="162" ht="15.75" customHeight="1">
      <c r="A162" s="5"/>
      <c r="B162" s="5"/>
      <c r="C162" s="5"/>
    </row>
    <row r="163" ht="15.75" customHeight="1">
      <c r="A163" s="5"/>
      <c r="B163" s="5"/>
      <c r="C163" s="5"/>
    </row>
    <row r="164" ht="15.75" customHeight="1">
      <c r="A164" s="5"/>
      <c r="B164" s="5"/>
      <c r="C164" s="5"/>
    </row>
    <row r="165" ht="15.75" customHeight="1">
      <c r="A165" s="5"/>
      <c r="B165" s="5"/>
      <c r="C165" s="5"/>
    </row>
    <row r="166" ht="15.75" customHeight="1">
      <c r="A166" s="5"/>
      <c r="B166" s="5"/>
      <c r="C166" s="5"/>
    </row>
    <row r="167" ht="15.75" customHeight="1">
      <c r="A167" s="5"/>
      <c r="B167" s="5"/>
      <c r="C167" s="5"/>
    </row>
    <row r="168" ht="15.75" customHeight="1">
      <c r="A168" s="5"/>
      <c r="B168" s="5"/>
      <c r="C168" s="5"/>
    </row>
    <row r="169" ht="15.75" customHeight="1">
      <c r="A169" s="5"/>
      <c r="B169" s="5"/>
      <c r="C169" s="5"/>
    </row>
    <row r="170" ht="15.75" customHeight="1">
      <c r="A170" s="5"/>
      <c r="B170" s="5"/>
      <c r="C170" s="5"/>
    </row>
    <row r="171" ht="15.75" customHeight="1">
      <c r="A171" s="5"/>
      <c r="B171" s="5"/>
      <c r="C171" s="5"/>
    </row>
    <row r="172" ht="15.75" customHeight="1">
      <c r="A172" s="5"/>
      <c r="B172" s="5"/>
      <c r="C172" s="5"/>
    </row>
    <row r="173" ht="15.75" customHeight="1">
      <c r="A173" s="5"/>
      <c r="B173" s="5"/>
      <c r="C173" s="5"/>
    </row>
    <row r="174" ht="15.75" customHeight="1">
      <c r="A174" s="5"/>
      <c r="B174" s="5"/>
      <c r="C174" s="5"/>
    </row>
    <row r="175" ht="15.75" customHeight="1">
      <c r="A175" s="5"/>
      <c r="B175" s="5"/>
      <c r="C175" s="5"/>
    </row>
    <row r="176" ht="15.75" customHeight="1">
      <c r="A176" s="5"/>
      <c r="B176" s="5"/>
      <c r="C176" s="5"/>
    </row>
    <row r="177" ht="15.75" customHeight="1">
      <c r="A177" s="5"/>
      <c r="B177" s="5"/>
      <c r="C177" s="5"/>
    </row>
    <row r="178" ht="15.75" customHeight="1">
      <c r="A178" s="5"/>
      <c r="B178" s="5"/>
      <c r="C178" s="5"/>
    </row>
    <row r="179" ht="15.75" customHeight="1">
      <c r="A179" s="5"/>
      <c r="B179" s="5"/>
      <c r="C179" s="5"/>
    </row>
    <row r="180" ht="15.75" customHeight="1">
      <c r="A180" s="5"/>
      <c r="B180" s="5"/>
      <c r="C180" s="5"/>
    </row>
    <row r="181" ht="15.75" customHeight="1">
      <c r="A181" s="5"/>
      <c r="B181" s="5"/>
      <c r="C181" s="5"/>
    </row>
    <row r="182" ht="15.75" customHeight="1">
      <c r="A182" s="5"/>
      <c r="B182" s="5"/>
      <c r="C182" s="5"/>
    </row>
    <row r="183" ht="15.75" customHeight="1">
      <c r="A183" s="5"/>
      <c r="B183" s="5"/>
      <c r="C183" s="5"/>
    </row>
    <row r="184" ht="15.75" customHeight="1">
      <c r="A184" s="5"/>
      <c r="B184" s="5"/>
      <c r="C184" s="5"/>
    </row>
    <row r="185" ht="15.75" customHeight="1">
      <c r="A185" s="5"/>
      <c r="B185" s="5"/>
      <c r="C185" s="5"/>
    </row>
    <row r="186" ht="15.75" customHeight="1">
      <c r="A186" s="5"/>
      <c r="B186" s="5"/>
      <c r="C186" s="5"/>
    </row>
    <row r="187" ht="15.75" customHeight="1">
      <c r="A187" s="5"/>
      <c r="B187" s="5"/>
      <c r="C187" s="5"/>
    </row>
    <row r="188" ht="15.75" customHeight="1">
      <c r="A188" s="5"/>
      <c r="B188" s="5"/>
      <c r="C188" s="5"/>
    </row>
    <row r="189" ht="15.75" customHeight="1">
      <c r="A189" s="5"/>
      <c r="B189" s="5"/>
      <c r="C189" s="5"/>
    </row>
    <row r="190" ht="15.75" customHeight="1">
      <c r="A190" s="5"/>
      <c r="B190" s="5"/>
      <c r="C190" s="5"/>
    </row>
    <row r="191" ht="15.75" customHeight="1">
      <c r="A191" s="5"/>
      <c r="B191" s="5"/>
      <c r="C191" s="5"/>
    </row>
    <row r="192" ht="15.75" customHeight="1">
      <c r="A192" s="5"/>
      <c r="B192" s="5"/>
      <c r="C192" s="5"/>
    </row>
    <row r="193" ht="15.75" customHeight="1">
      <c r="A193" s="5"/>
      <c r="B193" s="5"/>
      <c r="C193" s="5"/>
    </row>
    <row r="194" ht="15.75" customHeight="1">
      <c r="A194" s="5"/>
      <c r="B194" s="5"/>
      <c r="C194" s="5"/>
    </row>
    <row r="195" ht="15.75" customHeight="1">
      <c r="A195" s="5"/>
      <c r="B195" s="5"/>
      <c r="C195" s="5"/>
    </row>
    <row r="196" ht="15.75" customHeight="1">
      <c r="A196" s="5"/>
      <c r="B196" s="5"/>
      <c r="C196" s="5"/>
    </row>
    <row r="197" ht="15.75" customHeight="1">
      <c r="A197" s="5"/>
      <c r="B197" s="5"/>
      <c r="C197" s="5"/>
    </row>
    <row r="198" ht="15.75" customHeight="1">
      <c r="A198" s="5"/>
      <c r="B198" s="5"/>
      <c r="C198" s="5"/>
    </row>
    <row r="199" ht="15.75" customHeight="1">
      <c r="A199" s="5"/>
      <c r="B199" s="5"/>
      <c r="C199" s="5"/>
    </row>
    <row r="200" ht="15.75" customHeight="1">
      <c r="A200" s="5"/>
      <c r="B200" s="5"/>
      <c r="C200" s="5"/>
    </row>
    <row r="201" ht="15.75" customHeight="1">
      <c r="A201" s="5"/>
      <c r="B201" s="5"/>
      <c r="C201" s="5"/>
    </row>
    <row r="202" ht="15.75" customHeight="1">
      <c r="A202" s="5"/>
      <c r="B202" s="5"/>
      <c r="C202" s="5"/>
    </row>
    <row r="203" ht="15.75" customHeight="1">
      <c r="A203" s="5"/>
      <c r="B203" s="5"/>
      <c r="C203" s="5"/>
    </row>
    <row r="204" ht="15.75" customHeight="1">
      <c r="A204" s="5"/>
      <c r="B204" s="5"/>
      <c r="C204" s="5"/>
    </row>
    <row r="205" ht="15.75" customHeight="1">
      <c r="A205" s="5"/>
      <c r="B205" s="5"/>
      <c r="C205" s="5"/>
    </row>
    <row r="206" ht="15.75" customHeight="1">
      <c r="A206" s="5"/>
      <c r="B206" s="5"/>
      <c r="C206" s="5"/>
    </row>
    <row r="207" ht="15.75" customHeight="1">
      <c r="A207" s="5"/>
      <c r="B207" s="5"/>
      <c r="C207" s="5"/>
    </row>
    <row r="208" ht="15.75" customHeight="1">
      <c r="A208" s="5"/>
      <c r="B208" s="5"/>
      <c r="C208" s="5"/>
    </row>
    <row r="209" ht="15.75" customHeight="1">
      <c r="A209" s="5"/>
      <c r="B209" s="5"/>
      <c r="C209" s="5"/>
    </row>
    <row r="210" ht="15.75" customHeight="1">
      <c r="A210" s="5"/>
      <c r="B210" s="5"/>
      <c r="C210" s="5"/>
    </row>
    <row r="211" ht="15.75" customHeight="1">
      <c r="A211" s="5"/>
      <c r="B211" s="5"/>
      <c r="C211" s="5"/>
    </row>
    <row r="212" ht="15.75" customHeight="1">
      <c r="A212" s="5"/>
      <c r="B212" s="5"/>
      <c r="C212" s="5"/>
    </row>
    <row r="213" ht="15.75" customHeight="1">
      <c r="A213" s="5"/>
      <c r="B213" s="5"/>
      <c r="C213" s="5"/>
    </row>
    <row r="214" ht="15.75" customHeight="1">
      <c r="A214" s="5"/>
      <c r="B214" s="5"/>
      <c r="C214" s="5"/>
    </row>
    <row r="215" ht="15.75" customHeight="1">
      <c r="A215" s="5"/>
      <c r="B215" s="5"/>
      <c r="C215" s="5"/>
    </row>
    <row r="216" ht="15.75" customHeight="1">
      <c r="A216" s="5"/>
      <c r="B216" s="5"/>
      <c r="C216" s="5"/>
    </row>
    <row r="217" ht="15.75" customHeight="1">
      <c r="A217" s="5"/>
      <c r="B217" s="5"/>
      <c r="C217" s="5"/>
    </row>
    <row r="218" ht="15.75" customHeight="1">
      <c r="A218" s="5"/>
      <c r="B218" s="5"/>
      <c r="C218" s="5"/>
    </row>
    <row r="219" ht="15.75" customHeight="1">
      <c r="A219" s="5"/>
      <c r="B219" s="5"/>
      <c r="C219" s="5"/>
    </row>
    <row r="220" ht="15.75" customHeight="1">
      <c r="A220" s="5"/>
      <c r="B220" s="5"/>
      <c r="C220" s="5"/>
    </row>
    <row r="221" ht="15.75" customHeight="1">
      <c r="A221" s="5"/>
      <c r="B221" s="5"/>
      <c r="C221" s="5"/>
    </row>
    <row r="222" ht="15.75" customHeight="1">
      <c r="A222" s="5"/>
      <c r="B222" s="5"/>
      <c r="C222" s="5"/>
    </row>
    <row r="223" ht="15.75" customHeight="1">
      <c r="A223" s="5"/>
      <c r="B223" s="5"/>
      <c r="C223" s="5"/>
    </row>
    <row r="224" ht="15.75" customHeight="1">
      <c r="A224" s="5"/>
      <c r="B224" s="5"/>
      <c r="C224" s="5"/>
    </row>
    <row r="225" ht="15.75" customHeight="1">
      <c r="A225" s="5"/>
      <c r="B225" s="5"/>
      <c r="C225" s="5"/>
    </row>
    <row r="226" ht="15.75" customHeight="1">
      <c r="A226" s="5"/>
      <c r="B226" s="5"/>
      <c r="C226" s="5"/>
    </row>
    <row r="227" ht="15.75" customHeight="1">
      <c r="A227" s="5"/>
      <c r="B227" s="5"/>
      <c r="C227" s="5"/>
    </row>
    <row r="228" ht="15.75" customHeight="1">
      <c r="A228" s="5"/>
      <c r="B228" s="5"/>
      <c r="C228" s="5"/>
    </row>
    <row r="229" ht="15.75" customHeight="1">
      <c r="A229" s="5"/>
      <c r="B229" s="5"/>
      <c r="C229" s="5"/>
    </row>
    <row r="230" ht="15.75" customHeight="1">
      <c r="A230" s="5"/>
      <c r="B230" s="5"/>
      <c r="C230" s="5"/>
    </row>
    <row r="231" ht="15.75" customHeight="1">
      <c r="A231" s="5"/>
      <c r="B231" s="5"/>
      <c r="C231" s="5"/>
    </row>
    <row r="232" ht="15.75" customHeight="1">
      <c r="A232" s="5"/>
      <c r="B232" s="5"/>
      <c r="C232" s="5"/>
    </row>
    <row r="233" ht="15.75" customHeight="1">
      <c r="A233" s="5"/>
      <c r="B233" s="5"/>
      <c r="C233" s="5"/>
    </row>
    <row r="234" ht="15.75" customHeight="1">
      <c r="A234" s="5"/>
      <c r="B234" s="5"/>
      <c r="C234" s="5"/>
    </row>
    <row r="235" ht="15.75" customHeight="1">
      <c r="A235" s="5"/>
      <c r="B235" s="5"/>
      <c r="C235" s="5"/>
    </row>
    <row r="236" ht="15.75" customHeight="1">
      <c r="A236" s="5"/>
      <c r="B236" s="5"/>
      <c r="C236" s="5"/>
    </row>
    <row r="237" ht="15.75" customHeight="1">
      <c r="A237" s="5"/>
      <c r="B237" s="5"/>
      <c r="C237" s="5"/>
    </row>
    <row r="238" ht="15.75" customHeight="1">
      <c r="A238" s="5"/>
      <c r="B238" s="5"/>
      <c r="C238" s="5"/>
    </row>
    <row r="239" ht="15.75" customHeight="1">
      <c r="A239" s="5"/>
      <c r="B239" s="5"/>
      <c r="C239" s="5"/>
    </row>
    <row r="240" ht="15.75" customHeight="1">
      <c r="A240" s="5"/>
      <c r="B240" s="5"/>
      <c r="C240" s="5"/>
    </row>
    <row r="241" ht="15.75" customHeight="1">
      <c r="A241" s="5"/>
      <c r="B241" s="5"/>
      <c r="C241" s="5"/>
    </row>
    <row r="242" ht="15.75" customHeight="1">
      <c r="A242" s="5"/>
      <c r="B242" s="5"/>
      <c r="C242" s="5"/>
    </row>
    <row r="243" ht="15.75" customHeight="1">
      <c r="A243" s="5"/>
      <c r="B243" s="5"/>
      <c r="C243" s="5"/>
    </row>
    <row r="244" ht="15.75" customHeight="1">
      <c r="A244" s="5"/>
      <c r="B244" s="5"/>
      <c r="C244" s="5"/>
    </row>
    <row r="245" ht="15.75" customHeight="1">
      <c r="A245" s="5"/>
      <c r="B245" s="5"/>
      <c r="C245" s="5"/>
    </row>
    <row r="246" ht="15.75" customHeight="1">
      <c r="A246" s="5"/>
      <c r="B246" s="5"/>
      <c r="C246" s="5"/>
    </row>
    <row r="247" ht="15.75" customHeight="1">
      <c r="A247" s="5"/>
      <c r="B247" s="5"/>
      <c r="C247" s="5"/>
    </row>
    <row r="248" ht="15.75" customHeight="1">
      <c r="A248" s="5"/>
      <c r="B248" s="5"/>
      <c r="C248" s="5"/>
    </row>
    <row r="249" ht="15.75" customHeight="1">
      <c r="A249" s="5"/>
      <c r="B249" s="5"/>
      <c r="C249" s="5"/>
    </row>
    <row r="250" ht="15.75" customHeight="1">
      <c r="A250" s="5"/>
      <c r="B250" s="5"/>
      <c r="C250" s="5"/>
    </row>
    <row r="251" ht="15.75" customHeight="1">
      <c r="A251" s="5"/>
      <c r="B251" s="5"/>
      <c r="C251" s="5"/>
    </row>
    <row r="252" ht="15.75" customHeight="1">
      <c r="A252" s="5"/>
      <c r="B252" s="5"/>
      <c r="C252" s="5"/>
    </row>
    <row r="253" ht="15.75" customHeight="1">
      <c r="A253" s="5"/>
      <c r="B253" s="5"/>
      <c r="C253" s="5"/>
    </row>
    <row r="254" ht="15.75" customHeight="1">
      <c r="A254" s="5"/>
      <c r="B254" s="5"/>
      <c r="C254" s="5"/>
    </row>
    <row r="255" ht="15.75" customHeight="1">
      <c r="A255" s="5"/>
      <c r="B255" s="5"/>
      <c r="C255" s="5"/>
    </row>
    <row r="256" ht="15.75" customHeight="1">
      <c r="A256" s="5"/>
      <c r="B256" s="5"/>
      <c r="C256" s="5"/>
    </row>
    <row r="257" ht="15.75" customHeight="1">
      <c r="A257" s="5"/>
      <c r="B257" s="5"/>
      <c r="C257" s="5"/>
    </row>
    <row r="258" ht="15.75" customHeight="1">
      <c r="A258" s="5"/>
      <c r="B258" s="5"/>
      <c r="C258" s="5"/>
    </row>
    <row r="259" ht="15.75" customHeight="1">
      <c r="A259" s="5"/>
      <c r="B259" s="5"/>
      <c r="C259" s="5"/>
    </row>
    <row r="260" ht="15.75" customHeight="1">
      <c r="A260" s="5"/>
      <c r="B260" s="5"/>
      <c r="C260" s="5"/>
    </row>
    <row r="261" ht="15.75" customHeight="1">
      <c r="A261" s="5"/>
      <c r="B261" s="5"/>
      <c r="C261" s="5"/>
    </row>
    <row r="262" ht="15.75" customHeight="1">
      <c r="A262" s="5"/>
      <c r="B262" s="5"/>
      <c r="C262" s="5"/>
    </row>
    <row r="263" ht="15.75" customHeight="1">
      <c r="A263" s="5"/>
      <c r="B263" s="5"/>
      <c r="C263" s="5"/>
    </row>
    <row r="264" ht="15.75" customHeight="1">
      <c r="A264" s="5"/>
      <c r="B264" s="5"/>
      <c r="C264" s="5"/>
    </row>
    <row r="265" ht="15.75" customHeight="1">
      <c r="A265" s="5"/>
      <c r="B265" s="5"/>
      <c r="C265" s="5"/>
    </row>
    <row r="266" ht="15.75" customHeight="1">
      <c r="A266" s="5"/>
      <c r="B266" s="5"/>
      <c r="C266" s="5"/>
    </row>
    <row r="267" ht="15.75" customHeight="1">
      <c r="A267" s="5"/>
      <c r="B267" s="5"/>
      <c r="C267" s="5"/>
    </row>
    <row r="268" ht="15.75" customHeight="1">
      <c r="A268" s="5"/>
      <c r="B268" s="5"/>
      <c r="C268" s="5"/>
    </row>
    <row r="269" ht="15.75" customHeight="1">
      <c r="A269" s="5"/>
      <c r="B269" s="5"/>
      <c r="C269" s="5"/>
    </row>
    <row r="270" ht="15.75" customHeight="1">
      <c r="A270" s="5"/>
      <c r="B270" s="5"/>
      <c r="C270" s="5"/>
    </row>
    <row r="271" ht="15.75" customHeight="1">
      <c r="A271" s="5"/>
      <c r="B271" s="5"/>
      <c r="C271" s="5"/>
    </row>
    <row r="272" ht="15.75" customHeight="1">
      <c r="A272" s="5"/>
      <c r="B272" s="5"/>
      <c r="C272" s="5"/>
    </row>
    <row r="273" ht="15.75" customHeight="1">
      <c r="A273" s="5"/>
      <c r="B273" s="5"/>
      <c r="C273" s="5"/>
    </row>
    <row r="274" ht="15.75" customHeight="1">
      <c r="A274" s="5"/>
      <c r="B274" s="5"/>
      <c r="C274" s="5"/>
    </row>
    <row r="275" ht="15.75" customHeight="1">
      <c r="A275" s="5"/>
      <c r="B275" s="5"/>
      <c r="C275" s="5"/>
    </row>
    <row r="276" ht="15.75" customHeight="1">
      <c r="A276" s="5"/>
      <c r="B276" s="5"/>
      <c r="C276" s="5"/>
    </row>
    <row r="277" ht="15.75" customHeight="1">
      <c r="A277" s="5"/>
      <c r="B277" s="5"/>
      <c r="C277" s="5"/>
    </row>
    <row r="278" ht="15.75" customHeight="1">
      <c r="A278" s="5"/>
      <c r="B278" s="5"/>
      <c r="C278" s="5"/>
    </row>
    <row r="279" ht="15.75" customHeight="1">
      <c r="A279" s="5"/>
      <c r="B279" s="5"/>
      <c r="C279" s="5"/>
    </row>
    <row r="280" ht="15.75" customHeight="1">
      <c r="A280" s="5"/>
      <c r="B280" s="5"/>
      <c r="C280" s="5"/>
    </row>
    <row r="281" ht="15.75" customHeight="1">
      <c r="A281" s="5"/>
      <c r="B281" s="5"/>
      <c r="C281" s="5"/>
    </row>
    <row r="282" ht="15.75" customHeight="1">
      <c r="A282" s="5"/>
      <c r="B282" s="5"/>
      <c r="C282" s="5"/>
    </row>
    <row r="283" ht="15.75" customHeight="1">
      <c r="A283" s="5"/>
      <c r="B283" s="5"/>
      <c r="C283" s="5"/>
    </row>
    <row r="284" ht="15.75" customHeight="1">
      <c r="A284" s="5"/>
      <c r="B284" s="5"/>
      <c r="C284" s="5"/>
    </row>
    <row r="285" ht="15.75" customHeight="1">
      <c r="A285" s="5"/>
      <c r="B285" s="5"/>
      <c r="C285" s="5"/>
    </row>
    <row r="286" ht="15.75" customHeight="1">
      <c r="A286" s="5"/>
      <c r="B286" s="5"/>
      <c r="C286" s="5"/>
    </row>
    <row r="287" ht="15.75" customHeight="1">
      <c r="A287" s="5"/>
      <c r="B287" s="5"/>
      <c r="C287" s="5"/>
    </row>
    <row r="288" ht="15.75" customHeight="1">
      <c r="A288" s="5"/>
      <c r="B288" s="5"/>
      <c r="C288" s="5"/>
    </row>
    <row r="289" ht="15.75" customHeight="1">
      <c r="A289" s="5"/>
      <c r="B289" s="5"/>
      <c r="C289" s="5"/>
    </row>
    <row r="290" ht="15.75" customHeight="1">
      <c r="A290" s="5"/>
      <c r="B290" s="5"/>
      <c r="C290" s="5"/>
    </row>
    <row r="291" ht="15.75" customHeight="1">
      <c r="A291" s="5"/>
      <c r="B291" s="5"/>
      <c r="C291" s="5"/>
    </row>
    <row r="292" ht="15.75" customHeight="1">
      <c r="A292" s="5"/>
      <c r="B292" s="5"/>
      <c r="C292" s="5"/>
    </row>
    <row r="293" ht="15.75" customHeight="1">
      <c r="A293" s="5"/>
      <c r="B293" s="5"/>
      <c r="C293" s="5"/>
    </row>
    <row r="294" ht="15.75" customHeight="1">
      <c r="A294" s="5"/>
      <c r="B294" s="5"/>
      <c r="C294" s="5"/>
    </row>
    <row r="295" ht="15.75" customHeight="1">
      <c r="A295" s="5"/>
      <c r="B295" s="5"/>
      <c r="C295" s="5"/>
    </row>
    <row r="296" ht="15.75" customHeight="1">
      <c r="A296" s="5"/>
      <c r="B296" s="5"/>
      <c r="C296" s="5"/>
    </row>
    <row r="297" ht="15.75" customHeight="1">
      <c r="A297" s="5"/>
      <c r="B297" s="5"/>
      <c r="C297" s="5"/>
    </row>
    <row r="298" ht="15.75" customHeight="1">
      <c r="A298" s="5"/>
      <c r="B298" s="5"/>
      <c r="C298" s="5"/>
    </row>
    <row r="299" ht="15.75" customHeight="1">
      <c r="A299" s="5"/>
      <c r="B299" s="5"/>
      <c r="C299" s="5"/>
    </row>
    <row r="300" ht="15.75" customHeight="1">
      <c r="A300" s="5"/>
      <c r="B300" s="5"/>
      <c r="C300" s="5"/>
    </row>
    <row r="301" ht="15.75" customHeight="1">
      <c r="A301" s="5"/>
      <c r="B301" s="5"/>
      <c r="C301" s="5"/>
    </row>
    <row r="302" ht="15.75" customHeight="1">
      <c r="A302" s="5"/>
      <c r="B302" s="5"/>
      <c r="C302" s="5"/>
    </row>
    <row r="303" ht="15.75" customHeight="1">
      <c r="A303" s="5"/>
      <c r="B303" s="5"/>
      <c r="C303" s="5"/>
    </row>
    <row r="304" ht="15.75" customHeight="1">
      <c r="A304" s="5"/>
      <c r="B304" s="5"/>
      <c r="C304" s="5"/>
    </row>
    <row r="305" ht="15.75" customHeight="1">
      <c r="A305" s="5"/>
      <c r="B305" s="5"/>
      <c r="C305" s="5"/>
    </row>
    <row r="306" ht="15.75" customHeight="1">
      <c r="A306" s="5"/>
      <c r="B306" s="5"/>
      <c r="C306" s="5"/>
    </row>
    <row r="307" ht="15.75" customHeight="1">
      <c r="A307" s="5"/>
      <c r="B307" s="5"/>
      <c r="C307" s="5"/>
    </row>
    <row r="308" ht="15.75" customHeight="1">
      <c r="A308" s="5"/>
      <c r="B308" s="5"/>
      <c r="C308" s="5"/>
    </row>
    <row r="309" ht="15.75" customHeight="1">
      <c r="A309" s="5"/>
      <c r="B309" s="5"/>
      <c r="C309" s="5"/>
    </row>
    <row r="310" ht="15.75" customHeight="1">
      <c r="A310" s="5"/>
      <c r="B310" s="5"/>
      <c r="C310" s="5"/>
    </row>
    <row r="311" ht="15.75" customHeight="1">
      <c r="A311" s="5"/>
      <c r="B311" s="5"/>
      <c r="C311" s="5"/>
    </row>
    <row r="312" ht="15.75" customHeight="1">
      <c r="A312" s="5"/>
      <c r="B312" s="5"/>
      <c r="C312" s="5"/>
    </row>
    <row r="313" ht="15.75" customHeight="1">
      <c r="A313" s="5"/>
      <c r="B313" s="5"/>
      <c r="C313" s="5"/>
    </row>
    <row r="314" ht="15.75" customHeight="1">
      <c r="A314" s="5"/>
      <c r="B314" s="5"/>
      <c r="C314" s="5"/>
    </row>
    <row r="315" ht="15.75" customHeight="1">
      <c r="A315" s="5"/>
      <c r="B315" s="5"/>
      <c r="C315" s="5"/>
    </row>
    <row r="316" ht="15.75" customHeight="1">
      <c r="A316" s="5"/>
      <c r="B316" s="5"/>
      <c r="C316" s="5"/>
    </row>
    <row r="317" ht="15.75" customHeight="1">
      <c r="A317" s="5"/>
      <c r="B317" s="5"/>
      <c r="C317" s="5"/>
    </row>
    <row r="318" ht="15.75" customHeight="1">
      <c r="A318" s="5"/>
      <c r="B318" s="5"/>
      <c r="C318" s="5"/>
    </row>
    <row r="319" ht="15.75" customHeight="1">
      <c r="A319" s="5"/>
      <c r="B319" s="5"/>
      <c r="C319" s="5"/>
    </row>
    <row r="320" ht="15.75" customHeight="1">
      <c r="A320" s="5"/>
      <c r="B320" s="5"/>
      <c r="C320" s="5"/>
    </row>
    <row r="321" ht="15.75" customHeight="1">
      <c r="A321" s="5"/>
      <c r="B321" s="5"/>
      <c r="C321" s="5"/>
    </row>
    <row r="322" ht="15.75" customHeight="1">
      <c r="A322" s="5"/>
      <c r="B322" s="5"/>
      <c r="C322" s="5"/>
    </row>
    <row r="323" ht="15.75" customHeight="1">
      <c r="A323" s="5"/>
      <c r="B323" s="5"/>
      <c r="C323" s="5"/>
    </row>
    <row r="324" ht="15.75" customHeight="1">
      <c r="A324" s="5"/>
      <c r="B324" s="5"/>
      <c r="C324" s="5"/>
    </row>
    <row r="325" ht="15.75" customHeight="1">
      <c r="A325" s="5"/>
      <c r="B325" s="5"/>
      <c r="C325" s="5"/>
    </row>
    <row r="326" ht="15.75" customHeight="1">
      <c r="A326" s="5"/>
      <c r="B326" s="5"/>
      <c r="C326" s="5"/>
    </row>
    <row r="327" ht="15.75" customHeight="1">
      <c r="A327" s="5"/>
      <c r="B327" s="5"/>
      <c r="C327" s="5"/>
    </row>
    <row r="328" ht="15.75" customHeight="1">
      <c r="A328" s="5"/>
      <c r="B328" s="5"/>
      <c r="C328" s="5"/>
    </row>
    <row r="329" ht="15.75" customHeight="1">
      <c r="A329" s="5"/>
      <c r="B329" s="5"/>
      <c r="C329" s="5"/>
    </row>
    <row r="330" ht="15.75" customHeight="1">
      <c r="A330" s="5"/>
      <c r="B330" s="5"/>
      <c r="C330" s="5"/>
    </row>
    <row r="331" ht="15.75" customHeight="1">
      <c r="A331" s="5"/>
      <c r="B331" s="5"/>
      <c r="C331" s="5"/>
    </row>
    <row r="332" ht="15.75" customHeight="1">
      <c r="A332" s="5"/>
      <c r="B332" s="5"/>
      <c r="C332" s="5"/>
    </row>
    <row r="333" ht="15.75" customHeight="1">
      <c r="A333" s="5"/>
      <c r="B333" s="5"/>
      <c r="C333" s="5"/>
    </row>
    <row r="334" ht="15.75" customHeight="1">
      <c r="A334" s="5"/>
      <c r="B334" s="5"/>
      <c r="C334" s="5"/>
    </row>
    <row r="335" ht="15.75" customHeight="1">
      <c r="A335" s="5"/>
      <c r="B335" s="5"/>
      <c r="C335" s="5"/>
    </row>
    <row r="336" ht="15.75" customHeight="1">
      <c r="A336" s="5"/>
      <c r="B336" s="5"/>
      <c r="C336" s="5"/>
    </row>
    <row r="337" ht="15.75" customHeight="1">
      <c r="A337" s="5"/>
      <c r="B337" s="5"/>
      <c r="C337" s="5"/>
    </row>
    <row r="338" ht="15.75" customHeight="1">
      <c r="A338" s="5"/>
      <c r="B338" s="5"/>
      <c r="C338" s="5"/>
    </row>
    <row r="339" ht="15.75" customHeight="1">
      <c r="A339" s="5"/>
      <c r="B339" s="5"/>
      <c r="C339" s="5"/>
    </row>
    <row r="340" ht="15.75" customHeight="1">
      <c r="A340" s="5"/>
      <c r="B340" s="5"/>
      <c r="C340" s="5"/>
    </row>
    <row r="341" ht="15.75" customHeight="1">
      <c r="A341" s="5"/>
      <c r="B341" s="5"/>
      <c r="C341" s="5"/>
    </row>
    <row r="342" ht="15.75" customHeight="1">
      <c r="A342" s="5"/>
      <c r="B342" s="5"/>
      <c r="C342" s="5"/>
    </row>
    <row r="343" ht="15.75" customHeight="1">
      <c r="A343" s="5"/>
      <c r="B343" s="5"/>
      <c r="C343" s="5"/>
    </row>
    <row r="344" ht="15.75" customHeight="1">
      <c r="A344" s="5"/>
      <c r="B344" s="5"/>
      <c r="C344" s="5"/>
    </row>
    <row r="345" ht="15.75" customHeight="1">
      <c r="A345" s="5"/>
      <c r="B345" s="5"/>
      <c r="C345" s="5"/>
    </row>
    <row r="346" ht="15.75" customHeight="1">
      <c r="A346" s="5"/>
      <c r="B346" s="5"/>
      <c r="C346" s="5"/>
    </row>
    <row r="347" ht="15.75" customHeight="1">
      <c r="A347" s="5"/>
      <c r="B347" s="5"/>
      <c r="C347" s="5"/>
    </row>
    <row r="348" ht="15.75" customHeight="1">
      <c r="A348" s="5"/>
      <c r="B348" s="5"/>
      <c r="C348" s="5"/>
    </row>
    <row r="349" ht="15.75" customHeight="1">
      <c r="A349" s="5"/>
      <c r="B349" s="5"/>
      <c r="C349" s="5"/>
    </row>
    <row r="350" ht="15.75" customHeight="1">
      <c r="A350" s="5"/>
      <c r="B350" s="5"/>
      <c r="C350" s="5"/>
    </row>
    <row r="351" ht="15.75" customHeight="1">
      <c r="A351" s="5"/>
      <c r="B351" s="5"/>
      <c r="C351" s="5"/>
    </row>
    <row r="352" ht="15.75" customHeight="1">
      <c r="A352" s="5"/>
      <c r="B352" s="5"/>
      <c r="C352" s="5"/>
    </row>
    <row r="353" ht="15.75" customHeight="1">
      <c r="A353" s="5"/>
      <c r="B353" s="5"/>
      <c r="C353" s="5"/>
    </row>
    <row r="354" ht="15.75" customHeight="1">
      <c r="A354" s="5"/>
      <c r="B354" s="5"/>
      <c r="C354" s="5"/>
    </row>
    <row r="355" ht="15.75" customHeight="1">
      <c r="A355" s="5"/>
      <c r="B355" s="5"/>
      <c r="C355" s="5"/>
    </row>
    <row r="356" ht="15.75" customHeight="1">
      <c r="A356" s="5"/>
      <c r="B356" s="5"/>
      <c r="C356" s="5"/>
    </row>
    <row r="357" ht="15.75" customHeight="1">
      <c r="A357" s="5"/>
      <c r="B357" s="5"/>
      <c r="C357" s="5"/>
    </row>
    <row r="358" ht="15.75" customHeight="1">
      <c r="A358" s="5"/>
      <c r="B358" s="5"/>
      <c r="C358" s="5"/>
    </row>
    <row r="359" ht="15.75" customHeight="1">
      <c r="A359" s="5"/>
      <c r="B359" s="5"/>
      <c r="C359" s="5"/>
    </row>
    <row r="360" ht="15.75" customHeight="1">
      <c r="A360" s="5"/>
      <c r="B360" s="5"/>
      <c r="C360" s="5"/>
    </row>
    <row r="361" ht="15.75" customHeight="1">
      <c r="A361" s="5"/>
      <c r="B361" s="5"/>
      <c r="C361" s="5"/>
    </row>
    <row r="362" ht="15.75" customHeight="1">
      <c r="A362" s="5"/>
      <c r="B362" s="5"/>
      <c r="C362" s="5"/>
    </row>
    <row r="363" ht="15.75" customHeight="1">
      <c r="A363" s="5"/>
      <c r="B363" s="5"/>
      <c r="C363" s="5"/>
    </row>
    <row r="364" ht="15.75" customHeight="1">
      <c r="A364" s="5"/>
      <c r="B364" s="5"/>
      <c r="C364" s="5"/>
    </row>
    <row r="365" ht="15.75" customHeight="1">
      <c r="A365" s="5"/>
      <c r="B365" s="5"/>
      <c r="C365" s="5"/>
    </row>
    <row r="366" ht="15.75" customHeight="1">
      <c r="A366" s="5"/>
      <c r="B366" s="5"/>
      <c r="C366" s="5"/>
    </row>
    <row r="367" ht="15.75" customHeight="1">
      <c r="A367" s="5"/>
      <c r="B367" s="5"/>
      <c r="C367" s="5"/>
    </row>
    <row r="368" ht="15.75" customHeight="1">
      <c r="A368" s="5"/>
      <c r="B368" s="5"/>
      <c r="C368" s="5"/>
    </row>
    <row r="369" ht="15.75" customHeight="1">
      <c r="A369" s="5"/>
      <c r="B369" s="5"/>
      <c r="C369" s="5"/>
    </row>
    <row r="370" ht="15.75" customHeight="1">
      <c r="A370" s="5"/>
      <c r="B370" s="5"/>
      <c r="C370" s="5"/>
    </row>
    <row r="371" ht="15.75" customHeight="1">
      <c r="A371" s="5"/>
      <c r="B371" s="5"/>
      <c r="C371" s="5"/>
    </row>
    <row r="372" ht="15.75" customHeight="1">
      <c r="A372" s="5"/>
      <c r="B372" s="5"/>
      <c r="C372" s="5"/>
    </row>
    <row r="373" ht="15.75" customHeight="1">
      <c r="A373" s="5"/>
      <c r="B373" s="5"/>
      <c r="C373" s="5"/>
    </row>
    <row r="374" ht="15.75" customHeight="1">
      <c r="A374" s="5"/>
      <c r="B374" s="5"/>
      <c r="C374" s="5"/>
    </row>
    <row r="375" ht="15.75" customHeight="1">
      <c r="A375" s="5"/>
      <c r="B375" s="5"/>
      <c r="C375" s="5"/>
    </row>
    <row r="376" ht="15.75" customHeight="1">
      <c r="A376" s="5"/>
      <c r="B376" s="5"/>
      <c r="C376" s="5"/>
    </row>
    <row r="377" ht="15.75" customHeight="1">
      <c r="A377" s="5"/>
      <c r="B377" s="5"/>
      <c r="C377" s="5"/>
    </row>
    <row r="378" ht="15.75" customHeight="1">
      <c r="A378" s="5"/>
      <c r="B378" s="5"/>
      <c r="C378" s="5"/>
    </row>
    <row r="379" ht="15.75" customHeight="1">
      <c r="A379" s="5"/>
      <c r="B379" s="5"/>
      <c r="C379" s="5"/>
    </row>
    <row r="380" ht="15.75" customHeight="1">
      <c r="A380" s="5"/>
      <c r="B380" s="5"/>
      <c r="C380" s="5"/>
    </row>
    <row r="381" ht="15.75" customHeight="1">
      <c r="A381" s="5"/>
      <c r="B381" s="5"/>
      <c r="C381" s="5"/>
    </row>
    <row r="382" ht="15.75" customHeight="1">
      <c r="A382" s="5"/>
      <c r="B382" s="5"/>
      <c r="C382" s="5"/>
    </row>
    <row r="383" ht="15.75" customHeight="1">
      <c r="A383" s="5"/>
      <c r="B383" s="5"/>
      <c r="C383" s="5"/>
    </row>
    <row r="384" ht="15.75" customHeight="1">
      <c r="A384" s="5"/>
      <c r="B384" s="5"/>
      <c r="C384" s="5"/>
    </row>
    <row r="385" ht="15.75" customHeight="1">
      <c r="A385" s="5"/>
      <c r="B385" s="5"/>
      <c r="C385" s="5"/>
    </row>
    <row r="386" ht="15.75" customHeight="1">
      <c r="A386" s="5"/>
      <c r="B386" s="5"/>
      <c r="C386" s="5"/>
    </row>
    <row r="387" ht="15.75" customHeight="1">
      <c r="A387" s="5"/>
      <c r="B387" s="5"/>
      <c r="C387" s="5"/>
    </row>
    <row r="388" ht="15.75" customHeight="1">
      <c r="A388" s="5"/>
      <c r="B388" s="5"/>
      <c r="C388" s="5"/>
    </row>
    <row r="389" ht="15.75" customHeight="1">
      <c r="A389" s="5"/>
      <c r="B389" s="5"/>
      <c r="C389" s="5"/>
    </row>
    <row r="390" ht="15.75" customHeight="1">
      <c r="A390" s="5"/>
      <c r="B390" s="5"/>
      <c r="C390" s="5"/>
    </row>
    <row r="391" ht="15.75" customHeight="1">
      <c r="A391" s="5"/>
      <c r="B391" s="5"/>
      <c r="C391" s="5"/>
    </row>
    <row r="392" ht="15.75" customHeight="1">
      <c r="A392" s="5"/>
      <c r="B392" s="5"/>
      <c r="C392" s="5"/>
    </row>
    <row r="393" ht="15.75" customHeight="1">
      <c r="A393" s="5"/>
      <c r="B393" s="5"/>
      <c r="C393" s="5"/>
    </row>
    <row r="394" ht="15.75" customHeight="1">
      <c r="A394" s="5"/>
      <c r="B394" s="5"/>
      <c r="C394" s="5"/>
    </row>
    <row r="395" ht="15.75" customHeight="1">
      <c r="A395" s="5"/>
      <c r="B395" s="5"/>
      <c r="C395" s="5"/>
    </row>
    <row r="396" ht="15.75" customHeight="1">
      <c r="A396" s="5"/>
      <c r="B396" s="5"/>
      <c r="C396" s="5"/>
    </row>
    <row r="397" ht="15.75" customHeight="1">
      <c r="A397" s="5"/>
      <c r="B397" s="5"/>
      <c r="C397" s="5"/>
    </row>
    <row r="398" ht="15.75" customHeight="1">
      <c r="A398" s="5"/>
      <c r="B398" s="5"/>
      <c r="C398" s="5"/>
    </row>
    <row r="399" ht="15.75" customHeight="1">
      <c r="A399" s="5"/>
      <c r="B399" s="5"/>
      <c r="C399" s="5"/>
    </row>
    <row r="400" ht="15.75" customHeight="1">
      <c r="A400" s="5"/>
      <c r="B400" s="5"/>
      <c r="C400" s="5"/>
    </row>
    <row r="401" ht="15.75" customHeight="1">
      <c r="A401" s="5"/>
      <c r="B401" s="5"/>
      <c r="C401" s="5"/>
    </row>
    <row r="402" ht="15.75" customHeight="1">
      <c r="A402" s="5"/>
      <c r="B402" s="5"/>
      <c r="C402" s="5"/>
    </row>
    <row r="403" ht="15.75" customHeight="1">
      <c r="A403" s="5"/>
      <c r="B403" s="5"/>
      <c r="C403" s="5"/>
    </row>
    <row r="404" ht="15.75" customHeight="1">
      <c r="A404" s="5"/>
      <c r="B404" s="5"/>
      <c r="C404" s="5"/>
    </row>
    <row r="405" ht="15.75" customHeight="1">
      <c r="A405" s="5"/>
      <c r="B405" s="5"/>
      <c r="C405" s="5"/>
    </row>
    <row r="406" ht="15.75" customHeight="1">
      <c r="A406" s="5"/>
      <c r="B406" s="5"/>
      <c r="C406" s="5"/>
    </row>
    <row r="407" ht="15.75" customHeight="1">
      <c r="A407" s="5"/>
      <c r="B407" s="5"/>
      <c r="C407" s="5"/>
    </row>
    <row r="408" ht="15.75" customHeight="1">
      <c r="A408" s="5"/>
      <c r="B408" s="5"/>
      <c r="C408" s="5"/>
    </row>
    <row r="409" ht="15.75" customHeight="1">
      <c r="A409" s="5"/>
      <c r="B409" s="5"/>
      <c r="C409" s="5"/>
    </row>
    <row r="410" ht="15.75" customHeight="1">
      <c r="A410" s="5"/>
      <c r="B410" s="5"/>
      <c r="C410" s="5"/>
    </row>
    <row r="411" ht="15.75" customHeight="1">
      <c r="A411" s="5"/>
      <c r="B411" s="5"/>
      <c r="C411" s="5"/>
    </row>
    <row r="412" ht="15.75" customHeight="1">
      <c r="A412" s="5"/>
      <c r="B412" s="5"/>
      <c r="C412" s="5"/>
    </row>
    <row r="413" ht="15.75" customHeight="1">
      <c r="A413" s="5"/>
      <c r="B413" s="5"/>
      <c r="C413" s="5"/>
    </row>
    <row r="414" ht="15.75" customHeight="1">
      <c r="A414" s="5"/>
      <c r="B414" s="5"/>
      <c r="C414" s="5"/>
    </row>
    <row r="415" ht="15.75" customHeight="1">
      <c r="A415" s="5"/>
      <c r="B415" s="5"/>
      <c r="C415" s="5"/>
    </row>
    <row r="416" ht="15.75" customHeight="1">
      <c r="A416" s="5"/>
      <c r="B416" s="5"/>
      <c r="C416" s="5"/>
    </row>
    <row r="417" ht="15.75" customHeight="1">
      <c r="A417" s="5"/>
      <c r="B417" s="5"/>
      <c r="C417" s="5"/>
    </row>
    <row r="418" ht="15.75" customHeight="1">
      <c r="A418" s="5"/>
      <c r="B418" s="5"/>
      <c r="C418" s="5"/>
    </row>
    <row r="419" ht="15.75" customHeight="1">
      <c r="A419" s="5"/>
      <c r="B419" s="5"/>
      <c r="C419" s="5"/>
    </row>
    <row r="420" ht="15.75" customHeight="1">
      <c r="A420" s="5"/>
      <c r="B420" s="5"/>
      <c r="C420" s="5"/>
    </row>
    <row r="421" ht="15.75" customHeight="1">
      <c r="A421" s="5"/>
      <c r="B421" s="5"/>
      <c r="C421" s="5"/>
    </row>
    <row r="422" ht="15.75" customHeight="1">
      <c r="A422" s="5"/>
      <c r="B422" s="5"/>
      <c r="C422" s="5"/>
    </row>
    <row r="423" ht="15.75" customHeight="1">
      <c r="A423" s="5"/>
      <c r="B423" s="5"/>
      <c r="C423" s="5"/>
    </row>
    <row r="424" ht="15.75" customHeight="1">
      <c r="A424" s="5"/>
      <c r="B424" s="5"/>
      <c r="C424" s="5"/>
    </row>
    <row r="425" ht="15.75" customHeight="1">
      <c r="A425" s="5"/>
      <c r="B425" s="5"/>
      <c r="C425" s="5"/>
    </row>
    <row r="426" ht="15.75" customHeight="1">
      <c r="A426" s="5"/>
      <c r="B426" s="5"/>
      <c r="C426" s="5"/>
    </row>
    <row r="427" ht="15.75" customHeight="1">
      <c r="A427" s="5"/>
      <c r="B427" s="5"/>
      <c r="C427" s="5"/>
    </row>
    <row r="428" ht="15.75" customHeight="1">
      <c r="A428" s="5"/>
      <c r="B428" s="5"/>
      <c r="C428" s="5"/>
    </row>
    <row r="429" ht="15.75" customHeight="1">
      <c r="A429" s="5"/>
      <c r="B429" s="5"/>
      <c r="C429" s="5"/>
    </row>
    <row r="430" ht="15.75" customHeight="1">
      <c r="A430" s="5"/>
      <c r="B430" s="5"/>
      <c r="C430" s="5"/>
    </row>
    <row r="431" ht="15.75" customHeight="1">
      <c r="A431" s="5"/>
      <c r="B431" s="5"/>
      <c r="C431" s="5"/>
    </row>
    <row r="432" ht="15.75" customHeight="1">
      <c r="A432" s="5"/>
      <c r="B432" s="5"/>
      <c r="C432" s="5"/>
    </row>
    <row r="433" ht="15.75" customHeight="1">
      <c r="A433" s="5"/>
      <c r="B433" s="5"/>
      <c r="C433" s="5"/>
    </row>
    <row r="434" ht="15.75" customHeight="1">
      <c r="A434" s="5"/>
      <c r="B434" s="5"/>
      <c r="C434" s="5"/>
    </row>
    <row r="435" ht="15.75" customHeight="1">
      <c r="A435" s="5"/>
      <c r="B435" s="5"/>
      <c r="C435" s="5"/>
    </row>
    <row r="436" ht="15.75" customHeight="1">
      <c r="A436" s="5"/>
      <c r="B436" s="5"/>
      <c r="C436" s="5"/>
    </row>
    <row r="437" ht="15.75" customHeight="1">
      <c r="A437" s="5"/>
      <c r="B437" s="5"/>
      <c r="C437" s="5"/>
    </row>
    <row r="438" ht="15.75" customHeight="1">
      <c r="A438" s="5"/>
      <c r="B438" s="5"/>
      <c r="C438" s="5"/>
    </row>
    <row r="439" ht="15.75" customHeight="1">
      <c r="A439" s="5"/>
      <c r="B439" s="5"/>
      <c r="C439" s="5"/>
    </row>
    <row r="440" ht="15.75" customHeight="1">
      <c r="A440" s="5"/>
      <c r="B440" s="5"/>
      <c r="C440" s="5"/>
    </row>
    <row r="441" ht="15.75" customHeight="1">
      <c r="A441" s="5"/>
      <c r="B441" s="5"/>
      <c r="C441" s="5"/>
    </row>
    <row r="442" ht="15.75" customHeight="1">
      <c r="A442" s="5"/>
      <c r="B442" s="5"/>
      <c r="C442" s="5"/>
    </row>
    <row r="443" ht="15.75" customHeight="1">
      <c r="A443" s="5"/>
      <c r="B443" s="5"/>
      <c r="C443" s="5"/>
    </row>
    <row r="444" ht="15.75" customHeight="1">
      <c r="A444" s="5"/>
      <c r="B444" s="5"/>
      <c r="C444" s="5"/>
    </row>
    <row r="445" ht="15.75" customHeight="1">
      <c r="A445" s="5"/>
      <c r="B445" s="5"/>
      <c r="C445" s="5"/>
    </row>
    <row r="446" ht="15.75" customHeight="1">
      <c r="A446" s="5"/>
      <c r="B446" s="5"/>
      <c r="C446" s="5"/>
    </row>
    <row r="447" ht="15.75" customHeight="1">
      <c r="A447" s="5"/>
      <c r="B447" s="5"/>
      <c r="C447" s="5"/>
    </row>
    <row r="448" ht="15.75" customHeight="1">
      <c r="A448" s="5"/>
      <c r="B448" s="5"/>
      <c r="C448" s="5"/>
    </row>
    <row r="449" ht="15.75" customHeight="1">
      <c r="A449" s="5"/>
      <c r="B449" s="5"/>
      <c r="C449" s="5"/>
    </row>
    <row r="450" ht="15.75" customHeight="1">
      <c r="A450" s="5"/>
      <c r="B450" s="5"/>
      <c r="C450" s="5"/>
    </row>
    <row r="451" ht="15.75" customHeight="1">
      <c r="A451" s="5"/>
      <c r="B451" s="5"/>
      <c r="C451" s="5"/>
    </row>
    <row r="452" ht="15.75" customHeight="1">
      <c r="A452" s="5"/>
      <c r="B452" s="5"/>
      <c r="C452" s="5"/>
    </row>
    <row r="453" ht="15.75" customHeight="1">
      <c r="A453" s="5"/>
      <c r="B453" s="5"/>
      <c r="C453" s="5"/>
    </row>
    <row r="454" ht="15.75" customHeight="1">
      <c r="A454" s="5"/>
      <c r="B454" s="5"/>
      <c r="C454" s="5"/>
    </row>
    <row r="455" ht="15.75" customHeight="1">
      <c r="A455" s="5"/>
      <c r="B455" s="5"/>
      <c r="C455" s="5"/>
    </row>
    <row r="456" ht="15.75" customHeight="1">
      <c r="A456" s="5"/>
      <c r="B456" s="5"/>
      <c r="C456" s="5"/>
    </row>
    <row r="457" ht="15.75" customHeight="1">
      <c r="A457" s="5"/>
      <c r="B457" s="5"/>
      <c r="C457" s="5"/>
    </row>
    <row r="458" ht="15.75" customHeight="1">
      <c r="A458" s="5"/>
      <c r="B458" s="5"/>
      <c r="C458" s="5"/>
    </row>
    <row r="459" ht="15.75" customHeight="1">
      <c r="A459" s="5"/>
      <c r="B459" s="5"/>
      <c r="C459" s="5"/>
    </row>
    <row r="460" ht="15.75" customHeight="1">
      <c r="A460" s="5"/>
      <c r="B460" s="5"/>
      <c r="C460" s="5"/>
    </row>
    <row r="461" ht="15.75" customHeight="1">
      <c r="A461" s="5"/>
      <c r="B461" s="5"/>
      <c r="C461" s="5"/>
    </row>
    <row r="462" ht="15.75" customHeight="1">
      <c r="A462" s="5"/>
      <c r="B462" s="5"/>
      <c r="C462" s="5"/>
    </row>
    <row r="463" ht="15.75" customHeight="1">
      <c r="A463" s="5"/>
      <c r="B463" s="5"/>
      <c r="C463" s="5"/>
    </row>
    <row r="464" ht="15.75" customHeight="1">
      <c r="A464" s="5"/>
      <c r="B464" s="5"/>
      <c r="C464" s="5"/>
    </row>
    <row r="465" ht="15.75" customHeight="1">
      <c r="A465" s="5"/>
      <c r="B465" s="5"/>
      <c r="C465" s="5"/>
    </row>
    <row r="466" ht="15.75" customHeight="1">
      <c r="A466" s="5"/>
      <c r="B466" s="5"/>
      <c r="C466" s="5"/>
    </row>
    <row r="467" ht="15.75" customHeight="1">
      <c r="A467" s="5"/>
      <c r="B467" s="5"/>
      <c r="C467" s="5"/>
    </row>
    <row r="468" ht="15.75" customHeight="1">
      <c r="A468" s="5"/>
      <c r="B468" s="5"/>
      <c r="C468" s="5"/>
    </row>
    <row r="469" ht="15.75" customHeight="1">
      <c r="A469" s="5"/>
      <c r="B469" s="5"/>
      <c r="C469" s="5"/>
    </row>
    <row r="470" ht="15.75" customHeight="1">
      <c r="A470" s="5"/>
      <c r="B470" s="5"/>
      <c r="C470" s="5"/>
    </row>
    <row r="471" ht="15.75" customHeight="1">
      <c r="A471" s="5"/>
      <c r="B471" s="5"/>
      <c r="C471" s="5"/>
    </row>
    <row r="472" ht="15.75" customHeight="1">
      <c r="A472" s="5"/>
      <c r="B472" s="5"/>
      <c r="C472" s="5"/>
    </row>
    <row r="473" ht="15.75" customHeight="1">
      <c r="A473" s="5"/>
      <c r="B473" s="5"/>
      <c r="C473" s="5"/>
    </row>
    <row r="474" ht="15.75" customHeight="1">
      <c r="A474" s="5"/>
      <c r="B474" s="5"/>
      <c r="C474" s="5"/>
    </row>
    <row r="475" ht="15.75" customHeight="1">
      <c r="A475" s="5"/>
      <c r="B475" s="5"/>
      <c r="C475" s="5"/>
    </row>
    <row r="476" ht="15.75" customHeight="1">
      <c r="A476" s="5"/>
      <c r="B476" s="5"/>
      <c r="C476" s="5"/>
    </row>
    <row r="477" ht="15.75" customHeight="1">
      <c r="A477" s="5"/>
      <c r="B477" s="5"/>
      <c r="C477" s="5"/>
    </row>
    <row r="478" ht="15.75" customHeight="1">
      <c r="A478" s="5"/>
      <c r="B478" s="5"/>
      <c r="C478" s="5"/>
    </row>
    <row r="479" ht="15.75" customHeight="1">
      <c r="A479" s="5"/>
      <c r="B479" s="5"/>
      <c r="C479" s="5"/>
    </row>
    <row r="480" ht="15.75" customHeight="1">
      <c r="A480" s="5"/>
      <c r="B480" s="5"/>
      <c r="C480" s="5"/>
    </row>
    <row r="481" ht="15.75" customHeight="1">
      <c r="A481" s="5"/>
      <c r="B481" s="5"/>
      <c r="C481" s="5"/>
    </row>
    <row r="482" ht="15.75" customHeight="1">
      <c r="A482" s="5"/>
      <c r="B482" s="5"/>
      <c r="C482" s="5"/>
    </row>
    <row r="483" ht="15.75" customHeight="1">
      <c r="A483" s="5"/>
      <c r="B483" s="5"/>
      <c r="C483" s="5"/>
    </row>
    <row r="484" ht="15.75" customHeight="1">
      <c r="A484" s="5"/>
      <c r="B484" s="5"/>
      <c r="C484" s="5"/>
    </row>
    <row r="485" ht="15.75" customHeight="1">
      <c r="A485" s="5"/>
      <c r="B485" s="5"/>
      <c r="C485" s="5"/>
    </row>
    <row r="486" ht="15.75" customHeight="1">
      <c r="A486" s="5"/>
      <c r="B486" s="5"/>
      <c r="C486" s="5"/>
    </row>
    <row r="487" ht="15.75" customHeight="1">
      <c r="A487" s="5"/>
      <c r="B487" s="5"/>
      <c r="C487" s="5"/>
    </row>
    <row r="488" ht="15.75" customHeight="1">
      <c r="A488" s="5"/>
      <c r="B488" s="5"/>
      <c r="C488" s="5"/>
    </row>
    <row r="489" ht="15.75" customHeight="1">
      <c r="A489" s="5"/>
      <c r="B489" s="5"/>
      <c r="C489" s="5"/>
    </row>
    <row r="490" ht="15.75" customHeight="1">
      <c r="A490" s="5"/>
      <c r="B490" s="5"/>
      <c r="C490" s="5"/>
    </row>
    <row r="491" ht="15.75" customHeight="1">
      <c r="A491" s="5"/>
      <c r="B491" s="5"/>
      <c r="C491" s="5"/>
    </row>
    <row r="492" ht="15.75" customHeight="1">
      <c r="A492" s="5"/>
      <c r="B492" s="5"/>
      <c r="C492" s="5"/>
    </row>
    <row r="493" ht="15.75" customHeight="1">
      <c r="A493" s="5"/>
      <c r="B493" s="5"/>
      <c r="C493" s="5"/>
    </row>
    <row r="494" ht="15.75" customHeight="1">
      <c r="A494" s="5"/>
      <c r="B494" s="5"/>
      <c r="C494" s="5"/>
    </row>
    <row r="495" ht="15.75" customHeight="1">
      <c r="A495" s="5"/>
      <c r="B495" s="5"/>
      <c r="C495" s="5"/>
    </row>
    <row r="496" ht="15.75" customHeight="1">
      <c r="A496" s="5"/>
      <c r="B496" s="5"/>
      <c r="C496" s="5"/>
    </row>
    <row r="497" ht="15.75" customHeight="1">
      <c r="A497" s="5"/>
      <c r="B497" s="5"/>
      <c r="C497" s="5"/>
    </row>
    <row r="498" ht="15.75" customHeight="1">
      <c r="A498" s="5"/>
      <c r="B498" s="5"/>
      <c r="C498" s="5"/>
    </row>
    <row r="499" ht="15.75" customHeight="1">
      <c r="A499" s="5"/>
      <c r="B499" s="5"/>
      <c r="C499" s="5"/>
    </row>
    <row r="500" ht="15.75" customHeight="1">
      <c r="A500" s="5"/>
      <c r="B500" s="5"/>
      <c r="C500" s="5"/>
    </row>
    <row r="501" ht="15.75" customHeight="1">
      <c r="A501" s="5"/>
      <c r="B501" s="5"/>
      <c r="C501" s="5"/>
    </row>
    <row r="502" ht="15.75" customHeight="1">
      <c r="A502" s="5"/>
      <c r="B502" s="5"/>
      <c r="C502" s="5"/>
    </row>
    <row r="503" ht="15.75" customHeight="1">
      <c r="A503" s="5"/>
      <c r="B503" s="5"/>
      <c r="C503" s="5"/>
    </row>
    <row r="504" ht="15.75" customHeight="1">
      <c r="A504" s="5"/>
      <c r="B504" s="5"/>
      <c r="C504" s="5"/>
    </row>
    <row r="505" ht="15.75" customHeight="1">
      <c r="A505" s="5"/>
      <c r="B505" s="5"/>
      <c r="C505" s="5"/>
    </row>
    <row r="506" ht="15.75" customHeight="1">
      <c r="A506" s="5"/>
      <c r="B506" s="5"/>
      <c r="C506" s="5"/>
    </row>
    <row r="507" ht="15.75" customHeight="1">
      <c r="A507" s="5"/>
      <c r="B507" s="5"/>
      <c r="C507" s="5"/>
    </row>
    <row r="508" ht="15.75" customHeight="1">
      <c r="A508" s="5"/>
      <c r="B508" s="5"/>
      <c r="C508" s="5"/>
    </row>
    <row r="509" ht="15.75" customHeight="1">
      <c r="A509" s="5"/>
      <c r="B509" s="5"/>
      <c r="C509" s="5"/>
    </row>
    <row r="510" ht="15.75" customHeight="1">
      <c r="A510" s="5"/>
      <c r="B510" s="5"/>
      <c r="C510" s="5"/>
    </row>
    <row r="511" ht="15.75" customHeight="1">
      <c r="A511" s="5"/>
      <c r="B511" s="5"/>
      <c r="C511" s="5"/>
    </row>
    <row r="512" ht="15.75" customHeight="1">
      <c r="A512" s="5"/>
      <c r="B512" s="5"/>
      <c r="C512" s="5"/>
    </row>
    <row r="513" ht="15.75" customHeight="1">
      <c r="A513" s="5"/>
      <c r="B513" s="5"/>
      <c r="C513" s="5"/>
    </row>
    <row r="514" ht="15.75" customHeight="1">
      <c r="A514" s="5"/>
      <c r="B514" s="5"/>
      <c r="C514" s="5"/>
    </row>
    <row r="515" ht="15.75" customHeight="1">
      <c r="A515" s="5"/>
      <c r="B515" s="5"/>
      <c r="C515" s="5"/>
    </row>
    <row r="516" ht="15.75" customHeight="1">
      <c r="A516" s="5"/>
      <c r="B516" s="5"/>
      <c r="C516" s="5"/>
    </row>
    <row r="517" ht="15.75" customHeight="1">
      <c r="A517" s="5"/>
      <c r="B517" s="5"/>
      <c r="C517" s="5"/>
    </row>
    <row r="518" ht="15.75" customHeight="1">
      <c r="A518" s="5"/>
      <c r="B518" s="5"/>
      <c r="C518" s="5"/>
    </row>
    <row r="519" ht="15.75" customHeight="1">
      <c r="A519" s="5"/>
      <c r="B519" s="5"/>
      <c r="C519" s="5"/>
    </row>
    <row r="520" ht="15.75" customHeight="1">
      <c r="A520" s="5"/>
      <c r="B520" s="5"/>
      <c r="C520" s="5"/>
    </row>
    <row r="521" ht="15.75" customHeight="1">
      <c r="A521" s="5"/>
      <c r="B521" s="5"/>
      <c r="C521" s="5"/>
    </row>
    <row r="522" ht="15.75" customHeight="1">
      <c r="A522" s="5"/>
      <c r="B522" s="5"/>
      <c r="C522" s="5"/>
    </row>
    <row r="523" ht="15.75" customHeight="1">
      <c r="A523" s="5"/>
      <c r="B523" s="5"/>
      <c r="C523" s="5"/>
    </row>
    <row r="524" ht="15.75" customHeight="1">
      <c r="A524" s="5"/>
      <c r="B524" s="5"/>
      <c r="C524" s="5"/>
    </row>
    <row r="525" ht="15.75" customHeight="1">
      <c r="A525" s="5"/>
      <c r="B525" s="5"/>
      <c r="C525" s="5"/>
    </row>
    <row r="526" ht="15.75" customHeight="1">
      <c r="A526" s="5"/>
      <c r="B526" s="5"/>
      <c r="C526" s="5"/>
    </row>
    <row r="527" ht="15.75" customHeight="1">
      <c r="A527" s="5"/>
      <c r="B527" s="5"/>
      <c r="C527" s="5"/>
    </row>
    <row r="528" ht="15.75" customHeight="1">
      <c r="A528" s="5"/>
      <c r="B528" s="5"/>
      <c r="C528" s="5"/>
    </row>
    <row r="529" ht="15.75" customHeight="1">
      <c r="A529" s="5"/>
      <c r="B529" s="5"/>
      <c r="C529" s="5"/>
    </row>
    <row r="530" ht="15.75" customHeight="1">
      <c r="A530" s="5"/>
      <c r="B530" s="5"/>
      <c r="C530" s="5"/>
    </row>
    <row r="531" ht="15.75" customHeight="1">
      <c r="A531" s="5"/>
      <c r="B531" s="5"/>
      <c r="C531" s="5"/>
    </row>
    <row r="532" ht="15.75" customHeight="1">
      <c r="A532" s="5"/>
      <c r="B532" s="5"/>
      <c r="C532" s="5"/>
    </row>
    <row r="533" ht="15.75" customHeight="1">
      <c r="A533" s="5"/>
      <c r="B533" s="5"/>
      <c r="C533" s="5"/>
    </row>
    <row r="534" ht="15.75" customHeight="1">
      <c r="A534" s="5"/>
      <c r="B534" s="5"/>
      <c r="C534" s="5"/>
    </row>
    <row r="535" ht="15.75" customHeight="1">
      <c r="A535" s="5"/>
      <c r="B535" s="5"/>
      <c r="C535" s="5"/>
    </row>
    <row r="536" ht="15.75" customHeight="1">
      <c r="A536" s="5"/>
      <c r="B536" s="5"/>
      <c r="C536" s="5"/>
    </row>
    <row r="537" ht="15.75" customHeight="1">
      <c r="A537" s="5"/>
      <c r="B537" s="5"/>
      <c r="C537" s="5"/>
    </row>
    <row r="538" ht="15.75" customHeight="1">
      <c r="A538" s="5"/>
      <c r="B538" s="5"/>
      <c r="C538" s="5"/>
    </row>
    <row r="539" ht="15.75" customHeight="1">
      <c r="A539" s="5"/>
      <c r="B539" s="5"/>
      <c r="C539" s="5"/>
    </row>
    <row r="540" ht="15.75" customHeight="1">
      <c r="A540" s="5"/>
      <c r="B540" s="5"/>
      <c r="C540" s="5"/>
    </row>
    <row r="541" ht="15.75" customHeight="1">
      <c r="A541" s="5"/>
      <c r="B541" s="5"/>
      <c r="C541" s="5"/>
    </row>
    <row r="542" ht="15.75" customHeight="1">
      <c r="A542" s="5"/>
      <c r="B542" s="5"/>
      <c r="C542" s="5"/>
    </row>
    <row r="543" ht="15.75" customHeight="1">
      <c r="A543" s="5"/>
      <c r="B543" s="5"/>
      <c r="C543" s="5"/>
    </row>
    <row r="544" ht="15.75" customHeight="1">
      <c r="A544" s="5"/>
      <c r="B544" s="5"/>
      <c r="C544" s="5"/>
    </row>
    <row r="545" ht="15.75" customHeight="1">
      <c r="A545" s="5"/>
      <c r="B545" s="5"/>
      <c r="C545" s="5"/>
    </row>
    <row r="546" ht="15.75" customHeight="1">
      <c r="A546" s="5"/>
      <c r="B546" s="5"/>
      <c r="C546" s="5"/>
    </row>
    <row r="547" ht="15.75" customHeight="1">
      <c r="A547" s="5"/>
      <c r="B547" s="5"/>
      <c r="C547" s="5"/>
    </row>
    <row r="548" ht="15.75" customHeight="1">
      <c r="A548" s="5"/>
      <c r="B548" s="5"/>
      <c r="C548" s="5"/>
    </row>
    <row r="549" ht="15.75" customHeight="1">
      <c r="A549" s="5"/>
      <c r="B549" s="5"/>
      <c r="C549" s="5"/>
    </row>
    <row r="550" ht="15.75" customHeight="1">
      <c r="A550" s="5"/>
      <c r="B550" s="5"/>
      <c r="C550" s="5"/>
    </row>
    <row r="551" ht="15.75" customHeight="1">
      <c r="A551" s="5"/>
      <c r="B551" s="5"/>
      <c r="C551" s="5"/>
    </row>
    <row r="552" ht="15.75" customHeight="1">
      <c r="A552" s="5"/>
      <c r="B552" s="5"/>
      <c r="C552" s="5"/>
    </row>
    <row r="553" ht="15.75" customHeight="1">
      <c r="A553" s="5"/>
      <c r="B553" s="5"/>
      <c r="C553" s="5"/>
    </row>
    <row r="554" ht="15.75" customHeight="1">
      <c r="A554" s="5"/>
      <c r="B554" s="5"/>
      <c r="C554" s="5"/>
    </row>
    <row r="555" ht="15.75" customHeight="1">
      <c r="A555" s="5"/>
      <c r="B555" s="5"/>
      <c r="C555" s="5"/>
    </row>
    <row r="556" ht="15.75" customHeight="1">
      <c r="A556" s="5"/>
      <c r="B556" s="5"/>
      <c r="C556" s="5"/>
    </row>
    <row r="557" ht="15.75" customHeight="1">
      <c r="A557" s="5"/>
      <c r="B557" s="5"/>
      <c r="C557" s="5"/>
    </row>
    <row r="558" ht="15.75" customHeight="1">
      <c r="A558" s="5"/>
      <c r="B558" s="5"/>
      <c r="C558" s="5"/>
    </row>
    <row r="559" ht="15.75" customHeight="1">
      <c r="A559" s="5"/>
      <c r="B559" s="5"/>
      <c r="C559" s="5"/>
    </row>
    <row r="560" ht="15.75" customHeight="1">
      <c r="A560" s="5"/>
      <c r="B560" s="5"/>
      <c r="C560" s="5"/>
    </row>
    <row r="561" ht="15.75" customHeight="1">
      <c r="A561" s="5"/>
      <c r="B561" s="5"/>
      <c r="C561" s="5"/>
    </row>
    <row r="562" ht="15.75" customHeight="1">
      <c r="A562" s="5"/>
      <c r="B562" s="5"/>
      <c r="C562" s="5"/>
    </row>
    <row r="563" ht="15.75" customHeight="1">
      <c r="A563" s="5"/>
      <c r="B563" s="5"/>
      <c r="C563" s="5"/>
    </row>
    <row r="564" ht="15.75" customHeight="1">
      <c r="A564" s="5"/>
      <c r="B564" s="5"/>
      <c r="C564" s="5"/>
    </row>
    <row r="565" ht="15.75" customHeight="1">
      <c r="A565" s="5"/>
      <c r="B565" s="5"/>
      <c r="C565" s="5"/>
    </row>
    <row r="566" ht="15.75" customHeight="1">
      <c r="A566" s="5"/>
      <c r="B566" s="5"/>
      <c r="C566" s="5"/>
    </row>
    <row r="567" ht="15.75" customHeight="1">
      <c r="A567" s="5"/>
      <c r="B567" s="5"/>
      <c r="C567" s="5"/>
    </row>
    <row r="568" ht="15.75" customHeight="1">
      <c r="A568" s="5"/>
      <c r="B568" s="5"/>
      <c r="C568" s="5"/>
    </row>
    <row r="569" ht="15.75" customHeight="1">
      <c r="A569" s="5"/>
      <c r="B569" s="5"/>
      <c r="C569" s="5"/>
    </row>
    <row r="570" ht="15.75" customHeight="1">
      <c r="A570" s="5"/>
      <c r="B570" s="5"/>
      <c r="C570" s="5"/>
    </row>
    <row r="571" ht="15.75" customHeight="1">
      <c r="A571" s="5"/>
      <c r="B571" s="5"/>
      <c r="C571" s="5"/>
    </row>
    <row r="572" ht="15.75" customHeight="1">
      <c r="A572" s="5"/>
      <c r="B572" s="5"/>
      <c r="C572" s="5"/>
    </row>
    <row r="573" ht="15.75" customHeight="1">
      <c r="A573" s="5"/>
      <c r="B573" s="5"/>
      <c r="C573" s="5"/>
    </row>
    <row r="574" ht="15.75" customHeight="1">
      <c r="A574" s="5"/>
      <c r="B574" s="5"/>
      <c r="C574" s="5"/>
    </row>
    <row r="575" ht="15.75" customHeight="1">
      <c r="A575" s="5"/>
      <c r="B575" s="5"/>
      <c r="C575" s="5"/>
    </row>
    <row r="576" ht="15.75" customHeight="1">
      <c r="A576" s="5"/>
      <c r="B576" s="5"/>
      <c r="C576" s="5"/>
    </row>
    <row r="577" ht="15.75" customHeight="1">
      <c r="A577" s="5"/>
      <c r="B577" s="5"/>
      <c r="C577" s="5"/>
    </row>
    <row r="578" ht="15.75" customHeight="1">
      <c r="A578" s="5"/>
      <c r="B578" s="5"/>
      <c r="C578" s="5"/>
    </row>
    <row r="579" ht="15.75" customHeight="1">
      <c r="A579" s="5"/>
      <c r="B579" s="5"/>
      <c r="C579" s="5"/>
    </row>
    <row r="580" ht="15.75" customHeight="1">
      <c r="A580" s="5"/>
      <c r="B580" s="5"/>
      <c r="C580" s="5"/>
    </row>
    <row r="581" ht="15.75" customHeight="1">
      <c r="A581" s="5"/>
      <c r="B581" s="5"/>
      <c r="C581" s="5"/>
    </row>
    <row r="582" ht="15.75" customHeight="1">
      <c r="A582" s="5"/>
      <c r="B582" s="5"/>
      <c r="C582" s="5"/>
    </row>
    <row r="583" ht="15.75" customHeight="1">
      <c r="A583" s="5"/>
      <c r="B583" s="5"/>
      <c r="C583" s="5"/>
    </row>
    <row r="584" ht="15.75" customHeight="1">
      <c r="A584" s="5"/>
      <c r="B584" s="5"/>
      <c r="C584" s="5"/>
    </row>
    <row r="585" ht="15.75" customHeight="1">
      <c r="A585" s="5"/>
      <c r="B585" s="5"/>
      <c r="C585" s="5"/>
    </row>
    <row r="586" ht="15.75" customHeight="1">
      <c r="A586" s="5"/>
      <c r="B586" s="5"/>
      <c r="C586" s="5"/>
    </row>
    <row r="587" ht="15.75" customHeight="1">
      <c r="A587" s="5"/>
      <c r="B587" s="5"/>
      <c r="C587" s="5"/>
    </row>
    <row r="588" ht="15.75" customHeight="1">
      <c r="A588" s="5"/>
      <c r="B588" s="5"/>
      <c r="C588" s="5"/>
    </row>
    <row r="589" ht="15.75" customHeight="1">
      <c r="A589" s="5"/>
      <c r="B589" s="5"/>
      <c r="C589" s="5"/>
    </row>
    <row r="590" ht="15.75" customHeight="1">
      <c r="A590" s="5"/>
      <c r="B590" s="5"/>
      <c r="C590" s="5"/>
    </row>
    <row r="591" ht="15.75" customHeight="1">
      <c r="A591" s="5"/>
      <c r="B591" s="5"/>
      <c r="C591" s="5"/>
    </row>
    <row r="592" ht="15.75" customHeight="1">
      <c r="A592" s="5"/>
      <c r="B592" s="5"/>
      <c r="C592" s="5"/>
    </row>
    <row r="593" ht="15.75" customHeight="1">
      <c r="A593" s="5"/>
      <c r="B593" s="5"/>
      <c r="C593" s="5"/>
    </row>
    <row r="594" ht="15.75" customHeight="1">
      <c r="A594" s="5"/>
      <c r="B594" s="5"/>
      <c r="C594" s="5"/>
    </row>
    <row r="595" ht="15.75" customHeight="1">
      <c r="A595" s="5"/>
      <c r="B595" s="5"/>
      <c r="C595" s="5"/>
    </row>
    <row r="596" ht="15.75" customHeight="1">
      <c r="A596" s="5"/>
      <c r="B596" s="5"/>
      <c r="C596" s="5"/>
    </row>
    <row r="597" ht="15.75" customHeight="1">
      <c r="A597" s="5"/>
      <c r="B597" s="5"/>
      <c r="C597" s="5"/>
    </row>
    <row r="598" ht="15.75" customHeight="1">
      <c r="A598" s="5"/>
      <c r="B598" s="5"/>
      <c r="C598" s="5"/>
    </row>
    <row r="599" ht="15.75" customHeight="1">
      <c r="A599" s="5"/>
      <c r="B599" s="5"/>
      <c r="C599" s="5"/>
    </row>
    <row r="600" ht="15.75" customHeight="1">
      <c r="A600" s="5"/>
      <c r="B600" s="5"/>
      <c r="C600" s="5"/>
    </row>
    <row r="601" ht="15.75" customHeight="1">
      <c r="A601" s="5"/>
      <c r="B601" s="5"/>
      <c r="C601" s="5"/>
    </row>
    <row r="602" ht="15.75" customHeight="1">
      <c r="A602" s="5"/>
      <c r="B602" s="5"/>
      <c r="C602" s="5"/>
    </row>
    <row r="603" ht="15.75" customHeight="1">
      <c r="A603" s="5"/>
      <c r="B603" s="5"/>
      <c r="C603" s="5"/>
    </row>
    <row r="604" ht="15.75" customHeight="1">
      <c r="A604" s="5"/>
      <c r="B604" s="5"/>
      <c r="C604" s="5"/>
    </row>
    <row r="605" ht="15.75" customHeight="1">
      <c r="A605" s="5"/>
      <c r="B605" s="5"/>
      <c r="C605" s="5"/>
    </row>
    <row r="606" ht="15.75" customHeight="1">
      <c r="A606" s="5"/>
      <c r="B606" s="5"/>
      <c r="C606" s="5"/>
    </row>
    <row r="607" ht="15.75" customHeight="1">
      <c r="A607" s="5"/>
      <c r="B607" s="5"/>
      <c r="C607" s="5"/>
    </row>
    <row r="608" ht="15.75" customHeight="1">
      <c r="A608" s="5"/>
      <c r="B608" s="5"/>
      <c r="C608" s="5"/>
    </row>
    <row r="609" ht="15.75" customHeight="1">
      <c r="A609" s="5"/>
      <c r="B609" s="5"/>
      <c r="C609" s="5"/>
    </row>
    <row r="610" ht="15.75" customHeight="1">
      <c r="A610" s="5"/>
      <c r="B610" s="5"/>
      <c r="C610" s="5"/>
    </row>
    <row r="611" ht="15.75" customHeight="1">
      <c r="A611" s="5"/>
      <c r="B611" s="5"/>
      <c r="C611" s="5"/>
    </row>
    <row r="612" ht="15.75" customHeight="1">
      <c r="A612" s="5"/>
      <c r="B612" s="5"/>
      <c r="C612" s="5"/>
    </row>
    <row r="613" ht="15.75" customHeight="1">
      <c r="A613" s="5"/>
      <c r="B613" s="5"/>
      <c r="C613" s="5"/>
    </row>
    <row r="614" ht="15.75" customHeight="1">
      <c r="A614" s="5"/>
      <c r="B614" s="5"/>
      <c r="C614" s="5"/>
    </row>
    <row r="615" ht="15.75" customHeight="1">
      <c r="A615" s="5"/>
      <c r="B615" s="5"/>
      <c r="C615" s="5"/>
    </row>
    <row r="616" ht="15.75" customHeight="1">
      <c r="A616" s="5"/>
      <c r="B616" s="5"/>
      <c r="C616" s="5"/>
    </row>
    <row r="617" ht="15.75" customHeight="1">
      <c r="A617" s="5"/>
      <c r="B617" s="5"/>
      <c r="C617" s="5"/>
    </row>
    <row r="618" ht="15.75" customHeight="1">
      <c r="A618" s="5"/>
      <c r="B618" s="5"/>
      <c r="C618" s="5"/>
    </row>
    <row r="619" ht="15.75" customHeight="1">
      <c r="A619" s="5"/>
      <c r="B619" s="5"/>
      <c r="C619" s="5"/>
    </row>
    <row r="620" ht="15.75" customHeight="1">
      <c r="A620" s="5"/>
      <c r="B620" s="5"/>
      <c r="C620" s="5"/>
    </row>
    <row r="621" ht="15.75" customHeight="1">
      <c r="A621" s="5"/>
      <c r="B621" s="5"/>
      <c r="C621" s="5"/>
    </row>
    <row r="622" ht="15.75" customHeight="1">
      <c r="A622" s="5"/>
      <c r="B622" s="5"/>
      <c r="C622" s="5"/>
    </row>
    <row r="623" ht="15.75" customHeight="1">
      <c r="A623" s="5"/>
      <c r="B623" s="5"/>
      <c r="C623" s="5"/>
    </row>
    <row r="624" ht="15.75" customHeight="1">
      <c r="A624" s="5"/>
      <c r="B624" s="5"/>
      <c r="C624" s="5"/>
    </row>
    <row r="625" ht="15.75" customHeight="1">
      <c r="A625" s="5"/>
      <c r="B625" s="5"/>
      <c r="C625" s="5"/>
    </row>
    <row r="626" ht="15.75" customHeight="1">
      <c r="A626" s="5"/>
      <c r="B626" s="5"/>
      <c r="C626" s="5"/>
    </row>
    <row r="627" ht="15.75" customHeight="1">
      <c r="A627" s="5"/>
      <c r="B627" s="5"/>
      <c r="C627" s="5"/>
    </row>
    <row r="628" ht="15.75" customHeight="1">
      <c r="A628" s="5"/>
      <c r="B628" s="5"/>
      <c r="C628" s="5"/>
    </row>
    <row r="629" ht="15.75" customHeight="1">
      <c r="A629" s="5"/>
      <c r="B629" s="5"/>
      <c r="C629" s="5"/>
    </row>
    <row r="630" ht="15.75" customHeight="1">
      <c r="A630" s="5"/>
      <c r="B630" s="5"/>
      <c r="C630" s="5"/>
    </row>
    <row r="631" ht="15.75" customHeight="1">
      <c r="A631" s="5"/>
      <c r="B631" s="5"/>
      <c r="C631" s="5"/>
    </row>
    <row r="632" ht="15.75" customHeight="1">
      <c r="A632" s="5"/>
      <c r="B632" s="5"/>
      <c r="C632" s="5"/>
    </row>
    <row r="633" ht="15.75" customHeight="1">
      <c r="A633" s="5"/>
      <c r="B633" s="5"/>
      <c r="C633" s="5"/>
    </row>
    <row r="634" ht="15.75" customHeight="1">
      <c r="A634" s="5"/>
      <c r="B634" s="5"/>
      <c r="C634" s="5"/>
    </row>
    <row r="635" ht="15.75" customHeight="1">
      <c r="A635" s="5"/>
      <c r="B635" s="5"/>
      <c r="C635" s="5"/>
    </row>
    <row r="636" ht="15.75" customHeight="1">
      <c r="A636" s="5"/>
      <c r="B636" s="5"/>
      <c r="C636" s="5"/>
    </row>
    <row r="637" ht="15.75" customHeight="1">
      <c r="A637" s="5"/>
      <c r="B637" s="5"/>
      <c r="C637" s="5"/>
    </row>
    <row r="638" ht="15.75" customHeight="1">
      <c r="A638" s="5"/>
      <c r="B638" s="5"/>
      <c r="C638" s="5"/>
    </row>
    <row r="639" ht="15.75" customHeight="1">
      <c r="A639" s="5"/>
      <c r="B639" s="5"/>
      <c r="C639" s="5"/>
    </row>
    <row r="640" ht="15.75" customHeight="1">
      <c r="A640" s="5"/>
      <c r="B640" s="5"/>
      <c r="C640" s="5"/>
    </row>
    <row r="641" ht="15.75" customHeight="1">
      <c r="A641" s="5"/>
      <c r="B641" s="5"/>
      <c r="C641" s="5"/>
    </row>
    <row r="642" ht="15.75" customHeight="1">
      <c r="A642" s="5"/>
      <c r="B642" s="5"/>
      <c r="C642" s="5"/>
    </row>
    <row r="643" ht="15.75" customHeight="1">
      <c r="A643" s="5"/>
      <c r="B643" s="5"/>
      <c r="C643" s="5"/>
    </row>
    <row r="644" ht="15.75" customHeight="1">
      <c r="A644" s="5"/>
      <c r="B644" s="5"/>
      <c r="C644" s="5"/>
    </row>
    <row r="645" ht="15.75" customHeight="1">
      <c r="A645" s="5"/>
      <c r="B645" s="5"/>
      <c r="C645" s="5"/>
    </row>
    <row r="646" ht="15.75" customHeight="1">
      <c r="A646" s="5"/>
      <c r="B646" s="5"/>
      <c r="C646" s="5"/>
    </row>
    <row r="647" ht="15.75" customHeight="1">
      <c r="A647" s="5"/>
      <c r="B647" s="5"/>
      <c r="C647" s="5"/>
    </row>
    <row r="648" ht="15.75" customHeight="1">
      <c r="A648" s="5"/>
      <c r="B648" s="5"/>
      <c r="C648" s="5"/>
    </row>
    <row r="649" ht="15.75" customHeight="1">
      <c r="A649" s="5"/>
      <c r="B649" s="5"/>
      <c r="C649" s="5"/>
    </row>
    <row r="650" ht="15.75" customHeight="1">
      <c r="A650" s="5"/>
      <c r="B650" s="5"/>
      <c r="C650" s="5"/>
    </row>
    <row r="651" ht="15.75" customHeight="1">
      <c r="A651" s="5"/>
      <c r="B651" s="5"/>
      <c r="C651" s="5"/>
    </row>
    <row r="652" ht="15.75" customHeight="1">
      <c r="A652" s="5"/>
      <c r="B652" s="5"/>
      <c r="C652" s="5"/>
    </row>
    <row r="653" ht="15.75" customHeight="1">
      <c r="A653" s="5"/>
      <c r="B653" s="5"/>
      <c r="C653" s="5"/>
    </row>
    <row r="654" ht="15.75" customHeight="1">
      <c r="A654" s="5"/>
      <c r="B654" s="5"/>
      <c r="C654" s="5"/>
    </row>
    <row r="655" ht="15.75" customHeight="1">
      <c r="A655" s="5"/>
      <c r="B655" s="5"/>
      <c r="C655" s="5"/>
    </row>
    <row r="656" ht="15.75" customHeight="1">
      <c r="A656" s="5"/>
      <c r="B656" s="5"/>
      <c r="C656" s="5"/>
    </row>
    <row r="657" ht="15.75" customHeight="1">
      <c r="A657" s="5"/>
      <c r="B657" s="5"/>
      <c r="C657" s="5"/>
    </row>
    <row r="658" ht="15.75" customHeight="1">
      <c r="A658" s="5"/>
      <c r="B658" s="5"/>
      <c r="C658" s="5"/>
    </row>
    <row r="659" ht="15.75" customHeight="1">
      <c r="A659" s="5"/>
      <c r="B659" s="5"/>
      <c r="C659" s="5"/>
    </row>
    <row r="660" ht="15.75" customHeight="1">
      <c r="A660" s="5"/>
      <c r="B660" s="5"/>
      <c r="C660" s="5"/>
    </row>
    <row r="661" ht="15.75" customHeight="1">
      <c r="A661" s="5"/>
      <c r="B661" s="5"/>
      <c r="C661" s="5"/>
    </row>
    <row r="662" ht="15.75" customHeight="1">
      <c r="A662" s="5"/>
      <c r="B662" s="5"/>
      <c r="C662" s="5"/>
    </row>
    <row r="663" ht="15.75" customHeight="1">
      <c r="A663" s="5"/>
      <c r="B663" s="5"/>
      <c r="C663" s="5"/>
    </row>
    <row r="664" ht="15.75" customHeight="1">
      <c r="A664" s="5"/>
      <c r="B664" s="5"/>
      <c r="C664" s="5"/>
    </row>
    <row r="665" ht="15.75" customHeight="1">
      <c r="A665" s="5"/>
      <c r="B665" s="5"/>
      <c r="C665" s="5"/>
    </row>
    <row r="666" ht="15.75" customHeight="1">
      <c r="A666" s="5"/>
      <c r="B666" s="5"/>
      <c r="C666" s="5"/>
    </row>
    <row r="667" ht="15.75" customHeight="1">
      <c r="A667" s="5"/>
      <c r="B667" s="5"/>
      <c r="C667" s="5"/>
    </row>
    <row r="668" ht="15.75" customHeight="1">
      <c r="A668" s="5"/>
      <c r="B668" s="5"/>
      <c r="C668" s="5"/>
    </row>
    <row r="669" ht="15.75" customHeight="1">
      <c r="A669" s="5"/>
      <c r="B669" s="5"/>
      <c r="C669" s="5"/>
    </row>
    <row r="670" ht="15.75" customHeight="1">
      <c r="A670" s="5"/>
      <c r="B670" s="5"/>
      <c r="C670" s="5"/>
    </row>
    <row r="671" ht="15.75" customHeight="1">
      <c r="A671" s="5"/>
      <c r="B671" s="5"/>
      <c r="C671" s="5"/>
    </row>
    <row r="672" ht="15.75" customHeight="1">
      <c r="A672" s="5"/>
      <c r="B672" s="5"/>
      <c r="C672" s="5"/>
    </row>
    <row r="673" ht="15.75" customHeight="1">
      <c r="A673" s="5"/>
      <c r="B673" s="5"/>
      <c r="C673" s="5"/>
    </row>
    <row r="674" ht="15.75" customHeight="1">
      <c r="A674" s="5"/>
      <c r="B674" s="5"/>
      <c r="C674" s="5"/>
    </row>
    <row r="675" ht="15.75" customHeight="1">
      <c r="A675" s="5"/>
      <c r="B675" s="5"/>
      <c r="C675" s="5"/>
    </row>
    <row r="676" ht="15.75" customHeight="1">
      <c r="A676" s="5"/>
      <c r="B676" s="5"/>
      <c r="C676" s="5"/>
    </row>
    <row r="677" ht="15.75" customHeight="1">
      <c r="A677" s="5"/>
      <c r="B677" s="5"/>
      <c r="C677" s="5"/>
    </row>
    <row r="678" ht="15.75" customHeight="1">
      <c r="A678" s="5"/>
      <c r="B678" s="5"/>
      <c r="C678" s="5"/>
    </row>
    <row r="679" ht="15.75" customHeight="1">
      <c r="A679" s="5"/>
      <c r="B679" s="5"/>
      <c r="C679" s="5"/>
    </row>
    <row r="680" ht="15.75" customHeight="1">
      <c r="A680" s="5"/>
      <c r="B680" s="5"/>
      <c r="C680" s="5"/>
    </row>
    <row r="681" ht="15.75" customHeight="1">
      <c r="A681" s="5"/>
      <c r="B681" s="5"/>
      <c r="C681" s="5"/>
    </row>
    <row r="682" ht="15.75" customHeight="1">
      <c r="A682" s="5"/>
      <c r="B682" s="5"/>
      <c r="C682" s="5"/>
    </row>
    <row r="683" ht="15.75" customHeight="1">
      <c r="A683" s="5"/>
      <c r="B683" s="5"/>
      <c r="C683" s="5"/>
    </row>
    <row r="684" ht="15.75" customHeight="1">
      <c r="A684" s="5"/>
      <c r="B684" s="5"/>
      <c r="C684" s="5"/>
    </row>
    <row r="685" ht="15.75" customHeight="1">
      <c r="A685" s="5"/>
      <c r="B685" s="5"/>
      <c r="C685" s="5"/>
    </row>
    <row r="686" ht="15.75" customHeight="1">
      <c r="A686" s="5"/>
      <c r="B686" s="5"/>
      <c r="C686" s="5"/>
    </row>
    <row r="687" ht="15.75" customHeight="1">
      <c r="A687" s="5"/>
      <c r="B687" s="5"/>
      <c r="C687" s="5"/>
    </row>
    <row r="688" ht="15.75" customHeight="1">
      <c r="A688" s="5"/>
      <c r="B688" s="5"/>
      <c r="C688" s="5"/>
    </row>
    <row r="689" ht="15.75" customHeight="1">
      <c r="A689" s="5"/>
      <c r="B689" s="5"/>
      <c r="C689" s="5"/>
    </row>
    <row r="690" ht="15.75" customHeight="1">
      <c r="A690" s="5"/>
      <c r="B690" s="5"/>
      <c r="C690" s="5"/>
    </row>
    <row r="691" ht="15.75" customHeight="1">
      <c r="A691" s="5"/>
      <c r="B691" s="5"/>
      <c r="C691" s="5"/>
    </row>
    <row r="692" ht="15.75" customHeight="1">
      <c r="A692" s="5"/>
      <c r="B692" s="5"/>
      <c r="C692" s="5"/>
    </row>
    <row r="693" ht="15.75" customHeight="1">
      <c r="A693" s="5"/>
      <c r="B693" s="5"/>
      <c r="C693" s="5"/>
    </row>
    <row r="694" ht="15.75" customHeight="1">
      <c r="A694" s="5"/>
      <c r="B694" s="5"/>
      <c r="C694" s="5"/>
    </row>
    <row r="695" ht="15.75" customHeight="1">
      <c r="A695" s="5"/>
      <c r="B695" s="5"/>
      <c r="C695" s="5"/>
    </row>
    <row r="696" ht="15.75" customHeight="1">
      <c r="A696" s="5"/>
      <c r="B696" s="5"/>
      <c r="C696" s="5"/>
    </row>
    <row r="697" ht="15.75" customHeight="1">
      <c r="A697" s="5"/>
      <c r="B697" s="5"/>
      <c r="C697" s="5"/>
    </row>
    <row r="698" ht="15.75" customHeight="1">
      <c r="A698" s="5"/>
      <c r="B698" s="5"/>
      <c r="C698" s="5"/>
    </row>
    <row r="699" ht="15.75" customHeight="1">
      <c r="A699" s="5"/>
      <c r="B699" s="5"/>
      <c r="C699" s="5"/>
    </row>
    <row r="700" ht="15.75" customHeight="1">
      <c r="A700" s="5"/>
      <c r="B700" s="5"/>
      <c r="C700" s="5"/>
    </row>
    <row r="701" ht="15.75" customHeight="1">
      <c r="A701" s="5"/>
      <c r="B701" s="5"/>
      <c r="C701" s="5"/>
    </row>
    <row r="702" ht="15.75" customHeight="1">
      <c r="A702" s="5"/>
      <c r="B702" s="5"/>
      <c r="C702" s="5"/>
    </row>
    <row r="703" ht="15.75" customHeight="1">
      <c r="A703" s="5"/>
      <c r="B703" s="5"/>
      <c r="C703" s="5"/>
    </row>
    <row r="704" ht="15.75" customHeight="1">
      <c r="A704" s="5"/>
      <c r="B704" s="5"/>
      <c r="C704" s="5"/>
    </row>
    <row r="705" ht="15.75" customHeight="1">
      <c r="A705" s="5"/>
      <c r="B705" s="5"/>
      <c r="C705" s="5"/>
    </row>
    <row r="706" ht="15.75" customHeight="1">
      <c r="A706" s="5"/>
      <c r="B706" s="5"/>
      <c r="C706" s="5"/>
    </row>
    <row r="707" ht="15.75" customHeight="1">
      <c r="A707" s="5"/>
      <c r="B707" s="5"/>
      <c r="C707" s="5"/>
    </row>
    <row r="708" ht="15.75" customHeight="1">
      <c r="A708" s="5"/>
      <c r="B708" s="5"/>
      <c r="C708" s="5"/>
    </row>
    <row r="709" ht="15.75" customHeight="1">
      <c r="A709" s="5"/>
      <c r="B709" s="5"/>
      <c r="C709" s="5"/>
    </row>
    <row r="710" ht="15.75" customHeight="1">
      <c r="A710" s="5"/>
      <c r="B710" s="5"/>
      <c r="C710" s="5"/>
    </row>
    <row r="711" ht="15.75" customHeight="1">
      <c r="A711" s="5"/>
      <c r="B711" s="5"/>
      <c r="C711" s="5"/>
    </row>
    <row r="712" ht="15.75" customHeight="1">
      <c r="A712" s="5"/>
      <c r="B712" s="5"/>
      <c r="C712" s="5"/>
    </row>
    <row r="713" ht="15.75" customHeight="1">
      <c r="A713" s="5"/>
      <c r="B713" s="5"/>
      <c r="C713" s="5"/>
    </row>
    <row r="714" ht="15.75" customHeight="1">
      <c r="A714" s="5"/>
      <c r="B714" s="5"/>
      <c r="C714" s="5"/>
    </row>
    <row r="715" ht="15.75" customHeight="1">
      <c r="A715" s="5"/>
      <c r="B715" s="5"/>
      <c r="C715" s="5"/>
    </row>
    <row r="716" ht="15.75" customHeight="1">
      <c r="A716" s="5"/>
      <c r="B716" s="5"/>
      <c r="C716" s="5"/>
    </row>
    <row r="717" ht="15.75" customHeight="1">
      <c r="A717" s="5"/>
      <c r="B717" s="5"/>
      <c r="C717" s="5"/>
    </row>
    <row r="718" ht="15.75" customHeight="1">
      <c r="A718" s="5"/>
      <c r="B718" s="5"/>
      <c r="C718" s="5"/>
    </row>
    <row r="719" ht="15.75" customHeight="1">
      <c r="A719" s="5"/>
      <c r="B719" s="5"/>
      <c r="C719" s="5"/>
    </row>
    <row r="720" ht="15.75" customHeight="1">
      <c r="A720" s="5"/>
      <c r="B720" s="5"/>
      <c r="C720" s="5"/>
    </row>
    <row r="721" ht="15.75" customHeight="1">
      <c r="A721" s="5"/>
      <c r="B721" s="5"/>
      <c r="C721" s="5"/>
    </row>
    <row r="722" ht="15.75" customHeight="1">
      <c r="A722" s="5"/>
      <c r="B722" s="5"/>
      <c r="C722" s="5"/>
    </row>
    <row r="723" ht="15.75" customHeight="1">
      <c r="A723" s="5"/>
      <c r="B723" s="5"/>
      <c r="C723" s="5"/>
    </row>
    <row r="724" ht="15.75" customHeight="1">
      <c r="A724" s="5"/>
      <c r="B724" s="5"/>
      <c r="C724" s="5"/>
    </row>
    <row r="725" ht="15.75" customHeight="1">
      <c r="A725" s="5"/>
      <c r="B725" s="5"/>
      <c r="C725" s="5"/>
    </row>
    <row r="726" ht="15.75" customHeight="1">
      <c r="A726" s="5"/>
      <c r="B726" s="5"/>
      <c r="C726" s="5"/>
    </row>
    <row r="727" ht="15.75" customHeight="1">
      <c r="A727" s="5"/>
      <c r="B727" s="5"/>
      <c r="C727" s="5"/>
    </row>
    <row r="728" ht="15.75" customHeight="1">
      <c r="A728" s="5"/>
      <c r="B728" s="5"/>
      <c r="C728" s="5"/>
    </row>
    <row r="729" ht="15.75" customHeight="1">
      <c r="A729" s="5"/>
      <c r="B729" s="5"/>
      <c r="C729" s="5"/>
    </row>
    <row r="730" ht="15.75" customHeight="1">
      <c r="A730" s="5"/>
      <c r="B730" s="5"/>
      <c r="C730" s="5"/>
    </row>
    <row r="731" ht="15.75" customHeight="1">
      <c r="A731" s="5"/>
      <c r="B731" s="5"/>
      <c r="C731" s="5"/>
    </row>
    <row r="732" ht="15.75" customHeight="1">
      <c r="A732" s="5"/>
      <c r="B732" s="5"/>
      <c r="C732" s="5"/>
    </row>
    <row r="733" ht="15.75" customHeight="1">
      <c r="A733" s="5"/>
      <c r="B733" s="5"/>
      <c r="C733" s="5"/>
    </row>
    <row r="734" ht="15.75" customHeight="1">
      <c r="A734" s="5"/>
      <c r="B734" s="5"/>
      <c r="C734" s="5"/>
    </row>
    <row r="735" ht="15.75" customHeight="1">
      <c r="A735" s="5"/>
      <c r="B735" s="5"/>
      <c r="C735" s="5"/>
    </row>
    <row r="736" ht="15.75" customHeight="1">
      <c r="A736" s="5"/>
      <c r="B736" s="5"/>
      <c r="C736" s="5"/>
    </row>
    <row r="737" ht="15.75" customHeight="1">
      <c r="A737" s="5"/>
      <c r="B737" s="5"/>
      <c r="C737" s="5"/>
    </row>
    <row r="738" ht="15.75" customHeight="1">
      <c r="A738" s="5"/>
      <c r="B738" s="5"/>
      <c r="C738" s="5"/>
    </row>
    <row r="739" ht="15.75" customHeight="1">
      <c r="A739" s="5"/>
      <c r="B739" s="5"/>
      <c r="C739" s="5"/>
    </row>
    <row r="740" ht="15.75" customHeight="1">
      <c r="A740" s="5"/>
      <c r="B740" s="5"/>
      <c r="C740" s="5"/>
    </row>
    <row r="741" ht="15.75" customHeight="1">
      <c r="A741" s="5"/>
      <c r="B741" s="5"/>
      <c r="C741" s="5"/>
    </row>
    <row r="742" ht="15.75" customHeight="1">
      <c r="A742" s="5"/>
      <c r="B742" s="5"/>
      <c r="C742" s="5"/>
    </row>
    <row r="743" ht="15.75" customHeight="1">
      <c r="A743" s="5"/>
      <c r="B743" s="5"/>
      <c r="C743" s="5"/>
    </row>
    <row r="744" ht="15.75" customHeight="1">
      <c r="A744" s="5"/>
      <c r="B744" s="5"/>
      <c r="C744" s="5"/>
    </row>
    <row r="745" ht="15.75" customHeight="1">
      <c r="A745" s="5"/>
      <c r="B745" s="5"/>
      <c r="C745" s="5"/>
    </row>
    <row r="746" ht="15.75" customHeight="1">
      <c r="A746" s="5"/>
      <c r="B746" s="5"/>
      <c r="C746" s="5"/>
    </row>
    <row r="747" ht="15.75" customHeight="1">
      <c r="A747" s="5"/>
      <c r="B747" s="5"/>
      <c r="C747" s="5"/>
    </row>
    <row r="748" ht="15.75" customHeight="1">
      <c r="A748" s="5"/>
      <c r="B748" s="5"/>
      <c r="C748" s="5"/>
    </row>
    <row r="749" ht="15.75" customHeight="1">
      <c r="A749" s="5"/>
      <c r="B749" s="5"/>
      <c r="C749" s="5"/>
    </row>
    <row r="750" ht="15.75" customHeight="1">
      <c r="A750" s="5"/>
      <c r="B750" s="5"/>
      <c r="C750" s="5"/>
    </row>
    <row r="751" ht="15.75" customHeight="1">
      <c r="A751" s="5"/>
      <c r="B751" s="5"/>
      <c r="C751" s="5"/>
    </row>
    <row r="752" ht="15.75" customHeight="1">
      <c r="A752" s="5"/>
      <c r="B752" s="5"/>
      <c r="C752" s="5"/>
    </row>
    <row r="753" ht="15.75" customHeight="1">
      <c r="A753" s="5"/>
      <c r="B753" s="5"/>
      <c r="C753" s="5"/>
    </row>
    <row r="754" ht="15.75" customHeight="1">
      <c r="A754" s="5"/>
      <c r="B754" s="5"/>
      <c r="C754" s="5"/>
    </row>
    <row r="755" ht="15.75" customHeight="1">
      <c r="A755" s="5"/>
      <c r="B755" s="5"/>
      <c r="C755" s="5"/>
    </row>
    <row r="756" ht="15.75" customHeight="1">
      <c r="A756" s="5"/>
      <c r="B756" s="5"/>
      <c r="C756" s="5"/>
    </row>
    <row r="757" ht="15.75" customHeight="1">
      <c r="A757" s="5"/>
      <c r="B757" s="5"/>
      <c r="C757" s="5"/>
    </row>
    <row r="758" ht="15.75" customHeight="1">
      <c r="A758" s="5"/>
      <c r="B758" s="5"/>
      <c r="C758" s="5"/>
    </row>
    <row r="759" ht="15.75" customHeight="1">
      <c r="A759" s="5"/>
      <c r="B759" s="5"/>
      <c r="C759" s="5"/>
    </row>
    <row r="760" ht="15.75" customHeight="1">
      <c r="A760" s="5"/>
      <c r="B760" s="5"/>
      <c r="C760" s="5"/>
    </row>
    <row r="761" ht="15.75" customHeight="1">
      <c r="A761" s="5"/>
      <c r="B761" s="5"/>
      <c r="C761" s="5"/>
    </row>
    <row r="762" ht="15.75" customHeight="1">
      <c r="A762" s="5"/>
      <c r="B762" s="5"/>
      <c r="C762" s="5"/>
    </row>
    <row r="763" ht="15.75" customHeight="1">
      <c r="A763" s="5"/>
      <c r="B763" s="5"/>
      <c r="C763" s="5"/>
    </row>
    <row r="764" ht="15.75" customHeight="1">
      <c r="A764" s="5"/>
      <c r="B764" s="5"/>
      <c r="C764" s="5"/>
    </row>
    <row r="765" ht="15.75" customHeight="1">
      <c r="A765" s="5"/>
      <c r="B765" s="5"/>
      <c r="C765" s="5"/>
    </row>
    <row r="766" ht="15.75" customHeight="1">
      <c r="A766" s="5"/>
      <c r="B766" s="5"/>
      <c r="C766" s="5"/>
    </row>
    <row r="767" ht="15.75" customHeight="1">
      <c r="A767" s="5"/>
      <c r="B767" s="5"/>
      <c r="C767" s="5"/>
    </row>
    <row r="768" ht="15.75" customHeight="1">
      <c r="A768" s="5"/>
      <c r="B768" s="5"/>
      <c r="C768" s="5"/>
    </row>
    <row r="769" ht="15.75" customHeight="1">
      <c r="A769" s="5"/>
      <c r="B769" s="5"/>
      <c r="C769" s="5"/>
    </row>
    <row r="770" ht="15.75" customHeight="1">
      <c r="A770" s="5"/>
      <c r="B770" s="5"/>
      <c r="C770" s="5"/>
    </row>
    <row r="771" ht="15.75" customHeight="1">
      <c r="A771" s="5"/>
      <c r="B771" s="5"/>
      <c r="C771" s="5"/>
    </row>
    <row r="772" ht="15.75" customHeight="1">
      <c r="A772" s="5"/>
      <c r="B772" s="5"/>
      <c r="C772" s="5"/>
    </row>
    <row r="773" ht="15.75" customHeight="1">
      <c r="A773" s="5"/>
      <c r="B773" s="5"/>
      <c r="C773" s="5"/>
    </row>
    <row r="774" ht="15.75" customHeight="1">
      <c r="A774" s="5"/>
      <c r="B774" s="5"/>
      <c r="C774" s="5"/>
    </row>
    <row r="775" ht="15.75" customHeight="1">
      <c r="A775" s="5"/>
      <c r="B775" s="5"/>
      <c r="C775" s="5"/>
    </row>
    <row r="776" ht="15.75" customHeight="1">
      <c r="A776" s="5"/>
      <c r="B776" s="5"/>
      <c r="C776" s="5"/>
    </row>
    <row r="777" ht="15.75" customHeight="1">
      <c r="A777" s="5"/>
      <c r="B777" s="5"/>
      <c r="C777" s="5"/>
    </row>
    <row r="778" ht="15.75" customHeight="1">
      <c r="A778" s="5"/>
      <c r="B778" s="5"/>
      <c r="C778" s="5"/>
    </row>
    <row r="779" ht="15.75" customHeight="1">
      <c r="A779" s="5"/>
      <c r="B779" s="5"/>
      <c r="C779" s="5"/>
    </row>
    <row r="780" ht="15.75" customHeight="1">
      <c r="A780" s="5"/>
      <c r="B780" s="5"/>
      <c r="C780" s="5"/>
    </row>
    <row r="781" ht="15.75" customHeight="1">
      <c r="A781" s="5"/>
      <c r="B781" s="5"/>
      <c r="C781" s="5"/>
    </row>
    <row r="782" ht="15.75" customHeight="1">
      <c r="A782" s="5"/>
      <c r="B782" s="5"/>
      <c r="C782" s="5"/>
    </row>
    <row r="783" ht="15.75" customHeight="1">
      <c r="A783" s="5"/>
      <c r="B783" s="5"/>
      <c r="C783" s="5"/>
    </row>
    <row r="784" ht="15.75" customHeight="1">
      <c r="A784" s="5"/>
      <c r="B784" s="5"/>
      <c r="C784" s="5"/>
    </row>
    <row r="785" ht="15.75" customHeight="1">
      <c r="A785" s="5"/>
      <c r="B785" s="5"/>
      <c r="C785" s="5"/>
    </row>
    <row r="786" ht="15.75" customHeight="1">
      <c r="A786" s="5"/>
      <c r="B786" s="5"/>
      <c r="C786" s="5"/>
    </row>
    <row r="787" ht="15.75" customHeight="1">
      <c r="A787" s="5"/>
      <c r="B787" s="5"/>
      <c r="C787" s="5"/>
    </row>
    <row r="788" ht="15.75" customHeight="1">
      <c r="A788" s="5"/>
      <c r="B788" s="5"/>
      <c r="C788" s="5"/>
    </row>
    <row r="789" ht="15.75" customHeight="1">
      <c r="A789" s="5"/>
      <c r="B789" s="5"/>
      <c r="C789" s="5"/>
    </row>
    <row r="790" ht="15.75" customHeight="1">
      <c r="A790" s="5"/>
      <c r="B790" s="5"/>
      <c r="C790" s="5"/>
    </row>
    <row r="791" ht="15.75" customHeight="1">
      <c r="A791" s="5"/>
      <c r="B791" s="5"/>
      <c r="C791" s="5"/>
    </row>
    <row r="792" ht="15.75" customHeight="1">
      <c r="A792" s="5"/>
      <c r="B792" s="5"/>
      <c r="C792" s="5"/>
    </row>
    <row r="793" ht="15.75" customHeight="1">
      <c r="A793" s="5"/>
      <c r="B793" s="5"/>
      <c r="C793" s="5"/>
    </row>
    <row r="794" ht="15.75" customHeight="1">
      <c r="A794" s="5"/>
      <c r="B794" s="5"/>
      <c r="C794" s="5"/>
    </row>
    <row r="795" ht="15.75" customHeight="1">
      <c r="A795" s="5"/>
      <c r="B795" s="5"/>
      <c r="C795" s="5"/>
    </row>
    <row r="796" ht="15.75" customHeight="1">
      <c r="A796" s="5"/>
      <c r="B796" s="5"/>
      <c r="C796" s="5"/>
    </row>
    <row r="797" ht="15.75" customHeight="1">
      <c r="A797" s="5"/>
      <c r="B797" s="5"/>
      <c r="C797" s="5"/>
    </row>
    <row r="798" ht="15.75" customHeight="1">
      <c r="A798" s="5"/>
      <c r="B798" s="5"/>
      <c r="C798" s="5"/>
    </row>
    <row r="799" ht="15.75" customHeight="1">
      <c r="A799" s="5"/>
      <c r="B799" s="5"/>
      <c r="C799" s="5"/>
    </row>
    <row r="800" ht="15.75" customHeight="1">
      <c r="A800" s="5"/>
      <c r="B800" s="5"/>
      <c r="C800" s="5"/>
    </row>
    <row r="801" ht="15.75" customHeight="1">
      <c r="A801" s="5"/>
      <c r="B801" s="5"/>
      <c r="C801" s="5"/>
    </row>
    <row r="802" ht="15.75" customHeight="1">
      <c r="A802" s="5"/>
      <c r="B802" s="5"/>
      <c r="C802" s="5"/>
    </row>
    <row r="803" ht="15.75" customHeight="1">
      <c r="A803" s="5"/>
      <c r="B803" s="5"/>
      <c r="C803" s="5"/>
    </row>
    <row r="804" ht="15.75" customHeight="1">
      <c r="A804" s="5"/>
      <c r="B804" s="5"/>
      <c r="C804" s="5"/>
    </row>
    <row r="805" ht="15.75" customHeight="1">
      <c r="A805" s="5"/>
      <c r="B805" s="5"/>
      <c r="C805" s="5"/>
    </row>
    <row r="806" ht="15.75" customHeight="1">
      <c r="A806" s="5"/>
      <c r="B806" s="5"/>
      <c r="C806" s="5"/>
    </row>
    <row r="807" ht="15.75" customHeight="1">
      <c r="A807" s="5"/>
      <c r="B807" s="5"/>
      <c r="C807" s="5"/>
    </row>
    <row r="808" ht="15.75" customHeight="1">
      <c r="A808" s="5"/>
      <c r="B808" s="5"/>
      <c r="C808" s="5"/>
    </row>
    <row r="809" ht="15.75" customHeight="1">
      <c r="A809" s="5"/>
      <c r="B809" s="5"/>
      <c r="C809" s="5"/>
    </row>
    <row r="810" ht="15.75" customHeight="1">
      <c r="A810" s="5"/>
      <c r="B810" s="5"/>
      <c r="C810" s="5"/>
    </row>
    <row r="811" ht="15.75" customHeight="1">
      <c r="A811" s="5"/>
      <c r="B811" s="5"/>
      <c r="C811" s="5"/>
    </row>
    <row r="812" ht="15.75" customHeight="1">
      <c r="A812" s="5"/>
      <c r="B812" s="5"/>
      <c r="C812" s="5"/>
    </row>
    <row r="813" ht="15.75" customHeight="1">
      <c r="A813" s="5"/>
      <c r="B813" s="5"/>
      <c r="C813" s="5"/>
    </row>
    <row r="814" ht="15.75" customHeight="1">
      <c r="A814" s="5"/>
      <c r="B814" s="5"/>
      <c r="C814" s="5"/>
    </row>
    <row r="815" ht="15.75" customHeight="1">
      <c r="A815" s="5"/>
      <c r="B815" s="5"/>
      <c r="C815" s="5"/>
    </row>
    <row r="816" ht="15.75" customHeight="1">
      <c r="A816" s="5"/>
      <c r="B816" s="5"/>
      <c r="C816" s="5"/>
    </row>
    <row r="817" ht="15.75" customHeight="1">
      <c r="A817" s="5"/>
      <c r="B817" s="5"/>
      <c r="C817" s="5"/>
    </row>
    <row r="818" ht="15.75" customHeight="1">
      <c r="A818" s="5"/>
      <c r="B818" s="5"/>
      <c r="C818" s="5"/>
    </row>
    <row r="819" ht="15.75" customHeight="1">
      <c r="A819" s="5"/>
      <c r="B819" s="5"/>
      <c r="C819" s="5"/>
    </row>
    <row r="820" ht="15.75" customHeight="1">
      <c r="A820" s="5"/>
      <c r="B820" s="5"/>
      <c r="C820" s="5"/>
    </row>
    <row r="821" ht="15.75" customHeight="1">
      <c r="A821" s="5"/>
      <c r="B821" s="5"/>
      <c r="C821" s="5"/>
    </row>
    <row r="822" ht="15.75" customHeight="1">
      <c r="A822" s="5"/>
      <c r="B822" s="5"/>
      <c r="C822" s="5"/>
    </row>
    <row r="823" ht="15.75" customHeight="1">
      <c r="A823" s="5"/>
      <c r="B823" s="5"/>
      <c r="C823" s="5"/>
    </row>
    <row r="824" ht="15.75" customHeight="1">
      <c r="A824" s="5"/>
      <c r="B824" s="5"/>
      <c r="C824" s="5"/>
    </row>
    <row r="825" ht="15.75" customHeight="1">
      <c r="A825" s="5"/>
      <c r="B825" s="5"/>
      <c r="C825" s="5"/>
    </row>
    <row r="826" ht="15.75" customHeight="1">
      <c r="A826" s="5"/>
      <c r="B826" s="5"/>
      <c r="C826" s="5"/>
    </row>
    <row r="827" ht="15.75" customHeight="1">
      <c r="A827" s="5"/>
      <c r="B827" s="5"/>
      <c r="C827" s="5"/>
    </row>
    <row r="828" ht="15.75" customHeight="1">
      <c r="A828" s="5"/>
      <c r="B828" s="5"/>
      <c r="C828" s="5"/>
    </row>
    <row r="829" ht="15.75" customHeight="1">
      <c r="A829" s="5"/>
      <c r="B829" s="5"/>
      <c r="C829" s="5"/>
    </row>
    <row r="830" ht="15.75" customHeight="1">
      <c r="A830" s="5"/>
      <c r="B830" s="5"/>
      <c r="C830" s="5"/>
    </row>
    <row r="831" ht="15.75" customHeight="1">
      <c r="A831" s="5"/>
      <c r="B831" s="5"/>
      <c r="C831" s="5"/>
    </row>
    <row r="832" ht="15.75" customHeight="1">
      <c r="A832" s="5"/>
      <c r="B832" s="5"/>
      <c r="C832" s="5"/>
    </row>
    <row r="833" ht="15.75" customHeight="1">
      <c r="A833" s="5"/>
      <c r="B833" s="5"/>
      <c r="C833" s="5"/>
    </row>
    <row r="834" ht="15.75" customHeight="1">
      <c r="A834" s="5"/>
      <c r="B834" s="5"/>
      <c r="C834" s="5"/>
    </row>
    <row r="835" ht="15.75" customHeight="1">
      <c r="A835" s="5"/>
      <c r="B835" s="5"/>
      <c r="C835" s="5"/>
    </row>
    <row r="836" ht="15.75" customHeight="1">
      <c r="A836" s="5"/>
      <c r="B836" s="5"/>
      <c r="C836" s="5"/>
    </row>
    <row r="837" ht="15.75" customHeight="1">
      <c r="A837" s="5"/>
      <c r="B837" s="5"/>
      <c r="C837" s="5"/>
    </row>
    <row r="838" ht="15.75" customHeight="1">
      <c r="A838" s="5"/>
      <c r="B838" s="5"/>
      <c r="C838" s="5"/>
    </row>
    <row r="839" ht="15.75" customHeight="1">
      <c r="A839" s="5"/>
      <c r="B839" s="5"/>
      <c r="C839" s="5"/>
    </row>
    <row r="840" ht="15.75" customHeight="1">
      <c r="A840" s="5"/>
      <c r="B840" s="5"/>
      <c r="C840" s="5"/>
    </row>
    <row r="841" ht="15.75" customHeight="1">
      <c r="A841" s="5"/>
      <c r="B841" s="5"/>
      <c r="C841" s="5"/>
    </row>
    <row r="842" ht="15.75" customHeight="1">
      <c r="A842" s="5"/>
      <c r="B842" s="5"/>
      <c r="C842" s="5"/>
    </row>
    <row r="843" ht="15.75" customHeight="1">
      <c r="A843" s="5"/>
      <c r="B843" s="5"/>
      <c r="C843" s="5"/>
    </row>
    <row r="844" ht="15.75" customHeight="1">
      <c r="A844" s="5"/>
      <c r="B844" s="5"/>
      <c r="C844" s="5"/>
    </row>
    <row r="845" ht="15.75" customHeight="1">
      <c r="A845" s="5"/>
      <c r="B845" s="5"/>
      <c r="C845" s="5"/>
    </row>
    <row r="846" ht="15.75" customHeight="1">
      <c r="A846" s="5"/>
      <c r="B846" s="5"/>
      <c r="C846" s="5"/>
    </row>
    <row r="847" ht="15.75" customHeight="1">
      <c r="A847" s="5"/>
      <c r="B847" s="5"/>
      <c r="C847" s="5"/>
    </row>
    <row r="848" ht="15.75" customHeight="1">
      <c r="A848" s="5"/>
      <c r="B848" s="5"/>
      <c r="C848" s="5"/>
    </row>
    <row r="849" ht="15.75" customHeight="1">
      <c r="A849" s="5"/>
      <c r="B849" s="5"/>
      <c r="C849" s="5"/>
    </row>
    <row r="850" ht="15.75" customHeight="1">
      <c r="A850" s="5"/>
      <c r="B850" s="5"/>
      <c r="C850" s="5"/>
    </row>
    <row r="851" ht="15.75" customHeight="1">
      <c r="A851" s="5"/>
      <c r="B851" s="5"/>
      <c r="C851" s="5"/>
    </row>
    <row r="852" ht="15.75" customHeight="1">
      <c r="A852" s="5"/>
      <c r="B852" s="5"/>
      <c r="C852" s="5"/>
    </row>
    <row r="853" ht="15.75" customHeight="1">
      <c r="A853" s="5"/>
      <c r="B853" s="5"/>
      <c r="C853" s="5"/>
    </row>
    <row r="854" ht="15.75" customHeight="1">
      <c r="A854" s="5"/>
      <c r="B854" s="5"/>
      <c r="C854" s="5"/>
    </row>
    <row r="855" ht="15.75" customHeight="1">
      <c r="A855" s="5"/>
      <c r="B855" s="5"/>
      <c r="C855" s="5"/>
    </row>
    <row r="856" ht="15.75" customHeight="1">
      <c r="A856" s="5"/>
      <c r="B856" s="5"/>
      <c r="C856" s="5"/>
    </row>
    <row r="857" ht="15.75" customHeight="1">
      <c r="A857" s="5"/>
      <c r="B857" s="5"/>
      <c r="C857" s="5"/>
    </row>
    <row r="858" ht="15.75" customHeight="1">
      <c r="A858" s="5"/>
      <c r="B858" s="5"/>
      <c r="C858" s="5"/>
    </row>
    <row r="859" ht="15.75" customHeight="1">
      <c r="A859" s="5"/>
      <c r="B859" s="5"/>
      <c r="C859" s="5"/>
    </row>
    <row r="860" ht="15.75" customHeight="1">
      <c r="A860" s="5"/>
      <c r="B860" s="5"/>
      <c r="C860" s="5"/>
    </row>
    <row r="861" ht="15.75" customHeight="1">
      <c r="A861" s="5"/>
      <c r="B861" s="5"/>
      <c r="C861" s="5"/>
    </row>
    <row r="862" ht="15.75" customHeight="1">
      <c r="A862" s="5"/>
      <c r="B862" s="5"/>
      <c r="C862" s="5"/>
    </row>
    <row r="863" ht="15.75" customHeight="1">
      <c r="A863" s="5"/>
      <c r="B863" s="5"/>
      <c r="C863" s="5"/>
    </row>
    <row r="864" ht="15.75" customHeight="1">
      <c r="A864" s="5"/>
      <c r="B864" s="5"/>
      <c r="C864" s="5"/>
    </row>
    <row r="865" ht="15.75" customHeight="1">
      <c r="A865" s="5"/>
      <c r="B865" s="5"/>
      <c r="C865" s="5"/>
    </row>
    <row r="866" ht="15.75" customHeight="1">
      <c r="A866" s="5"/>
      <c r="B866" s="5"/>
      <c r="C866" s="5"/>
    </row>
    <row r="867" ht="15.75" customHeight="1">
      <c r="A867" s="5"/>
      <c r="B867" s="5"/>
      <c r="C867" s="5"/>
    </row>
    <row r="868" ht="15.75" customHeight="1">
      <c r="A868" s="5"/>
      <c r="B868" s="5"/>
      <c r="C868" s="5"/>
    </row>
    <row r="869" ht="15.75" customHeight="1">
      <c r="A869" s="5"/>
      <c r="B869" s="5"/>
      <c r="C869" s="5"/>
    </row>
    <row r="870" ht="15.75" customHeight="1">
      <c r="A870" s="5"/>
      <c r="B870" s="5"/>
      <c r="C870" s="5"/>
    </row>
    <row r="871" ht="15.75" customHeight="1">
      <c r="A871" s="5"/>
      <c r="B871" s="5"/>
      <c r="C871" s="5"/>
    </row>
    <row r="872" ht="15.75" customHeight="1">
      <c r="A872" s="5"/>
      <c r="B872" s="5"/>
      <c r="C872" s="5"/>
    </row>
    <row r="873" ht="15.75" customHeight="1">
      <c r="A873" s="5"/>
      <c r="B873" s="5"/>
      <c r="C873" s="5"/>
    </row>
    <row r="874" ht="15.75" customHeight="1">
      <c r="A874" s="5"/>
      <c r="B874" s="5"/>
      <c r="C874" s="5"/>
    </row>
    <row r="875" ht="15.75" customHeight="1">
      <c r="A875" s="5"/>
      <c r="B875" s="5"/>
      <c r="C875" s="5"/>
    </row>
    <row r="876" ht="15.75" customHeight="1">
      <c r="A876" s="5"/>
      <c r="B876" s="5"/>
      <c r="C876" s="5"/>
    </row>
    <row r="877" ht="15.75" customHeight="1">
      <c r="A877" s="5"/>
      <c r="B877" s="5"/>
      <c r="C877" s="5"/>
    </row>
    <row r="878" ht="15.75" customHeight="1">
      <c r="A878" s="5"/>
      <c r="B878" s="5"/>
      <c r="C878" s="5"/>
    </row>
    <row r="879" ht="15.75" customHeight="1">
      <c r="A879" s="5"/>
      <c r="B879" s="5"/>
      <c r="C879" s="5"/>
    </row>
    <row r="880" ht="15.75" customHeight="1">
      <c r="A880" s="5"/>
      <c r="B880" s="5"/>
      <c r="C880" s="5"/>
    </row>
    <row r="881" ht="15.75" customHeight="1">
      <c r="A881" s="5"/>
      <c r="B881" s="5"/>
      <c r="C881" s="5"/>
    </row>
    <row r="882" ht="15.75" customHeight="1">
      <c r="A882" s="5"/>
      <c r="B882" s="5"/>
      <c r="C882" s="5"/>
    </row>
    <row r="883" ht="15.75" customHeight="1">
      <c r="A883" s="5"/>
      <c r="B883" s="5"/>
      <c r="C883" s="5"/>
    </row>
    <row r="884" ht="15.75" customHeight="1">
      <c r="A884" s="5"/>
      <c r="B884" s="5"/>
      <c r="C884" s="5"/>
    </row>
    <row r="885" ht="15.75" customHeight="1">
      <c r="A885" s="5"/>
      <c r="B885" s="5"/>
      <c r="C885" s="5"/>
    </row>
    <row r="886" ht="15.75" customHeight="1">
      <c r="A886" s="5"/>
      <c r="B886" s="5"/>
      <c r="C886" s="5"/>
    </row>
    <row r="887" ht="15.75" customHeight="1">
      <c r="A887" s="5"/>
      <c r="B887" s="5"/>
      <c r="C887" s="5"/>
    </row>
    <row r="888" ht="15.75" customHeight="1">
      <c r="A888" s="5"/>
      <c r="B888" s="5"/>
      <c r="C888" s="5"/>
    </row>
    <row r="889" ht="15.75" customHeight="1">
      <c r="A889" s="5"/>
      <c r="B889" s="5"/>
      <c r="C889" s="5"/>
    </row>
    <row r="890" ht="15.75" customHeight="1">
      <c r="A890" s="5"/>
      <c r="B890" s="5"/>
      <c r="C890" s="5"/>
    </row>
    <row r="891" ht="15.75" customHeight="1">
      <c r="A891" s="5"/>
      <c r="B891" s="5"/>
      <c r="C891" s="5"/>
    </row>
    <row r="892" ht="15.75" customHeight="1">
      <c r="A892" s="5"/>
      <c r="B892" s="5"/>
      <c r="C892" s="5"/>
    </row>
    <row r="893" ht="15.75" customHeight="1">
      <c r="A893" s="5"/>
      <c r="B893" s="5"/>
      <c r="C893" s="5"/>
    </row>
    <row r="894" ht="15.75" customHeight="1">
      <c r="A894" s="5"/>
      <c r="B894" s="5"/>
      <c r="C894" s="5"/>
    </row>
    <row r="895" ht="15.75" customHeight="1">
      <c r="A895" s="5"/>
      <c r="B895" s="5"/>
      <c r="C895" s="5"/>
    </row>
    <row r="896" ht="15.75" customHeight="1">
      <c r="A896" s="5"/>
      <c r="B896" s="5"/>
      <c r="C896" s="5"/>
    </row>
    <row r="897" ht="15.75" customHeight="1">
      <c r="A897" s="5"/>
      <c r="B897" s="5"/>
      <c r="C897" s="5"/>
    </row>
    <row r="898" ht="15.75" customHeight="1">
      <c r="A898" s="5"/>
      <c r="B898" s="5"/>
      <c r="C898" s="5"/>
    </row>
    <row r="899" ht="15.75" customHeight="1">
      <c r="A899" s="5"/>
      <c r="B899" s="5"/>
      <c r="C899" s="5"/>
    </row>
    <row r="900" ht="15.75" customHeight="1">
      <c r="A900" s="5"/>
      <c r="B900" s="5"/>
      <c r="C900" s="5"/>
    </row>
    <row r="901" ht="15.75" customHeight="1">
      <c r="A901" s="5"/>
      <c r="B901" s="5"/>
      <c r="C901" s="5"/>
    </row>
    <row r="902" ht="15.75" customHeight="1">
      <c r="A902" s="5"/>
      <c r="B902" s="5"/>
      <c r="C902" s="5"/>
    </row>
    <row r="903" ht="15.75" customHeight="1">
      <c r="A903" s="5"/>
      <c r="B903" s="5"/>
      <c r="C903" s="5"/>
    </row>
    <row r="904" ht="15.75" customHeight="1">
      <c r="A904" s="5"/>
      <c r="B904" s="5"/>
      <c r="C904" s="5"/>
    </row>
    <row r="905" ht="15.75" customHeight="1">
      <c r="A905" s="5"/>
      <c r="B905" s="5"/>
      <c r="C905" s="5"/>
    </row>
    <row r="906" ht="15.75" customHeight="1">
      <c r="A906" s="5"/>
      <c r="B906" s="5"/>
      <c r="C906" s="5"/>
    </row>
    <row r="907" ht="15.75" customHeight="1">
      <c r="A907" s="5"/>
      <c r="B907" s="5"/>
      <c r="C907" s="5"/>
    </row>
    <row r="908" ht="15.75" customHeight="1">
      <c r="A908" s="5"/>
      <c r="B908" s="5"/>
      <c r="C908" s="5"/>
    </row>
    <row r="909" ht="15.75" customHeight="1">
      <c r="A909" s="5"/>
      <c r="B909" s="5"/>
      <c r="C909" s="5"/>
    </row>
    <row r="910" ht="15.75" customHeight="1">
      <c r="A910" s="5"/>
      <c r="B910" s="5"/>
      <c r="C910" s="5"/>
    </row>
    <row r="911" ht="15.75" customHeight="1">
      <c r="A911" s="5"/>
      <c r="B911" s="5"/>
      <c r="C911" s="5"/>
    </row>
    <row r="912" ht="15.75" customHeight="1">
      <c r="A912" s="5"/>
      <c r="B912" s="5"/>
      <c r="C912" s="5"/>
    </row>
    <row r="913" ht="15.75" customHeight="1">
      <c r="A913" s="5"/>
      <c r="B913" s="5"/>
      <c r="C913" s="5"/>
    </row>
    <row r="914" ht="15.75" customHeight="1">
      <c r="A914" s="5"/>
      <c r="B914" s="5"/>
      <c r="C914" s="5"/>
    </row>
    <row r="915" ht="15.75" customHeight="1">
      <c r="A915" s="5"/>
      <c r="B915" s="5"/>
      <c r="C915" s="5"/>
    </row>
    <row r="916" ht="15.75" customHeight="1">
      <c r="A916" s="5"/>
      <c r="B916" s="5"/>
      <c r="C916" s="5"/>
    </row>
    <row r="917" ht="15.75" customHeight="1">
      <c r="A917" s="5"/>
      <c r="B917" s="5"/>
      <c r="C917" s="5"/>
    </row>
    <row r="918" ht="15.75" customHeight="1">
      <c r="A918" s="5"/>
      <c r="B918" s="5"/>
      <c r="C918" s="5"/>
    </row>
    <row r="919" ht="15.75" customHeight="1">
      <c r="A919" s="5"/>
      <c r="B919" s="5"/>
      <c r="C919" s="5"/>
    </row>
    <row r="920" ht="15.75" customHeight="1">
      <c r="A920" s="5"/>
      <c r="B920" s="5"/>
      <c r="C920" s="5"/>
    </row>
    <row r="921" ht="15.75" customHeight="1">
      <c r="A921" s="5"/>
      <c r="B921" s="5"/>
      <c r="C921" s="5"/>
    </row>
    <row r="922" ht="15.75" customHeight="1">
      <c r="A922" s="5"/>
      <c r="B922" s="5"/>
      <c r="C922" s="5"/>
    </row>
    <row r="923" ht="15.75" customHeight="1">
      <c r="A923" s="5"/>
      <c r="B923" s="5"/>
      <c r="C923" s="5"/>
    </row>
    <row r="924" ht="15.75" customHeight="1">
      <c r="A924" s="5"/>
      <c r="B924" s="5"/>
      <c r="C924" s="5"/>
    </row>
    <row r="925" ht="15.75" customHeight="1">
      <c r="A925" s="5"/>
      <c r="B925" s="5"/>
      <c r="C925" s="5"/>
    </row>
    <row r="926" ht="15.75" customHeight="1">
      <c r="A926" s="5"/>
      <c r="B926" s="5"/>
      <c r="C926" s="5"/>
    </row>
    <row r="927" ht="15.75" customHeight="1">
      <c r="A927" s="5"/>
      <c r="B927" s="5"/>
      <c r="C927" s="5"/>
    </row>
    <row r="928" ht="15.75" customHeight="1">
      <c r="A928" s="5"/>
      <c r="B928" s="5"/>
      <c r="C928" s="5"/>
    </row>
    <row r="929" ht="15.75" customHeight="1">
      <c r="A929" s="5"/>
      <c r="B929" s="5"/>
      <c r="C929" s="5"/>
    </row>
    <row r="930" ht="15.75" customHeight="1">
      <c r="A930" s="5"/>
      <c r="B930" s="5"/>
      <c r="C930" s="5"/>
    </row>
    <row r="931" ht="15.75" customHeight="1">
      <c r="A931" s="5"/>
      <c r="B931" s="5"/>
      <c r="C931" s="5"/>
    </row>
    <row r="932" ht="15.75" customHeight="1">
      <c r="A932" s="5"/>
      <c r="B932" s="5"/>
      <c r="C932" s="5"/>
    </row>
    <row r="933" ht="15.75" customHeight="1">
      <c r="A933" s="5"/>
      <c r="B933" s="5"/>
      <c r="C933" s="5"/>
    </row>
    <row r="934" ht="15.75" customHeight="1">
      <c r="A934" s="5"/>
      <c r="B934" s="5"/>
      <c r="C934" s="5"/>
    </row>
    <row r="935" ht="15.75" customHeight="1">
      <c r="A935" s="5"/>
      <c r="B935" s="5"/>
      <c r="C935" s="5"/>
    </row>
    <row r="936" ht="15.75" customHeight="1">
      <c r="A936" s="5"/>
      <c r="B936" s="5"/>
      <c r="C936" s="5"/>
    </row>
    <row r="937" ht="15.75" customHeight="1">
      <c r="A937" s="5"/>
      <c r="B937" s="5"/>
      <c r="C937" s="5"/>
    </row>
    <row r="938" ht="15.75" customHeight="1">
      <c r="A938" s="5"/>
      <c r="B938" s="5"/>
      <c r="C938" s="5"/>
    </row>
    <row r="939" ht="15.75" customHeight="1">
      <c r="A939" s="5"/>
      <c r="B939" s="5"/>
      <c r="C939" s="5"/>
    </row>
    <row r="940" ht="15.75" customHeight="1">
      <c r="A940" s="5"/>
      <c r="B940" s="5"/>
      <c r="C940" s="5"/>
    </row>
    <row r="941" ht="15.75" customHeight="1">
      <c r="A941" s="5"/>
      <c r="B941" s="5"/>
      <c r="C941" s="5"/>
    </row>
    <row r="942" ht="15.75" customHeight="1">
      <c r="A942" s="5"/>
      <c r="B942" s="5"/>
      <c r="C942" s="5"/>
    </row>
    <row r="943" ht="15.75" customHeight="1">
      <c r="A943" s="5"/>
      <c r="B943" s="5"/>
      <c r="C943" s="5"/>
    </row>
    <row r="944" ht="15.75" customHeight="1">
      <c r="A944" s="5"/>
      <c r="B944" s="5"/>
      <c r="C944" s="5"/>
    </row>
    <row r="945" ht="15.75" customHeight="1">
      <c r="A945" s="5"/>
      <c r="B945" s="5"/>
      <c r="C945" s="5"/>
    </row>
    <row r="946" ht="15.75" customHeight="1">
      <c r="A946" s="5"/>
      <c r="B946" s="5"/>
      <c r="C946" s="5"/>
    </row>
    <row r="947" ht="15.75" customHeight="1">
      <c r="A947" s="5"/>
      <c r="B947" s="5"/>
      <c r="C947" s="5"/>
    </row>
    <row r="948" ht="15.75" customHeight="1">
      <c r="A948" s="5"/>
      <c r="B948" s="5"/>
      <c r="C948" s="5"/>
    </row>
    <row r="949" ht="15.75" customHeight="1">
      <c r="A949" s="5"/>
      <c r="B949" s="5"/>
      <c r="C949" s="5"/>
    </row>
    <row r="950" ht="15.75" customHeight="1">
      <c r="A950" s="5"/>
      <c r="B950" s="5"/>
      <c r="C950" s="5"/>
    </row>
    <row r="951" ht="15.75" customHeight="1">
      <c r="A951" s="5"/>
      <c r="B951" s="5"/>
      <c r="C951" s="5"/>
    </row>
    <row r="952" ht="15.75" customHeight="1">
      <c r="A952" s="5"/>
      <c r="B952" s="5"/>
      <c r="C952" s="5"/>
    </row>
    <row r="953" ht="15.75" customHeight="1">
      <c r="A953" s="5"/>
      <c r="B953" s="5"/>
      <c r="C953" s="5"/>
    </row>
    <row r="954" ht="15.75" customHeight="1">
      <c r="A954" s="5"/>
      <c r="B954" s="5"/>
      <c r="C954" s="5"/>
    </row>
    <row r="955" ht="15.75" customHeight="1">
      <c r="A955" s="5"/>
      <c r="B955" s="5"/>
      <c r="C955" s="5"/>
    </row>
    <row r="956" ht="15.75" customHeight="1">
      <c r="A956" s="5"/>
      <c r="B956" s="5"/>
      <c r="C956" s="5"/>
    </row>
    <row r="957" ht="15.75" customHeight="1">
      <c r="A957" s="5"/>
      <c r="B957" s="5"/>
      <c r="C957" s="5"/>
    </row>
    <row r="958" ht="15.75" customHeight="1">
      <c r="A958" s="5"/>
      <c r="B958" s="5"/>
      <c r="C958" s="5"/>
    </row>
    <row r="959" ht="15.75" customHeight="1">
      <c r="A959" s="5"/>
      <c r="B959" s="5"/>
      <c r="C959" s="5"/>
    </row>
    <row r="960" ht="15.75" customHeight="1">
      <c r="A960" s="5"/>
      <c r="B960" s="5"/>
      <c r="C960" s="5"/>
    </row>
    <row r="961" ht="15.75" customHeight="1">
      <c r="A961" s="5"/>
      <c r="B961" s="5"/>
      <c r="C961" s="5"/>
    </row>
    <row r="962" ht="15.75" customHeight="1">
      <c r="A962" s="5"/>
      <c r="B962" s="5"/>
      <c r="C962" s="5"/>
    </row>
    <row r="963" ht="15.75" customHeight="1">
      <c r="A963" s="5"/>
      <c r="B963" s="5"/>
      <c r="C963" s="5"/>
    </row>
    <row r="964" ht="15.75" customHeight="1">
      <c r="A964" s="5"/>
      <c r="B964" s="5"/>
      <c r="C964" s="5"/>
    </row>
    <row r="965" ht="15.75" customHeight="1">
      <c r="A965" s="5"/>
      <c r="B965" s="5"/>
      <c r="C965" s="5"/>
    </row>
    <row r="966" ht="15.75" customHeight="1">
      <c r="A966" s="5"/>
      <c r="B966" s="5"/>
      <c r="C966" s="5"/>
    </row>
    <row r="967" ht="15.75" customHeight="1">
      <c r="A967" s="5"/>
      <c r="B967" s="5"/>
      <c r="C967" s="5"/>
    </row>
    <row r="968" ht="15.75" customHeight="1">
      <c r="A968" s="5"/>
      <c r="B968" s="5"/>
      <c r="C968" s="5"/>
    </row>
    <row r="969" ht="15.75" customHeight="1">
      <c r="A969" s="5"/>
      <c r="B969" s="5"/>
      <c r="C969" s="5"/>
    </row>
    <row r="970" ht="15.75" customHeight="1">
      <c r="A970" s="5"/>
      <c r="B970" s="5"/>
      <c r="C970" s="5"/>
    </row>
    <row r="971" ht="15.75" customHeight="1">
      <c r="A971" s="5"/>
      <c r="B971" s="5"/>
      <c r="C971" s="5"/>
    </row>
    <row r="972" ht="15.75" customHeight="1">
      <c r="A972" s="5"/>
      <c r="B972" s="5"/>
      <c r="C972" s="5"/>
    </row>
    <row r="973" ht="15.75" customHeight="1">
      <c r="A973" s="5"/>
      <c r="B973" s="5"/>
      <c r="C973" s="5"/>
    </row>
    <row r="974" ht="15.75" customHeight="1">
      <c r="A974" s="5"/>
      <c r="B974" s="5"/>
      <c r="C974" s="5"/>
    </row>
    <row r="975" ht="15.75" customHeight="1">
      <c r="A975" s="5"/>
      <c r="B975" s="5"/>
      <c r="C975" s="5"/>
    </row>
    <row r="976" ht="15.75" customHeight="1">
      <c r="A976" s="5"/>
      <c r="B976" s="5"/>
      <c r="C976" s="5"/>
    </row>
    <row r="977" ht="15.75" customHeight="1">
      <c r="A977" s="5"/>
      <c r="B977" s="5"/>
      <c r="C977" s="5"/>
    </row>
    <row r="978" ht="15.75" customHeight="1">
      <c r="A978" s="5"/>
      <c r="B978" s="5"/>
      <c r="C978" s="5"/>
    </row>
    <row r="979" ht="15.75" customHeight="1">
      <c r="A979" s="5"/>
      <c r="B979" s="5"/>
      <c r="C979" s="5"/>
    </row>
    <row r="980" ht="15.75" customHeight="1">
      <c r="A980" s="5"/>
      <c r="B980" s="5"/>
      <c r="C980" s="5"/>
    </row>
    <row r="981" ht="15.75" customHeight="1">
      <c r="A981" s="5"/>
      <c r="B981" s="5"/>
      <c r="C981" s="5"/>
    </row>
    <row r="982" ht="15.75" customHeight="1">
      <c r="A982" s="5"/>
      <c r="B982" s="5"/>
      <c r="C982" s="5"/>
    </row>
    <row r="983" ht="15.75" customHeight="1">
      <c r="A983" s="5"/>
      <c r="B983" s="5"/>
      <c r="C983" s="5"/>
    </row>
    <row r="984" ht="15.75" customHeight="1">
      <c r="A984" s="5"/>
      <c r="B984" s="5"/>
      <c r="C984" s="5"/>
    </row>
    <row r="985" ht="15.75" customHeight="1">
      <c r="A985" s="5"/>
      <c r="B985" s="5"/>
      <c r="C985" s="5"/>
    </row>
    <row r="986" ht="15.75" customHeight="1">
      <c r="A986" s="5"/>
      <c r="B986" s="5"/>
      <c r="C986" s="5"/>
    </row>
    <row r="987" ht="15.75" customHeight="1">
      <c r="A987" s="5"/>
      <c r="B987" s="5"/>
      <c r="C987" s="5"/>
    </row>
    <row r="988" ht="15.75" customHeight="1">
      <c r="A988" s="5"/>
      <c r="B988" s="5"/>
      <c r="C988" s="5"/>
    </row>
    <row r="989" ht="15.75" customHeight="1">
      <c r="A989" s="5"/>
      <c r="B989" s="5"/>
      <c r="C989" s="5"/>
    </row>
    <row r="990" ht="15.75" customHeight="1">
      <c r="A990" s="5"/>
      <c r="B990" s="5"/>
      <c r="C990" s="5"/>
    </row>
    <row r="991" ht="15.75" customHeight="1">
      <c r="A991" s="5"/>
      <c r="B991" s="5"/>
      <c r="C991" s="5"/>
    </row>
    <row r="992" ht="15.75" customHeight="1">
      <c r="A992" s="5"/>
      <c r="B992" s="5"/>
      <c r="C992" s="5"/>
    </row>
    <row r="993" ht="15.75" customHeight="1">
      <c r="A993" s="5"/>
      <c r="B993" s="5"/>
      <c r="C993" s="5"/>
    </row>
    <row r="994" ht="15.75" customHeight="1">
      <c r="A994" s="5"/>
      <c r="B994" s="5"/>
      <c r="C994" s="5"/>
    </row>
    <row r="995" ht="15.75" customHeight="1">
      <c r="A995" s="5"/>
      <c r="B995" s="5"/>
      <c r="C995" s="5"/>
    </row>
    <row r="996" ht="15.75" customHeight="1">
      <c r="A996" s="5"/>
      <c r="B996" s="5"/>
      <c r="C996" s="5"/>
    </row>
    <row r="997" ht="15.75" customHeight="1">
      <c r="A997" s="5"/>
      <c r="B997" s="5"/>
      <c r="C997" s="5"/>
    </row>
    <row r="998" ht="15.75" customHeight="1">
      <c r="A998" s="5"/>
      <c r="B998" s="5"/>
      <c r="C998" s="5"/>
    </row>
    <row r="999" ht="15.75" customHeight="1">
      <c r="A999" s="5"/>
      <c r="B999" s="5"/>
      <c r="C999" s="5"/>
    </row>
    <row r="1000" ht="15.75" customHeight="1">
      <c r="A1000" s="5"/>
      <c r="B1000" s="5"/>
      <c r="C1000" s="5"/>
    </row>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4.38"/>
    <col customWidth="1" min="2" max="2" width="50.88"/>
    <col customWidth="1" min="3" max="3" width="37.38"/>
    <col customWidth="1" min="4" max="6" width="12.63"/>
  </cols>
  <sheetData>
    <row r="1" ht="15.75" customHeight="1">
      <c r="A1" s="26" t="s">
        <v>339</v>
      </c>
      <c r="B1" s="26" t="s">
        <v>340</v>
      </c>
      <c r="C1" s="26" t="s">
        <v>341</v>
      </c>
      <c r="D1" s="27"/>
      <c r="E1" s="27"/>
      <c r="F1" s="27"/>
      <c r="G1" s="27"/>
      <c r="H1" s="27"/>
      <c r="I1" s="27"/>
      <c r="J1" s="27"/>
      <c r="K1" s="27"/>
      <c r="L1" s="27"/>
      <c r="M1" s="27"/>
      <c r="N1" s="27"/>
      <c r="O1" s="27"/>
      <c r="P1" s="27"/>
      <c r="Q1" s="27"/>
      <c r="R1" s="27"/>
      <c r="S1" s="27"/>
      <c r="T1" s="27"/>
      <c r="U1" s="27"/>
      <c r="V1" s="27"/>
      <c r="W1" s="27"/>
      <c r="X1" s="27"/>
      <c r="Y1" s="27"/>
      <c r="Z1" s="28"/>
    </row>
    <row r="2" ht="15.75" customHeight="1">
      <c r="A2" s="29" t="s">
        <v>342</v>
      </c>
      <c r="B2" s="29" t="s">
        <v>343</v>
      </c>
      <c r="C2" s="29" t="s">
        <v>344</v>
      </c>
      <c r="D2" s="30"/>
      <c r="E2" s="30"/>
      <c r="F2" s="30"/>
      <c r="G2" s="30"/>
      <c r="H2" s="30"/>
      <c r="I2" s="30"/>
      <c r="J2" s="30"/>
      <c r="K2" s="30"/>
      <c r="L2" s="30"/>
      <c r="M2" s="30"/>
      <c r="N2" s="30"/>
      <c r="O2" s="30"/>
      <c r="P2" s="30"/>
      <c r="Q2" s="30"/>
      <c r="R2" s="30"/>
      <c r="S2" s="30"/>
      <c r="T2" s="30"/>
      <c r="U2" s="30"/>
      <c r="V2" s="30"/>
      <c r="W2" s="30"/>
      <c r="X2" s="30"/>
      <c r="Y2" s="30"/>
      <c r="Z2" s="28"/>
    </row>
    <row r="3" ht="15.75" customHeight="1">
      <c r="A3" s="29" t="s">
        <v>345</v>
      </c>
      <c r="B3" s="29" t="s">
        <v>346</v>
      </c>
      <c r="C3" s="29" t="s">
        <v>347</v>
      </c>
      <c r="D3" s="30"/>
      <c r="E3" s="30"/>
      <c r="F3" s="30"/>
      <c r="G3" s="30"/>
      <c r="H3" s="30"/>
      <c r="I3" s="30"/>
      <c r="J3" s="30"/>
      <c r="K3" s="30"/>
      <c r="L3" s="30"/>
      <c r="M3" s="30"/>
      <c r="N3" s="30"/>
      <c r="O3" s="30"/>
      <c r="P3" s="30"/>
      <c r="Q3" s="30"/>
      <c r="R3" s="30"/>
      <c r="S3" s="30"/>
      <c r="T3" s="30"/>
      <c r="U3" s="30"/>
      <c r="V3" s="30"/>
      <c r="W3" s="30"/>
      <c r="X3" s="30"/>
      <c r="Y3" s="30"/>
      <c r="Z3" s="28"/>
    </row>
    <row r="4" ht="15.75" customHeight="1">
      <c r="A4" s="29" t="s">
        <v>348</v>
      </c>
      <c r="B4" s="29">
        <v>1.25</v>
      </c>
      <c r="C4" s="29" t="s">
        <v>349</v>
      </c>
      <c r="D4" s="30"/>
      <c r="E4" s="30"/>
      <c r="F4" s="30"/>
      <c r="G4" s="30"/>
      <c r="H4" s="30"/>
      <c r="I4" s="30"/>
      <c r="J4" s="30"/>
      <c r="K4" s="30"/>
      <c r="L4" s="30"/>
      <c r="M4" s="30"/>
      <c r="N4" s="30"/>
      <c r="O4" s="30"/>
      <c r="P4" s="30"/>
      <c r="Q4" s="30"/>
      <c r="R4" s="30"/>
      <c r="S4" s="30"/>
      <c r="T4" s="30"/>
      <c r="U4" s="30"/>
      <c r="V4" s="30"/>
      <c r="W4" s="30"/>
      <c r="X4" s="30"/>
      <c r="Y4" s="30"/>
      <c r="Z4" s="28"/>
    </row>
    <row r="5" ht="15.75" customHeight="1">
      <c r="A5" s="29" t="s">
        <v>350</v>
      </c>
      <c r="B5" s="29">
        <v>0.0</v>
      </c>
      <c r="C5" s="29" t="s">
        <v>351</v>
      </c>
      <c r="D5" s="30"/>
      <c r="E5" s="30"/>
      <c r="F5" s="30"/>
      <c r="G5" s="30"/>
      <c r="H5" s="30"/>
      <c r="I5" s="30"/>
      <c r="J5" s="30"/>
      <c r="K5" s="30"/>
      <c r="L5" s="30"/>
      <c r="M5" s="30"/>
      <c r="N5" s="30"/>
      <c r="O5" s="30"/>
      <c r="P5" s="30"/>
      <c r="Q5" s="30"/>
      <c r="R5" s="30"/>
      <c r="S5" s="30"/>
      <c r="T5" s="30"/>
      <c r="U5" s="30"/>
      <c r="V5" s="30"/>
      <c r="W5" s="30"/>
      <c r="X5" s="30"/>
      <c r="Y5" s="30"/>
      <c r="Z5" s="28"/>
    </row>
    <row r="6" ht="15.75" customHeight="1">
      <c r="A6" s="29" t="s">
        <v>352</v>
      </c>
      <c r="B6" s="29">
        <v>1.0</v>
      </c>
      <c r="C6" s="29" t="s">
        <v>353</v>
      </c>
      <c r="D6" s="30"/>
      <c r="E6" s="30"/>
      <c r="F6" s="30"/>
      <c r="G6" s="30"/>
      <c r="H6" s="30"/>
      <c r="I6" s="30"/>
      <c r="J6" s="30"/>
      <c r="K6" s="30"/>
      <c r="L6" s="30"/>
      <c r="M6" s="30"/>
      <c r="N6" s="30"/>
      <c r="O6" s="30"/>
      <c r="P6" s="30"/>
      <c r="Q6" s="30"/>
      <c r="R6" s="30"/>
      <c r="S6" s="30"/>
      <c r="T6" s="30"/>
      <c r="U6" s="30"/>
      <c r="V6" s="30"/>
      <c r="W6" s="30"/>
      <c r="X6" s="30"/>
      <c r="Y6" s="30"/>
      <c r="Z6" s="28"/>
    </row>
    <row r="7" ht="15.75" customHeight="1">
      <c r="A7" s="29" t="s">
        <v>354</v>
      </c>
      <c r="B7" s="29" t="s">
        <v>355</v>
      </c>
      <c r="C7" s="29" t="s">
        <v>356</v>
      </c>
      <c r="D7" s="30"/>
      <c r="E7" s="30"/>
      <c r="F7" s="30"/>
      <c r="G7" s="30"/>
      <c r="H7" s="30"/>
      <c r="I7" s="30"/>
      <c r="J7" s="30"/>
      <c r="K7" s="30"/>
      <c r="L7" s="30"/>
      <c r="M7" s="30"/>
      <c r="N7" s="30"/>
      <c r="O7" s="30"/>
      <c r="P7" s="30"/>
      <c r="Q7" s="30"/>
      <c r="R7" s="30"/>
      <c r="S7" s="30"/>
      <c r="T7" s="30"/>
      <c r="U7" s="30"/>
      <c r="V7" s="30"/>
      <c r="W7" s="30"/>
      <c r="X7" s="30"/>
      <c r="Y7" s="30"/>
      <c r="Z7" s="28"/>
    </row>
    <row r="8" ht="15.75" customHeight="1">
      <c r="A8" s="29" t="s">
        <v>357</v>
      </c>
      <c r="B8" s="29">
        <v>0.8</v>
      </c>
      <c r="C8" s="29" t="s">
        <v>358</v>
      </c>
      <c r="D8" s="30"/>
      <c r="E8" s="30"/>
      <c r="F8" s="30"/>
      <c r="G8" s="30"/>
      <c r="H8" s="30"/>
      <c r="I8" s="30"/>
      <c r="J8" s="30"/>
      <c r="K8" s="30"/>
      <c r="L8" s="30"/>
      <c r="M8" s="30"/>
      <c r="N8" s="30"/>
      <c r="O8" s="30"/>
      <c r="P8" s="30"/>
      <c r="Q8" s="30"/>
      <c r="R8" s="30"/>
      <c r="S8" s="30"/>
      <c r="T8" s="30"/>
      <c r="U8" s="30"/>
      <c r="V8" s="30"/>
      <c r="W8" s="30"/>
      <c r="X8" s="30"/>
      <c r="Y8" s="30"/>
      <c r="Z8" s="28"/>
    </row>
    <row r="9" ht="15.75" customHeight="1">
      <c r="A9" s="29" t="s">
        <v>359</v>
      </c>
      <c r="B9" s="29" t="s">
        <v>360</v>
      </c>
      <c r="C9" s="29" t="s">
        <v>361</v>
      </c>
      <c r="D9" s="30"/>
      <c r="E9" s="30"/>
      <c r="F9" s="30"/>
      <c r="G9" s="30"/>
      <c r="H9" s="30"/>
      <c r="I9" s="30"/>
      <c r="J9" s="30"/>
      <c r="K9" s="30"/>
      <c r="L9" s="30"/>
      <c r="M9" s="30"/>
      <c r="N9" s="30"/>
      <c r="O9" s="30"/>
      <c r="P9" s="30"/>
      <c r="Q9" s="30"/>
      <c r="R9" s="30"/>
      <c r="S9" s="30"/>
      <c r="T9" s="30"/>
      <c r="U9" s="30"/>
      <c r="V9" s="30"/>
      <c r="W9" s="30"/>
      <c r="X9" s="30"/>
      <c r="Y9" s="30"/>
      <c r="Z9" s="28"/>
    </row>
    <row r="10" ht="15.75" customHeight="1">
      <c r="A10" s="29" t="s">
        <v>362</v>
      </c>
      <c r="B10" s="29" t="s">
        <v>363</v>
      </c>
      <c r="C10" s="29" t="s">
        <v>364</v>
      </c>
      <c r="D10" s="30"/>
      <c r="E10" s="30"/>
      <c r="F10" s="30"/>
      <c r="G10" s="30"/>
      <c r="H10" s="30"/>
      <c r="I10" s="30"/>
      <c r="J10" s="30"/>
      <c r="K10" s="30"/>
      <c r="L10" s="30"/>
      <c r="M10" s="30"/>
      <c r="N10" s="30"/>
      <c r="O10" s="30"/>
      <c r="P10" s="30"/>
      <c r="Q10" s="30"/>
      <c r="R10" s="30"/>
      <c r="S10" s="30"/>
      <c r="T10" s="30"/>
      <c r="U10" s="30"/>
      <c r="V10" s="30"/>
      <c r="W10" s="30"/>
      <c r="X10" s="30"/>
      <c r="Y10" s="30"/>
      <c r="Z10" s="28"/>
    </row>
    <row r="11" ht="15.75" customHeight="1">
      <c r="A11" s="29" t="s">
        <v>365</v>
      </c>
      <c r="B11" s="29">
        <v>1.0</v>
      </c>
      <c r="C11" s="29" t="s">
        <v>366</v>
      </c>
      <c r="D11" s="30"/>
      <c r="E11" s="30"/>
      <c r="F11" s="30"/>
      <c r="G11" s="30"/>
      <c r="H11" s="30"/>
      <c r="I11" s="30"/>
      <c r="J11" s="30"/>
      <c r="K11" s="30"/>
      <c r="L11" s="30"/>
      <c r="M11" s="30"/>
      <c r="N11" s="30"/>
      <c r="O11" s="30"/>
      <c r="P11" s="30"/>
      <c r="Q11" s="30"/>
      <c r="R11" s="30"/>
      <c r="S11" s="30"/>
      <c r="T11" s="30"/>
      <c r="U11" s="30"/>
      <c r="V11" s="30"/>
      <c r="W11" s="30"/>
      <c r="X11" s="30"/>
      <c r="Y11" s="30"/>
      <c r="Z11" s="28"/>
    </row>
    <row r="12" ht="15.75" customHeight="1">
      <c r="A12" s="29" t="s">
        <v>367</v>
      </c>
      <c r="B12" s="29">
        <v>0.0</v>
      </c>
      <c r="C12" s="29" t="s">
        <v>368</v>
      </c>
      <c r="D12" s="30"/>
      <c r="E12" s="30"/>
      <c r="F12" s="30"/>
      <c r="G12" s="30"/>
      <c r="H12" s="30"/>
      <c r="I12" s="30"/>
      <c r="J12" s="30"/>
      <c r="K12" s="30"/>
      <c r="L12" s="30"/>
      <c r="M12" s="30"/>
      <c r="N12" s="30"/>
      <c r="O12" s="30"/>
      <c r="P12" s="30"/>
      <c r="Q12" s="30"/>
      <c r="R12" s="30"/>
      <c r="S12" s="30"/>
      <c r="T12" s="30"/>
      <c r="U12" s="30"/>
      <c r="V12" s="30"/>
      <c r="W12" s="30"/>
      <c r="X12" s="30"/>
      <c r="Y12" s="30"/>
      <c r="Z12" s="28"/>
    </row>
    <row r="13" ht="15.75" customHeight="1">
      <c r="A13" s="29" t="s">
        <v>369</v>
      </c>
      <c r="B13" s="29" t="s">
        <v>370</v>
      </c>
      <c r="C13" s="29" t="s">
        <v>371</v>
      </c>
      <c r="D13" s="30"/>
      <c r="E13" s="30"/>
      <c r="F13" s="30"/>
      <c r="G13" s="30"/>
      <c r="H13" s="30"/>
      <c r="I13" s="30"/>
      <c r="J13" s="30"/>
      <c r="K13" s="30"/>
      <c r="L13" s="30"/>
      <c r="M13" s="30"/>
      <c r="N13" s="30"/>
      <c r="O13" s="30"/>
      <c r="P13" s="30"/>
      <c r="Q13" s="30"/>
      <c r="R13" s="30"/>
      <c r="S13" s="30"/>
      <c r="T13" s="30"/>
      <c r="U13" s="30"/>
      <c r="V13" s="30"/>
      <c r="W13" s="30"/>
      <c r="X13" s="30"/>
      <c r="Y13" s="30"/>
      <c r="Z13" s="28"/>
    </row>
    <row r="14" ht="15.75" customHeight="1">
      <c r="A14" s="29" t="s">
        <v>372</v>
      </c>
      <c r="B14" s="29" t="s">
        <v>360</v>
      </c>
      <c r="C14" s="29" t="s">
        <v>373</v>
      </c>
      <c r="D14" s="30"/>
      <c r="E14" s="30"/>
      <c r="F14" s="30"/>
      <c r="G14" s="30"/>
      <c r="H14" s="30"/>
      <c r="I14" s="30"/>
      <c r="J14" s="30"/>
      <c r="K14" s="30"/>
      <c r="L14" s="30"/>
      <c r="M14" s="30"/>
      <c r="N14" s="30"/>
      <c r="O14" s="30"/>
      <c r="P14" s="30"/>
      <c r="Q14" s="30"/>
      <c r="R14" s="30"/>
      <c r="S14" s="30"/>
      <c r="T14" s="30"/>
      <c r="U14" s="30"/>
      <c r="V14" s="30"/>
      <c r="W14" s="30"/>
      <c r="X14" s="30"/>
      <c r="Y14" s="30"/>
      <c r="Z14" s="28"/>
    </row>
    <row r="15" ht="15.75" customHeight="1">
      <c r="A15" s="29" t="s">
        <v>374</v>
      </c>
      <c r="B15" s="29">
        <v>1.0</v>
      </c>
      <c r="C15" s="29" t="s">
        <v>375</v>
      </c>
      <c r="D15" s="30"/>
      <c r="E15" s="30"/>
      <c r="F15" s="30"/>
      <c r="G15" s="30"/>
      <c r="H15" s="30"/>
      <c r="I15" s="30"/>
      <c r="J15" s="30"/>
      <c r="K15" s="30"/>
      <c r="L15" s="30"/>
      <c r="M15" s="30"/>
      <c r="N15" s="30"/>
      <c r="O15" s="30"/>
      <c r="P15" s="30"/>
      <c r="Q15" s="30"/>
      <c r="R15" s="30"/>
      <c r="S15" s="30"/>
      <c r="T15" s="30"/>
      <c r="U15" s="30"/>
      <c r="V15" s="30"/>
      <c r="W15" s="30"/>
      <c r="X15" s="30"/>
      <c r="Y15" s="30"/>
      <c r="Z15" s="28"/>
    </row>
    <row r="16" ht="15.75" customHeight="1">
      <c r="A16" s="29" t="s">
        <v>376</v>
      </c>
      <c r="B16" s="29" t="s">
        <v>377</v>
      </c>
      <c r="C16" s="29" t="s">
        <v>378</v>
      </c>
      <c r="D16" s="30"/>
      <c r="E16" s="30"/>
      <c r="F16" s="30"/>
      <c r="G16" s="30"/>
      <c r="H16" s="30"/>
      <c r="I16" s="30"/>
      <c r="J16" s="30"/>
      <c r="K16" s="30"/>
      <c r="L16" s="30"/>
      <c r="M16" s="30"/>
      <c r="N16" s="30"/>
      <c r="O16" s="30"/>
      <c r="P16" s="30"/>
      <c r="Q16" s="30"/>
      <c r="R16" s="30"/>
      <c r="S16" s="30"/>
      <c r="T16" s="30"/>
      <c r="U16" s="30"/>
      <c r="V16" s="30"/>
      <c r="W16" s="30"/>
      <c r="X16" s="30"/>
      <c r="Y16" s="30"/>
      <c r="Z16" s="28"/>
    </row>
    <row r="17" ht="15.75" customHeight="1">
      <c r="A17" s="29" t="s">
        <v>379</v>
      </c>
      <c r="B17" s="29" t="s">
        <v>380</v>
      </c>
      <c r="C17" s="29" t="s">
        <v>381</v>
      </c>
      <c r="D17" s="30"/>
      <c r="E17" s="30"/>
      <c r="F17" s="30"/>
      <c r="G17" s="30"/>
      <c r="H17" s="30"/>
      <c r="I17" s="30"/>
      <c r="J17" s="30"/>
      <c r="K17" s="30"/>
      <c r="L17" s="30"/>
      <c r="M17" s="30"/>
      <c r="N17" s="30"/>
      <c r="O17" s="30"/>
      <c r="P17" s="30"/>
      <c r="Q17" s="30"/>
      <c r="R17" s="30"/>
      <c r="S17" s="30"/>
      <c r="T17" s="30"/>
      <c r="U17" s="30"/>
      <c r="V17" s="30"/>
      <c r="W17" s="30"/>
      <c r="X17" s="30"/>
      <c r="Y17" s="30"/>
      <c r="Z17" s="28"/>
    </row>
    <row r="18" ht="15.75" customHeight="1">
      <c r="A18" s="29" t="s">
        <v>382</v>
      </c>
      <c r="B18" s="29">
        <v>0.5</v>
      </c>
      <c r="C18" s="29" t="s">
        <v>383</v>
      </c>
      <c r="D18" s="30"/>
      <c r="E18" s="30"/>
      <c r="F18" s="30"/>
      <c r="G18" s="30"/>
      <c r="H18" s="30"/>
      <c r="I18" s="30"/>
      <c r="J18" s="30"/>
      <c r="K18" s="30"/>
      <c r="L18" s="30"/>
      <c r="M18" s="30"/>
      <c r="N18" s="30"/>
      <c r="O18" s="30"/>
      <c r="P18" s="30"/>
      <c r="Q18" s="30"/>
      <c r="R18" s="30"/>
      <c r="S18" s="30"/>
      <c r="T18" s="30"/>
      <c r="U18" s="30"/>
      <c r="V18" s="30"/>
      <c r="W18" s="30"/>
      <c r="X18" s="30"/>
      <c r="Y18" s="30"/>
      <c r="Z18" s="28"/>
    </row>
    <row r="19" ht="15.75" customHeight="1">
      <c r="A19" s="29" t="s">
        <v>384</v>
      </c>
      <c r="B19" s="29">
        <v>2.5</v>
      </c>
      <c r="C19" s="29" t="s">
        <v>385</v>
      </c>
      <c r="D19" s="30"/>
      <c r="E19" s="30"/>
      <c r="F19" s="30"/>
      <c r="G19" s="30"/>
      <c r="H19" s="30"/>
      <c r="I19" s="30"/>
      <c r="J19" s="30"/>
      <c r="K19" s="30"/>
      <c r="L19" s="30"/>
      <c r="M19" s="30"/>
      <c r="N19" s="30"/>
      <c r="O19" s="30"/>
      <c r="P19" s="30"/>
      <c r="Q19" s="30"/>
      <c r="R19" s="30"/>
      <c r="S19" s="30"/>
      <c r="T19" s="30"/>
      <c r="U19" s="30"/>
      <c r="V19" s="30"/>
      <c r="W19" s="30"/>
      <c r="X19" s="30"/>
      <c r="Y19" s="30"/>
      <c r="Z19" s="28"/>
    </row>
    <row r="20" ht="15.75" customHeight="1">
      <c r="A20" s="29" t="s">
        <v>386</v>
      </c>
      <c r="B20" s="29" t="s">
        <v>387</v>
      </c>
      <c r="C20" s="29" t="s">
        <v>388</v>
      </c>
      <c r="D20" s="28"/>
      <c r="E20" s="28"/>
      <c r="F20" s="28"/>
      <c r="G20" s="28"/>
      <c r="H20" s="28"/>
      <c r="I20" s="28"/>
      <c r="J20" s="28"/>
      <c r="K20" s="28"/>
      <c r="L20" s="28"/>
      <c r="M20" s="28"/>
      <c r="N20" s="28"/>
      <c r="O20" s="28"/>
      <c r="P20" s="28"/>
      <c r="Q20" s="28"/>
      <c r="R20" s="28"/>
      <c r="S20" s="28"/>
      <c r="T20" s="28"/>
      <c r="U20" s="28"/>
      <c r="V20" s="28"/>
      <c r="W20" s="28"/>
      <c r="X20" s="28"/>
      <c r="Y20" s="28"/>
      <c r="Z20" s="28"/>
    </row>
    <row r="21" ht="15.75" customHeight="1">
      <c r="A21" s="29" t="s">
        <v>389</v>
      </c>
      <c r="B21" s="29">
        <v>1.0</v>
      </c>
      <c r="C21" s="29" t="s">
        <v>390</v>
      </c>
      <c r="D21" s="28"/>
      <c r="E21" s="28"/>
      <c r="F21" s="28"/>
      <c r="G21" s="28"/>
      <c r="H21" s="28"/>
      <c r="I21" s="28"/>
      <c r="J21" s="28"/>
      <c r="K21" s="28"/>
      <c r="L21" s="28"/>
      <c r="M21" s="28"/>
      <c r="N21" s="28"/>
      <c r="O21" s="28"/>
      <c r="P21" s="28"/>
      <c r="Q21" s="28"/>
      <c r="R21" s="28"/>
      <c r="S21" s="28"/>
      <c r="T21" s="28"/>
      <c r="U21" s="28"/>
      <c r="V21" s="28"/>
      <c r="W21" s="28"/>
      <c r="X21" s="28"/>
      <c r="Y21" s="28"/>
      <c r="Z21" s="28"/>
    </row>
    <row r="22" ht="15.75" customHeight="1">
      <c r="A22" s="29" t="s">
        <v>391</v>
      </c>
      <c r="B22" s="29" t="s">
        <v>392</v>
      </c>
      <c r="C22" s="29" t="s">
        <v>393</v>
      </c>
      <c r="D22" s="28"/>
      <c r="E22" s="28"/>
      <c r="F22" s="28"/>
      <c r="G22" s="28"/>
      <c r="H22" s="28"/>
      <c r="I22" s="28"/>
      <c r="J22" s="28"/>
      <c r="K22" s="28"/>
      <c r="L22" s="28"/>
      <c r="M22" s="28"/>
      <c r="N22" s="28"/>
      <c r="O22" s="28"/>
      <c r="P22" s="28"/>
      <c r="Q22" s="28"/>
      <c r="R22" s="28"/>
      <c r="S22" s="28"/>
      <c r="T22" s="28"/>
      <c r="U22" s="28"/>
      <c r="V22" s="28"/>
      <c r="W22" s="28"/>
      <c r="X22" s="28"/>
      <c r="Y22" s="28"/>
      <c r="Z22" s="28"/>
    </row>
    <row r="23" ht="15.75" customHeight="1">
      <c r="A23" s="29" t="s">
        <v>394</v>
      </c>
      <c r="B23" s="29" t="s">
        <v>395</v>
      </c>
      <c r="C23" s="29" t="s">
        <v>396</v>
      </c>
      <c r="D23" s="28"/>
      <c r="E23" s="28"/>
      <c r="F23" s="28"/>
      <c r="G23" s="28"/>
      <c r="H23" s="28"/>
      <c r="I23" s="28"/>
      <c r="J23" s="28"/>
      <c r="K23" s="28"/>
      <c r="L23" s="28"/>
      <c r="M23" s="28"/>
      <c r="N23" s="28"/>
      <c r="O23" s="28"/>
      <c r="P23" s="28"/>
      <c r="Q23" s="28"/>
      <c r="R23" s="28"/>
      <c r="S23" s="28"/>
      <c r="T23" s="28"/>
      <c r="U23" s="28"/>
      <c r="V23" s="28"/>
      <c r="W23" s="28"/>
      <c r="X23" s="28"/>
      <c r="Y23" s="28"/>
      <c r="Z23" s="28"/>
    </row>
    <row r="24" ht="15.75" customHeight="1">
      <c r="A24" s="29" t="s">
        <v>397</v>
      </c>
      <c r="B24" s="29" t="s">
        <v>398</v>
      </c>
      <c r="C24" s="29" t="s">
        <v>399</v>
      </c>
      <c r="D24" s="28"/>
      <c r="E24" s="28"/>
      <c r="F24" s="28"/>
      <c r="G24" s="28"/>
      <c r="H24" s="28"/>
      <c r="I24" s="28"/>
      <c r="J24" s="28"/>
      <c r="K24" s="28"/>
      <c r="L24" s="28"/>
      <c r="M24" s="28"/>
      <c r="N24" s="28"/>
      <c r="O24" s="28"/>
      <c r="P24" s="28"/>
      <c r="Q24" s="28"/>
      <c r="R24" s="28"/>
      <c r="S24" s="28"/>
      <c r="T24" s="28"/>
      <c r="U24" s="28"/>
      <c r="V24" s="28"/>
      <c r="W24" s="28"/>
      <c r="X24" s="28"/>
      <c r="Y24" s="28"/>
      <c r="Z24" s="28"/>
    </row>
    <row r="25" ht="15.75" customHeight="1">
      <c r="A25" s="29" t="s">
        <v>400</v>
      </c>
      <c r="B25" s="29" t="s">
        <v>401</v>
      </c>
      <c r="C25" s="29" t="s">
        <v>402</v>
      </c>
      <c r="D25" s="28"/>
      <c r="E25" s="28"/>
      <c r="F25" s="28"/>
      <c r="G25" s="28"/>
      <c r="H25" s="28"/>
      <c r="I25" s="28"/>
      <c r="J25" s="28"/>
      <c r="K25" s="28"/>
      <c r="L25" s="28"/>
      <c r="M25" s="28"/>
      <c r="N25" s="28"/>
      <c r="O25" s="28"/>
      <c r="P25" s="28"/>
      <c r="Q25" s="28"/>
      <c r="R25" s="28"/>
      <c r="S25" s="28"/>
      <c r="T25" s="28"/>
      <c r="U25" s="28"/>
      <c r="V25" s="28"/>
      <c r="W25" s="28"/>
      <c r="X25" s="28"/>
      <c r="Y25" s="28"/>
      <c r="Z25" s="28"/>
    </row>
    <row r="26" ht="15.75" customHeight="1">
      <c r="A26" s="29" t="s">
        <v>403</v>
      </c>
      <c r="B26" s="29">
        <v>0.0</v>
      </c>
      <c r="C26" s="29" t="s">
        <v>404</v>
      </c>
      <c r="D26" s="28"/>
      <c r="E26" s="28"/>
      <c r="F26" s="28"/>
      <c r="G26" s="28"/>
      <c r="H26" s="28"/>
      <c r="I26" s="28"/>
      <c r="J26" s="28"/>
      <c r="K26" s="28"/>
      <c r="L26" s="28"/>
      <c r="M26" s="28"/>
      <c r="N26" s="28"/>
      <c r="O26" s="28"/>
      <c r="P26" s="28"/>
      <c r="Q26" s="28"/>
      <c r="R26" s="28"/>
      <c r="S26" s="28"/>
      <c r="T26" s="28"/>
      <c r="U26" s="28"/>
      <c r="V26" s="28"/>
      <c r="W26" s="28"/>
      <c r="X26" s="28"/>
      <c r="Y26" s="28"/>
      <c r="Z26" s="28"/>
    </row>
    <row r="27" ht="15.75" customHeight="1">
      <c r="A27" s="29" t="s">
        <v>405</v>
      </c>
      <c r="B27" s="29">
        <v>0.0</v>
      </c>
      <c r="C27" s="29" t="s">
        <v>406</v>
      </c>
      <c r="D27" s="28"/>
      <c r="E27" s="28"/>
      <c r="F27" s="28"/>
      <c r="G27" s="28"/>
      <c r="H27" s="28"/>
      <c r="I27" s="28"/>
      <c r="J27" s="28"/>
      <c r="K27" s="28"/>
      <c r="L27" s="28"/>
      <c r="M27" s="28"/>
      <c r="N27" s="28"/>
      <c r="O27" s="28"/>
      <c r="P27" s="28"/>
      <c r="Q27" s="28"/>
      <c r="R27" s="28"/>
      <c r="S27" s="28"/>
      <c r="T27" s="28"/>
      <c r="U27" s="28"/>
      <c r="V27" s="28"/>
      <c r="W27" s="28"/>
      <c r="X27" s="28"/>
      <c r="Y27" s="28"/>
      <c r="Z27" s="28"/>
    </row>
    <row r="28" ht="15.75" customHeight="1">
      <c r="A28" s="29" t="s">
        <v>407</v>
      </c>
      <c r="B28" s="29">
        <v>0.0</v>
      </c>
      <c r="C28" s="29" t="s">
        <v>408</v>
      </c>
      <c r="D28" s="28"/>
      <c r="E28" s="28"/>
      <c r="F28" s="28"/>
      <c r="G28" s="28"/>
      <c r="H28" s="28"/>
      <c r="I28" s="28"/>
      <c r="J28" s="28"/>
      <c r="K28" s="28"/>
      <c r="L28" s="28"/>
      <c r="M28" s="28"/>
      <c r="N28" s="28"/>
      <c r="O28" s="28"/>
      <c r="P28" s="28"/>
      <c r="Q28" s="28"/>
      <c r="R28" s="28"/>
      <c r="S28" s="28"/>
      <c r="T28" s="28"/>
      <c r="U28" s="28"/>
      <c r="V28" s="28"/>
      <c r="W28" s="28"/>
      <c r="X28" s="28"/>
      <c r="Y28" s="28"/>
      <c r="Z28" s="28"/>
    </row>
    <row r="29" ht="15.75" customHeight="1">
      <c r="A29" s="29" t="s">
        <v>409</v>
      </c>
      <c r="B29" s="29" t="s">
        <v>410</v>
      </c>
      <c r="C29" s="29" t="s">
        <v>411</v>
      </c>
      <c r="D29" s="28"/>
      <c r="E29" s="28"/>
      <c r="F29" s="28"/>
      <c r="G29" s="28"/>
      <c r="H29" s="28"/>
      <c r="I29" s="28"/>
      <c r="J29" s="28"/>
      <c r="K29" s="28"/>
      <c r="L29" s="28"/>
      <c r="M29" s="28"/>
      <c r="N29" s="28"/>
      <c r="O29" s="28"/>
      <c r="P29" s="28"/>
      <c r="Q29" s="28"/>
      <c r="R29" s="28"/>
      <c r="S29" s="28"/>
      <c r="T29" s="28"/>
      <c r="U29" s="28"/>
      <c r="V29" s="28"/>
      <c r="W29" s="28"/>
      <c r="X29" s="28"/>
      <c r="Y29" s="28"/>
      <c r="Z29" s="28"/>
    </row>
    <row r="30" ht="15.75" customHeight="1">
      <c r="A30" s="29" t="s">
        <v>412</v>
      </c>
      <c r="B30" s="29" t="s">
        <v>413</v>
      </c>
      <c r="C30" s="29" t="s">
        <v>414</v>
      </c>
      <c r="D30" s="28"/>
      <c r="E30" s="28"/>
      <c r="F30" s="28"/>
      <c r="G30" s="28"/>
      <c r="H30" s="28"/>
      <c r="I30" s="28"/>
      <c r="J30" s="28"/>
      <c r="K30" s="28"/>
      <c r="L30" s="28"/>
      <c r="M30" s="28"/>
      <c r="N30" s="28"/>
      <c r="O30" s="28"/>
      <c r="P30" s="28"/>
      <c r="Q30" s="28"/>
      <c r="R30" s="28"/>
      <c r="S30" s="28"/>
      <c r="T30" s="28"/>
      <c r="U30" s="28"/>
      <c r="V30" s="28"/>
      <c r="W30" s="28"/>
      <c r="X30" s="28"/>
      <c r="Y30" s="28"/>
      <c r="Z30" s="28"/>
    </row>
    <row r="31" ht="15.75" customHeight="1">
      <c r="A31" s="29" t="s">
        <v>415</v>
      </c>
      <c r="B31" s="29">
        <v>1.0</v>
      </c>
      <c r="C31" s="29" t="s">
        <v>416</v>
      </c>
      <c r="D31" s="28"/>
      <c r="E31" s="28"/>
      <c r="F31" s="28"/>
      <c r="G31" s="28"/>
      <c r="H31" s="28"/>
      <c r="I31" s="28"/>
      <c r="J31" s="28"/>
      <c r="K31" s="28"/>
      <c r="L31" s="28"/>
      <c r="M31" s="28"/>
      <c r="N31" s="28"/>
      <c r="O31" s="28"/>
      <c r="P31" s="28"/>
      <c r="Q31" s="28"/>
      <c r="R31" s="28"/>
      <c r="S31" s="28"/>
      <c r="T31" s="28"/>
      <c r="U31" s="28"/>
      <c r="V31" s="28"/>
      <c r="W31" s="28"/>
      <c r="X31" s="28"/>
      <c r="Y31" s="28"/>
      <c r="Z31" s="28"/>
    </row>
    <row r="32" ht="15.75" customHeight="1">
      <c r="A32" s="29" t="s">
        <v>417</v>
      </c>
      <c r="B32" s="29" t="s">
        <v>418</v>
      </c>
      <c r="C32" s="29" t="s">
        <v>419</v>
      </c>
      <c r="D32" s="28"/>
      <c r="E32" s="28"/>
      <c r="F32" s="28"/>
      <c r="G32" s="28"/>
      <c r="H32" s="28"/>
      <c r="I32" s="28"/>
      <c r="J32" s="28"/>
      <c r="K32" s="28"/>
      <c r="L32" s="28"/>
      <c r="M32" s="28"/>
      <c r="N32" s="28"/>
      <c r="O32" s="28"/>
      <c r="P32" s="28"/>
      <c r="Q32" s="28"/>
      <c r="R32" s="28"/>
      <c r="S32" s="28"/>
      <c r="T32" s="28"/>
      <c r="U32" s="28"/>
      <c r="V32" s="28"/>
      <c r="W32" s="28"/>
      <c r="X32" s="28"/>
      <c r="Y32" s="28"/>
      <c r="Z32" s="28"/>
    </row>
    <row r="33" ht="15.75" customHeight="1">
      <c r="A33" s="29" t="s">
        <v>420</v>
      </c>
      <c r="B33" s="29" t="s">
        <v>421</v>
      </c>
      <c r="C33" s="29" t="s">
        <v>422</v>
      </c>
      <c r="D33" s="28"/>
      <c r="E33" s="28"/>
      <c r="F33" s="28"/>
      <c r="G33" s="28"/>
      <c r="H33" s="28"/>
      <c r="I33" s="28"/>
      <c r="J33" s="28"/>
      <c r="K33" s="28"/>
      <c r="L33" s="28"/>
      <c r="M33" s="28"/>
      <c r="N33" s="28"/>
      <c r="O33" s="28"/>
      <c r="P33" s="28"/>
      <c r="Q33" s="28"/>
      <c r="R33" s="28"/>
      <c r="S33" s="28"/>
      <c r="T33" s="28"/>
      <c r="U33" s="28"/>
      <c r="V33" s="28"/>
      <c r="W33" s="28"/>
      <c r="X33" s="28"/>
      <c r="Y33" s="28"/>
      <c r="Z33" s="28"/>
    </row>
    <row r="34" ht="15.75" customHeight="1">
      <c r="A34" s="29" t="s">
        <v>423</v>
      </c>
      <c r="B34" s="29">
        <v>3.0</v>
      </c>
      <c r="C34" s="29" t="s">
        <v>424</v>
      </c>
      <c r="D34" s="28"/>
      <c r="E34" s="28"/>
      <c r="F34" s="28"/>
      <c r="G34" s="28"/>
      <c r="H34" s="28"/>
      <c r="I34" s="28"/>
      <c r="J34" s="28"/>
      <c r="K34" s="28"/>
      <c r="L34" s="28"/>
      <c r="M34" s="28"/>
      <c r="N34" s="28"/>
      <c r="O34" s="28"/>
      <c r="P34" s="28"/>
      <c r="Q34" s="28"/>
      <c r="R34" s="28"/>
      <c r="S34" s="28"/>
      <c r="T34" s="28"/>
      <c r="U34" s="28"/>
      <c r="V34" s="28"/>
      <c r="W34" s="28"/>
      <c r="X34" s="28"/>
      <c r="Y34" s="28"/>
      <c r="Z34" s="28"/>
    </row>
    <row r="35" ht="15.75" customHeight="1">
      <c r="A35" s="29" t="s">
        <v>425</v>
      </c>
      <c r="B35" s="29">
        <v>4.0</v>
      </c>
      <c r="C35" s="29" t="s">
        <v>426</v>
      </c>
      <c r="D35" s="28"/>
      <c r="E35" s="28"/>
      <c r="F35" s="28"/>
      <c r="G35" s="28"/>
      <c r="H35" s="28"/>
      <c r="I35" s="28"/>
      <c r="J35" s="28"/>
      <c r="K35" s="28"/>
      <c r="L35" s="28"/>
      <c r="M35" s="28"/>
      <c r="N35" s="28"/>
      <c r="O35" s="28"/>
      <c r="P35" s="28"/>
      <c r="Q35" s="28"/>
      <c r="R35" s="28"/>
      <c r="S35" s="28"/>
      <c r="T35" s="28"/>
      <c r="U35" s="28"/>
      <c r="V35" s="28"/>
      <c r="W35" s="28"/>
      <c r="X35" s="28"/>
      <c r="Y35" s="28"/>
      <c r="Z35" s="28"/>
    </row>
    <row r="36" ht="15.75" customHeight="1">
      <c r="A36" s="29" t="s">
        <v>427</v>
      </c>
      <c r="B36" s="29" t="s">
        <v>428</v>
      </c>
      <c r="C36" s="29" t="s">
        <v>429</v>
      </c>
      <c r="D36" s="28"/>
      <c r="E36" s="28"/>
      <c r="F36" s="28"/>
      <c r="G36" s="28"/>
      <c r="H36" s="28"/>
      <c r="I36" s="28"/>
      <c r="J36" s="28"/>
      <c r="K36" s="28"/>
      <c r="L36" s="28"/>
      <c r="M36" s="28"/>
      <c r="N36" s="28"/>
      <c r="O36" s="28"/>
      <c r="P36" s="28"/>
      <c r="Q36" s="28"/>
      <c r="R36" s="28"/>
      <c r="S36" s="28"/>
      <c r="T36" s="28"/>
      <c r="U36" s="28"/>
      <c r="V36" s="28"/>
      <c r="W36" s="28"/>
      <c r="X36" s="28"/>
      <c r="Y36" s="28"/>
      <c r="Z36" s="28"/>
    </row>
    <row r="37" ht="15.75" customHeight="1">
      <c r="A37" s="29" t="s">
        <v>430</v>
      </c>
      <c r="B37" s="29" t="s">
        <v>431</v>
      </c>
      <c r="C37" s="29" t="s">
        <v>432</v>
      </c>
      <c r="D37" s="28"/>
      <c r="E37" s="28"/>
      <c r="F37" s="28"/>
      <c r="G37" s="28"/>
      <c r="H37" s="28"/>
      <c r="I37" s="28"/>
      <c r="J37" s="28"/>
      <c r="K37" s="28"/>
      <c r="L37" s="28"/>
      <c r="M37" s="28"/>
      <c r="N37" s="28"/>
      <c r="O37" s="28"/>
      <c r="P37" s="28"/>
      <c r="Q37" s="28"/>
      <c r="R37" s="28"/>
      <c r="S37" s="28"/>
      <c r="T37" s="28"/>
      <c r="U37" s="28"/>
      <c r="V37" s="28"/>
      <c r="W37" s="28"/>
      <c r="X37" s="28"/>
      <c r="Y37" s="28"/>
      <c r="Z37" s="28"/>
    </row>
    <row r="38" ht="15.75" customHeight="1">
      <c r="A38" s="29" t="s">
        <v>433</v>
      </c>
      <c r="B38" s="29" t="s">
        <v>434</v>
      </c>
      <c r="C38" s="29" t="s">
        <v>435</v>
      </c>
      <c r="D38" s="28"/>
      <c r="E38" s="28"/>
      <c r="F38" s="28"/>
      <c r="G38" s="28"/>
      <c r="H38" s="28"/>
      <c r="I38" s="28"/>
      <c r="J38" s="28"/>
      <c r="K38" s="28"/>
      <c r="L38" s="28"/>
      <c r="M38" s="28"/>
      <c r="N38" s="28"/>
      <c r="O38" s="28"/>
      <c r="P38" s="28"/>
      <c r="Q38" s="28"/>
      <c r="R38" s="28"/>
      <c r="S38" s="28"/>
      <c r="T38" s="28"/>
      <c r="U38" s="28"/>
      <c r="V38" s="28"/>
      <c r="W38" s="28"/>
      <c r="X38" s="28"/>
      <c r="Y38" s="28"/>
      <c r="Z38" s="28"/>
    </row>
    <row r="39" ht="15.75" customHeight="1">
      <c r="A39" s="29" t="s">
        <v>436</v>
      </c>
      <c r="B39" s="29">
        <v>1.0</v>
      </c>
      <c r="C39" s="29" t="s">
        <v>437</v>
      </c>
      <c r="D39" s="28"/>
      <c r="E39" s="28"/>
      <c r="F39" s="28"/>
      <c r="G39" s="28"/>
      <c r="H39" s="28"/>
      <c r="I39" s="28"/>
      <c r="J39" s="28"/>
      <c r="K39" s="28"/>
      <c r="L39" s="28"/>
      <c r="M39" s="28"/>
      <c r="N39" s="28"/>
      <c r="O39" s="28"/>
      <c r="P39" s="28"/>
      <c r="Q39" s="28"/>
      <c r="R39" s="28"/>
      <c r="S39" s="28"/>
      <c r="T39" s="28"/>
      <c r="U39" s="28"/>
      <c r="V39" s="28"/>
      <c r="W39" s="28"/>
      <c r="X39" s="28"/>
      <c r="Y39" s="28"/>
      <c r="Z39" s="28"/>
    </row>
    <row r="40" ht="15.75" customHeight="1">
      <c r="A40" s="29" t="s">
        <v>62</v>
      </c>
      <c r="B40" s="29" t="s">
        <v>438</v>
      </c>
      <c r="C40" s="29" t="s">
        <v>439</v>
      </c>
      <c r="D40" s="28"/>
      <c r="E40" s="28"/>
      <c r="F40" s="28"/>
      <c r="G40" s="28"/>
      <c r="H40" s="28"/>
      <c r="I40" s="28"/>
      <c r="J40" s="28"/>
      <c r="K40" s="28"/>
      <c r="L40" s="28"/>
      <c r="M40" s="28"/>
      <c r="N40" s="28"/>
      <c r="O40" s="28"/>
      <c r="P40" s="28"/>
      <c r="Q40" s="28"/>
      <c r="R40" s="28"/>
      <c r="S40" s="28"/>
      <c r="T40" s="28"/>
      <c r="U40" s="28"/>
      <c r="V40" s="28"/>
      <c r="W40" s="28"/>
      <c r="X40" s="28"/>
      <c r="Y40" s="28"/>
      <c r="Z40" s="28"/>
    </row>
    <row r="41" ht="15.75" customHeight="1">
      <c r="A41" s="29" t="s">
        <v>440</v>
      </c>
      <c r="B41" s="29" t="s">
        <v>441</v>
      </c>
      <c r="C41" s="29" t="s">
        <v>442</v>
      </c>
      <c r="D41" s="28"/>
      <c r="E41" s="28"/>
      <c r="F41" s="28"/>
      <c r="G41" s="28"/>
      <c r="H41" s="28"/>
      <c r="I41" s="28"/>
      <c r="J41" s="28"/>
      <c r="K41" s="28"/>
      <c r="L41" s="28"/>
      <c r="M41" s="28"/>
      <c r="N41" s="28"/>
      <c r="O41" s="28"/>
      <c r="P41" s="28"/>
      <c r="Q41" s="28"/>
      <c r="R41" s="28"/>
      <c r="S41" s="28"/>
      <c r="T41" s="28"/>
      <c r="U41" s="28"/>
      <c r="V41" s="28"/>
      <c r="W41" s="28"/>
      <c r="X41" s="28"/>
      <c r="Y41" s="28"/>
      <c r="Z41" s="28"/>
    </row>
    <row r="42" ht="15.75" customHeight="1">
      <c r="A42" s="29" t="s">
        <v>443</v>
      </c>
      <c r="B42" s="29" t="s">
        <v>444</v>
      </c>
      <c r="C42" s="29" t="s">
        <v>445</v>
      </c>
      <c r="D42" s="28"/>
      <c r="E42" s="28"/>
      <c r="F42" s="28"/>
      <c r="G42" s="28"/>
      <c r="H42" s="28"/>
      <c r="I42" s="28"/>
      <c r="J42" s="28"/>
      <c r="K42" s="28"/>
      <c r="L42" s="28"/>
      <c r="M42" s="28"/>
      <c r="N42" s="28"/>
      <c r="O42" s="28"/>
      <c r="P42" s="28"/>
      <c r="Q42" s="28"/>
      <c r="R42" s="28"/>
      <c r="S42" s="28"/>
      <c r="T42" s="28"/>
      <c r="U42" s="28"/>
      <c r="V42" s="28"/>
      <c r="W42" s="28"/>
      <c r="X42" s="28"/>
      <c r="Y42" s="28"/>
      <c r="Z42" s="28"/>
    </row>
    <row r="43" ht="15.75" customHeight="1">
      <c r="A43" s="29" t="s">
        <v>446</v>
      </c>
      <c r="B43" s="29" t="s">
        <v>447</v>
      </c>
      <c r="C43" s="29" t="s">
        <v>448</v>
      </c>
      <c r="D43" s="28"/>
      <c r="E43" s="28"/>
      <c r="F43" s="28"/>
      <c r="G43" s="28"/>
      <c r="H43" s="28"/>
      <c r="I43" s="28"/>
      <c r="J43" s="28"/>
      <c r="K43" s="28"/>
      <c r="L43" s="28"/>
      <c r="M43" s="28"/>
      <c r="N43" s="28"/>
      <c r="O43" s="28"/>
      <c r="P43" s="28"/>
      <c r="Q43" s="28"/>
      <c r="R43" s="28"/>
      <c r="S43" s="28"/>
      <c r="T43" s="28"/>
      <c r="U43" s="28"/>
      <c r="V43" s="28"/>
      <c r="W43" s="28"/>
      <c r="X43" s="28"/>
      <c r="Y43" s="28"/>
      <c r="Z43" s="28"/>
    </row>
    <row r="44" ht="15.75" customHeight="1">
      <c r="A44" s="29" t="s">
        <v>449</v>
      </c>
      <c r="B44" s="29" t="s">
        <v>450</v>
      </c>
      <c r="C44" s="29" t="s">
        <v>451</v>
      </c>
      <c r="D44" s="28"/>
      <c r="E44" s="28"/>
      <c r="F44" s="28"/>
      <c r="G44" s="28"/>
      <c r="H44" s="28"/>
      <c r="I44" s="28"/>
      <c r="J44" s="28"/>
      <c r="K44" s="28"/>
      <c r="L44" s="28"/>
      <c r="M44" s="28"/>
      <c r="N44" s="28"/>
      <c r="O44" s="28"/>
      <c r="P44" s="28"/>
      <c r="Q44" s="28"/>
      <c r="R44" s="28"/>
      <c r="S44" s="28"/>
      <c r="T44" s="28"/>
      <c r="U44" s="28"/>
      <c r="V44" s="28"/>
      <c r="W44" s="28"/>
      <c r="X44" s="28"/>
      <c r="Y44" s="28"/>
      <c r="Z44" s="28"/>
    </row>
    <row r="45" ht="15.75" customHeight="1">
      <c r="A45" s="29" t="s">
        <v>452</v>
      </c>
      <c r="B45" s="29" t="s">
        <v>453</v>
      </c>
      <c r="C45" s="29" t="s">
        <v>454</v>
      </c>
      <c r="D45" s="28"/>
      <c r="E45" s="28"/>
      <c r="F45" s="28"/>
      <c r="G45" s="28"/>
      <c r="H45" s="28"/>
      <c r="I45" s="28"/>
      <c r="J45" s="28"/>
      <c r="K45" s="28"/>
      <c r="L45" s="28"/>
      <c r="M45" s="28"/>
      <c r="N45" s="28"/>
      <c r="O45" s="28"/>
      <c r="P45" s="28"/>
      <c r="Q45" s="28"/>
      <c r="R45" s="28"/>
      <c r="S45" s="28"/>
      <c r="T45" s="28"/>
      <c r="U45" s="28"/>
      <c r="V45" s="28"/>
      <c r="W45" s="28"/>
      <c r="X45" s="28"/>
      <c r="Y45" s="28"/>
      <c r="Z45" s="28"/>
    </row>
    <row r="46" ht="15.75" customHeight="1">
      <c r="A46" s="29" t="s">
        <v>455</v>
      </c>
      <c r="B46" s="29" t="s">
        <v>456</v>
      </c>
      <c r="C46" s="29" t="s">
        <v>457</v>
      </c>
      <c r="D46" s="28"/>
      <c r="E46" s="28"/>
      <c r="F46" s="28"/>
      <c r="G46" s="28"/>
      <c r="H46" s="28"/>
      <c r="I46" s="28"/>
      <c r="J46" s="28"/>
      <c r="K46" s="28"/>
      <c r="L46" s="28"/>
      <c r="M46" s="28"/>
      <c r="N46" s="28"/>
      <c r="O46" s="28"/>
      <c r="P46" s="28"/>
      <c r="Q46" s="28"/>
      <c r="R46" s="28"/>
      <c r="S46" s="28"/>
      <c r="T46" s="28"/>
      <c r="U46" s="28"/>
      <c r="V46" s="28"/>
      <c r="W46" s="28"/>
      <c r="X46" s="28"/>
      <c r="Y46" s="28"/>
      <c r="Z46" s="28"/>
    </row>
    <row r="47" ht="15.75" customHeight="1">
      <c r="A47" s="29" t="s">
        <v>458</v>
      </c>
      <c r="B47" s="29">
        <v>1.0</v>
      </c>
      <c r="C47" s="29" t="s">
        <v>459</v>
      </c>
      <c r="D47" s="28"/>
      <c r="E47" s="28"/>
      <c r="F47" s="28"/>
      <c r="G47" s="28"/>
      <c r="H47" s="28"/>
      <c r="I47" s="28"/>
      <c r="J47" s="28"/>
      <c r="K47" s="28"/>
      <c r="L47" s="28"/>
      <c r="M47" s="28"/>
      <c r="N47" s="28"/>
      <c r="O47" s="28"/>
      <c r="P47" s="28"/>
      <c r="Q47" s="28"/>
      <c r="R47" s="28"/>
      <c r="S47" s="28"/>
      <c r="T47" s="28"/>
      <c r="U47" s="28"/>
      <c r="V47" s="28"/>
      <c r="W47" s="28"/>
      <c r="X47" s="28"/>
      <c r="Y47" s="28"/>
      <c r="Z47" s="28"/>
    </row>
    <row r="48" ht="15.75" customHeight="1">
      <c r="A48" s="29" t="s">
        <v>460</v>
      </c>
      <c r="B48" s="29" t="s">
        <v>401</v>
      </c>
      <c r="C48" s="29" t="s">
        <v>461</v>
      </c>
      <c r="D48" s="28"/>
      <c r="E48" s="28"/>
      <c r="F48" s="28"/>
      <c r="G48" s="28"/>
      <c r="H48" s="28"/>
      <c r="I48" s="28"/>
      <c r="J48" s="28"/>
      <c r="K48" s="28"/>
      <c r="L48" s="28"/>
      <c r="M48" s="28"/>
      <c r="N48" s="28"/>
      <c r="O48" s="28"/>
      <c r="P48" s="28"/>
      <c r="Q48" s="28"/>
      <c r="R48" s="28"/>
      <c r="S48" s="28"/>
      <c r="T48" s="28"/>
      <c r="U48" s="28"/>
      <c r="V48" s="28"/>
      <c r="W48" s="28"/>
      <c r="X48" s="28"/>
      <c r="Y48" s="28"/>
      <c r="Z48" s="28"/>
    </row>
    <row r="49" ht="15.75" customHeight="1">
      <c r="A49" s="29" t="s">
        <v>462</v>
      </c>
      <c r="B49" s="29" t="s">
        <v>410</v>
      </c>
      <c r="C49" s="29" t="s">
        <v>463</v>
      </c>
      <c r="D49" s="28"/>
      <c r="E49" s="28"/>
      <c r="F49" s="28"/>
      <c r="G49" s="28"/>
      <c r="H49" s="28"/>
      <c r="I49" s="28"/>
      <c r="J49" s="28"/>
      <c r="K49" s="28"/>
      <c r="L49" s="28"/>
      <c r="M49" s="28"/>
      <c r="N49" s="28"/>
      <c r="O49" s="28"/>
      <c r="P49" s="28"/>
      <c r="Q49" s="28"/>
      <c r="R49" s="28"/>
      <c r="S49" s="28"/>
      <c r="T49" s="28"/>
      <c r="U49" s="28"/>
      <c r="V49" s="28"/>
      <c r="W49" s="28"/>
      <c r="X49" s="28"/>
      <c r="Y49" s="28"/>
      <c r="Z49" s="28"/>
    </row>
    <row r="50" ht="15.75" customHeight="1">
      <c r="A50" s="5"/>
      <c r="B50" s="5"/>
      <c r="C50" s="5"/>
    </row>
    <row r="51" ht="15.75" customHeight="1">
      <c r="A51" s="5"/>
      <c r="B51" s="5"/>
      <c r="C51" s="5"/>
    </row>
    <row r="52" ht="15.75" customHeight="1">
      <c r="A52" s="5"/>
      <c r="B52" s="5"/>
      <c r="C52" s="5"/>
    </row>
    <row r="53" ht="15.75" customHeight="1">
      <c r="A53" s="5"/>
      <c r="B53" s="5"/>
      <c r="C53" s="5"/>
    </row>
    <row r="54" ht="15.75" customHeight="1">
      <c r="A54" s="5"/>
      <c r="B54" s="5"/>
      <c r="C54" s="5"/>
    </row>
    <row r="55" ht="15.75" customHeight="1">
      <c r="A55" s="5"/>
      <c r="B55" s="5"/>
      <c r="C55" s="5"/>
    </row>
    <row r="56" ht="15.75" customHeight="1">
      <c r="A56" s="5"/>
      <c r="B56" s="5"/>
      <c r="C56" s="5"/>
    </row>
    <row r="57" ht="15.75" customHeight="1">
      <c r="A57" s="5"/>
      <c r="B57" s="5"/>
      <c r="C57" s="5"/>
    </row>
    <row r="58" ht="15.75" customHeight="1">
      <c r="A58" s="5"/>
      <c r="B58" s="5"/>
      <c r="C58" s="5"/>
    </row>
    <row r="59" ht="15.75" customHeight="1">
      <c r="A59" s="5"/>
      <c r="B59" s="5"/>
      <c r="C59" s="5"/>
    </row>
    <row r="60" ht="15.75" customHeight="1">
      <c r="A60" s="5"/>
      <c r="B60" s="5"/>
      <c r="C60" s="5"/>
    </row>
    <row r="61" ht="15.75" customHeight="1">
      <c r="A61" s="5"/>
      <c r="B61" s="5"/>
      <c r="C61" s="5"/>
    </row>
    <row r="62" ht="15.75" customHeight="1">
      <c r="A62" s="5"/>
      <c r="B62" s="5"/>
      <c r="C62" s="5"/>
    </row>
    <row r="63" ht="15.75" customHeight="1">
      <c r="A63" s="5"/>
      <c r="B63" s="5"/>
      <c r="C63" s="5"/>
    </row>
    <row r="64" ht="15.75" customHeight="1">
      <c r="A64" s="5"/>
      <c r="B64" s="5"/>
      <c r="C64" s="5"/>
    </row>
    <row r="65" ht="15.75" customHeight="1">
      <c r="A65" s="5"/>
      <c r="B65" s="5"/>
      <c r="C65" s="5"/>
    </row>
    <row r="66" ht="15.75" customHeight="1">
      <c r="A66" s="5"/>
      <c r="B66" s="5"/>
      <c r="C66" s="5"/>
    </row>
    <row r="67" ht="15.75" customHeight="1">
      <c r="A67" s="5"/>
      <c r="B67" s="5"/>
      <c r="C67" s="5"/>
    </row>
    <row r="68" ht="15.75" customHeight="1">
      <c r="A68" s="5"/>
      <c r="B68" s="5"/>
      <c r="C68" s="5"/>
    </row>
    <row r="69" ht="15.75" customHeight="1">
      <c r="A69" s="5"/>
      <c r="B69" s="5"/>
      <c r="C69" s="5"/>
    </row>
    <row r="70" ht="15.75" customHeight="1">
      <c r="A70" s="5"/>
      <c r="B70" s="5"/>
      <c r="C70" s="5"/>
    </row>
    <row r="71" ht="15.75" customHeight="1">
      <c r="A71" s="5"/>
      <c r="B71" s="5"/>
      <c r="C71" s="5"/>
    </row>
    <row r="72" ht="15.75" customHeight="1">
      <c r="A72" s="5"/>
      <c r="B72" s="5"/>
      <c r="C72" s="5"/>
    </row>
    <row r="73" ht="15.75" customHeight="1">
      <c r="A73" s="5"/>
      <c r="B73" s="5"/>
      <c r="C73" s="5"/>
    </row>
    <row r="74" ht="15.75" customHeight="1">
      <c r="A74" s="5"/>
      <c r="B74" s="5"/>
      <c r="C74" s="5"/>
    </row>
    <row r="75" ht="15.75" customHeight="1">
      <c r="A75" s="5"/>
      <c r="B75" s="5"/>
      <c r="C75" s="5"/>
    </row>
    <row r="76" ht="15.75" customHeight="1">
      <c r="A76" s="5"/>
      <c r="B76" s="5"/>
      <c r="C76" s="5"/>
    </row>
    <row r="77" ht="15.75" customHeight="1">
      <c r="A77" s="5"/>
      <c r="B77" s="5"/>
      <c r="C77" s="5"/>
    </row>
    <row r="78" ht="15.75" customHeight="1">
      <c r="A78" s="5"/>
      <c r="B78" s="5"/>
      <c r="C78" s="5"/>
    </row>
    <row r="79" ht="15.75" customHeight="1">
      <c r="A79" s="5"/>
      <c r="B79" s="5"/>
      <c r="C79" s="5"/>
    </row>
    <row r="80" ht="15.75" customHeight="1">
      <c r="A80" s="5"/>
      <c r="B80" s="5"/>
      <c r="C80" s="5"/>
    </row>
    <row r="81" ht="15.75" customHeight="1">
      <c r="A81" s="5"/>
      <c r="B81" s="5"/>
      <c r="C81" s="5"/>
    </row>
    <row r="82" ht="15.75" customHeight="1">
      <c r="A82" s="5"/>
      <c r="B82" s="5"/>
      <c r="C82" s="5"/>
    </row>
    <row r="83" ht="15.75" customHeight="1">
      <c r="A83" s="5"/>
      <c r="B83" s="5"/>
      <c r="C83" s="5"/>
    </row>
    <row r="84" ht="15.75" customHeight="1">
      <c r="A84" s="5"/>
      <c r="B84" s="5"/>
      <c r="C84" s="5"/>
    </row>
    <row r="85" ht="15.75" customHeight="1">
      <c r="A85" s="5"/>
      <c r="B85" s="5"/>
      <c r="C85" s="5"/>
    </row>
    <row r="86" ht="15.75" customHeight="1">
      <c r="A86" s="5"/>
      <c r="B86" s="5"/>
      <c r="C86" s="5"/>
    </row>
    <row r="87" ht="15.75" customHeight="1">
      <c r="A87" s="5"/>
      <c r="B87" s="5"/>
      <c r="C87" s="5"/>
    </row>
    <row r="88" ht="15.75" customHeight="1">
      <c r="A88" s="5"/>
      <c r="B88" s="5"/>
      <c r="C88" s="5"/>
    </row>
    <row r="89" ht="15.75" customHeight="1">
      <c r="A89" s="5"/>
      <c r="B89" s="5"/>
      <c r="C89" s="5"/>
    </row>
    <row r="90" ht="15.75" customHeight="1">
      <c r="A90" s="5"/>
      <c r="B90" s="5"/>
      <c r="C90" s="5"/>
    </row>
    <row r="91" ht="15.75" customHeight="1">
      <c r="A91" s="5"/>
      <c r="B91" s="5"/>
      <c r="C91" s="5"/>
    </row>
    <row r="92" ht="15.75" customHeight="1">
      <c r="A92" s="5"/>
      <c r="B92" s="5"/>
      <c r="C92" s="5"/>
    </row>
    <row r="93" ht="15.75" customHeight="1">
      <c r="A93" s="5"/>
      <c r="B93" s="5"/>
      <c r="C93" s="5"/>
    </row>
    <row r="94" ht="15.75" customHeight="1">
      <c r="A94" s="5"/>
      <c r="B94" s="5"/>
      <c r="C94" s="5"/>
    </row>
    <row r="95" ht="15.75" customHeight="1">
      <c r="A95" s="5"/>
      <c r="B95" s="5"/>
      <c r="C95" s="5"/>
    </row>
    <row r="96" ht="15.75" customHeight="1">
      <c r="A96" s="5"/>
      <c r="B96" s="5"/>
      <c r="C96" s="5"/>
    </row>
    <row r="97" ht="15.75" customHeight="1">
      <c r="A97" s="5"/>
      <c r="B97" s="5"/>
      <c r="C97" s="5"/>
    </row>
    <row r="98" ht="15.75" customHeight="1">
      <c r="A98" s="5"/>
      <c r="B98" s="5"/>
      <c r="C98" s="5"/>
    </row>
    <row r="99" ht="15.75" customHeight="1">
      <c r="A99" s="5"/>
      <c r="B99" s="5"/>
      <c r="C99" s="5"/>
    </row>
    <row r="100" ht="15.75" customHeight="1">
      <c r="A100" s="5"/>
      <c r="B100" s="5"/>
      <c r="C100" s="5"/>
    </row>
    <row r="101" ht="15.75" customHeight="1">
      <c r="A101" s="5"/>
      <c r="B101" s="5"/>
      <c r="C101" s="5"/>
    </row>
    <row r="102" ht="15.75" customHeight="1">
      <c r="A102" s="5"/>
      <c r="B102" s="5"/>
      <c r="C102" s="5"/>
    </row>
    <row r="103" ht="15.75" customHeight="1">
      <c r="A103" s="5"/>
      <c r="B103" s="5"/>
      <c r="C103" s="5"/>
    </row>
    <row r="104" ht="15.75" customHeight="1">
      <c r="A104" s="5"/>
      <c r="B104" s="5"/>
      <c r="C104" s="5"/>
    </row>
    <row r="105" ht="15.75" customHeight="1">
      <c r="A105" s="5"/>
      <c r="B105" s="5"/>
      <c r="C105" s="5"/>
    </row>
    <row r="106" ht="15.75" customHeight="1">
      <c r="A106" s="5"/>
      <c r="B106" s="5"/>
      <c r="C106" s="5"/>
    </row>
    <row r="107" ht="15.75" customHeight="1">
      <c r="A107" s="5"/>
      <c r="B107" s="5"/>
      <c r="C107" s="5"/>
    </row>
    <row r="108" ht="15.75" customHeight="1">
      <c r="A108" s="5"/>
      <c r="B108" s="5"/>
      <c r="C108" s="5"/>
    </row>
    <row r="109" ht="15.75" customHeight="1">
      <c r="A109" s="5"/>
      <c r="B109" s="5"/>
      <c r="C109" s="5"/>
    </row>
    <row r="110" ht="15.75" customHeight="1">
      <c r="A110" s="5"/>
      <c r="B110" s="5"/>
      <c r="C110" s="5"/>
    </row>
    <row r="111" ht="15.75" customHeight="1">
      <c r="A111" s="5"/>
      <c r="B111" s="5"/>
      <c r="C111" s="5"/>
    </row>
    <row r="112" ht="15.75" customHeight="1">
      <c r="A112" s="5"/>
      <c r="B112" s="5"/>
      <c r="C112" s="5"/>
    </row>
    <row r="113" ht="15.75" customHeight="1">
      <c r="A113" s="5"/>
      <c r="B113" s="5"/>
      <c r="C113" s="5"/>
    </row>
    <row r="114" ht="15.75" customHeight="1">
      <c r="A114" s="5"/>
      <c r="B114" s="5"/>
      <c r="C114" s="5"/>
    </row>
    <row r="115" ht="15.75" customHeight="1">
      <c r="A115" s="5"/>
      <c r="B115" s="5"/>
      <c r="C115" s="5"/>
    </row>
    <row r="116" ht="15.75" customHeight="1">
      <c r="A116" s="5"/>
      <c r="B116" s="5"/>
      <c r="C116" s="5"/>
    </row>
    <row r="117" ht="15.75" customHeight="1">
      <c r="A117" s="5"/>
      <c r="B117" s="5"/>
      <c r="C117" s="5"/>
    </row>
    <row r="118" ht="15.75" customHeight="1">
      <c r="A118" s="5"/>
      <c r="B118" s="5"/>
      <c r="C118" s="5"/>
    </row>
    <row r="119" ht="15.75" customHeight="1">
      <c r="A119" s="5"/>
      <c r="B119" s="5"/>
      <c r="C119" s="5"/>
    </row>
    <row r="120" ht="15.75" customHeight="1">
      <c r="A120" s="5"/>
      <c r="B120" s="5"/>
      <c r="C120" s="5"/>
    </row>
    <row r="121" ht="15.75" customHeight="1">
      <c r="A121" s="5"/>
      <c r="B121" s="5"/>
      <c r="C121" s="5"/>
    </row>
    <row r="122" ht="15.75" customHeight="1">
      <c r="A122" s="5"/>
      <c r="B122" s="5"/>
      <c r="C122" s="5"/>
    </row>
    <row r="123" ht="15.75" customHeight="1">
      <c r="A123" s="5"/>
      <c r="B123" s="5"/>
      <c r="C123" s="5"/>
    </row>
    <row r="124" ht="15.75" customHeight="1">
      <c r="A124" s="5"/>
      <c r="B124" s="5"/>
      <c r="C124" s="5"/>
    </row>
    <row r="125" ht="15.75" customHeight="1">
      <c r="A125" s="5"/>
      <c r="B125" s="5"/>
      <c r="C125" s="5"/>
    </row>
    <row r="126" ht="15.75" customHeight="1">
      <c r="A126" s="5"/>
      <c r="B126" s="5"/>
      <c r="C126" s="5"/>
    </row>
    <row r="127" ht="15.75" customHeight="1">
      <c r="A127" s="5"/>
      <c r="B127" s="5"/>
      <c r="C127" s="5"/>
    </row>
    <row r="128" ht="15.75" customHeight="1">
      <c r="A128" s="5"/>
      <c r="B128" s="5"/>
      <c r="C128" s="5"/>
    </row>
    <row r="129" ht="15.75" customHeight="1">
      <c r="A129" s="5"/>
      <c r="B129" s="5"/>
      <c r="C129" s="5"/>
    </row>
    <row r="130" ht="15.75" customHeight="1">
      <c r="A130" s="5"/>
      <c r="B130" s="5"/>
      <c r="C130" s="5"/>
    </row>
    <row r="131" ht="15.75" customHeight="1">
      <c r="A131" s="5"/>
      <c r="B131" s="5"/>
      <c r="C131" s="5"/>
    </row>
    <row r="132" ht="15.75" customHeight="1">
      <c r="A132" s="5"/>
      <c r="B132" s="5"/>
      <c r="C132" s="5"/>
    </row>
    <row r="133" ht="15.75" customHeight="1">
      <c r="A133" s="5"/>
      <c r="B133" s="5"/>
      <c r="C133" s="5"/>
    </row>
    <row r="134" ht="15.75" customHeight="1">
      <c r="A134" s="5"/>
      <c r="B134" s="5"/>
      <c r="C134" s="5"/>
    </row>
    <row r="135" ht="15.75" customHeight="1">
      <c r="A135" s="5"/>
      <c r="B135" s="5"/>
      <c r="C135" s="5"/>
    </row>
    <row r="136" ht="15.75" customHeight="1">
      <c r="A136" s="5"/>
      <c r="B136" s="5"/>
      <c r="C136" s="5"/>
    </row>
    <row r="137" ht="15.75" customHeight="1">
      <c r="A137" s="5"/>
      <c r="B137" s="5"/>
      <c r="C137" s="5"/>
    </row>
    <row r="138" ht="15.75" customHeight="1">
      <c r="A138" s="5"/>
      <c r="B138" s="5"/>
      <c r="C138" s="5"/>
    </row>
    <row r="139" ht="15.75" customHeight="1">
      <c r="A139" s="5"/>
      <c r="B139" s="5"/>
      <c r="C139" s="5"/>
    </row>
    <row r="140" ht="15.75" customHeight="1">
      <c r="A140" s="5"/>
      <c r="B140" s="5"/>
      <c r="C140" s="5"/>
    </row>
    <row r="141" ht="15.75" customHeight="1">
      <c r="A141" s="5"/>
      <c r="B141" s="5"/>
      <c r="C141" s="5"/>
    </row>
    <row r="142" ht="15.75" customHeight="1">
      <c r="A142" s="5"/>
      <c r="B142" s="5"/>
      <c r="C142" s="5"/>
    </row>
    <row r="143" ht="15.75" customHeight="1">
      <c r="A143" s="5"/>
      <c r="B143" s="5"/>
      <c r="C143" s="5"/>
    </row>
    <row r="144" ht="15.75" customHeight="1">
      <c r="A144" s="5"/>
      <c r="B144" s="5"/>
      <c r="C144" s="5"/>
    </row>
    <row r="145" ht="15.75" customHeight="1">
      <c r="A145" s="5"/>
      <c r="B145" s="5"/>
      <c r="C145" s="5"/>
    </row>
    <row r="146" ht="15.75" customHeight="1">
      <c r="A146" s="5"/>
      <c r="B146" s="5"/>
      <c r="C146" s="5"/>
    </row>
    <row r="147" ht="15.75" customHeight="1">
      <c r="A147" s="5"/>
      <c r="B147" s="5"/>
      <c r="C147" s="5"/>
    </row>
    <row r="148" ht="15.75" customHeight="1">
      <c r="A148" s="5"/>
      <c r="B148" s="5"/>
      <c r="C148" s="5"/>
    </row>
    <row r="149" ht="15.75" customHeight="1">
      <c r="A149" s="5"/>
      <c r="B149" s="5"/>
      <c r="C149" s="5"/>
    </row>
    <row r="150" ht="15.75" customHeight="1">
      <c r="A150" s="5"/>
      <c r="B150" s="5"/>
      <c r="C150" s="5"/>
    </row>
    <row r="151" ht="15.75" customHeight="1">
      <c r="A151" s="5"/>
      <c r="B151" s="5"/>
      <c r="C151" s="5"/>
    </row>
    <row r="152" ht="15.75" customHeight="1">
      <c r="A152" s="5"/>
      <c r="B152" s="5"/>
      <c r="C152" s="5"/>
    </row>
    <row r="153" ht="15.75" customHeight="1">
      <c r="A153" s="5"/>
      <c r="B153" s="5"/>
      <c r="C153" s="5"/>
    </row>
    <row r="154" ht="15.75" customHeight="1">
      <c r="A154" s="5"/>
      <c r="B154" s="5"/>
      <c r="C154" s="5"/>
    </row>
    <row r="155" ht="15.75" customHeight="1">
      <c r="A155" s="5"/>
      <c r="B155" s="5"/>
      <c r="C155" s="5"/>
    </row>
    <row r="156" ht="15.75" customHeight="1">
      <c r="A156" s="5"/>
      <c r="B156" s="5"/>
      <c r="C156" s="5"/>
    </row>
    <row r="157" ht="15.75" customHeight="1">
      <c r="A157" s="5"/>
      <c r="B157" s="5"/>
      <c r="C157" s="5"/>
    </row>
    <row r="158" ht="15.75" customHeight="1">
      <c r="A158" s="5"/>
      <c r="B158" s="5"/>
      <c r="C158" s="5"/>
    </row>
    <row r="159" ht="15.75" customHeight="1">
      <c r="A159" s="5"/>
      <c r="B159" s="5"/>
      <c r="C159" s="5"/>
    </row>
    <row r="160" ht="15.75" customHeight="1">
      <c r="A160" s="5"/>
      <c r="B160" s="5"/>
      <c r="C160" s="5"/>
    </row>
    <row r="161" ht="15.75" customHeight="1">
      <c r="A161" s="5"/>
      <c r="B161" s="5"/>
      <c r="C161" s="5"/>
    </row>
    <row r="162" ht="15.75" customHeight="1">
      <c r="A162" s="5"/>
      <c r="B162" s="5"/>
      <c r="C162" s="5"/>
    </row>
    <row r="163" ht="15.75" customHeight="1">
      <c r="A163" s="5"/>
      <c r="B163" s="5"/>
      <c r="C163" s="5"/>
    </row>
    <row r="164" ht="15.75" customHeight="1">
      <c r="A164" s="5"/>
      <c r="B164" s="5"/>
      <c r="C164" s="5"/>
    </row>
    <row r="165" ht="15.75" customHeight="1">
      <c r="A165" s="5"/>
      <c r="B165" s="5"/>
      <c r="C165" s="5"/>
    </row>
    <row r="166" ht="15.75" customHeight="1">
      <c r="A166" s="5"/>
      <c r="B166" s="5"/>
      <c r="C166" s="5"/>
    </row>
    <row r="167" ht="15.75" customHeight="1">
      <c r="A167" s="5"/>
      <c r="B167" s="5"/>
      <c r="C167" s="5"/>
    </row>
    <row r="168" ht="15.75" customHeight="1">
      <c r="A168" s="5"/>
      <c r="B168" s="5"/>
      <c r="C168" s="5"/>
    </row>
    <row r="169" ht="15.75" customHeight="1">
      <c r="A169" s="5"/>
      <c r="B169" s="5"/>
      <c r="C169" s="5"/>
    </row>
    <row r="170" ht="15.75" customHeight="1">
      <c r="A170" s="5"/>
      <c r="B170" s="5"/>
      <c r="C170" s="5"/>
    </row>
    <row r="171" ht="15.75" customHeight="1">
      <c r="A171" s="5"/>
      <c r="B171" s="5"/>
      <c r="C171" s="5"/>
    </row>
    <row r="172" ht="15.75" customHeight="1">
      <c r="A172" s="5"/>
      <c r="B172" s="5"/>
      <c r="C172" s="5"/>
    </row>
    <row r="173" ht="15.75" customHeight="1">
      <c r="A173" s="5"/>
      <c r="B173" s="5"/>
      <c r="C173" s="5"/>
    </row>
    <row r="174" ht="15.75" customHeight="1">
      <c r="A174" s="5"/>
      <c r="B174" s="5"/>
      <c r="C174" s="5"/>
    </row>
    <row r="175" ht="15.75" customHeight="1">
      <c r="A175" s="5"/>
      <c r="B175" s="5"/>
      <c r="C175" s="5"/>
    </row>
    <row r="176" ht="15.75" customHeight="1">
      <c r="A176" s="5"/>
      <c r="B176" s="5"/>
      <c r="C176" s="5"/>
    </row>
    <row r="177" ht="15.75" customHeight="1">
      <c r="A177" s="5"/>
      <c r="B177" s="5"/>
      <c r="C177" s="5"/>
    </row>
    <row r="178" ht="15.75" customHeight="1">
      <c r="A178" s="5"/>
      <c r="B178" s="5"/>
      <c r="C178" s="5"/>
    </row>
    <row r="179" ht="15.75" customHeight="1">
      <c r="A179" s="5"/>
      <c r="B179" s="5"/>
      <c r="C179" s="5"/>
    </row>
    <row r="180" ht="15.75" customHeight="1">
      <c r="A180" s="5"/>
      <c r="B180" s="5"/>
      <c r="C180" s="5"/>
    </row>
    <row r="181" ht="15.75" customHeight="1">
      <c r="A181" s="5"/>
      <c r="B181" s="5"/>
      <c r="C181" s="5"/>
    </row>
    <row r="182" ht="15.75" customHeight="1">
      <c r="A182" s="5"/>
      <c r="B182" s="5"/>
      <c r="C182" s="5"/>
    </row>
    <row r="183" ht="15.75" customHeight="1">
      <c r="A183" s="5"/>
      <c r="B183" s="5"/>
      <c r="C183" s="5"/>
    </row>
    <row r="184" ht="15.75" customHeight="1">
      <c r="A184" s="5"/>
      <c r="B184" s="5"/>
      <c r="C184" s="5"/>
    </row>
    <row r="185" ht="15.75" customHeight="1">
      <c r="A185" s="5"/>
      <c r="B185" s="5"/>
      <c r="C185" s="5"/>
    </row>
    <row r="186" ht="15.75" customHeight="1">
      <c r="A186" s="5"/>
      <c r="B186" s="5"/>
      <c r="C186" s="5"/>
    </row>
    <row r="187" ht="15.75" customHeight="1">
      <c r="A187" s="5"/>
      <c r="B187" s="5"/>
      <c r="C187" s="5"/>
    </row>
    <row r="188" ht="15.75" customHeight="1">
      <c r="A188" s="5"/>
      <c r="B188" s="5"/>
      <c r="C188" s="5"/>
    </row>
    <row r="189" ht="15.75" customHeight="1">
      <c r="A189" s="5"/>
      <c r="B189" s="5"/>
      <c r="C189" s="5"/>
    </row>
    <row r="190" ht="15.75" customHeight="1">
      <c r="A190" s="5"/>
      <c r="B190" s="5"/>
      <c r="C190" s="5"/>
    </row>
    <row r="191" ht="15.75" customHeight="1">
      <c r="A191" s="5"/>
      <c r="B191" s="5"/>
      <c r="C191" s="5"/>
    </row>
    <row r="192" ht="15.75" customHeight="1">
      <c r="A192" s="5"/>
      <c r="B192" s="5"/>
      <c r="C192" s="5"/>
    </row>
    <row r="193" ht="15.75" customHeight="1">
      <c r="A193" s="5"/>
      <c r="B193" s="5"/>
      <c r="C193" s="5"/>
    </row>
    <row r="194" ht="15.75" customHeight="1">
      <c r="A194" s="5"/>
      <c r="B194" s="5"/>
      <c r="C194" s="5"/>
    </row>
    <row r="195" ht="15.75" customHeight="1">
      <c r="A195" s="5"/>
      <c r="B195" s="5"/>
      <c r="C195" s="5"/>
    </row>
    <row r="196" ht="15.75" customHeight="1">
      <c r="A196" s="5"/>
      <c r="B196" s="5"/>
      <c r="C196" s="5"/>
    </row>
    <row r="197" ht="15.75" customHeight="1">
      <c r="A197" s="5"/>
      <c r="B197" s="5"/>
      <c r="C197" s="5"/>
    </row>
    <row r="198" ht="15.75" customHeight="1">
      <c r="A198" s="5"/>
      <c r="B198" s="5"/>
      <c r="C198" s="5"/>
    </row>
    <row r="199" ht="15.75" customHeight="1">
      <c r="A199" s="5"/>
      <c r="B199" s="5"/>
      <c r="C199" s="5"/>
    </row>
    <row r="200" ht="15.75" customHeight="1">
      <c r="A200" s="5"/>
      <c r="B200" s="5"/>
      <c r="C200" s="5"/>
    </row>
    <row r="201" ht="15.75" customHeight="1">
      <c r="A201" s="5"/>
      <c r="B201" s="5"/>
      <c r="C201" s="5"/>
    </row>
    <row r="202" ht="15.75" customHeight="1">
      <c r="A202" s="5"/>
      <c r="B202" s="5"/>
      <c r="C202" s="5"/>
    </row>
    <row r="203" ht="15.75" customHeight="1">
      <c r="A203" s="5"/>
      <c r="B203" s="5"/>
      <c r="C203" s="5"/>
    </row>
    <row r="204" ht="15.75" customHeight="1">
      <c r="A204" s="5"/>
      <c r="B204" s="5"/>
      <c r="C204" s="5"/>
    </row>
    <row r="205" ht="15.75" customHeight="1">
      <c r="A205" s="5"/>
      <c r="B205" s="5"/>
      <c r="C205" s="5"/>
    </row>
    <row r="206" ht="15.75" customHeight="1">
      <c r="A206" s="5"/>
      <c r="B206" s="5"/>
      <c r="C206" s="5"/>
    </row>
    <row r="207" ht="15.75" customHeight="1">
      <c r="A207" s="5"/>
      <c r="B207" s="5"/>
      <c r="C207" s="5"/>
    </row>
    <row r="208" ht="15.75" customHeight="1">
      <c r="A208" s="5"/>
      <c r="B208" s="5"/>
      <c r="C208" s="5"/>
    </row>
    <row r="209" ht="15.75" customHeight="1">
      <c r="A209" s="5"/>
      <c r="B209" s="5"/>
      <c r="C209" s="5"/>
    </row>
    <row r="210" ht="15.75" customHeight="1">
      <c r="A210" s="5"/>
      <c r="B210" s="5"/>
      <c r="C210" s="5"/>
    </row>
    <row r="211" ht="15.75" customHeight="1">
      <c r="A211" s="5"/>
      <c r="B211" s="5"/>
      <c r="C211" s="5"/>
    </row>
    <row r="212" ht="15.75" customHeight="1">
      <c r="A212" s="5"/>
      <c r="B212" s="5"/>
      <c r="C212" s="5"/>
    </row>
    <row r="213" ht="15.75" customHeight="1">
      <c r="A213" s="5"/>
      <c r="B213" s="5"/>
      <c r="C213" s="5"/>
    </row>
    <row r="214" ht="15.75" customHeight="1">
      <c r="A214" s="5"/>
      <c r="B214" s="5"/>
      <c r="C214" s="5"/>
    </row>
    <row r="215" ht="15.75" customHeight="1">
      <c r="A215" s="5"/>
      <c r="B215" s="5"/>
      <c r="C215" s="5"/>
    </row>
    <row r="216" ht="15.75" customHeight="1">
      <c r="A216" s="5"/>
      <c r="B216" s="5"/>
      <c r="C216" s="5"/>
    </row>
    <row r="217" ht="15.75" customHeight="1">
      <c r="A217" s="5"/>
      <c r="B217" s="5"/>
      <c r="C217" s="5"/>
    </row>
    <row r="218" ht="15.75" customHeight="1">
      <c r="A218" s="5"/>
      <c r="B218" s="5"/>
      <c r="C218" s="5"/>
    </row>
    <row r="219" ht="15.75" customHeight="1">
      <c r="A219" s="5"/>
      <c r="B219" s="5"/>
      <c r="C219" s="5"/>
    </row>
    <row r="220" ht="15.75" customHeight="1">
      <c r="A220" s="5"/>
      <c r="B220" s="5"/>
      <c r="C220" s="5"/>
    </row>
    <row r="221" ht="15.75" customHeight="1">
      <c r="A221" s="5"/>
      <c r="B221" s="5"/>
      <c r="C221" s="5"/>
    </row>
    <row r="222" ht="15.75" customHeight="1">
      <c r="A222" s="5"/>
      <c r="B222" s="5"/>
      <c r="C222" s="5"/>
    </row>
    <row r="223" ht="15.75" customHeight="1">
      <c r="A223" s="5"/>
      <c r="B223" s="5"/>
      <c r="C223" s="5"/>
    </row>
    <row r="224" ht="15.75" customHeight="1">
      <c r="A224" s="5"/>
      <c r="B224" s="5"/>
      <c r="C224" s="5"/>
    </row>
    <row r="225" ht="15.75" customHeight="1">
      <c r="A225" s="5"/>
      <c r="B225" s="5"/>
      <c r="C225" s="5"/>
    </row>
    <row r="226" ht="15.75" customHeight="1">
      <c r="A226" s="5"/>
      <c r="B226" s="5"/>
      <c r="C226" s="5"/>
    </row>
    <row r="227" ht="15.75" customHeight="1">
      <c r="A227" s="5"/>
      <c r="B227" s="5"/>
      <c r="C227" s="5"/>
    </row>
    <row r="228" ht="15.75" customHeight="1">
      <c r="A228" s="5"/>
      <c r="B228" s="5"/>
      <c r="C228" s="5"/>
    </row>
    <row r="229" ht="15.75" customHeight="1">
      <c r="A229" s="5"/>
      <c r="B229" s="5"/>
      <c r="C229" s="5"/>
    </row>
    <row r="230" ht="15.75" customHeight="1">
      <c r="A230" s="5"/>
      <c r="B230" s="5"/>
      <c r="C230" s="5"/>
    </row>
    <row r="231" ht="15.75" customHeight="1">
      <c r="A231" s="5"/>
      <c r="B231" s="5"/>
      <c r="C231" s="5"/>
    </row>
    <row r="232" ht="15.75" customHeight="1">
      <c r="A232" s="5"/>
      <c r="B232" s="5"/>
      <c r="C232" s="5"/>
    </row>
    <row r="233" ht="15.75" customHeight="1">
      <c r="A233" s="5"/>
      <c r="B233" s="5"/>
      <c r="C233" s="5"/>
    </row>
    <row r="234" ht="15.75" customHeight="1">
      <c r="A234" s="5"/>
      <c r="B234" s="5"/>
      <c r="C234" s="5"/>
    </row>
    <row r="235" ht="15.75" customHeight="1">
      <c r="A235" s="5"/>
      <c r="B235" s="5"/>
      <c r="C235" s="5"/>
    </row>
    <row r="236" ht="15.75" customHeight="1">
      <c r="A236" s="5"/>
      <c r="B236" s="5"/>
      <c r="C236" s="5"/>
    </row>
    <row r="237" ht="15.75" customHeight="1">
      <c r="A237" s="5"/>
      <c r="B237" s="5"/>
      <c r="C237" s="5"/>
    </row>
    <row r="238" ht="15.75" customHeight="1">
      <c r="A238" s="5"/>
      <c r="B238" s="5"/>
      <c r="C238" s="5"/>
    </row>
    <row r="239" ht="15.75" customHeight="1">
      <c r="A239" s="5"/>
      <c r="B239" s="5"/>
      <c r="C239" s="5"/>
    </row>
    <row r="240" ht="15.75" customHeight="1">
      <c r="A240" s="5"/>
      <c r="B240" s="5"/>
      <c r="C240" s="5"/>
    </row>
    <row r="241" ht="15.75" customHeight="1">
      <c r="A241" s="5"/>
      <c r="B241" s="5"/>
      <c r="C241" s="5"/>
    </row>
    <row r="242" ht="15.75" customHeight="1">
      <c r="A242" s="5"/>
      <c r="B242" s="5"/>
      <c r="C242" s="5"/>
    </row>
    <row r="243" ht="15.75" customHeight="1">
      <c r="A243" s="5"/>
      <c r="B243" s="5"/>
      <c r="C243" s="5"/>
    </row>
    <row r="244" ht="15.75" customHeight="1">
      <c r="A244" s="5"/>
      <c r="B244" s="5"/>
      <c r="C244" s="5"/>
    </row>
    <row r="245" ht="15.75" customHeight="1">
      <c r="A245" s="5"/>
      <c r="B245" s="5"/>
      <c r="C245" s="5"/>
    </row>
    <row r="246" ht="15.75" customHeight="1">
      <c r="A246" s="5"/>
      <c r="B246" s="5"/>
      <c r="C246" s="5"/>
    </row>
    <row r="247" ht="15.75" customHeight="1">
      <c r="A247" s="5"/>
      <c r="B247" s="5"/>
      <c r="C247" s="5"/>
    </row>
    <row r="248" ht="15.75" customHeight="1">
      <c r="A248" s="5"/>
      <c r="B248" s="5"/>
      <c r="C248" s="5"/>
    </row>
    <row r="249" ht="15.75" customHeight="1">
      <c r="A249" s="5"/>
      <c r="B249" s="5"/>
      <c r="C249" s="5"/>
    </row>
    <row r="250" ht="15.75" customHeight="1">
      <c r="A250" s="5"/>
      <c r="B250" s="5"/>
      <c r="C250" s="5"/>
    </row>
    <row r="251" ht="15.75" customHeight="1">
      <c r="A251" s="5"/>
      <c r="B251" s="5"/>
      <c r="C251" s="5"/>
    </row>
    <row r="252" ht="15.75" customHeight="1">
      <c r="A252" s="5"/>
      <c r="B252" s="5"/>
      <c r="C252" s="5"/>
    </row>
    <row r="253" ht="15.75" customHeight="1">
      <c r="A253" s="5"/>
      <c r="B253" s="5"/>
      <c r="C253" s="5"/>
    </row>
    <row r="254" ht="15.75" customHeight="1">
      <c r="A254" s="5"/>
      <c r="B254" s="5"/>
      <c r="C254" s="5"/>
    </row>
    <row r="255" ht="15.75" customHeight="1">
      <c r="A255" s="5"/>
      <c r="B255" s="5"/>
      <c r="C255" s="5"/>
    </row>
    <row r="256" ht="15.75" customHeight="1">
      <c r="A256" s="5"/>
      <c r="B256" s="5"/>
      <c r="C256" s="5"/>
    </row>
    <row r="257" ht="15.75" customHeight="1">
      <c r="A257" s="5"/>
      <c r="B257" s="5"/>
      <c r="C257" s="5"/>
    </row>
    <row r="258" ht="15.75" customHeight="1">
      <c r="A258" s="5"/>
      <c r="B258" s="5"/>
      <c r="C258" s="5"/>
    </row>
    <row r="259" ht="15.75" customHeight="1">
      <c r="A259" s="5"/>
      <c r="B259" s="5"/>
      <c r="C259" s="5"/>
    </row>
    <row r="260" ht="15.75" customHeight="1">
      <c r="A260" s="5"/>
      <c r="B260" s="5"/>
      <c r="C260" s="5"/>
    </row>
    <row r="261" ht="15.75" customHeight="1">
      <c r="A261" s="5"/>
      <c r="B261" s="5"/>
      <c r="C261" s="5"/>
    </row>
    <row r="262" ht="15.75" customHeight="1">
      <c r="A262" s="5"/>
      <c r="B262" s="5"/>
      <c r="C262" s="5"/>
    </row>
    <row r="263" ht="15.75" customHeight="1">
      <c r="A263" s="5"/>
      <c r="B263" s="5"/>
      <c r="C263" s="5"/>
    </row>
    <row r="264" ht="15.75" customHeight="1">
      <c r="A264" s="5"/>
      <c r="B264" s="5"/>
      <c r="C264" s="5"/>
    </row>
    <row r="265" ht="15.75" customHeight="1">
      <c r="A265" s="5"/>
      <c r="B265" s="5"/>
      <c r="C265" s="5"/>
    </row>
    <row r="266" ht="15.75" customHeight="1">
      <c r="A266" s="5"/>
      <c r="B266" s="5"/>
      <c r="C266" s="5"/>
    </row>
    <row r="267" ht="15.75" customHeight="1">
      <c r="A267" s="5"/>
      <c r="B267" s="5"/>
      <c r="C267" s="5"/>
    </row>
    <row r="268" ht="15.75" customHeight="1">
      <c r="A268" s="5"/>
      <c r="B268" s="5"/>
      <c r="C268" s="5"/>
    </row>
    <row r="269" ht="15.75" customHeight="1">
      <c r="A269" s="5"/>
      <c r="B269" s="5"/>
      <c r="C269" s="5"/>
    </row>
    <row r="270" ht="15.75" customHeight="1">
      <c r="A270" s="5"/>
      <c r="B270" s="5"/>
      <c r="C270" s="5"/>
    </row>
    <row r="271" ht="15.75" customHeight="1">
      <c r="A271" s="5"/>
      <c r="B271" s="5"/>
      <c r="C271" s="5"/>
    </row>
    <row r="272" ht="15.75" customHeight="1">
      <c r="A272" s="5"/>
      <c r="B272" s="5"/>
      <c r="C272" s="5"/>
    </row>
    <row r="273" ht="15.75" customHeight="1">
      <c r="A273" s="5"/>
      <c r="B273" s="5"/>
      <c r="C273" s="5"/>
    </row>
    <row r="274" ht="15.75" customHeight="1">
      <c r="A274" s="5"/>
      <c r="B274" s="5"/>
      <c r="C274" s="5"/>
    </row>
    <row r="275" ht="15.75" customHeight="1">
      <c r="A275" s="5"/>
      <c r="B275" s="5"/>
      <c r="C275" s="5"/>
    </row>
    <row r="276" ht="15.75" customHeight="1">
      <c r="A276" s="5"/>
      <c r="B276" s="5"/>
      <c r="C276" s="5"/>
    </row>
    <row r="277" ht="15.75" customHeight="1">
      <c r="A277" s="5"/>
      <c r="B277" s="5"/>
      <c r="C277" s="5"/>
    </row>
    <row r="278" ht="15.75" customHeight="1">
      <c r="A278" s="5"/>
      <c r="B278" s="5"/>
      <c r="C278" s="5"/>
    </row>
    <row r="279" ht="15.75" customHeight="1">
      <c r="A279" s="5"/>
      <c r="B279" s="5"/>
      <c r="C279" s="5"/>
    </row>
    <row r="280" ht="15.75" customHeight="1">
      <c r="A280" s="5"/>
      <c r="B280" s="5"/>
      <c r="C280" s="5"/>
    </row>
    <row r="281" ht="15.75" customHeight="1">
      <c r="A281" s="5"/>
      <c r="B281" s="5"/>
      <c r="C281" s="5"/>
    </row>
    <row r="282" ht="15.75" customHeight="1">
      <c r="A282" s="5"/>
      <c r="B282" s="5"/>
      <c r="C282" s="5"/>
    </row>
    <row r="283" ht="15.75" customHeight="1">
      <c r="A283" s="5"/>
      <c r="B283" s="5"/>
      <c r="C283" s="5"/>
    </row>
    <row r="284" ht="15.75" customHeight="1">
      <c r="A284" s="5"/>
      <c r="B284" s="5"/>
      <c r="C284" s="5"/>
    </row>
    <row r="285" ht="15.75" customHeight="1">
      <c r="A285" s="5"/>
      <c r="B285" s="5"/>
      <c r="C285" s="5"/>
    </row>
    <row r="286" ht="15.75" customHeight="1">
      <c r="A286" s="5"/>
      <c r="B286" s="5"/>
      <c r="C286" s="5"/>
    </row>
    <row r="287" ht="15.75" customHeight="1">
      <c r="A287" s="5"/>
      <c r="B287" s="5"/>
      <c r="C287" s="5"/>
    </row>
    <row r="288" ht="15.75" customHeight="1">
      <c r="A288" s="5"/>
      <c r="B288" s="5"/>
      <c r="C288" s="5"/>
    </row>
    <row r="289" ht="15.75" customHeight="1">
      <c r="A289" s="5"/>
      <c r="B289" s="5"/>
      <c r="C289" s="5"/>
    </row>
    <row r="290" ht="15.75" customHeight="1">
      <c r="A290" s="5"/>
      <c r="B290" s="5"/>
      <c r="C290" s="5"/>
    </row>
    <row r="291" ht="15.75" customHeight="1">
      <c r="A291" s="5"/>
      <c r="B291" s="5"/>
      <c r="C291" s="5"/>
    </row>
    <row r="292" ht="15.75" customHeight="1">
      <c r="A292" s="5"/>
      <c r="B292" s="5"/>
      <c r="C292" s="5"/>
    </row>
    <row r="293" ht="15.75" customHeight="1">
      <c r="A293" s="5"/>
      <c r="B293" s="5"/>
      <c r="C293" s="5"/>
    </row>
    <row r="294" ht="15.75" customHeight="1">
      <c r="A294" s="5"/>
      <c r="B294" s="5"/>
      <c r="C294" s="5"/>
    </row>
    <row r="295" ht="15.75" customHeight="1">
      <c r="A295" s="5"/>
      <c r="B295" s="5"/>
      <c r="C295" s="5"/>
    </row>
    <row r="296" ht="15.75" customHeight="1">
      <c r="A296" s="5"/>
      <c r="B296" s="5"/>
      <c r="C296" s="5"/>
    </row>
    <row r="297" ht="15.75" customHeight="1">
      <c r="A297" s="5"/>
      <c r="B297" s="5"/>
      <c r="C297" s="5"/>
    </row>
    <row r="298" ht="15.75" customHeight="1">
      <c r="A298" s="5"/>
      <c r="B298" s="5"/>
      <c r="C298" s="5"/>
    </row>
    <row r="299" ht="15.75" customHeight="1">
      <c r="A299" s="5"/>
      <c r="B299" s="5"/>
      <c r="C299" s="5"/>
    </row>
    <row r="300" ht="15.75" customHeight="1">
      <c r="A300" s="5"/>
      <c r="B300" s="5"/>
      <c r="C300" s="5"/>
    </row>
    <row r="301" ht="15.75" customHeight="1">
      <c r="A301" s="5"/>
      <c r="B301" s="5"/>
      <c r="C301" s="5"/>
    </row>
    <row r="302" ht="15.75" customHeight="1">
      <c r="A302" s="5"/>
      <c r="B302" s="5"/>
      <c r="C302" s="5"/>
    </row>
    <row r="303" ht="15.75" customHeight="1">
      <c r="A303" s="5"/>
      <c r="B303" s="5"/>
      <c r="C303" s="5"/>
    </row>
    <row r="304" ht="15.75" customHeight="1">
      <c r="A304" s="5"/>
      <c r="B304" s="5"/>
      <c r="C304" s="5"/>
    </row>
    <row r="305" ht="15.75" customHeight="1">
      <c r="A305" s="5"/>
      <c r="B305" s="5"/>
      <c r="C305" s="5"/>
    </row>
    <row r="306" ht="15.75" customHeight="1">
      <c r="A306" s="5"/>
      <c r="B306" s="5"/>
      <c r="C306" s="5"/>
    </row>
    <row r="307" ht="15.75" customHeight="1">
      <c r="A307" s="5"/>
      <c r="B307" s="5"/>
      <c r="C307" s="5"/>
    </row>
    <row r="308" ht="15.75" customHeight="1">
      <c r="A308" s="5"/>
      <c r="B308" s="5"/>
      <c r="C308" s="5"/>
    </row>
    <row r="309" ht="15.75" customHeight="1">
      <c r="A309" s="5"/>
      <c r="B309" s="5"/>
      <c r="C309" s="5"/>
    </row>
    <row r="310" ht="15.75" customHeight="1">
      <c r="A310" s="5"/>
      <c r="B310" s="5"/>
      <c r="C310" s="5"/>
    </row>
    <row r="311" ht="15.75" customHeight="1">
      <c r="A311" s="5"/>
      <c r="B311" s="5"/>
      <c r="C311" s="5"/>
    </row>
    <row r="312" ht="15.75" customHeight="1">
      <c r="A312" s="5"/>
      <c r="B312" s="5"/>
      <c r="C312" s="5"/>
    </row>
    <row r="313" ht="15.75" customHeight="1">
      <c r="A313" s="5"/>
      <c r="B313" s="5"/>
      <c r="C313" s="5"/>
    </row>
    <row r="314" ht="15.75" customHeight="1">
      <c r="A314" s="5"/>
      <c r="B314" s="5"/>
      <c r="C314" s="5"/>
    </row>
    <row r="315" ht="15.75" customHeight="1">
      <c r="A315" s="5"/>
      <c r="B315" s="5"/>
      <c r="C315" s="5"/>
    </row>
    <row r="316" ht="15.75" customHeight="1">
      <c r="A316" s="5"/>
      <c r="B316" s="5"/>
      <c r="C316" s="5"/>
    </row>
    <row r="317" ht="15.75" customHeight="1">
      <c r="A317" s="5"/>
      <c r="B317" s="5"/>
      <c r="C317" s="5"/>
    </row>
    <row r="318" ht="15.75" customHeight="1">
      <c r="A318" s="5"/>
      <c r="B318" s="5"/>
      <c r="C318" s="5"/>
    </row>
    <row r="319" ht="15.75" customHeight="1">
      <c r="A319" s="5"/>
      <c r="B319" s="5"/>
      <c r="C319" s="5"/>
    </row>
    <row r="320" ht="15.75" customHeight="1">
      <c r="A320" s="5"/>
      <c r="B320" s="5"/>
      <c r="C320" s="5"/>
    </row>
    <row r="321" ht="15.75" customHeight="1">
      <c r="A321" s="5"/>
      <c r="B321" s="5"/>
      <c r="C321" s="5"/>
    </row>
    <row r="322" ht="15.75" customHeight="1">
      <c r="A322" s="5"/>
      <c r="B322" s="5"/>
      <c r="C322" s="5"/>
    </row>
    <row r="323" ht="15.75" customHeight="1">
      <c r="A323" s="5"/>
      <c r="B323" s="5"/>
      <c r="C323" s="5"/>
    </row>
    <row r="324" ht="15.75" customHeight="1">
      <c r="A324" s="5"/>
      <c r="B324" s="5"/>
      <c r="C324" s="5"/>
    </row>
    <row r="325" ht="15.75" customHeight="1">
      <c r="A325" s="5"/>
      <c r="B325" s="5"/>
      <c r="C325" s="5"/>
    </row>
    <row r="326" ht="15.75" customHeight="1">
      <c r="A326" s="5"/>
      <c r="B326" s="5"/>
      <c r="C326" s="5"/>
    </row>
    <row r="327" ht="15.75" customHeight="1">
      <c r="A327" s="5"/>
      <c r="B327" s="5"/>
      <c r="C327" s="5"/>
    </row>
    <row r="328" ht="15.75" customHeight="1">
      <c r="A328" s="5"/>
      <c r="B328" s="5"/>
      <c r="C328" s="5"/>
    </row>
    <row r="329" ht="15.75" customHeight="1">
      <c r="A329" s="5"/>
      <c r="B329" s="5"/>
      <c r="C329" s="5"/>
    </row>
    <row r="330" ht="15.75" customHeight="1">
      <c r="A330" s="5"/>
      <c r="B330" s="5"/>
      <c r="C330" s="5"/>
    </row>
    <row r="331" ht="15.75" customHeight="1">
      <c r="A331" s="5"/>
      <c r="B331" s="5"/>
      <c r="C331" s="5"/>
    </row>
    <row r="332" ht="15.75" customHeight="1">
      <c r="A332" s="5"/>
      <c r="B332" s="5"/>
      <c r="C332" s="5"/>
    </row>
    <row r="333" ht="15.75" customHeight="1">
      <c r="A333" s="5"/>
      <c r="B333" s="5"/>
      <c r="C333" s="5"/>
    </row>
    <row r="334" ht="15.75" customHeight="1">
      <c r="A334" s="5"/>
      <c r="B334" s="5"/>
      <c r="C334" s="5"/>
    </row>
    <row r="335" ht="15.75" customHeight="1">
      <c r="A335" s="5"/>
      <c r="B335" s="5"/>
      <c r="C335" s="5"/>
    </row>
    <row r="336" ht="15.75" customHeight="1">
      <c r="A336" s="5"/>
      <c r="B336" s="5"/>
      <c r="C336" s="5"/>
    </row>
    <row r="337" ht="15.75" customHeight="1">
      <c r="A337" s="5"/>
      <c r="B337" s="5"/>
      <c r="C337" s="5"/>
    </row>
    <row r="338" ht="15.75" customHeight="1">
      <c r="A338" s="5"/>
      <c r="B338" s="5"/>
      <c r="C338" s="5"/>
    </row>
    <row r="339" ht="15.75" customHeight="1">
      <c r="A339" s="5"/>
      <c r="B339" s="5"/>
      <c r="C339" s="5"/>
    </row>
    <row r="340" ht="15.75" customHeight="1">
      <c r="A340" s="5"/>
      <c r="B340" s="5"/>
      <c r="C340" s="5"/>
    </row>
    <row r="341" ht="15.75" customHeight="1">
      <c r="A341" s="5"/>
      <c r="B341" s="5"/>
      <c r="C341" s="5"/>
    </row>
    <row r="342" ht="15.75" customHeight="1">
      <c r="A342" s="5"/>
      <c r="B342" s="5"/>
      <c r="C342" s="5"/>
    </row>
    <row r="343" ht="15.75" customHeight="1">
      <c r="A343" s="5"/>
      <c r="B343" s="5"/>
      <c r="C343" s="5"/>
    </row>
    <row r="344" ht="15.75" customHeight="1">
      <c r="A344" s="5"/>
      <c r="B344" s="5"/>
      <c r="C344" s="5"/>
    </row>
    <row r="345" ht="15.75" customHeight="1">
      <c r="A345" s="5"/>
      <c r="B345" s="5"/>
      <c r="C345" s="5"/>
    </row>
    <row r="346" ht="15.75" customHeight="1">
      <c r="A346" s="5"/>
      <c r="B346" s="5"/>
      <c r="C346" s="5"/>
    </row>
    <row r="347" ht="15.75" customHeight="1">
      <c r="A347" s="5"/>
      <c r="B347" s="5"/>
      <c r="C347" s="5"/>
    </row>
    <row r="348" ht="15.75" customHeight="1">
      <c r="A348" s="5"/>
      <c r="B348" s="5"/>
      <c r="C348" s="5"/>
    </row>
    <row r="349" ht="15.75" customHeight="1">
      <c r="A349" s="5"/>
      <c r="B349" s="5"/>
      <c r="C349" s="5"/>
    </row>
    <row r="350" ht="15.75" customHeight="1">
      <c r="A350" s="5"/>
      <c r="B350" s="5"/>
      <c r="C350" s="5"/>
    </row>
    <row r="351" ht="15.75" customHeight="1">
      <c r="A351" s="5"/>
      <c r="B351" s="5"/>
      <c r="C351" s="5"/>
    </row>
    <row r="352" ht="15.75" customHeight="1">
      <c r="A352" s="5"/>
      <c r="B352" s="5"/>
      <c r="C352" s="5"/>
    </row>
    <row r="353" ht="15.75" customHeight="1">
      <c r="A353" s="5"/>
      <c r="B353" s="5"/>
      <c r="C353" s="5"/>
    </row>
    <row r="354" ht="15.75" customHeight="1">
      <c r="A354" s="5"/>
      <c r="B354" s="5"/>
      <c r="C354" s="5"/>
    </row>
    <row r="355" ht="15.75" customHeight="1">
      <c r="A355" s="5"/>
      <c r="B355" s="5"/>
      <c r="C355" s="5"/>
    </row>
    <row r="356" ht="15.75" customHeight="1">
      <c r="A356" s="5"/>
      <c r="B356" s="5"/>
      <c r="C356" s="5"/>
    </row>
    <row r="357" ht="15.75" customHeight="1">
      <c r="A357" s="5"/>
      <c r="B357" s="5"/>
      <c r="C357" s="5"/>
    </row>
    <row r="358" ht="15.75" customHeight="1">
      <c r="A358" s="5"/>
      <c r="B358" s="5"/>
      <c r="C358" s="5"/>
    </row>
    <row r="359" ht="15.75" customHeight="1">
      <c r="A359" s="5"/>
      <c r="B359" s="5"/>
      <c r="C359" s="5"/>
    </row>
    <row r="360" ht="15.75" customHeight="1">
      <c r="A360" s="5"/>
      <c r="B360" s="5"/>
      <c r="C360" s="5"/>
    </row>
    <row r="361" ht="15.75" customHeight="1">
      <c r="A361" s="5"/>
      <c r="B361" s="5"/>
      <c r="C361" s="5"/>
    </row>
    <row r="362" ht="15.75" customHeight="1">
      <c r="A362" s="5"/>
      <c r="B362" s="5"/>
      <c r="C362" s="5"/>
    </row>
    <row r="363" ht="15.75" customHeight="1">
      <c r="A363" s="5"/>
      <c r="B363" s="5"/>
      <c r="C363" s="5"/>
    </row>
    <row r="364" ht="15.75" customHeight="1">
      <c r="A364" s="5"/>
      <c r="B364" s="5"/>
      <c r="C364" s="5"/>
    </row>
    <row r="365" ht="15.75" customHeight="1">
      <c r="A365" s="5"/>
      <c r="B365" s="5"/>
      <c r="C365" s="5"/>
    </row>
    <row r="366" ht="15.75" customHeight="1">
      <c r="A366" s="5"/>
      <c r="B366" s="5"/>
      <c r="C366" s="5"/>
    </row>
    <row r="367" ht="15.75" customHeight="1">
      <c r="A367" s="5"/>
      <c r="B367" s="5"/>
      <c r="C367" s="5"/>
    </row>
    <row r="368" ht="15.75" customHeight="1">
      <c r="A368" s="5"/>
      <c r="B368" s="5"/>
      <c r="C368" s="5"/>
    </row>
    <row r="369" ht="15.75" customHeight="1">
      <c r="A369" s="5"/>
      <c r="B369" s="5"/>
      <c r="C369" s="5"/>
    </row>
    <row r="370" ht="15.75" customHeight="1">
      <c r="A370" s="5"/>
      <c r="B370" s="5"/>
      <c r="C370" s="5"/>
    </row>
    <row r="371" ht="15.75" customHeight="1">
      <c r="A371" s="5"/>
      <c r="B371" s="5"/>
      <c r="C371" s="5"/>
    </row>
    <row r="372" ht="15.75" customHeight="1">
      <c r="A372" s="5"/>
      <c r="B372" s="5"/>
      <c r="C372" s="5"/>
    </row>
    <row r="373" ht="15.75" customHeight="1">
      <c r="A373" s="5"/>
      <c r="B373" s="5"/>
      <c r="C373" s="5"/>
    </row>
    <row r="374" ht="15.75" customHeight="1">
      <c r="A374" s="5"/>
      <c r="B374" s="5"/>
      <c r="C374" s="5"/>
    </row>
    <row r="375" ht="15.75" customHeight="1">
      <c r="A375" s="5"/>
      <c r="B375" s="5"/>
      <c r="C375" s="5"/>
    </row>
    <row r="376" ht="15.75" customHeight="1">
      <c r="A376" s="5"/>
      <c r="B376" s="5"/>
      <c r="C376" s="5"/>
    </row>
    <row r="377" ht="15.75" customHeight="1">
      <c r="A377" s="5"/>
      <c r="B377" s="5"/>
      <c r="C377" s="5"/>
    </row>
    <row r="378" ht="15.75" customHeight="1">
      <c r="A378" s="5"/>
      <c r="B378" s="5"/>
      <c r="C378" s="5"/>
    </row>
    <row r="379" ht="15.75" customHeight="1">
      <c r="A379" s="5"/>
      <c r="B379" s="5"/>
      <c r="C379" s="5"/>
    </row>
    <row r="380" ht="15.75" customHeight="1">
      <c r="A380" s="5"/>
      <c r="B380" s="5"/>
      <c r="C380" s="5"/>
    </row>
    <row r="381" ht="15.75" customHeight="1">
      <c r="A381" s="5"/>
      <c r="B381" s="5"/>
      <c r="C381" s="5"/>
    </row>
    <row r="382" ht="15.75" customHeight="1">
      <c r="A382" s="5"/>
      <c r="B382" s="5"/>
      <c r="C382" s="5"/>
    </row>
    <row r="383" ht="15.75" customHeight="1">
      <c r="A383" s="5"/>
      <c r="B383" s="5"/>
      <c r="C383" s="5"/>
    </row>
    <row r="384" ht="15.75" customHeight="1">
      <c r="A384" s="5"/>
      <c r="B384" s="5"/>
      <c r="C384" s="5"/>
    </row>
    <row r="385" ht="15.75" customHeight="1">
      <c r="A385" s="5"/>
      <c r="B385" s="5"/>
      <c r="C385" s="5"/>
    </row>
    <row r="386" ht="15.75" customHeight="1">
      <c r="A386" s="5"/>
      <c r="B386" s="5"/>
      <c r="C386" s="5"/>
    </row>
    <row r="387" ht="15.75" customHeight="1">
      <c r="A387" s="5"/>
      <c r="B387" s="5"/>
      <c r="C387" s="5"/>
    </row>
    <row r="388" ht="15.75" customHeight="1">
      <c r="A388" s="5"/>
      <c r="B388" s="5"/>
      <c r="C388" s="5"/>
    </row>
    <row r="389" ht="15.75" customHeight="1">
      <c r="A389" s="5"/>
      <c r="B389" s="5"/>
      <c r="C389" s="5"/>
    </row>
    <row r="390" ht="15.75" customHeight="1">
      <c r="A390" s="5"/>
      <c r="B390" s="5"/>
      <c r="C390" s="5"/>
    </row>
    <row r="391" ht="15.75" customHeight="1">
      <c r="A391" s="5"/>
      <c r="B391" s="5"/>
      <c r="C391" s="5"/>
    </row>
    <row r="392" ht="15.75" customHeight="1">
      <c r="A392" s="5"/>
      <c r="B392" s="5"/>
      <c r="C392" s="5"/>
    </row>
    <row r="393" ht="15.75" customHeight="1">
      <c r="A393" s="5"/>
      <c r="B393" s="5"/>
      <c r="C393" s="5"/>
    </row>
    <row r="394" ht="15.75" customHeight="1">
      <c r="A394" s="5"/>
      <c r="B394" s="5"/>
      <c r="C394" s="5"/>
    </row>
    <row r="395" ht="15.75" customHeight="1">
      <c r="A395" s="5"/>
      <c r="B395" s="5"/>
      <c r="C395" s="5"/>
    </row>
    <row r="396" ht="15.75" customHeight="1">
      <c r="A396" s="5"/>
      <c r="B396" s="5"/>
      <c r="C396" s="5"/>
    </row>
    <row r="397" ht="15.75" customHeight="1">
      <c r="A397" s="5"/>
      <c r="B397" s="5"/>
      <c r="C397" s="5"/>
    </row>
    <row r="398" ht="15.75" customHeight="1">
      <c r="A398" s="5"/>
      <c r="B398" s="5"/>
      <c r="C398" s="5"/>
    </row>
    <row r="399" ht="15.75" customHeight="1">
      <c r="A399" s="5"/>
      <c r="B399" s="5"/>
      <c r="C399" s="5"/>
    </row>
    <row r="400" ht="15.75" customHeight="1">
      <c r="A400" s="5"/>
      <c r="B400" s="5"/>
      <c r="C400" s="5"/>
    </row>
    <row r="401" ht="15.75" customHeight="1">
      <c r="A401" s="5"/>
      <c r="B401" s="5"/>
      <c r="C401" s="5"/>
    </row>
    <row r="402" ht="15.75" customHeight="1">
      <c r="A402" s="5"/>
      <c r="B402" s="5"/>
      <c r="C402" s="5"/>
    </row>
    <row r="403" ht="15.75" customHeight="1">
      <c r="A403" s="5"/>
      <c r="B403" s="5"/>
      <c r="C403" s="5"/>
    </row>
    <row r="404" ht="15.75" customHeight="1">
      <c r="A404" s="5"/>
      <c r="B404" s="5"/>
      <c r="C404" s="5"/>
    </row>
    <row r="405" ht="15.75" customHeight="1">
      <c r="A405" s="5"/>
      <c r="B405" s="5"/>
      <c r="C405" s="5"/>
    </row>
    <row r="406" ht="15.75" customHeight="1">
      <c r="A406" s="5"/>
      <c r="B406" s="5"/>
      <c r="C406" s="5"/>
    </row>
    <row r="407" ht="15.75" customHeight="1">
      <c r="A407" s="5"/>
      <c r="B407" s="5"/>
      <c r="C407" s="5"/>
    </row>
    <row r="408" ht="15.75" customHeight="1">
      <c r="A408" s="5"/>
      <c r="B408" s="5"/>
      <c r="C408" s="5"/>
    </row>
    <row r="409" ht="15.75" customHeight="1">
      <c r="A409" s="5"/>
      <c r="B409" s="5"/>
      <c r="C409" s="5"/>
    </row>
    <row r="410" ht="15.75" customHeight="1">
      <c r="A410" s="5"/>
      <c r="B410" s="5"/>
      <c r="C410" s="5"/>
    </row>
    <row r="411" ht="15.75" customHeight="1">
      <c r="A411" s="5"/>
      <c r="B411" s="5"/>
      <c r="C411" s="5"/>
    </row>
    <row r="412" ht="15.75" customHeight="1">
      <c r="A412" s="5"/>
      <c r="B412" s="5"/>
      <c r="C412" s="5"/>
    </row>
    <row r="413" ht="15.75" customHeight="1">
      <c r="A413" s="5"/>
      <c r="B413" s="5"/>
      <c r="C413" s="5"/>
    </row>
    <row r="414" ht="15.75" customHeight="1">
      <c r="A414" s="5"/>
      <c r="B414" s="5"/>
      <c r="C414" s="5"/>
    </row>
    <row r="415" ht="15.75" customHeight="1">
      <c r="A415" s="5"/>
      <c r="B415" s="5"/>
      <c r="C415" s="5"/>
    </row>
    <row r="416" ht="15.75" customHeight="1">
      <c r="A416" s="5"/>
      <c r="B416" s="5"/>
      <c r="C416" s="5"/>
    </row>
    <row r="417" ht="15.75" customHeight="1">
      <c r="A417" s="5"/>
      <c r="B417" s="5"/>
      <c r="C417" s="5"/>
    </row>
    <row r="418" ht="15.75" customHeight="1">
      <c r="A418" s="5"/>
      <c r="B418" s="5"/>
      <c r="C418" s="5"/>
    </row>
    <row r="419" ht="15.75" customHeight="1">
      <c r="A419" s="5"/>
      <c r="B419" s="5"/>
      <c r="C419" s="5"/>
    </row>
    <row r="420" ht="15.75" customHeight="1">
      <c r="A420" s="5"/>
      <c r="B420" s="5"/>
      <c r="C420" s="5"/>
    </row>
    <row r="421" ht="15.75" customHeight="1">
      <c r="A421" s="5"/>
      <c r="B421" s="5"/>
      <c r="C421" s="5"/>
    </row>
    <row r="422" ht="15.75" customHeight="1">
      <c r="A422" s="5"/>
      <c r="B422" s="5"/>
      <c r="C422" s="5"/>
    </row>
    <row r="423" ht="15.75" customHeight="1">
      <c r="A423" s="5"/>
      <c r="B423" s="5"/>
      <c r="C423" s="5"/>
    </row>
    <row r="424" ht="15.75" customHeight="1">
      <c r="A424" s="5"/>
      <c r="B424" s="5"/>
      <c r="C424" s="5"/>
    </row>
    <row r="425" ht="15.75" customHeight="1">
      <c r="A425" s="5"/>
      <c r="B425" s="5"/>
      <c r="C425" s="5"/>
    </row>
    <row r="426" ht="15.75" customHeight="1">
      <c r="A426" s="5"/>
      <c r="B426" s="5"/>
      <c r="C426" s="5"/>
    </row>
    <row r="427" ht="15.75" customHeight="1">
      <c r="A427" s="5"/>
      <c r="B427" s="5"/>
      <c r="C427" s="5"/>
    </row>
    <row r="428" ht="15.75" customHeight="1">
      <c r="A428" s="5"/>
      <c r="B428" s="5"/>
      <c r="C428" s="5"/>
    </row>
    <row r="429" ht="15.75" customHeight="1">
      <c r="A429" s="5"/>
      <c r="B429" s="5"/>
      <c r="C429" s="5"/>
    </row>
    <row r="430" ht="15.75" customHeight="1">
      <c r="A430" s="5"/>
      <c r="B430" s="5"/>
      <c r="C430" s="5"/>
    </row>
    <row r="431" ht="15.75" customHeight="1">
      <c r="A431" s="5"/>
      <c r="B431" s="5"/>
      <c r="C431" s="5"/>
    </row>
    <row r="432" ht="15.75" customHeight="1">
      <c r="A432" s="5"/>
      <c r="B432" s="5"/>
      <c r="C432" s="5"/>
    </row>
    <row r="433" ht="15.75" customHeight="1">
      <c r="A433" s="5"/>
      <c r="B433" s="5"/>
      <c r="C433" s="5"/>
    </row>
    <row r="434" ht="15.75" customHeight="1">
      <c r="A434" s="5"/>
      <c r="B434" s="5"/>
      <c r="C434" s="5"/>
    </row>
    <row r="435" ht="15.75" customHeight="1">
      <c r="A435" s="5"/>
      <c r="B435" s="5"/>
      <c r="C435" s="5"/>
    </row>
    <row r="436" ht="15.75" customHeight="1">
      <c r="A436" s="5"/>
      <c r="B436" s="5"/>
      <c r="C436" s="5"/>
    </row>
    <row r="437" ht="15.75" customHeight="1">
      <c r="A437" s="5"/>
      <c r="B437" s="5"/>
      <c r="C437" s="5"/>
    </row>
    <row r="438" ht="15.75" customHeight="1">
      <c r="A438" s="5"/>
      <c r="B438" s="5"/>
      <c r="C438" s="5"/>
    </row>
    <row r="439" ht="15.75" customHeight="1">
      <c r="A439" s="5"/>
      <c r="B439" s="5"/>
      <c r="C439" s="5"/>
    </row>
    <row r="440" ht="15.75" customHeight="1">
      <c r="A440" s="5"/>
      <c r="B440" s="5"/>
      <c r="C440" s="5"/>
    </row>
    <row r="441" ht="15.75" customHeight="1">
      <c r="A441" s="5"/>
      <c r="B441" s="5"/>
      <c r="C441" s="5"/>
    </row>
    <row r="442" ht="15.75" customHeight="1">
      <c r="A442" s="5"/>
      <c r="B442" s="5"/>
      <c r="C442" s="5"/>
    </row>
    <row r="443" ht="15.75" customHeight="1">
      <c r="A443" s="5"/>
      <c r="B443" s="5"/>
      <c r="C443" s="5"/>
    </row>
    <row r="444" ht="15.75" customHeight="1">
      <c r="A444" s="5"/>
      <c r="B444" s="5"/>
      <c r="C444" s="5"/>
    </row>
    <row r="445" ht="15.75" customHeight="1">
      <c r="A445" s="5"/>
      <c r="B445" s="5"/>
      <c r="C445" s="5"/>
    </row>
    <row r="446" ht="15.75" customHeight="1">
      <c r="A446" s="5"/>
      <c r="B446" s="5"/>
      <c r="C446" s="5"/>
    </row>
    <row r="447" ht="15.75" customHeight="1">
      <c r="A447" s="5"/>
      <c r="B447" s="5"/>
      <c r="C447" s="5"/>
    </row>
    <row r="448" ht="15.75" customHeight="1">
      <c r="A448" s="5"/>
      <c r="B448" s="5"/>
      <c r="C448" s="5"/>
    </row>
    <row r="449" ht="15.75" customHeight="1">
      <c r="A449" s="5"/>
      <c r="B449" s="5"/>
      <c r="C449" s="5"/>
    </row>
    <row r="450" ht="15.75" customHeight="1">
      <c r="A450" s="5"/>
      <c r="B450" s="5"/>
      <c r="C450" s="5"/>
    </row>
    <row r="451" ht="15.75" customHeight="1">
      <c r="A451" s="5"/>
      <c r="B451" s="5"/>
      <c r="C451" s="5"/>
    </row>
    <row r="452" ht="15.75" customHeight="1">
      <c r="A452" s="5"/>
      <c r="B452" s="5"/>
      <c r="C452" s="5"/>
    </row>
    <row r="453" ht="15.75" customHeight="1">
      <c r="A453" s="5"/>
      <c r="B453" s="5"/>
      <c r="C453" s="5"/>
    </row>
    <row r="454" ht="15.75" customHeight="1">
      <c r="A454" s="5"/>
      <c r="B454" s="5"/>
      <c r="C454" s="5"/>
    </row>
    <row r="455" ht="15.75" customHeight="1">
      <c r="A455" s="5"/>
      <c r="B455" s="5"/>
      <c r="C455" s="5"/>
    </row>
    <row r="456" ht="15.75" customHeight="1">
      <c r="A456" s="5"/>
      <c r="B456" s="5"/>
      <c r="C456" s="5"/>
    </row>
    <row r="457" ht="15.75" customHeight="1">
      <c r="A457" s="5"/>
      <c r="B457" s="5"/>
      <c r="C457" s="5"/>
    </row>
    <row r="458" ht="15.75" customHeight="1">
      <c r="A458" s="5"/>
      <c r="B458" s="5"/>
      <c r="C458" s="5"/>
    </row>
    <row r="459" ht="15.75" customHeight="1">
      <c r="A459" s="5"/>
      <c r="B459" s="5"/>
      <c r="C459" s="5"/>
    </row>
    <row r="460" ht="15.75" customHeight="1">
      <c r="A460" s="5"/>
      <c r="B460" s="5"/>
      <c r="C460" s="5"/>
    </row>
    <row r="461" ht="15.75" customHeight="1">
      <c r="A461" s="5"/>
      <c r="B461" s="5"/>
      <c r="C461" s="5"/>
    </row>
    <row r="462" ht="15.75" customHeight="1">
      <c r="A462" s="5"/>
      <c r="B462" s="5"/>
      <c r="C462" s="5"/>
    </row>
    <row r="463" ht="15.75" customHeight="1">
      <c r="A463" s="5"/>
      <c r="B463" s="5"/>
      <c r="C463" s="5"/>
    </row>
    <row r="464" ht="15.75" customHeight="1">
      <c r="A464" s="5"/>
      <c r="B464" s="5"/>
      <c r="C464" s="5"/>
    </row>
    <row r="465" ht="15.75" customHeight="1">
      <c r="A465" s="5"/>
      <c r="B465" s="5"/>
      <c r="C465" s="5"/>
    </row>
    <row r="466" ht="15.75" customHeight="1">
      <c r="A466" s="5"/>
      <c r="B466" s="5"/>
      <c r="C466" s="5"/>
    </row>
    <row r="467" ht="15.75" customHeight="1">
      <c r="A467" s="5"/>
      <c r="B467" s="5"/>
      <c r="C467" s="5"/>
    </row>
    <row r="468" ht="15.75" customHeight="1">
      <c r="A468" s="5"/>
      <c r="B468" s="5"/>
      <c r="C468" s="5"/>
    </row>
    <row r="469" ht="15.75" customHeight="1">
      <c r="A469" s="5"/>
      <c r="B469" s="5"/>
      <c r="C469" s="5"/>
    </row>
    <row r="470" ht="15.75" customHeight="1">
      <c r="A470" s="5"/>
      <c r="B470" s="5"/>
      <c r="C470" s="5"/>
    </row>
    <row r="471" ht="15.75" customHeight="1">
      <c r="A471" s="5"/>
      <c r="B471" s="5"/>
      <c r="C471" s="5"/>
    </row>
    <row r="472" ht="15.75" customHeight="1">
      <c r="A472" s="5"/>
      <c r="B472" s="5"/>
      <c r="C472" s="5"/>
    </row>
    <row r="473" ht="15.75" customHeight="1">
      <c r="A473" s="5"/>
      <c r="B473" s="5"/>
      <c r="C473" s="5"/>
    </row>
    <row r="474" ht="15.75" customHeight="1">
      <c r="A474" s="5"/>
      <c r="B474" s="5"/>
      <c r="C474" s="5"/>
    </row>
    <row r="475" ht="15.75" customHeight="1">
      <c r="A475" s="5"/>
      <c r="B475" s="5"/>
      <c r="C475" s="5"/>
    </row>
    <row r="476" ht="15.75" customHeight="1">
      <c r="A476" s="5"/>
      <c r="B476" s="5"/>
      <c r="C476" s="5"/>
    </row>
    <row r="477" ht="15.75" customHeight="1">
      <c r="A477" s="5"/>
      <c r="B477" s="5"/>
      <c r="C477" s="5"/>
    </row>
    <row r="478" ht="15.75" customHeight="1">
      <c r="A478" s="5"/>
      <c r="B478" s="5"/>
      <c r="C478" s="5"/>
    </row>
    <row r="479" ht="15.75" customHeight="1">
      <c r="A479" s="5"/>
      <c r="B479" s="5"/>
      <c r="C479" s="5"/>
    </row>
    <row r="480" ht="15.75" customHeight="1">
      <c r="A480" s="5"/>
      <c r="B480" s="5"/>
      <c r="C480" s="5"/>
    </row>
    <row r="481" ht="15.75" customHeight="1">
      <c r="A481" s="5"/>
      <c r="B481" s="5"/>
      <c r="C481" s="5"/>
    </row>
    <row r="482" ht="15.75" customHeight="1">
      <c r="A482" s="5"/>
      <c r="B482" s="5"/>
      <c r="C482" s="5"/>
    </row>
    <row r="483" ht="15.75" customHeight="1">
      <c r="A483" s="5"/>
      <c r="B483" s="5"/>
      <c r="C483" s="5"/>
    </row>
    <row r="484" ht="15.75" customHeight="1">
      <c r="A484" s="5"/>
      <c r="B484" s="5"/>
      <c r="C484" s="5"/>
    </row>
    <row r="485" ht="15.75" customHeight="1">
      <c r="A485" s="5"/>
      <c r="B485" s="5"/>
      <c r="C485" s="5"/>
    </row>
    <row r="486" ht="15.75" customHeight="1">
      <c r="A486" s="5"/>
      <c r="B486" s="5"/>
      <c r="C486" s="5"/>
    </row>
    <row r="487" ht="15.75" customHeight="1">
      <c r="A487" s="5"/>
      <c r="B487" s="5"/>
      <c r="C487" s="5"/>
    </row>
    <row r="488" ht="15.75" customHeight="1">
      <c r="A488" s="5"/>
      <c r="B488" s="5"/>
      <c r="C488" s="5"/>
    </row>
    <row r="489" ht="15.75" customHeight="1">
      <c r="A489" s="5"/>
      <c r="B489" s="5"/>
      <c r="C489" s="5"/>
    </row>
    <row r="490" ht="15.75" customHeight="1">
      <c r="A490" s="5"/>
      <c r="B490" s="5"/>
      <c r="C490" s="5"/>
    </row>
    <row r="491" ht="15.75" customHeight="1">
      <c r="A491" s="5"/>
      <c r="B491" s="5"/>
      <c r="C491" s="5"/>
    </row>
    <row r="492" ht="15.75" customHeight="1">
      <c r="A492" s="5"/>
      <c r="B492" s="5"/>
      <c r="C492" s="5"/>
    </row>
    <row r="493" ht="15.75" customHeight="1">
      <c r="A493" s="5"/>
      <c r="B493" s="5"/>
      <c r="C493" s="5"/>
    </row>
    <row r="494" ht="15.75" customHeight="1">
      <c r="A494" s="5"/>
      <c r="B494" s="5"/>
      <c r="C494" s="5"/>
    </row>
    <row r="495" ht="15.75" customHeight="1">
      <c r="A495" s="5"/>
      <c r="B495" s="5"/>
      <c r="C495" s="5"/>
    </row>
    <row r="496" ht="15.75" customHeight="1">
      <c r="A496" s="5"/>
      <c r="B496" s="5"/>
      <c r="C496" s="5"/>
    </row>
    <row r="497" ht="15.75" customHeight="1">
      <c r="A497" s="5"/>
      <c r="B497" s="5"/>
      <c r="C497" s="5"/>
    </row>
    <row r="498" ht="15.75" customHeight="1">
      <c r="A498" s="5"/>
      <c r="B498" s="5"/>
      <c r="C498" s="5"/>
    </row>
    <row r="499" ht="15.75" customHeight="1">
      <c r="A499" s="5"/>
      <c r="B499" s="5"/>
      <c r="C499" s="5"/>
    </row>
    <row r="500" ht="15.75" customHeight="1">
      <c r="A500" s="5"/>
      <c r="B500" s="5"/>
      <c r="C500" s="5"/>
    </row>
    <row r="501" ht="15.75" customHeight="1">
      <c r="A501" s="5"/>
      <c r="B501" s="5"/>
      <c r="C501" s="5"/>
    </row>
    <row r="502" ht="15.75" customHeight="1">
      <c r="A502" s="5"/>
      <c r="B502" s="5"/>
      <c r="C502" s="5"/>
    </row>
    <row r="503" ht="15.75" customHeight="1">
      <c r="A503" s="5"/>
      <c r="B503" s="5"/>
      <c r="C503" s="5"/>
    </row>
    <row r="504" ht="15.75" customHeight="1">
      <c r="A504" s="5"/>
      <c r="B504" s="5"/>
      <c r="C504" s="5"/>
    </row>
    <row r="505" ht="15.75" customHeight="1">
      <c r="A505" s="5"/>
      <c r="B505" s="5"/>
      <c r="C505" s="5"/>
    </row>
    <row r="506" ht="15.75" customHeight="1">
      <c r="A506" s="5"/>
      <c r="B506" s="5"/>
      <c r="C506" s="5"/>
    </row>
    <row r="507" ht="15.75" customHeight="1">
      <c r="A507" s="5"/>
      <c r="B507" s="5"/>
      <c r="C507" s="5"/>
    </row>
    <row r="508" ht="15.75" customHeight="1">
      <c r="A508" s="5"/>
      <c r="B508" s="5"/>
      <c r="C508" s="5"/>
    </row>
    <row r="509" ht="15.75" customHeight="1">
      <c r="A509" s="5"/>
      <c r="B509" s="5"/>
      <c r="C509" s="5"/>
    </row>
    <row r="510" ht="15.75" customHeight="1">
      <c r="A510" s="5"/>
      <c r="B510" s="5"/>
      <c r="C510" s="5"/>
    </row>
    <row r="511" ht="15.75" customHeight="1">
      <c r="A511" s="5"/>
      <c r="B511" s="5"/>
      <c r="C511" s="5"/>
    </row>
    <row r="512" ht="15.75" customHeight="1">
      <c r="A512" s="5"/>
      <c r="B512" s="5"/>
      <c r="C512" s="5"/>
    </row>
    <row r="513" ht="15.75" customHeight="1">
      <c r="A513" s="5"/>
      <c r="B513" s="5"/>
      <c r="C513" s="5"/>
    </row>
    <row r="514" ht="15.75" customHeight="1">
      <c r="A514" s="5"/>
      <c r="B514" s="5"/>
      <c r="C514" s="5"/>
    </row>
    <row r="515" ht="15.75" customHeight="1">
      <c r="A515" s="5"/>
      <c r="B515" s="5"/>
      <c r="C515" s="5"/>
    </row>
    <row r="516" ht="15.75" customHeight="1">
      <c r="A516" s="5"/>
      <c r="B516" s="5"/>
      <c r="C516" s="5"/>
    </row>
    <row r="517" ht="15.75" customHeight="1">
      <c r="A517" s="5"/>
      <c r="B517" s="5"/>
      <c r="C517" s="5"/>
    </row>
    <row r="518" ht="15.75" customHeight="1">
      <c r="A518" s="5"/>
      <c r="B518" s="5"/>
      <c r="C518" s="5"/>
    </row>
    <row r="519" ht="15.75" customHeight="1">
      <c r="A519" s="5"/>
      <c r="B519" s="5"/>
      <c r="C519" s="5"/>
    </row>
    <row r="520" ht="15.75" customHeight="1">
      <c r="A520" s="5"/>
      <c r="B520" s="5"/>
      <c r="C520" s="5"/>
    </row>
    <row r="521" ht="15.75" customHeight="1">
      <c r="A521" s="5"/>
      <c r="B521" s="5"/>
      <c r="C521" s="5"/>
    </row>
    <row r="522" ht="15.75" customHeight="1">
      <c r="A522" s="5"/>
      <c r="B522" s="5"/>
      <c r="C522" s="5"/>
    </row>
    <row r="523" ht="15.75" customHeight="1">
      <c r="A523" s="5"/>
      <c r="B523" s="5"/>
      <c r="C523" s="5"/>
    </row>
    <row r="524" ht="15.75" customHeight="1">
      <c r="A524" s="5"/>
      <c r="B524" s="5"/>
      <c r="C524" s="5"/>
    </row>
    <row r="525" ht="15.75" customHeight="1">
      <c r="A525" s="5"/>
      <c r="B525" s="5"/>
      <c r="C525" s="5"/>
    </row>
    <row r="526" ht="15.75" customHeight="1">
      <c r="A526" s="5"/>
      <c r="B526" s="5"/>
      <c r="C526" s="5"/>
    </row>
    <row r="527" ht="15.75" customHeight="1">
      <c r="A527" s="5"/>
      <c r="B527" s="5"/>
      <c r="C527" s="5"/>
    </row>
    <row r="528" ht="15.75" customHeight="1">
      <c r="A528" s="5"/>
      <c r="B528" s="5"/>
      <c r="C528" s="5"/>
    </row>
    <row r="529" ht="15.75" customHeight="1">
      <c r="A529" s="5"/>
      <c r="B529" s="5"/>
      <c r="C529" s="5"/>
    </row>
    <row r="530" ht="15.75" customHeight="1">
      <c r="A530" s="5"/>
      <c r="B530" s="5"/>
      <c r="C530" s="5"/>
    </row>
    <row r="531" ht="15.75" customHeight="1">
      <c r="A531" s="5"/>
      <c r="B531" s="5"/>
      <c r="C531" s="5"/>
    </row>
    <row r="532" ht="15.75" customHeight="1">
      <c r="A532" s="5"/>
      <c r="B532" s="5"/>
      <c r="C532" s="5"/>
    </row>
    <row r="533" ht="15.75" customHeight="1">
      <c r="A533" s="5"/>
      <c r="B533" s="5"/>
      <c r="C533" s="5"/>
    </row>
    <row r="534" ht="15.75" customHeight="1">
      <c r="A534" s="5"/>
      <c r="B534" s="5"/>
      <c r="C534" s="5"/>
    </row>
    <row r="535" ht="15.75" customHeight="1">
      <c r="A535" s="5"/>
      <c r="B535" s="5"/>
      <c r="C535" s="5"/>
    </row>
    <row r="536" ht="15.75" customHeight="1">
      <c r="A536" s="5"/>
      <c r="B536" s="5"/>
      <c r="C536" s="5"/>
    </row>
    <row r="537" ht="15.75" customHeight="1">
      <c r="A537" s="5"/>
      <c r="B537" s="5"/>
      <c r="C537" s="5"/>
    </row>
    <row r="538" ht="15.75" customHeight="1">
      <c r="A538" s="5"/>
      <c r="B538" s="5"/>
      <c r="C538" s="5"/>
    </row>
    <row r="539" ht="15.75" customHeight="1">
      <c r="A539" s="5"/>
      <c r="B539" s="5"/>
      <c r="C539" s="5"/>
    </row>
    <row r="540" ht="15.75" customHeight="1">
      <c r="A540" s="5"/>
      <c r="B540" s="5"/>
      <c r="C540" s="5"/>
    </row>
    <row r="541" ht="15.75" customHeight="1">
      <c r="A541" s="5"/>
      <c r="B541" s="5"/>
      <c r="C541" s="5"/>
    </row>
    <row r="542" ht="15.75" customHeight="1">
      <c r="A542" s="5"/>
      <c r="B542" s="5"/>
      <c r="C542" s="5"/>
    </row>
    <row r="543" ht="15.75" customHeight="1">
      <c r="A543" s="5"/>
      <c r="B543" s="5"/>
      <c r="C543" s="5"/>
    </row>
    <row r="544" ht="15.75" customHeight="1">
      <c r="A544" s="5"/>
      <c r="B544" s="5"/>
      <c r="C544" s="5"/>
    </row>
    <row r="545" ht="15.75" customHeight="1">
      <c r="A545" s="5"/>
      <c r="B545" s="5"/>
      <c r="C545" s="5"/>
    </row>
    <row r="546" ht="15.75" customHeight="1">
      <c r="A546" s="5"/>
      <c r="B546" s="5"/>
      <c r="C546" s="5"/>
    </row>
    <row r="547" ht="15.75" customHeight="1">
      <c r="A547" s="5"/>
      <c r="B547" s="5"/>
      <c r="C547" s="5"/>
    </row>
    <row r="548" ht="15.75" customHeight="1">
      <c r="A548" s="5"/>
      <c r="B548" s="5"/>
      <c r="C548" s="5"/>
    </row>
    <row r="549" ht="15.75" customHeight="1">
      <c r="A549" s="5"/>
      <c r="B549" s="5"/>
      <c r="C549" s="5"/>
    </row>
    <row r="550" ht="15.75" customHeight="1">
      <c r="A550" s="5"/>
      <c r="B550" s="5"/>
      <c r="C550" s="5"/>
    </row>
    <row r="551" ht="15.75" customHeight="1">
      <c r="A551" s="5"/>
      <c r="B551" s="5"/>
      <c r="C551" s="5"/>
    </row>
    <row r="552" ht="15.75" customHeight="1">
      <c r="A552" s="5"/>
      <c r="B552" s="5"/>
      <c r="C552" s="5"/>
    </row>
    <row r="553" ht="15.75" customHeight="1">
      <c r="A553" s="5"/>
      <c r="B553" s="5"/>
      <c r="C553" s="5"/>
    </row>
    <row r="554" ht="15.75" customHeight="1">
      <c r="A554" s="5"/>
      <c r="B554" s="5"/>
      <c r="C554" s="5"/>
    </row>
    <row r="555" ht="15.75" customHeight="1">
      <c r="A555" s="5"/>
      <c r="B555" s="5"/>
      <c r="C555" s="5"/>
    </row>
    <row r="556" ht="15.75" customHeight="1">
      <c r="A556" s="5"/>
      <c r="B556" s="5"/>
      <c r="C556" s="5"/>
    </row>
    <row r="557" ht="15.75" customHeight="1">
      <c r="A557" s="5"/>
      <c r="B557" s="5"/>
      <c r="C557" s="5"/>
    </row>
    <row r="558" ht="15.75" customHeight="1">
      <c r="A558" s="5"/>
      <c r="B558" s="5"/>
      <c r="C558" s="5"/>
    </row>
    <row r="559" ht="15.75" customHeight="1">
      <c r="A559" s="5"/>
      <c r="B559" s="5"/>
      <c r="C559" s="5"/>
    </row>
    <row r="560" ht="15.75" customHeight="1">
      <c r="A560" s="5"/>
      <c r="B560" s="5"/>
      <c r="C560" s="5"/>
    </row>
    <row r="561" ht="15.75" customHeight="1">
      <c r="A561" s="5"/>
      <c r="B561" s="5"/>
      <c r="C561" s="5"/>
    </row>
    <row r="562" ht="15.75" customHeight="1">
      <c r="A562" s="5"/>
      <c r="B562" s="5"/>
      <c r="C562" s="5"/>
    </row>
    <row r="563" ht="15.75" customHeight="1">
      <c r="A563" s="5"/>
      <c r="B563" s="5"/>
      <c r="C563" s="5"/>
    </row>
    <row r="564" ht="15.75" customHeight="1">
      <c r="A564" s="5"/>
      <c r="B564" s="5"/>
      <c r="C564" s="5"/>
    </row>
    <row r="565" ht="15.75" customHeight="1">
      <c r="A565" s="5"/>
      <c r="B565" s="5"/>
      <c r="C565" s="5"/>
    </row>
    <row r="566" ht="15.75" customHeight="1">
      <c r="A566" s="5"/>
      <c r="B566" s="5"/>
      <c r="C566" s="5"/>
    </row>
    <row r="567" ht="15.75" customHeight="1">
      <c r="A567" s="5"/>
      <c r="B567" s="5"/>
      <c r="C567" s="5"/>
    </row>
    <row r="568" ht="15.75" customHeight="1">
      <c r="A568" s="5"/>
      <c r="B568" s="5"/>
      <c r="C568" s="5"/>
    </row>
    <row r="569" ht="15.75" customHeight="1">
      <c r="A569" s="5"/>
      <c r="B569" s="5"/>
      <c r="C569" s="5"/>
    </row>
    <row r="570" ht="15.75" customHeight="1">
      <c r="A570" s="5"/>
      <c r="B570" s="5"/>
      <c r="C570" s="5"/>
    </row>
    <row r="571" ht="15.75" customHeight="1">
      <c r="A571" s="5"/>
      <c r="B571" s="5"/>
      <c r="C571" s="5"/>
    </row>
    <row r="572" ht="15.75" customHeight="1">
      <c r="A572" s="5"/>
      <c r="B572" s="5"/>
      <c r="C572" s="5"/>
    </row>
    <row r="573" ht="15.75" customHeight="1">
      <c r="A573" s="5"/>
      <c r="B573" s="5"/>
      <c r="C573" s="5"/>
    </row>
    <row r="574" ht="15.75" customHeight="1">
      <c r="A574" s="5"/>
      <c r="B574" s="5"/>
      <c r="C574" s="5"/>
    </row>
    <row r="575" ht="15.75" customHeight="1">
      <c r="A575" s="5"/>
      <c r="B575" s="5"/>
      <c r="C575" s="5"/>
    </row>
    <row r="576" ht="15.75" customHeight="1">
      <c r="A576" s="5"/>
      <c r="B576" s="5"/>
      <c r="C576" s="5"/>
    </row>
    <row r="577" ht="15.75" customHeight="1">
      <c r="A577" s="5"/>
      <c r="B577" s="5"/>
      <c r="C577" s="5"/>
    </row>
    <row r="578" ht="15.75" customHeight="1">
      <c r="A578" s="5"/>
      <c r="B578" s="5"/>
      <c r="C578" s="5"/>
    </row>
    <row r="579" ht="15.75" customHeight="1">
      <c r="A579" s="5"/>
      <c r="B579" s="5"/>
      <c r="C579" s="5"/>
    </row>
    <row r="580" ht="15.75" customHeight="1">
      <c r="A580" s="5"/>
      <c r="B580" s="5"/>
      <c r="C580" s="5"/>
    </row>
    <row r="581" ht="15.75" customHeight="1">
      <c r="A581" s="5"/>
      <c r="B581" s="5"/>
      <c r="C581" s="5"/>
    </row>
    <row r="582" ht="15.75" customHeight="1">
      <c r="A582" s="5"/>
      <c r="B582" s="5"/>
      <c r="C582" s="5"/>
    </row>
    <row r="583" ht="15.75" customHeight="1">
      <c r="A583" s="5"/>
      <c r="B583" s="5"/>
      <c r="C583" s="5"/>
    </row>
    <row r="584" ht="15.75" customHeight="1">
      <c r="A584" s="5"/>
      <c r="B584" s="5"/>
      <c r="C584" s="5"/>
    </row>
    <row r="585" ht="15.75" customHeight="1">
      <c r="A585" s="5"/>
      <c r="B585" s="5"/>
      <c r="C585" s="5"/>
    </row>
    <row r="586" ht="15.75" customHeight="1">
      <c r="A586" s="5"/>
      <c r="B586" s="5"/>
      <c r="C586" s="5"/>
    </row>
    <row r="587" ht="15.75" customHeight="1">
      <c r="A587" s="5"/>
      <c r="B587" s="5"/>
      <c r="C587" s="5"/>
    </row>
    <row r="588" ht="15.75" customHeight="1">
      <c r="A588" s="5"/>
      <c r="B588" s="5"/>
      <c r="C588" s="5"/>
    </row>
    <row r="589" ht="15.75" customHeight="1">
      <c r="A589" s="5"/>
      <c r="B589" s="5"/>
      <c r="C589" s="5"/>
    </row>
    <row r="590" ht="15.75" customHeight="1">
      <c r="A590" s="5"/>
      <c r="B590" s="5"/>
      <c r="C590" s="5"/>
    </row>
    <row r="591" ht="15.75" customHeight="1">
      <c r="A591" s="5"/>
      <c r="B591" s="5"/>
      <c r="C591" s="5"/>
    </row>
    <row r="592" ht="15.75" customHeight="1">
      <c r="A592" s="5"/>
      <c r="B592" s="5"/>
      <c r="C592" s="5"/>
    </row>
    <row r="593" ht="15.75" customHeight="1">
      <c r="A593" s="5"/>
      <c r="B593" s="5"/>
      <c r="C593" s="5"/>
    </row>
    <row r="594" ht="15.75" customHeight="1">
      <c r="A594" s="5"/>
      <c r="B594" s="5"/>
      <c r="C594" s="5"/>
    </row>
    <row r="595" ht="15.75" customHeight="1">
      <c r="A595" s="5"/>
      <c r="B595" s="5"/>
      <c r="C595" s="5"/>
    </row>
    <row r="596" ht="15.75" customHeight="1">
      <c r="A596" s="5"/>
      <c r="B596" s="5"/>
      <c r="C596" s="5"/>
    </row>
    <row r="597" ht="15.75" customHeight="1">
      <c r="A597" s="5"/>
      <c r="B597" s="5"/>
      <c r="C597" s="5"/>
    </row>
    <row r="598" ht="15.75" customHeight="1">
      <c r="A598" s="5"/>
      <c r="B598" s="5"/>
      <c r="C598" s="5"/>
    </row>
    <row r="599" ht="15.75" customHeight="1">
      <c r="A599" s="5"/>
      <c r="B599" s="5"/>
      <c r="C599" s="5"/>
    </row>
    <row r="600" ht="15.75" customHeight="1">
      <c r="A600" s="5"/>
      <c r="B600" s="5"/>
      <c r="C600" s="5"/>
    </row>
    <row r="601" ht="15.75" customHeight="1">
      <c r="A601" s="5"/>
      <c r="B601" s="5"/>
      <c r="C601" s="5"/>
    </row>
    <row r="602" ht="15.75" customHeight="1">
      <c r="A602" s="5"/>
      <c r="B602" s="5"/>
      <c r="C602" s="5"/>
    </row>
    <row r="603" ht="15.75" customHeight="1">
      <c r="A603" s="5"/>
      <c r="B603" s="5"/>
      <c r="C603" s="5"/>
    </row>
    <row r="604" ht="15.75" customHeight="1">
      <c r="A604" s="5"/>
      <c r="B604" s="5"/>
      <c r="C604" s="5"/>
    </row>
    <row r="605" ht="15.75" customHeight="1">
      <c r="A605" s="5"/>
      <c r="B605" s="5"/>
      <c r="C605" s="5"/>
    </row>
    <row r="606" ht="15.75" customHeight="1">
      <c r="A606" s="5"/>
      <c r="B606" s="5"/>
      <c r="C606" s="5"/>
    </row>
    <row r="607" ht="15.75" customHeight="1">
      <c r="A607" s="5"/>
      <c r="B607" s="5"/>
      <c r="C607" s="5"/>
    </row>
    <row r="608" ht="15.75" customHeight="1">
      <c r="A608" s="5"/>
      <c r="B608" s="5"/>
      <c r="C608" s="5"/>
    </row>
    <row r="609" ht="15.75" customHeight="1">
      <c r="A609" s="5"/>
      <c r="B609" s="5"/>
      <c r="C609" s="5"/>
    </row>
    <row r="610" ht="15.75" customHeight="1">
      <c r="A610" s="5"/>
      <c r="B610" s="5"/>
      <c r="C610" s="5"/>
    </row>
    <row r="611" ht="15.75" customHeight="1">
      <c r="A611" s="5"/>
      <c r="B611" s="5"/>
      <c r="C611" s="5"/>
    </row>
    <row r="612" ht="15.75" customHeight="1">
      <c r="A612" s="5"/>
      <c r="B612" s="5"/>
      <c r="C612" s="5"/>
    </row>
    <row r="613" ht="15.75" customHeight="1">
      <c r="A613" s="5"/>
      <c r="B613" s="5"/>
      <c r="C613" s="5"/>
    </row>
    <row r="614" ht="15.75" customHeight="1">
      <c r="A614" s="5"/>
      <c r="B614" s="5"/>
      <c r="C614" s="5"/>
    </row>
    <row r="615" ht="15.75" customHeight="1">
      <c r="A615" s="5"/>
      <c r="B615" s="5"/>
      <c r="C615" s="5"/>
    </row>
    <row r="616" ht="15.75" customHeight="1">
      <c r="A616" s="5"/>
      <c r="B616" s="5"/>
      <c r="C616" s="5"/>
    </row>
    <row r="617" ht="15.75" customHeight="1">
      <c r="A617" s="5"/>
      <c r="B617" s="5"/>
      <c r="C617" s="5"/>
    </row>
    <row r="618" ht="15.75" customHeight="1">
      <c r="A618" s="5"/>
      <c r="B618" s="5"/>
      <c r="C618" s="5"/>
    </row>
    <row r="619" ht="15.75" customHeight="1">
      <c r="A619" s="5"/>
      <c r="B619" s="5"/>
      <c r="C619" s="5"/>
    </row>
    <row r="620" ht="15.75" customHeight="1">
      <c r="A620" s="5"/>
      <c r="B620" s="5"/>
      <c r="C620" s="5"/>
    </row>
    <row r="621" ht="15.75" customHeight="1">
      <c r="A621" s="5"/>
      <c r="B621" s="5"/>
      <c r="C621" s="5"/>
    </row>
    <row r="622" ht="15.75" customHeight="1">
      <c r="A622" s="5"/>
      <c r="B622" s="5"/>
      <c r="C622" s="5"/>
    </row>
    <row r="623" ht="15.75" customHeight="1">
      <c r="A623" s="5"/>
      <c r="B623" s="5"/>
      <c r="C623" s="5"/>
    </row>
    <row r="624" ht="15.75" customHeight="1">
      <c r="A624" s="5"/>
      <c r="B624" s="5"/>
      <c r="C624" s="5"/>
    </row>
    <row r="625" ht="15.75" customHeight="1">
      <c r="A625" s="5"/>
      <c r="B625" s="5"/>
      <c r="C625" s="5"/>
    </row>
    <row r="626" ht="15.75" customHeight="1">
      <c r="A626" s="5"/>
      <c r="B626" s="5"/>
      <c r="C626" s="5"/>
    </row>
    <row r="627" ht="15.75" customHeight="1">
      <c r="A627" s="5"/>
      <c r="B627" s="5"/>
      <c r="C627" s="5"/>
    </row>
    <row r="628" ht="15.75" customHeight="1">
      <c r="A628" s="5"/>
      <c r="B628" s="5"/>
      <c r="C628" s="5"/>
    </row>
    <row r="629" ht="15.75" customHeight="1">
      <c r="A629" s="5"/>
      <c r="B629" s="5"/>
      <c r="C629" s="5"/>
    </row>
    <row r="630" ht="15.75" customHeight="1">
      <c r="A630" s="5"/>
      <c r="B630" s="5"/>
      <c r="C630" s="5"/>
    </row>
    <row r="631" ht="15.75" customHeight="1">
      <c r="A631" s="5"/>
      <c r="B631" s="5"/>
      <c r="C631" s="5"/>
    </row>
    <row r="632" ht="15.75" customHeight="1">
      <c r="A632" s="5"/>
      <c r="B632" s="5"/>
      <c r="C632" s="5"/>
    </row>
    <row r="633" ht="15.75" customHeight="1">
      <c r="A633" s="5"/>
      <c r="B633" s="5"/>
      <c r="C633" s="5"/>
    </row>
    <row r="634" ht="15.75" customHeight="1">
      <c r="A634" s="5"/>
      <c r="B634" s="5"/>
      <c r="C634" s="5"/>
    </row>
    <row r="635" ht="15.75" customHeight="1">
      <c r="A635" s="5"/>
      <c r="B635" s="5"/>
      <c r="C635" s="5"/>
    </row>
    <row r="636" ht="15.75" customHeight="1">
      <c r="A636" s="5"/>
      <c r="B636" s="5"/>
      <c r="C636" s="5"/>
    </row>
    <row r="637" ht="15.75" customHeight="1">
      <c r="A637" s="5"/>
      <c r="B637" s="5"/>
      <c r="C637" s="5"/>
    </row>
    <row r="638" ht="15.75" customHeight="1">
      <c r="A638" s="5"/>
      <c r="B638" s="5"/>
      <c r="C638" s="5"/>
    </row>
    <row r="639" ht="15.75" customHeight="1">
      <c r="A639" s="5"/>
      <c r="B639" s="5"/>
      <c r="C639" s="5"/>
    </row>
    <row r="640" ht="15.75" customHeight="1">
      <c r="A640" s="5"/>
      <c r="B640" s="5"/>
      <c r="C640" s="5"/>
    </row>
    <row r="641" ht="15.75" customHeight="1">
      <c r="A641" s="5"/>
      <c r="B641" s="5"/>
      <c r="C641" s="5"/>
    </row>
    <row r="642" ht="15.75" customHeight="1">
      <c r="A642" s="5"/>
      <c r="B642" s="5"/>
      <c r="C642" s="5"/>
    </row>
    <row r="643" ht="15.75" customHeight="1">
      <c r="A643" s="5"/>
      <c r="B643" s="5"/>
      <c r="C643" s="5"/>
    </row>
    <row r="644" ht="15.75" customHeight="1">
      <c r="A644" s="5"/>
      <c r="B644" s="5"/>
      <c r="C644" s="5"/>
    </row>
    <row r="645" ht="15.75" customHeight="1">
      <c r="A645" s="5"/>
      <c r="B645" s="5"/>
      <c r="C645" s="5"/>
    </row>
    <row r="646" ht="15.75" customHeight="1">
      <c r="A646" s="5"/>
      <c r="B646" s="5"/>
      <c r="C646" s="5"/>
    </row>
    <row r="647" ht="15.75" customHeight="1">
      <c r="A647" s="5"/>
      <c r="B647" s="5"/>
      <c r="C647" s="5"/>
    </row>
    <row r="648" ht="15.75" customHeight="1">
      <c r="A648" s="5"/>
      <c r="B648" s="5"/>
      <c r="C648" s="5"/>
    </row>
    <row r="649" ht="15.75" customHeight="1">
      <c r="A649" s="5"/>
      <c r="B649" s="5"/>
      <c r="C649" s="5"/>
    </row>
    <row r="650" ht="15.75" customHeight="1">
      <c r="A650" s="5"/>
      <c r="B650" s="5"/>
      <c r="C650" s="5"/>
    </row>
    <row r="651" ht="15.75" customHeight="1">
      <c r="A651" s="5"/>
      <c r="B651" s="5"/>
      <c r="C651" s="5"/>
    </row>
    <row r="652" ht="15.75" customHeight="1">
      <c r="A652" s="5"/>
      <c r="B652" s="5"/>
      <c r="C652" s="5"/>
    </row>
    <row r="653" ht="15.75" customHeight="1">
      <c r="A653" s="5"/>
      <c r="B653" s="5"/>
      <c r="C653" s="5"/>
    </row>
    <row r="654" ht="15.75" customHeight="1">
      <c r="A654" s="5"/>
      <c r="B654" s="5"/>
      <c r="C654" s="5"/>
    </row>
    <row r="655" ht="15.75" customHeight="1">
      <c r="A655" s="5"/>
      <c r="B655" s="5"/>
      <c r="C655" s="5"/>
    </row>
    <row r="656" ht="15.75" customHeight="1">
      <c r="A656" s="5"/>
      <c r="B656" s="5"/>
      <c r="C656" s="5"/>
    </row>
    <row r="657" ht="15.75" customHeight="1">
      <c r="A657" s="5"/>
      <c r="B657" s="5"/>
      <c r="C657" s="5"/>
    </row>
    <row r="658" ht="15.75" customHeight="1">
      <c r="A658" s="5"/>
      <c r="B658" s="5"/>
      <c r="C658" s="5"/>
    </row>
    <row r="659" ht="15.75" customHeight="1">
      <c r="A659" s="5"/>
      <c r="B659" s="5"/>
      <c r="C659" s="5"/>
    </row>
    <row r="660" ht="15.75" customHeight="1">
      <c r="A660" s="5"/>
      <c r="B660" s="5"/>
      <c r="C660" s="5"/>
    </row>
    <row r="661" ht="15.75" customHeight="1">
      <c r="A661" s="5"/>
      <c r="B661" s="5"/>
      <c r="C661" s="5"/>
    </row>
    <row r="662" ht="15.75" customHeight="1">
      <c r="A662" s="5"/>
      <c r="B662" s="5"/>
      <c r="C662" s="5"/>
    </row>
    <row r="663" ht="15.75" customHeight="1">
      <c r="A663" s="5"/>
      <c r="B663" s="5"/>
      <c r="C663" s="5"/>
    </row>
    <row r="664" ht="15.75" customHeight="1">
      <c r="A664" s="5"/>
      <c r="B664" s="5"/>
      <c r="C664" s="5"/>
    </row>
    <row r="665" ht="15.75" customHeight="1">
      <c r="A665" s="5"/>
      <c r="B665" s="5"/>
      <c r="C665" s="5"/>
    </row>
    <row r="666" ht="15.75" customHeight="1">
      <c r="A666" s="5"/>
      <c r="B666" s="5"/>
      <c r="C666" s="5"/>
    </row>
    <row r="667" ht="15.75" customHeight="1">
      <c r="A667" s="5"/>
      <c r="B667" s="5"/>
      <c r="C667" s="5"/>
    </row>
    <row r="668" ht="15.75" customHeight="1">
      <c r="A668" s="5"/>
      <c r="B668" s="5"/>
      <c r="C668" s="5"/>
    </row>
    <row r="669" ht="15.75" customHeight="1">
      <c r="A669" s="5"/>
      <c r="B669" s="5"/>
      <c r="C669" s="5"/>
    </row>
    <row r="670" ht="15.75" customHeight="1">
      <c r="A670" s="5"/>
      <c r="B670" s="5"/>
      <c r="C670" s="5"/>
    </row>
    <row r="671" ht="15.75" customHeight="1">
      <c r="A671" s="5"/>
      <c r="B671" s="5"/>
      <c r="C671" s="5"/>
    </row>
    <row r="672" ht="15.75" customHeight="1">
      <c r="A672" s="5"/>
      <c r="B672" s="5"/>
      <c r="C672" s="5"/>
    </row>
    <row r="673" ht="15.75" customHeight="1">
      <c r="A673" s="5"/>
      <c r="B673" s="5"/>
      <c r="C673" s="5"/>
    </row>
    <row r="674" ht="15.75" customHeight="1">
      <c r="A674" s="5"/>
      <c r="B674" s="5"/>
      <c r="C674" s="5"/>
    </row>
    <row r="675" ht="15.75" customHeight="1">
      <c r="A675" s="5"/>
      <c r="B675" s="5"/>
      <c r="C675" s="5"/>
    </row>
    <row r="676" ht="15.75" customHeight="1">
      <c r="A676" s="5"/>
      <c r="B676" s="5"/>
      <c r="C676" s="5"/>
    </row>
    <row r="677" ht="15.75" customHeight="1">
      <c r="A677" s="5"/>
      <c r="B677" s="5"/>
      <c r="C677" s="5"/>
    </row>
    <row r="678" ht="15.75" customHeight="1">
      <c r="A678" s="5"/>
      <c r="B678" s="5"/>
      <c r="C678" s="5"/>
    </row>
    <row r="679" ht="15.75" customHeight="1">
      <c r="A679" s="5"/>
      <c r="B679" s="5"/>
      <c r="C679" s="5"/>
    </row>
    <row r="680" ht="15.75" customHeight="1">
      <c r="A680" s="5"/>
      <c r="B680" s="5"/>
      <c r="C680" s="5"/>
    </row>
    <row r="681" ht="15.75" customHeight="1">
      <c r="A681" s="5"/>
      <c r="B681" s="5"/>
      <c r="C681" s="5"/>
    </row>
    <row r="682" ht="15.75" customHeight="1">
      <c r="A682" s="5"/>
      <c r="B682" s="5"/>
      <c r="C682" s="5"/>
    </row>
    <row r="683" ht="15.75" customHeight="1">
      <c r="A683" s="5"/>
      <c r="B683" s="5"/>
      <c r="C683" s="5"/>
    </row>
    <row r="684" ht="15.75" customHeight="1">
      <c r="A684" s="5"/>
      <c r="B684" s="5"/>
      <c r="C684" s="5"/>
    </row>
    <row r="685" ht="15.75" customHeight="1">
      <c r="A685" s="5"/>
      <c r="B685" s="5"/>
      <c r="C685" s="5"/>
    </row>
    <row r="686" ht="15.75" customHeight="1">
      <c r="A686" s="5"/>
      <c r="B686" s="5"/>
      <c r="C686" s="5"/>
    </row>
    <row r="687" ht="15.75" customHeight="1">
      <c r="A687" s="5"/>
      <c r="B687" s="5"/>
      <c r="C687" s="5"/>
    </row>
    <row r="688" ht="15.75" customHeight="1">
      <c r="A688" s="5"/>
      <c r="B688" s="5"/>
      <c r="C688" s="5"/>
    </row>
    <row r="689" ht="15.75" customHeight="1">
      <c r="A689" s="5"/>
      <c r="B689" s="5"/>
      <c r="C689" s="5"/>
    </row>
    <row r="690" ht="15.75" customHeight="1">
      <c r="A690" s="5"/>
      <c r="B690" s="5"/>
      <c r="C690" s="5"/>
    </row>
    <row r="691" ht="15.75" customHeight="1">
      <c r="A691" s="5"/>
      <c r="B691" s="5"/>
      <c r="C691" s="5"/>
    </row>
    <row r="692" ht="15.75" customHeight="1">
      <c r="A692" s="5"/>
      <c r="B692" s="5"/>
      <c r="C692" s="5"/>
    </row>
    <row r="693" ht="15.75" customHeight="1">
      <c r="A693" s="5"/>
      <c r="B693" s="5"/>
      <c r="C693" s="5"/>
    </row>
    <row r="694" ht="15.75" customHeight="1">
      <c r="A694" s="5"/>
      <c r="B694" s="5"/>
      <c r="C694" s="5"/>
    </row>
    <row r="695" ht="15.75" customHeight="1">
      <c r="A695" s="5"/>
      <c r="B695" s="5"/>
      <c r="C695" s="5"/>
    </row>
    <row r="696" ht="15.75" customHeight="1">
      <c r="A696" s="5"/>
      <c r="B696" s="5"/>
      <c r="C696" s="5"/>
    </row>
    <row r="697" ht="15.75" customHeight="1">
      <c r="A697" s="5"/>
      <c r="B697" s="5"/>
      <c r="C697" s="5"/>
    </row>
    <row r="698" ht="15.75" customHeight="1">
      <c r="A698" s="5"/>
      <c r="B698" s="5"/>
      <c r="C698" s="5"/>
    </row>
    <row r="699" ht="15.75" customHeight="1">
      <c r="A699" s="5"/>
      <c r="B699" s="5"/>
      <c r="C699" s="5"/>
    </row>
    <row r="700" ht="15.75" customHeight="1">
      <c r="A700" s="5"/>
      <c r="B700" s="5"/>
      <c r="C700" s="5"/>
    </row>
    <row r="701" ht="15.75" customHeight="1">
      <c r="A701" s="5"/>
      <c r="B701" s="5"/>
      <c r="C701" s="5"/>
    </row>
    <row r="702" ht="15.75" customHeight="1">
      <c r="A702" s="5"/>
      <c r="B702" s="5"/>
      <c r="C702" s="5"/>
    </row>
    <row r="703" ht="15.75" customHeight="1">
      <c r="A703" s="5"/>
      <c r="B703" s="5"/>
      <c r="C703" s="5"/>
    </row>
    <row r="704" ht="15.75" customHeight="1">
      <c r="A704" s="5"/>
      <c r="B704" s="5"/>
      <c r="C704" s="5"/>
    </row>
    <row r="705" ht="15.75" customHeight="1">
      <c r="A705" s="5"/>
      <c r="B705" s="5"/>
      <c r="C705" s="5"/>
    </row>
    <row r="706" ht="15.75" customHeight="1">
      <c r="A706" s="5"/>
      <c r="B706" s="5"/>
      <c r="C706" s="5"/>
    </row>
    <row r="707" ht="15.75" customHeight="1">
      <c r="A707" s="5"/>
      <c r="B707" s="5"/>
      <c r="C707" s="5"/>
    </row>
    <row r="708" ht="15.75" customHeight="1">
      <c r="A708" s="5"/>
      <c r="B708" s="5"/>
      <c r="C708" s="5"/>
    </row>
    <row r="709" ht="15.75" customHeight="1">
      <c r="A709" s="5"/>
      <c r="B709" s="5"/>
      <c r="C709" s="5"/>
    </row>
    <row r="710" ht="15.75" customHeight="1">
      <c r="A710" s="5"/>
      <c r="B710" s="5"/>
      <c r="C710" s="5"/>
    </row>
    <row r="711" ht="15.75" customHeight="1">
      <c r="A711" s="5"/>
      <c r="B711" s="5"/>
      <c r="C711" s="5"/>
    </row>
    <row r="712" ht="15.75" customHeight="1">
      <c r="A712" s="5"/>
      <c r="B712" s="5"/>
      <c r="C712" s="5"/>
    </row>
    <row r="713" ht="15.75" customHeight="1">
      <c r="A713" s="5"/>
      <c r="B713" s="5"/>
      <c r="C713" s="5"/>
    </row>
    <row r="714" ht="15.75" customHeight="1">
      <c r="A714" s="5"/>
      <c r="B714" s="5"/>
      <c r="C714" s="5"/>
    </row>
    <row r="715" ht="15.75" customHeight="1">
      <c r="A715" s="5"/>
      <c r="B715" s="5"/>
      <c r="C715" s="5"/>
    </row>
    <row r="716" ht="15.75" customHeight="1">
      <c r="A716" s="5"/>
      <c r="B716" s="5"/>
      <c r="C716" s="5"/>
    </row>
    <row r="717" ht="15.75" customHeight="1">
      <c r="A717" s="5"/>
      <c r="B717" s="5"/>
      <c r="C717" s="5"/>
    </row>
    <row r="718" ht="15.75" customHeight="1">
      <c r="A718" s="5"/>
      <c r="B718" s="5"/>
      <c r="C718" s="5"/>
    </row>
    <row r="719" ht="15.75" customHeight="1">
      <c r="A719" s="5"/>
      <c r="B719" s="5"/>
      <c r="C719" s="5"/>
    </row>
    <row r="720" ht="15.75" customHeight="1">
      <c r="A720" s="5"/>
      <c r="B720" s="5"/>
      <c r="C720" s="5"/>
    </row>
    <row r="721" ht="15.75" customHeight="1">
      <c r="A721" s="5"/>
      <c r="B721" s="5"/>
      <c r="C721" s="5"/>
    </row>
    <row r="722" ht="15.75" customHeight="1">
      <c r="A722" s="5"/>
      <c r="B722" s="5"/>
      <c r="C722" s="5"/>
    </row>
    <row r="723" ht="15.75" customHeight="1">
      <c r="A723" s="5"/>
      <c r="B723" s="5"/>
      <c r="C723" s="5"/>
    </row>
    <row r="724" ht="15.75" customHeight="1">
      <c r="A724" s="5"/>
      <c r="B724" s="5"/>
      <c r="C724" s="5"/>
    </row>
    <row r="725" ht="15.75" customHeight="1">
      <c r="A725" s="5"/>
      <c r="B725" s="5"/>
      <c r="C725" s="5"/>
    </row>
    <row r="726" ht="15.75" customHeight="1">
      <c r="A726" s="5"/>
      <c r="B726" s="5"/>
      <c r="C726" s="5"/>
    </row>
    <row r="727" ht="15.75" customHeight="1">
      <c r="A727" s="5"/>
      <c r="B727" s="5"/>
      <c r="C727" s="5"/>
    </row>
    <row r="728" ht="15.75" customHeight="1">
      <c r="A728" s="5"/>
      <c r="B728" s="5"/>
      <c r="C728" s="5"/>
    </row>
    <row r="729" ht="15.75" customHeight="1">
      <c r="A729" s="5"/>
      <c r="B729" s="5"/>
      <c r="C729" s="5"/>
    </row>
    <row r="730" ht="15.75" customHeight="1">
      <c r="A730" s="5"/>
      <c r="B730" s="5"/>
      <c r="C730" s="5"/>
    </row>
    <row r="731" ht="15.75" customHeight="1">
      <c r="A731" s="5"/>
      <c r="B731" s="5"/>
      <c r="C731" s="5"/>
    </row>
    <row r="732" ht="15.75" customHeight="1">
      <c r="A732" s="5"/>
      <c r="B732" s="5"/>
      <c r="C732" s="5"/>
    </row>
    <row r="733" ht="15.75" customHeight="1">
      <c r="A733" s="5"/>
      <c r="B733" s="5"/>
      <c r="C733" s="5"/>
    </row>
    <row r="734" ht="15.75" customHeight="1">
      <c r="A734" s="5"/>
      <c r="B734" s="5"/>
      <c r="C734" s="5"/>
    </row>
    <row r="735" ht="15.75" customHeight="1">
      <c r="A735" s="5"/>
      <c r="B735" s="5"/>
      <c r="C735" s="5"/>
    </row>
    <row r="736" ht="15.75" customHeight="1">
      <c r="A736" s="5"/>
      <c r="B736" s="5"/>
      <c r="C736" s="5"/>
    </row>
    <row r="737" ht="15.75" customHeight="1">
      <c r="A737" s="5"/>
      <c r="B737" s="5"/>
      <c r="C737" s="5"/>
    </row>
    <row r="738" ht="15.75" customHeight="1">
      <c r="A738" s="5"/>
      <c r="B738" s="5"/>
      <c r="C738" s="5"/>
    </row>
    <row r="739" ht="15.75" customHeight="1">
      <c r="A739" s="5"/>
      <c r="B739" s="5"/>
      <c r="C739" s="5"/>
    </row>
    <row r="740" ht="15.75" customHeight="1">
      <c r="A740" s="5"/>
      <c r="B740" s="5"/>
      <c r="C740" s="5"/>
    </row>
    <row r="741" ht="15.75" customHeight="1">
      <c r="A741" s="5"/>
      <c r="B741" s="5"/>
      <c r="C741" s="5"/>
    </row>
    <row r="742" ht="15.75" customHeight="1">
      <c r="A742" s="5"/>
      <c r="B742" s="5"/>
      <c r="C742" s="5"/>
    </row>
    <row r="743" ht="15.75" customHeight="1">
      <c r="A743" s="5"/>
      <c r="B743" s="5"/>
      <c r="C743" s="5"/>
    </row>
    <row r="744" ht="15.75" customHeight="1">
      <c r="A744" s="5"/>
      <c r="B744" s="5"/>
      <c r="C744" s="5"/>
    </row>
    <row r="745" ht="15.75" customHeight="1">
      <c r="A745" s="5"/>
      <c r="B745" s="5"/>
      <c r="C745" s="5"/>
    </row>
    <row r="746" ht="15.75" customHeight="1">
      <c r="A746" s="5"/>
      <c r="B746" s="5"/>
      <c r="C746" s="5"/>
    </row>
    <row r="747" ht="15.75" customHeight="1">
      <c r="A747" s="5"/>
      <c r="B747" s="5"/>
      <c r="C747" s="5"/>
    </row>
    <row r="748" ht="15.75" customHeight="1">
      <c r="A748" s="5"/>
      <c r="B748" s="5"/>
      <c r="C748" s="5"/>
    </row>
    <row r="749" ht="15.75" customHeight="1">
      <c r="A749" s="5"/>
      <c r="B749" s="5"/>
      <c r="C749" s="5"/>
    </row>
    <row r="750" ht="15.75" customHeight="1">
      <c r="A750" s="5"/>
      <c r="B750" s="5"/>
      <c r="C750" s="5"/>
    </row>
    <row r="751" ht="15.75" customHeight="1">
      <c r="A751" s="5"/>
      <c r="B751" s="5"/>
      <c r="C751" s="5"/>
    </row>
    <row r="752" ht="15.75" customHeight="1">
      <c r="A752" s="5"/>
      <c r="B752" s="5"/>
      <c r="C752" s="5"/>
    </row>
    <row r="753" ht="15.75" customHeight="1">
      <c r="A753" s="5"/>
      <c r="B753" s="5"/>
      <c r="C753" s="5"/>
    </row>
    <row r="754" ht="15.75" customHeight="1">
      <c r="A754" s="5"/>
      <c r="B754" s="5"/>
      <c r="C754" s="5"/>
    </row>
    <row r="755" ht="15.75" customHeight="1">
      <c r="A755" s="5"/>
      <c r="B755" s="5"/>
      <c r="C755" s="5"/>
    </row>
    <row r="756" ht="15.75" customHeight="1">
      <c r="A756" s="5"/>
      <c r="B756" s="5"/>
      <c r="C756" s="5"/>
    </row>
    <row r="757" ht="15.75" customHeight="1">
      <c r="A757" s="5"/>
      <c r="B757" s="5"/>
      <c r="C757" s="5"/>
    </row>
    <row r="758" ht="15.75" customHeight="1">
      <c r="A758" s="5"/>
      <c r="B758" s="5"/>
      <c r="C758" s="5"/>
    </row>
    <row r="759" ht="15.75" customHeight="1">
      <c r="A759" s="5"/>
      <c r="B759" s="5"/>
      <c r="C759" s="5"/>
    </row>
    <row r="760" ht="15.75" customHeight="1">
      <c r="A760" s="5"/>
      <c r="B760" s="5"/>
      <c r="C760" s="5"/>
    </row>
    <row r="761" ht="15.75" customHeight="1">
      <c r="A761" s="5"/>
      <c r="B761" s="5"/>
      <c r="C761" s="5"/>
    </row>
    <row r="762" ht="15.75" customHeight="1">
      <c r="A762" s="5"/>
      <c r="B762" s="5"/>
      <c r="C762" s="5"/>
    </row>
    <row r="763" ht="15.75" customHeight="1">
      <c r="A763" s="5"/>
      <c r="B763" s="5"/>
      <c r="C763" s="5"/>
    </row>
    <row r="764" ht="15.75" customHeight="1">
      <c r="A764" s="5"/>
      <c r="B764" s="5"/>
      <c r="C764" s="5"/>
    </row>
    <row r="765" ht="15.75" customHeight="1">
      <c r="A765" s="5"/>
      <c r="B765" s="5"/>
      <c r="C765" s="5"/>
    </row>
    <row r="766" ht="15.75" customHeight="1">
      <c r="A766" s="5"/>
      <c r="B766" s="5"/>
      <c r="C766" s="5"/>
    </row>
    <row r="767" ht="15.75" customHeight="1">
      <c r="A767" s="5"/>
      <c r="B767" s="5"/>
      <c r="C767" s="5"/>
    </row>
    <row r="768" ht="15.75" customHeight="1">
      <c r="A768" s="5"/>
      <c r="B768" s="5"/>
      <c r="C768" s="5"/>
    </row>
    <row r="769" ht="15.75" customHeight="1">
      <c r="A769" s="5"/>
      <c r="B769" s="5"/>
      <c r="C769" s="5"/>
    </row>
    <row r="770" ht="15.75" customHeight="1">
      <c r="A770" s="5"/>
      <c r="B770" s="5"/>
      <c r="C770" s="5"/>
    </row>
    <row r="771" ht="15.75" customHeight="1">
      <c r="A771" s="5"/>
      <c r="B771" s="5"/>
      <c r="C771" s="5"/>
    </row>
    <row r="772" ht="15.75" customHeight="1">
      <c r="A772" s="5"/>
      <c r="B772" s="5"/>
      <c r="C772" s="5"/>
    </row>
    <row r="773" ht="15.75" customHeight="1">
      <c r="A773" s="5"/>
      <c r="B773" s="5"/>
      <c r="C773" s="5"/>
    </row>
    <row r="774" ht="15.75" customHeight="1">
      <c r="A774" s="5"/>
      <c r="B774" s="5"/>
      <c r="C774" s="5"/>
    </row>
    <row r="775" ht="15.75" customHeight="1">
      <c r="A775" s="5"/>
      <c r="B775" s="5"/>
      <c r="C775" s="5"/>
    </row>
    <row r="776" ht="15.75" customHeight="1">
      <c r="A776" s="5"/>
      <c r="B776" s="5"/>
      <c r="C776" s="5"/>
    </row>
    <row r="777" ht="15.75" customHeight="1">
      <c r="A777" s="5"/>
      <c r="B777" s="5"/>
      <c r="C777" s="5"/>
    </row>
    <row r="778" ht="15.75" customHeight="1">
      <c r="A778" s="5"/>
      <c r="B778" s="5"/>
      <c r="C778" s="5"/>
    </row>
    <row r="779" ht="15.75" customHeight="1">
      <c r="A779" s="5"/>
      <c r="B779" s="5"/>
      <c r="C779" s="5"/>
    </row>
    <row r="780" ht="15.75" customHeight="1">
      <c r="A780" s="5"/>
      <c r="B780" s="5"/>
      <c r="C780" s="5"/>
    </row>
    <row r="781" ht="15.75" customHeight="1">
      <c r="A781" s="5"/>
      <c r="B781" s="5"/>
      <c r="C781" s="5"/>
    </row>
    <row r="782" ht="15.75" customHeight="1">
      <c r="A782" s="5"/>
      <c r="B782" s="5"/>
      <c r="C782" s="5"/>
    </row>
    <row r="783" ht="15.75" customHeight="1">
      <c r="A783" s="5"/>
      <c r="B783" s="5"/>
      <c r="C783" s="5"/>
    </row>
    <row r="784" ht="15.75" customHeight="1">
      <c r="A784" s="5"/>
      <c r="B784" s="5"/>
      <c r="C784" s="5"/>
    </row>
    <row r="785" ht="15.75" customHeight="1">
      <c r="A785" s="5"/>
      <c r="B785" s="5"/>
      <c r="C785" s="5"/>
    </row>
    <row r="786" ht="15.75" customHeight="1">
      <c r="A786" s="5"/>
      <c r="B786" s="5"/>
      <c r="C786" s="5"/>
    </row>
    <row r="787" ht="15.75" customHeight="1">
      <c r="A787" s="5"/>
      <c r="B787" s="5"/>
      <c r="C787" s="5"/>
    </row>
    <row r="788" ht="15.75" customHeight="1">
      <c r="A788" s="5"/>
      <c r="B788" s="5"/>
      <c r="C788" s="5"/>
    </row>
    <row r="789" ht="15.75" customHeight="1">
      <c r="A789" s="5"/>
      <c r="B789" s="5"/>
      <c r="C789" s="5"/>
    </row>
    <row r="790" ht="15.75" customHeight="1">
      <c r="A790" s="5"/>
      <c r="B790" s="5"/>
      <c r="C790" s="5"/>
    </row>
    <row r="791" ht="15.75" customHeight="1">
      <c r="A791" s="5"/>
      <c r="B791" s="5"/>
      <c r="C791" s="5"/>
    </row>
    <row r="792" ht="15.75" customHeight="1">
      <c r="A792" s="5"/>
      <c r="B792" s="5"/>
      <c r="C792" s="5"/>
    </row>
    <row r="793" ht="15.75" customHeight="1">
      <c r="A793" s="5"/>
      <c r="B793" s="5"/>
      <c r="C793" s="5"/>
    </row>
    <row r="794" ht="15.75" customHeight="1">
      <c r="A794" s="5"/>
      <c r="B794" s="5"/>
      <c r="C794" s="5"/>
    </row>
    <row r="795" ht="15.75" customHeight="1">
      <c r="A795" s="5"/>
      <c r="B795" s="5"/>
      <c r="C795" s="5"/>
    </row>
    <row r="796" ht="15.75" customHeight="1">
      <c r="A796" s="5"/>
      <c r="B796" s="5"/>
      <c r="C796" s="5"/>
    </row>
    <row r="797" ht="15.75" customHeight="1">
      <c r="A797" s="5"/>
      <c r="B797" s="5"/>
      <c r="C797" s="5"/>
    </row>
    <row r="798" ht="15.75" customHeight="1">
      <c r="A798" s="5"/>
      <c r="B798" s="5"/>
      <c r="C798" s="5"/>
    </row>
    <row r="799" ht="15.75" customHeight="1">
      <c r="A799" s="5"/>
      <c r="B799" s="5"/>
      <c r="C799" s="5"/>
    </row>
    <row r="800" ht="15.75" customHeight="1">
      <c r="A800" s="5"/>
      <c r="B800" s="5"/>
      <c r="C800" s="5"/>
    </row>
    <row r="801" ht="15.75" customHeight="1">
      <c r="A801" s="5"/>
      <c r="B801" s="5"/>
      <c r="C801" s="5"/>
    </row>
    <row r="802" ht="15.75" customHeight="1">
      <c r="A802" s="5"/>
      <c r="B802" s="5"/>
      <c r="C802" s="5"/>
    </row>
    <row r="803" ht="15.75" customHeight="1">
      <c r="A803" s="5"/>
      <c r="B803" s="5"/>
      <c r="C803" s="5"/>
    </row>
    <row r="804" ht="15.75" customHeight="1">
      <c r="A804" s="5"/>
      <c r="B804" s="5"/>
      <c r="C804" s="5"/>
    </row>
    <row r="805" ht="15.75" customHeight="1">
      <c r="A805" s="5"/>
      <c r="B805" s="5"/>
      <c r="C805" s="5"/>
    </row>
    <row r="806" ht="15.75" customHeight="1">
      <c r="A806" s="5"/>
      <c r="B806" s="5"/>
      <c r="C806" s="5"/>
    </row>
    <row r="807" ht="15.75" customHeight="1">
      <c r="A807" s="5"/>
      <c r="B807" s="5"/>
      <c r="C807" s="5"/>
    </row>
    <row r="808" ht="15.75" customHeight="1">
      <c r="A808" s="5"/>
      <c r="B808" s="5"/>
      <c r="C808" s="5"/>
    </row>
    <row r="809" ht="15.75" customHeight="1">
      <c r="A809" s="5"/>
      <c r="B809" s="5"/>
      <c r="C809" s="5"/>
    </row>
    <row r="810" ht="15.75" customHeight="1">
      <c r="A810" s="5"/>
      <c r="B810" s="5"/>
      <c r="C810" s="5"/>
    </row>
    <row r="811" ht="15.75" customHeight="1">
      <c r="A811" s="5"/>
      <c r="B811" s="5"/>
      <c r="C811" s="5"/>
    </row>
    <row r="812" ht="15.75" customHeight="1">
      <c r="A812" s="5"/>
      <c r="B812" s="5"/>
      <c r="C812" s="5"/>
    </row>
    <row r="813" ht="15.75" customHeight="1">
      <c r="A813" s="5"/>
      <c r="B813" s="5"/>
      <c r="C813" s="5"/>
    </row>
    <row r="814" ht="15.75" customHeight="1">
      <c r="A814" s="5"/>
      <c r="B814" s="5"/>
      <c r="C814" s="5"/>
    </row>
    <row r="815" ht="15.75" customHeight="1">
      <c r="A815" s="5"/>
      <c r="B815" s="5"/>
      <c r="C815" s="5"/>
    </row>
    <row r="816" ht="15.75" customHeight="1">
      <c r="A816" s="5"/>
      <c r="B816" s="5"/>
      <c r="C816" s="5"/>
    </row>
    <row r="817" ht="15.75" customHeight="1">
      <c r="A817" s="5"/>
      <c r="B817" s="5"/>
      <c r="C817" s="5"/>
    </row>
    <row r="818" ht="15.75" customHeight="1">
      <c r="A818" s="5"/>
      <c r="B818" s="5"/>
      <c r="C818" s="5"/>
    </row>
    <row r="819" ht="15.75" customHeight="1">
      <c r="A819" s="5"/>
      <c r="B819" s="5"/>
      <c r="C819" s="5"/>
    </row>
    <row r="820" ht="15.75" customHeight="1">
      <c r="A820" s="5"/>
      <c r="B820" s="5"/>
      <c r="C820" s="5"/>
    </row>
    <row r="821" ht="15.75" customHeight="1">
      <c r="A821" s="5"/>
      <c r="B821" s="5"/>
      <c r="C821" s="5"/>
    </row>
    <row r="822" ht="15.75" customHeight="1">
      <c r="A822" s="5"/>
      <c r="B822" s="5"/>
      <c r="C822" s="5"/>
    </row>
    <row r="823" ht="15.75" customHeight="1">
      <c r="A823" s="5"/>
      <c r="B823" s="5"/>
      <c r="C823" s="5"/>
    </row>
    <row r="824" ht="15.75" customHeight="1">
      <c r="A824" s="5"/>
      <c r="B824" s="5"/>
      <c r="C824" s="5"/>
    </row>
    <row r="825" ht="15.75" customHeight="1">
      <c r="A825" s="5"/>
      <c r="B825" s="5"/>
      <c r="C825" s="5"/>
    </row>
    <row r="826" ht="15.75" customHeight="1">
      <c r="A826" s="5"/>
      <c r="B826" s="5"/>
      <c r="C826" s="5"/>
    </row>
    <row r="827" ht="15.75" customHeight="1">
      <c r="A827" s="5"/>
      <c r="B827" s="5"/>
      <c r="C827" s="5"/>
    </row>
    <row r="828" ht="15.75" customHeight="1">
      <c r="A828" s="5"/>
      <c r="B828" s="5"/>
      <c r="C828" s="5"/>
    </row>
    <row r="829" ht="15.75" customHeight="1">
      <c r="A829" s="5"/>
      <c r="B829" s="5"/>
      <c r="C829" s="5"/>
    </row>
    <row r="830" ht="15.75" customHeight="1">
      <c r="A830" s="5"/>
      <c r="B830" s="5"/>
      <c r="C830" s="5"/>
    </row>
    <row r="831" ht="15.75" customHeight="1">
      <c r="A831" s="5"/>
      <c r="B831" s="5"/>
      <c r="C831" s="5"/>
    </row>
    <row r="832" ht="15.75" customHeight="1">
      <c r="A832" s="5"/>
      <c r="B832" s="5"/>
      <c r="C832" s="5"/>
    </row>
    <row r="833" ht="15.75" customHeight="1">
      <c r="A833" s="5"/>
      <c r="B833" s="5"/>
      <c r="C833" s="5"/>
    </row>
    <row r="834" ht="15.75" customHeight="1">
      <c r="A834" s="5"/>
      <c r="B834" s="5"/>
      <c r="C834" s="5"/>
    </row>
    <row r="835" ht="15.75" customHeight="1">
      <c r="A835" s="5"/>
      <c r="B835" s="5"/>
      <c r="C835" s="5"/>
    </row>
    <row r="836" ht="15.75" customHeight="1">
      <c r="A836" s="5"/>
      <c r="B836" s="5"/>
      <c r="C836" s="5"/>
    </row>
    <row r="837" ht="15.75" customHeight="1">
      <c r="A837" s="5"/>
      <c r="B837" s="5"/>
      <c r="C837" s="5"/>
    </row>
    <row r="838" ht="15.75" customHeight="1">
      <c r="A838" s="5"/>
      <c r="B838" s="5"/>
      <c r="C838" s="5"/>
    </row>
    <row r="839" ht="15.75" customHeight="1">
      <c r="A839" s="5"/>
      <c r="B839" s="5"/>
      <c r="C839" s="5"/>
    </row>
    <row r="840" ht="15.75" customHeight="1">
      <c r="A840" s="5"/>
      <c r="B840" s="5"/>
      <c r="C840" s="5"/>
    </row>
    <row r="841" ht="15.75" customHeight="1">
      <c r="A841" s="5"/>
      <c r="B841" s="5"/>
      <c r="C841" s="5"/>
    </row>
    <row r="842" ht="15.75" customHeight="1">
      <c r="A842" s="5"/>
      <c r="B842" s="5"/>
      <c r="C842" s="5"/>
    </row>
    <row r="843" ht="15.75" customHeight="1">
      <c r="A843" s="5"/>
      <c r="B843" s="5"/>
      <c r="C843" s="5"/>
    </row>
    <row r="844" ht="15.75" customHeight="1">
      <c r="A844" s="5"/>
      <c r="B844" s="5"/>
      <c r="C844" s="5"/>
    </row>
    <row r="845" ht="15.75" customHeight="1">
      <c r="A845" s="5"/>
      <c r="B845" s="5"/>
      <c r="C845" s="5"/>
    </row>
    <row r="846" ht="15.75" customHeight="1">
      <c r="A846" s="5"/>
      <c r="B846" s="5"/>
      <c r="C846" s="5"/>
    </row>
    <row r="847" ht="15.75" customHeight="1">
      <c r="A847" s="5"/>
      <c r="B847" s="5"/>
      <c r="C847" s="5"/>
    </row>
    <row r="848" ht="15.75" customHeight="1">
      <c r="A848" s="5"/>
      <c r="B848" s="5"/>
      <c r="C848" s="5"/>
    </row>
    <row r="849" ht="15.75" customHeight="1">
      <c r="A849" s="5"/>
      <c r="B849" s="5"/>
      <c r="C849" s="5"/>
    </row>
    <row r="850" ht="15.75" customHeight="1">
      <c r="A850" s="5"/>
      <c r="B850" s="5"/>
      <c r="C850" s="5"/>
    </row>
    <row r="851" ht="15.75" customHeight="1">
      <c r="A851" s="5"/>
      <c r="B851" s="5"/>
      <c r="C851" s="5"/>
    </row>
    <row r="852" ht="15.75" customHeight="1">
      <c r="A852" s="5"/>
      <c r="B852" s="5"/>
      <c r="C852" s="5"/>
    </row>
    <row r="853" ht="15.75" customHeight="1">
      <c r="A853" s="5"/>
      <c r="B853" s="5"/>
      <c r="C853" s="5"/>
    </row>
    <row r="854" ht="15.75" customHeight="1">
      <c r="A854" s="5"/>
      <c r="B854" s="5"/>
      <c r="C854" s="5"/>
    </row>
    <row r="855" ht="15.75" customHeight="1">
      <c r="A855" s="5"/>
      <c r="B855" s="5"/>
      <c r="C855" s="5"/>
    </row>
    <row r="856" ht="15.75" customHeight="1">
      <c r="A856" s="5"/>
      <c r="B856" s="5"/>
      <c r="C856" s="5"/>
    </row>
    <row r="857" ht="15.75" customHeight="1">
      <c r="A857" s="5"/>
      <c r="B857" s="5"/>
      <c r="C857" s="5"/>
    </row>
    <row r="858" ht="15.75" customHeight="1">
      <c r="A858" s="5"/>
      <c r="B858" s="5"/>
      <c r="C858" s="5"/>
    </row>
    <row r="859" ht="15.75" customHeight="1">
      <c r="A859" s="5"/>
      <c r="B859" s="5"/>
      <c r="C859" s="5"/>
    </row>
    <row r="860" ht="15.75" customHeight="1">
      <c r="A860" s="5"/>
      <c r="B860" s="5"/>
      <c r="C860" s="5"/>
    </row>
    <row r="861" ht="15.75" customHeight="1">
      <c r="A861" s="5"/>
      <c r="B861" s="5"/>
      <c r="C861" s="5"/>
    </row>
    <row r="862" ht="15.75" customHeight="1">
      <c r="A862" s="5"/>
      <c r="B862" s="5"/>
      <c r="C862" s="5"/>
    </row>
    <row r="863" ht="15.75" customHeight="1">
      <c r="A863" s="5"/>
      <c r="B863" s="5"/>
      <c r="C863" s="5"/>
    </row>
    <row r="864" ht="15.75" customHeight="1">
      <c r="A864" s="5"/>
      <c r="B864" s="5"/>
      <c r="C864" s="5"/>
    </row>
    <row r="865" ht="15.75" customHeight="1">
      <c r="A865" s="5"/>
      <c r="B865" s="5"/>
      <c r="C865" s="5"/>
    </row>
    <row r="866" ht="15.75" customHeight="1">
      <c r="A866" s="5"/>
      <c r="B866" s="5"/>
      <c r="C866" s="5"/>
    </row>
    <row r="867" ht="15.75" customHeight="1">
      <c r="A867" s="5"/>
      <c r="B867" s="5"/>
      <c r="C867" s="5"/>
    </row>
    <row r="868" ht="15.75" customHeight="1">
      <c r="A868" s="5"/>
      <c r="B868" s="5"/>
      <c r="C868" s="5"/>
    </row>
    <row r="869" ht="15.75" customHeight="1">
      <c r="A869" s="5"/>
      <c r="B869" s="5"/>
      <c r="C869" s="5"/>
    </row>
    <row r="870" ht="15.75" customHeight="1">
      <c r="A870" s="5"/>
      <c r="B870" s="5"/>
      <c r="C870" s="5"/>
    </row>
    <row r="871" ht="15.75" customHeight="1">
      <c r="A871" s="5"/>
      <c r="B871" s="5"/>
      <c r="C871" s="5"/>
    </row>
    <row r="872" ht="15.75" customHeight="1">
      <c r="A872" s="5"/>
      <c r="B872" s="5"/>
      <c r="C872" s="5"/>
    </row>
    <row r="873" ht="15.75" customHeight="1">
      <c r="A873" s="5"/>
      <c r="B873" s="5"/>
      <c r="C873" s="5"/>
    </row>
    <row r="874" ht="15.75" customHeight="1">
      <c r="A874" s="5"/>
      <c r="B874" s="5"/>
      <c r="C874" s="5"/>
    </row>
    <row r="875" ht="15.75" customHeight="1">
      <c r="A875" s="5"/>
      <c r="B875" s="5"/>
      <c r="C875" s="5"/>
    </row>
    <row r="876" ht="15.75" customHeight="1">
      <c r="A876" s="5"/>
      <c r="B876" s="5"/>
      <c r="C876" s="5"/>
    </row>
    <row r="877" ht="15.75" customHeight="1">
      <c r="A877" s="5"/>
      <c r="B877" s="5"/>
      <c r="C877" s="5"/>
    </row>
    <row r="878" ht="15.75" customHeight="1">
      <c r="A878" s="5"/>
      <c r="B878" s="5"/>
      <c r="C878" s="5"/>
    </row>
    <row r="879" ht="15.75" customHeight="1">
      <c r="A879" s="5"/>
      <c r="B879" s="5"/>
      <c r="C879" s="5"/>
    </row>
    <row r="880" ht="15.75" customHeight="1">
      <c r="A880" s="5"/>
      <c r="B880" s="5"/>
      <c r="C880" s="5"/>
    </row>
    <row r="881" ht="15.75" customHeight="1">
      <c r="A881" s="5"/>
      <c r="B881" s="5"/>
      <c r="C881" s="5"/>
    </row>
    <row r="882" ht="15.75" customHeight="1">
      <c r="A882" s="5"/>
      <c r="B882" s="5"/>
      <c r="C882" s="5"/>
    </row>
    <row r="883" ht="15.75" customHeight="1">
      <c r="A883" s="5"/>
      <c r="B883" s="5"/>
      <c r="C883" s="5"/>
    </row>
    <row r="884" ht="15.75" customHeight="1">
      <c r="A884" s="5"/>
      <c r="B884" s="5"/>
      <c r="C884" s="5"/>
    </row>
    <row r="885" ht="15.75" customHeight="1">
      <c r="A885" s="5"/>
      <c r="B885" s="5"/>
      <c r="C885" s="5"/>
    </row>
    <row r="886" ht="15.75" customHeight="1">
      <c r="A886" s="5"/>
      <c r="B886" s="5"/>
      <c r="C886" s="5"/>
    </row>
    <row r="887" ht="15.75" customHeight="1">
      <c r="A887" s="5"/>
      <c r="B887" s="5"/>
      <c r="C887" s="5"/>
    </row>
    <row r="888" ht="15.75" customHeight="1">
      <c r="A888" s="5"/>
      <c r="B888" s="5"/>
      <c r="C888" s="5"/>
    </row>
    <row r="889" ht="15.75" customHeight="1">
      <c r="A889" s="5"/>
      <c r="B889" s="5"/>
      <c r="C889" s="5"/>
    </row>
    <row r="890" ht="15.75" customHeight="1">
      <c r="A890" s="5"/>
      <c r="B890" s="5"/>
      <c r="C890" s="5"/>
    </row>
    <row r="891" ht="15.75" customHeight="1">
      <c r="A891" s="5"/>
      <c r="B891" s="5"/>
      <c r="C891" s="5"/>
    </row>
    <row r="892" ht="15.75" customHeight="1">
      <c r="A892" s="5"/>
      <c r="B892" s="5"/>
      <c r="C892" s="5"/>
    </row>
    <row r="893" ht="15.75" customHeight="1">
      <c r="A893" s="5"/>
      <c r="B893" s="5"/>
      <c r="C893" s="5"/>
    </row>
    <row r="894" ht="15.75" customHeight="1">
      <c r="A894" s="5"/>
      <c r="B894" s="5"/>
      <c r="C894" s="5"/>
    </row>
    <row r="895" ht="15.75" customHeight="1">
      <c r="A895" s="5"/>
      <c r="B895" s="5"/>
      <c r="C895" s="5"/>
    </row>
    <row r="896" ht="15.75" customHeight="1">
      <c r="A896" s="5"/>
      <c r="B896" s="5"/>
      <c r="C896" s="5"/>
    </row>
    <row r="897" ht="15.75" customHeight="1">
      <c r="A897" s="5"/>
      <c r="B897" s="5"/>
      <c r="C897" s="5"/>
    </row>
    <row r="898" ht="15.75" customHeight="1">
      <c r="A898" s="5"/>
      <c r="B898" s="5"/>
      <c r="C898" s="5"/>
    </row>
    <row r="899" ht="15.75" customHeight="1">
      <c r="A899" s="5"/>
      <c r="B899" s="5"/>
      <c r="C899" s="5"/>
    </row>
    <row r="900" ht="15.75" customHeight="1">
      <c r="A900" s="5"/>
      <c r="B900" s="5"/>
      <c r="C900" s="5"/>
    </row>
    <row r="901" ht="15.75" customHeight="1">
      <c r="A901" s="5"/>
      <c r="B901" s="5"/>
      <c r="C901" s="5"/>
    </row>
    <row r="902" ht="15.75" customHeight="1">
      <c r="A902" s="5"/>
      <c r="B902" s="5"/>
      <c r="C902" s="5"/>
    </row>
    <row r="903" ht="15.75" customHeight="1">
      <c r="A903" s="5"/>
      <c r="B903" s="5"/>
      <c r="C903" s="5"/>
    </row>
    <row r="904" ht="15.75" customHeight="1">
      <c r="A904" s="5"/>
      <c r="B904" s="5"/>
      <c r="C904" s="5"/>
    </row>
    <row r="905" ht="15.75" customHeight="1">
      <c r="A905" s="5"/>
      <c r="B905" s="5"/>
      <c r="C905" s="5"/>
    </row>
    <row r="906" ht="15.75" customHeight="1">
      <c r="A906" s="5"/>
      <c r="B906" s="5"/>
      <c r="C906" s="5"/>
    </row>
    <row r="907" ht="15.75" customHeight="1">
      <c r="A907" s="5"/>
      <c r="B907" s="5"/>
      <c r="C907" s="5"/>
    </row>
    <row r="908" ht="15.75" customHeight="1">
      <c r="A908" s="5"/>
      <c r="B908" s="5"/>
      <c r="C908" s="5"/>
    </row>
    <row r="909" ht="15.75" customHeight="1">
      <c r="A909" s="5"/>
      <c r="B909" s="5"/>
      <c r="C909" s="5"/>
    </row>
    <row r="910" ht="15.75" customHeight="1">
      <c r="A910" s="5"/>
      <c r="B910" s="5"/>
      <c r="C910" s="5"/>
    </row>
    <row r="911" ht="15.75" customHeight="1">
      <c r="A911" s="5"/>
      <c r="B911" s="5"/>
      <c r="C911" s="5"/>
    </row>
    <row r="912" ht="15.75" customHeight="1">
      <c r="A912" s="5"/>
      <c r="B912" s="5"/>
      <c r="C912" s="5"/>
    </row>
    <row r="913" ht="15.75" customHeight="1">
      <c r="A913" s="5"/>
      <c r="B913" s="5"/>
      <c r="C913" s="5"/>
    </row>
    <row r="914" ht="15.75" customHeight="1">
      <c r="A914" s="5"/>
      <c r="B914" s="5"/>
      <c r="C914" s="5"/>
    </row>
    <row r="915" ht="15.75" customHeight="1">
      <c r="A915" s="5"/>
      <c r="B915" s="5"/>
      <c r="C915" s="5"/>
    </row>
    <row r="916" ht="15.75" customHeight="1">
      <c r="A916" s="5"/>
      <c r="B916" s="5"/>
      <c r="C916" s="5"/>
    </row>
    <row r="917" ht="15.75" customHeight="1">
      <c r="A917" s="5"/>
      <c r="B917" s="5"/>
      <c r="C917" s="5"/>
    </row>
    <row r="918" ht="15.75" customHeight="1">
      <c r="A918" s="5"/>
      <c r="B918" s="5"/>
      <c r="C918" s="5"/>
    </row>
    <row r="919" ht="15.75" customHeight="1">
      <c r="A919" s="5"/>
      <c r="B919" s="5"/>
      <c r="C919" s="5"/>
    </row>
    <row r="920" ht="15.75" customHeight="1">
      <c r="A920" s="5"/>
      <c r="B920" s="5"/>
      <c r="C920" s="5"/>
    </row>
    <row r="921" ht="15.75" customHeight="1">
      <c r="A921" s="5"/>
      <c r="B921" s="5"/>
      <c r="C921" s="5"/>
    </row>
    <row r="922" ht="15.75" customHeight="1">
      <c r="A922" s="5"/>
      <c r="B922" s="5"/>
      <c r="C922" s="5"/>
    </row>
    <row r="923" ht="15.75" customHeight="1">
      <c r="A923" s="5"/>
      <c r="B923" s="5"/>
      <c r="C923" s="5"/>
    </row>
    <row r="924" ht="15.75" customHeight="1">
      <c r="A924" s="5"/>
      <c r="B924" s="5"/>
      <c r="C924" s="5"/>
    </row>
    <row r="925" ht="15.75" customHeight="1">
      <c r="A925" s="5"/>
      <c r="B925" s="5"/>
      <c r="C925" s="5"/>
    </row>
    <row r="926" ht="15.75" customHeight="1">
      <c r="A926" s="5"/>
      <c r="B926" s="5"/>
      <c r="C926" s="5"/>
    </row>
    <row r="927" ht="15.75" customHeight="1">
      <c r="A927" s="5"/>
      <c r="B927" s="5"/>
      <c r="C927" s="5"/>
    </row>
    <row r="928" ht="15.75" customHeight="1">
      <c r="A928" s="5"/>
      <c r="B928" s="5"/>
      <c r="C928" s="5"/>
    </row>
    <row r="929" ht="15.75" customHeight="1">
      <c r="A929" s="5"/>
      <c r="B929" s="5"/>
      <c r="C929" s="5"/>
    </row>
    <row r="930" ht="15.75" customHeight="1">
      <c r="A930" s="5"/>
      <c r="B930" s="5"/>
      <c r="C930" s="5"/>
    </row>
    <row r="931" ht="15.75" customHeight="1">
      <c r="A931" s="5"/>
      <c r="B931" s="5"/>
      <c r="C931" s="5"/>
    </row>
    <row r="932" ht="15.75" customHeight="1">
      <c r="A932" s="5"/>
      <c r="B932" s="5"/>
      <c r="C932" s="5"/>
    </row>
    <row r="933" ht="15.75" customHeight="1">
      <c r="A933" s="5"/>
      <c r="B933" s="5"/>
      <c r="C933" s="5"/>
    </row>
    <row r="934" ht="15.75" customHeight="1">
      <c r="A934" s="5"/>
      <c r="B934" s="5"/>
      <c r="C934" s="5"/>
    </row>
    <row r="935" ht="15.75" customHeight="1">
      <c r="A935" s="5"/>
      <c r="B935" s="5"/>
      <c r="C935" s="5"/>
    </row>
    <row r="936" ht="15.75" customHeight="1">
      <c r="A936" s="5"/>
      <c r="B936" s="5"/>
      <c r="C936" s="5"/>
    </row>
    <row r="937" ht="15.75" customHeight="1">
      <c r="A937" s="5"/>
      <c r="B937" s="5"/>
      <c r="C937" s="5"/>
    </row>
    <row r="938" ht="15.75" customHeight="1">
      <c r="A938" s="5"/>
      <c r="B938" s="5"/>
      <c r="C938" s="5"/>
    </row>
    <row r="939" ht="15.75" customHeight="1">
      <c r="A939" s="5"/>
      <c r="B939" s="5"/>
      <c r="C939" s="5"/>
    </row>
    <row r="940" ht="15.75" customHeight="1">
      <c r="A940" s="5"/>
      <c r="B940" s="5"/>
      <c r="C940" s="5"/>
    </row>
    <row r="941" ht="15.75" customHeight="1">
      <c r="A941" s="5"/>
      <c r="B941" s="5"/>
      <c r="C941" s="5"/>
    </row>
    <row r="942" ht="15.75" customHeight="1">
      <c r="A942" s="5"/>
      <c r="B942" s="5"/>
      <c r="C942" s="5"/>
    </row>
    <row r="943" ht="15.75" customHeight="1">
      <c r="A943" s="5"/>
      <c r="B943" s="5"/>
      <c r="C943" s="5"/>
    </row>
    <row r="944" ht="15.75" customHeight="1">
      <c r="A944" s="5"/>
      <c r="B944" s="5"/>
      <c r="C944" s="5"/>
    </row>
    <row r="945" ht="15.75" customHeight="1">
      <c r="A945" s="5"/>
      <c r="B945" s="5"/>
      <c r="C945" s="5"/>
    </row>
    <row r="946" ht="15.75" customHeight="1">
      <c r="A946" s="5"/>
      <c r="B946" s="5"/>
      <c r="C946" s="5"/>
    </row>
    <row r="947" ht="15.75" customHeight="1">
      <c r="A947" s="5"/>
      <c r="B947" s="5"/>
      <c r="C947" s="5"/>
    </row>
    <row r="948" ht="15.75" customHeight="1">
      <c r="A948" s="5"/>
      <c r="B948" s="5"/>
      <c r="C948" s="5"/>
    </row>
    <row r="949" ht="15.75" customHeight="1">
      <c r="A949" s="5"/>
      <c r="B949" s="5"/>
      <c r="C949" s="5"/>
    </row>
    <row r="950" ht="15.75" customHeight="1">
      <c r="A950" s="5"/>
      <c r="B950" s="5"/>
      <c r="C950" s="5"/>
    </row>
    <row r="951" ht="15.75" customHeight="1">
      <c r="A951" s="5"/>
      <c r="B951" s="5"/>
      <c r="C951" s="5"/>
    </row>
    <row r="952" ht="15.75" customHeight="1">
      <c r="A952" s="5"/>
      <c r="B952" s="5"/>
      <c r="C952" s="5"/>
    </row>
    <row r="953" ht="15.75" customHeight="1">
      <c r="A953" s="5"/>
      <c r="B953" s="5"/>
      <c r="C953" s="5"/>
    </row>
    <row r="954" ht="15.75" customHeight="1">
      <c r="A954" s="5"/>
      <c r="B954" s="5"/>
      <c r="C954" s="5"/>
    </row>
    <row r="955" ht="15.75" customHeight="1">
      <c r="A955" s="5"/>
      <c r="B955" s="5"/>
      <c r="C955" s="5"/>
    </row>
    <row r="956" ht="15.75" customHeight="1">
      <c r="A956" s="5"/>
      <c r="B956" s="5"/>
      <c r="C956" s="5"/>
    </row>
    <row r="957" ht="15.75" customHeight="1">
      <c r="A957" s="5"/>
      <c r="B957" s="5"/>
      <c r="C957" s="5"/>
    </row>
    <row r="958" ht="15.75" customHeight="1">
      <c r="A958" s="5"/>
      <c r="B958" s="5"/>
      <c r="C958" s="5"/>
    </row>
    <row r="959" ht="15.75" customHeight="1">
      <c r="A959" s="5"/>
      <c r="B959" s="5"/>
      <c r="C959" s="5"/>
    </row>
    <row r="960" ht="15.75" customHeight="1">
      <c r="A960" s="5"/>
      <c r="B960" s="5"/>
      <c r="C960" s="5"/>
    </row>
    <row r="961" ht="15.75" customHeight="1">
      <c r="A961" s="5"/>
      <c r="B961" s="5"/>
      <c r="C961" s="5"/>
    </row>
    <row r="962" ht="15.75" customHeight="1">
      <c r="A962" s="5"/>
      <c r="B962" s="5"/>
      <c r="C962" s="5"/>
    </row>
    <row r="963" ht="15.75" customHeight="1">
      <c r="A963" s="5"/>
      <c r="B963" s="5"/>
      <c r="C963" s="5"/>
    </row>
    <row r="964" ht="15.75" customHeight="1">
      <c r="A964" s="5"/>
      <c r="B964" s="5"/>
      <c r="C964" s="5"/>
    </row>
    <row r="965" ht="15.75" customHeight="1">
      <c r="A965" s="5"/>
      <c r="B965" s="5"/>
      <c r="C965" s="5"/>
    </row>
    <row r="966" ht="15.75" customHeight="1">
      <c r="A966" s="5"/>
      <c r="B966" s="5"/>
      <c r="C966" s="5"/>
    </row>
    <row r="967" ht="15.75" customHeight="1">
      <c r="A967" s="5"/>
      <c r="B967" s="5"/>
      <c r="C967" s="5"/>
    </row>
    <row r="968" ht="15.75" customHeight="1">
      <c r="A968" s="5"/>
      <c r="B968" s="5"/>
      <c r="C968" s="5"/>
    </row>
    <row r="969" ht="15.75" customHeight="1">
      <c r="A969" s="5"/>
      <c r="B969" s="5"/>
      <c r="C969" s="5"/>
    </row>
    <row r="970" ht="15.75" customHeight="1">
      <c r="A970" s="5"/>
      <c r="B970" s="5"/>
      <c r="C970" s="5"/>
    </row>
    <row r="971" ht="15.75" customHeight="1">
      <c r="A971" s="5"/>
      <c r="B971" s="5"/>
      <c r="C971" s="5"/>
    </row>
    <row r="972" ht="15.75" customHeight="1">
      <c r="A972" s="5"/>
      <c r="B972" s="5"/>
      <c r="C972" s="5"/>
    </row>
    <row r="973" ht="15.75" customHeight="1">
      <c r="A973" s="5"/>
      <c r="B973" s="5"/>
      <c r="C973" s="5"/>
    </row>
    <row r="974" ht="15.75" customHeight="1">
      <c r="A974" s="5"/>
      <c r="B974" s="5"/>
      <c r="C974" s="5"/>
    </row>
    <row r="975" ht="15.75" customHeight="1">
      <c r="A975" s="5"/>
      <c r="B975" s="5"/>
      <c r="C975" s="5"/>
    </row>
    <row r="976" ht="15.75" customHeight="1">
      <c r="A976" s="5"/>
      <c r="B976" s="5"/>
      <c r="C976" s="5"/>
    </row>
    <row r="977" ht="15.75" customHeight="1">
      <c r="A977" s="5"/>
      <c r="B977" s="5"/>
      <c r="C977" s="5"/>
    </row>
    <row r="978" ht="15.75" customHeight="1">
      <c r="A978" s="5"/>
      <c r="B978" s="5"/>
      <c r="C978" s="5"/>
    </row>
    <row r="979" ht="15.75" customHeight="1">
      <c r="A979" s="5"/>
      <c r="B979" s="5"/>
      <c r="C979" s="5"/>
    </row>
    <row r="980" ht="15.75" customHeight="1">
      <c r="A980" s="5"/>
      <c r="B980" s="5"/>
      <c r="C980" s="5"/>
    </row>
    <row r="981" ht="15.75" customHeight="1">
      <c r="A981" s="5"/>
      <c r="B981" s="5"/>
      <c r="C981" s="5"/>
    </row>
    <row r="982" ht="15.75" customHeight="1">
      <c r="A982" s="5"/>
      <c r="B982" s="5"/>
      <c r="C982" s="5"/>
    </row>
    <row r="983" ht="15.75" customHeight="1">
      <c r="A983" s="5"/>
      <c r="B983" s="5"/>
      <c r="C983" s="5"/>
    </row>
    <row r="984" ht="15.75" customHeight="1">
      <c r="A984" s="5"/>
      <c r="B984" s="5"/>
      <c r="C984" s="5"/>
    </row>
    <row r="985" ht="15.75" customHeight="1">
      <c r="A985" s="5"/>
      <c r="B985" s="5"/>
      <c r="C985" s="5"/>
    </row>
    <row r="986" ht="15.75" customHeight="1">
      <c r="A986" s="5"/>
      <c r="B986" s="5"/>
      <c r="C986" s="5"/>
    </row>
    <row r="987" ht="15.75" customHeight="1">
      <c r="A987" s="5"/>
      <c r="B987" s="5"/>
      <c r="C987" s="5"/>
    </row>
    <row r="988" ht="15.75" customHeight="1">
      <c r="A988" s="5"/>
      <c r="B988" s="5"/>
      <c r="C988" s="5"/>
    </row>
    <row r="989" ht="15.75" customHeight="1">
      <c r="A989" s="5"/>
      <c r="B989" s="5"/>
      <c r="C989" s="5"/>
    </row>
    <row r="990" ht="15.75" customHeight="1">
      <c r="A990" s="5"/>
      <c r="B990" s="5"/>
      <c r="C990" s="5"/>
    </row>
    <row r="991" ht="15.75" customHeight="1">
      <c r="A991" s="5"/>
      <c r="B991" s="5"/>
      <c r="C991" s="5"/>
    </row>
    <row r="992" ht="15.75" customHeight="1">
      <c r="A992" s="5"/>
      <c r="B992" s="5"/>
      <c r="C992" s="5"/>
    </row>
    <row r="993" ht="15.75" customHeight="1">
      <c r="A993" s="5"/>
      <c r="B993" s="5"/>
      <c r="C993" s="5"/>
    </row>
    <row r="994" ht="15.75" customHeight="1">
      <c r="A994" s="5"/>
      <c r="B994" s="5"/>
      <c r="C994" s="5"/>
    </row>
    <row r="995" ht="15.75" customHeight="1">
      <c r="A995" s="5"/>
      <c r="B995" s="5"/>
      <c r="C995" s="5"/>
    </row>
    <row r="996" ht="15.75" customHeight="1">
      <c r="A996" s="5"/>
      <c r="B996" s="5"/>
      <c r="C996" s="5"/>
    </row>
    <row r="997" ht="15.75" customHeight="1">
      <c r="A997" s="5"/>
      <c r="B997" s="5"/>
      <c r="C997" s="5"/>
    </row>
    <row r="998" ht="15.75" customHeight="1">
      <c r="A998" s="5"/>
      <c r="B998" s="5"/>
      <c r="C998" s="5"/>
    </row>
    <row r="999" ht="15.75" customHeight="1">
      <c r="A999" s="5"/>
      <c r="B999" s="5"/>
      <c r="C999" s="5"/>
    </row>
    <row r="1000" ht="15.75" customHeight="1">
      <c r="A1000" s="5"/>
      <c r="B1000" s="5"/>
      <c r="C1000" s="5"/>
    </row>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5.13"/>
    <col customWidth="1" min="2" max="2" width="55.75"/>
    <col customWidth="1" min="3" max="3" width="72.88"/>
    <col customWidth="1" min="4" max="6" width="8.63"/>
  </cols>
  <sheetData>
    <row r="1">
      <c r="A1" s="26" t="s">
        <v>339</v>
      </c>
      <c r="B1" s="26" t="s">
        <v>340</v>
      </c>
      <c r="C1" s="26" t="s">
        <v>341</v>
      </c>
      <c r="D1" s="5"/>
      <c r="E1" s="5"/>
      <c r="F1" s="5"/>
      <c r="G1" s="5"/>
      <c r="H1" s="5"/>
      <c r="I1" s="5"/>
      <c r="J1" s="5"/>
      <c r="K1" s="5"/>
      <c r="L1" s="5"/>
      <c r="M1" s="5"/>
      <c r="N1" s="5"/>
      <c r="O1" s="5"/>
      <c r="P1" s="5"/>
      <c r="Q1" s="5"/>
      <c r="R1" s="5"/>
      <c r="S1" s="5"/>
      <c r="T1" s="5"/>
      <c r="U1" s="5"/>
      <c r="V1" s="5"/>
      <c r="W1" s="5"/>
      <c r="X1" s="5"/>
      <c r="Y1" s="5"/>
      <c r="Z1" s="5"/>
    </row>
    <row r="2">
      <c r="A2" s="29" t="s">
        <v>464</v>
      </c>
      <c r="B2" s="31" t="s">
        <v>465</v>
      </c>
      <c r="C2" s="31" t="s">
        <v>466</v>
      </c>
      <c r="D2" s="5"/>
      <c r="E2" s="5"/>
      <c r="F2" s="5"/>
      <c r="G2" s="5"/>
      <c r="H2" s="5"/>
      <c r="I2" s="5"/>
      <c r="J2" s="5"/>
      <c r="K2" s="5"/>
      <c r="L2" s="5"/>
      <c r="M2" s="5"/>
      <c r="N2" s="5"/>
      <c r="O2" s="5"/>
      <c r="P2" s="5"/>
      <c r="Q2" s="5"/>
      <c r="R2" s="5"/>
      <c r="S2" s="5"/>
      <c r="T2" s="5"/>
      <c r="U2" s="5"/>
      <c r="V2" s="5"/>
      <c r="W2" s="5"/>
      <c r="X2" s="5"/>
      <c r="Y2" s="5"/>
      <c r="Z2" s="5"/>
    </row>
    <row r="3">
      <c r="A3" s="29" t="s">
        <v>467</v>
      </c>
      <c r="B3" s="31" t="s">
        <v>392</v>
      </c>
      <c r="C3" s="31" t="s">
        <v>468</v>
      </c>
      <c r="D3" s="5"/>
      <c r="E3" s="5"/>
      <c r="F3" s="5"/>
      <c r="G3" s="5"/>
      <c r="H3" s="5"/>
      <c r="I3" s="5"/>
      <c r="J3" s="5"/>
      <c r="K3" s="5"/>
      <c r="L3" s="5"/>
      <c r="M3" s="5"/>
      <c r="N3" s="5"/>
      <c r="O3" s="5"/>
      <c r="P3" s="5"/>
      <c r="Q3" s="5"/>
      <c r="R3" s="5"/>
      <c r="S3" s="5"/>
      <c r="T3" s="5"/>
      <c r="U3" s="5"/>
      <c r="V3" s="5"/>
      <c r="W3" s="5"/>
      <c r="X3" s="5"/>
      <c r="Y3" s="5"/>
      <c r="Z3" s="5"/>
    </row>
    <row r="4">
      <c r="A4" s="29" t="s">
        <v>469</v>
      </c>
      <c r="B4" s="31" t="s">
        <v>395</v>
      </c>
      <c r="C4" s="31" t="s">
        <v>470</v>
      </c>
      <c r="D4" s="5"/>
      <c r="E4" s="5"/>
      <c r="F4" s="5"/>
      <c r="G4" s="5"/>
      <c r="H4" s="5"/>
      <c r="I4" s="5"/>
      <c r="J4" s="5"/>
      <c r="K4" s="5"/>
      <c r="L4" s="5"/>
      <c r="M4" s="5"/>
      <c r="N4" s="5"/>
      <c r="O4" s="5"/>
      <c r="P4" s="5"/>
      <c r="Q4" s="5"/>
      <c r="R4" s="5"/>
      <c r="S4" s="5"/>
      <c r="T4" s="5"/>
      <c r="U4" s="5"/>
      <c r="V4" s="5"/>
      <c r="W4" s="5"/>
      <c r="X4" s="5"/>
      <c r="Y4" s="5"/>
      <c r="Z4" s="5"/>
    </row>
    <row r="5">
      <c r="A5" s="29" t="s">
        <v>471</v>
      </c>
      <c r="B5" s="31" t="s">
        <v>472</v>
      </c>
      <c r="C5" s="31" t="s">
        <v>473</v>
      </c>
      <c r="D5" s="5"/>
      <c r="E5" s="5"/>
      <c r="F5" s="5"/>
      <c r="G5" s="5"/>
      <c r="H5" s="5"/>
      <c r="I5" s="5"/>
      <c r="J5" s="5"/>
      <c r="K5" s="5"/>
      <c r="L5" s="5"/>
      <c r="M5" s="5"/>
      <c r="N5" s="5"/>
      <c r="O5" s="5"/>
      <c r="P5" s="5"/>
      <c r="Q5" s="5"/>
      <c r="R5" s="5"/>
      <c r="S5" s="5"/>
      <c r="T5" s="5"/>
      <c r="U5" s="5"/>
      <c r="V5" s="5"/>
      <c r="W5" s="5"/>
      <c r="X5" s="5"/>
      <c r="Y5" s="5"/>
      <c r="Z5" s="5"/>
    </row>
    <row r="6">
      <c r="A6" s="29" t="s">
        <v>474</v>
      </c>
      <c r="B6" s="31" t="s">
        <v>475</v>
      </c>
      <c r="C6" s="31" t="s">
        <v>476</v>
      </c>
      <c r="D6" s="5"/>
      <c r="E6" s="5"/>
      <c r="F6" s="5"/>
      <c r="G6" s="5"/>
      <c r="H6" s="5"/>
      <c r="I6" s="5"/>
      <c r="J6" s="5"/>
      <c r="K6" s="5"/>
      <c r="L6" s="5"/>
      <c r="M6" s="5"/>
      <c r="N6" s="5"/>
      <c r="O6" s="5"/>
      <c r="P6" s="5"/>
      <c r="Q6" s="5"/>
      <c r="R6" s="5"/>
      <c r="S6" s="5"/>
      <c r="T6" s="5"/>
      <c r="U6" s="5"/>
      <c r="V6" s="5"/>
      <c r="W6" s="5"/>
      <c r="X6" s="5"/>
      <c r="Y6" s="5"/>
      <c r="Z6" s="5"/>
    </row>
    <row r="7">
      <c r="A7" s="29" t="s">
        <v>477</v>
      </c>
      <c r="B7" s="31" t="s">
        <v>478</v>
      </c>
      <c r="C7" s="31" t="s">
        <v>479</v>
      </c>
      <c r="D7" s="5"/>
      <c r="E7" s="5"/>
      <c r="F7" s="5"/>
      <c r="G7" s="5"/>
      <c r="H7" s="5"/>
      <c r="I7" s="5"/>
      <c r="J7" s="5"/>
      <c r="K7" s="5"/>
      <c r="L7" s="5"/>
      <c r="M7" s="5"/>
      <c r="N7" s="5"/>
      <c r="O7" s="5"/>
      <c r="P7" s="5"/>
      <c r="Q7" s="5"/>
      <c r="R7" s="5"/>
      <c r="S7" s="5"/>
      <c r="T7" s="5"/>
      <c r="U7" s="5"/>
      <c r="V7" s="5"/>
      <c r="W7" s="5"/>
      <c r="X7" s="5"/>
      <c r="Y7" s="5"/>
      <c r="Z7" s="5"/>
    </row>
    <row r="8">
      <c r="A8" s="29" t="s">
        <v>480</v>
      </c>
      <c r="B8" s="31" t="s">
        <v>481</v>
      </c>
      <c r="C8" s="31" t="s">
        <v>482</v>
      </c>
      <c r="D8" s="5"/>
      <c r="E8" s="5"/>
      <c r="F8" s="5"/>
      <c r="G8" s="5"/>
      <c r="H8" s="5"/>
      <c r="I8" s="5"/>
      <c r="J8" s="5"/>
      <c r="K8" s="5"/>
      <c r="L8" s="5"/>
      <c r="M8" s="5"/>
      <c r="N8" s="5"/>
      <c r="O8" s="5"/>
      <c r="P8" s="5"/>
      <c r="Q8" s="5"/>
      <c r="R8" s="5"/>
      <c r="S8" s="5"/>
      <c r="T8" s="5"/>
      <c r="U8" s="5"/>
      <c r="V8" s="5"/>
      <c r="W8" s="5"/>
      <c r="X8" s="5"/>
      <c r="Y8" s="5"/>
      <c r="Z8" s="5"/>
    </row>
    <row r="9">
      <c r="A9" s="29" t="s">
        <v>483</v>
      </c>
      <c r="B9" s="31">
        <v>0.0</v>
      </c>
      <c r="C9" s="31" t="s">
        <v>484</v>
      </c>
      <c r="D9" s="5"/>
      <c r="E9" s="5"/>
      <c r="F9" s="5"/>
      <c r="G9" s="5"/>
      <c r="H9" s="5"/>
      <c r="I9" s="5"/>
      <c r="J9" s="5"/>
      <c r="K9" s="5"/>
      <c r="L9" s="5"/>
      <c r="M9" s="5"/>
      <c r="N9" s="5"/>
      <c r="O9" s="5"/>
      <c r="P9" s="5"/>
      <c r="Q9" s="5"/>
      <c r="R9" s="5"/>
      <c r="S9" s="5"/>
      <c r="T9" s="5"/>
      <c r="U9" s="5"/>
      <c r="V9" s="5"/>
      <c r="W9" s="5"/>
      <c r="X9" s="5"/>
      <c r="Y9" s="5"/>
      <c r="Z9" s="5"/>
    </row>
    <row r="10">
      <c r="A10" s="29" t="s">
        <v>485</v>
      </c>
      <c r="B10" s="31" t="s">
        <v>486</v>
      </c>
      <c r="C10" s="31" t="s">
        <v>487</v>
      </c>
      <c r="D10" s="5"/>
      <c r="E10" s="5"/>
      <c r="F10" s="5"/>
      <c r="G10" s="5"/>
      <c r="H10" s="5"/>
      <c r="I10" s="5"/>
      <c r="J10" s="5"/>
      <c r="K10" s="5"/>
      <c r="L10" s="5"/>
      <c r="M10" s="5"/>
      <c r="N10" s="5"/>
      <c r="O10" s="5"/>
      <c r="P10" s="5"/>
      <c r="Q10" s="5"/>
      <c r="R10" s="5"/>
      <c r="S10" s="5"/>
      <c r="T10" s="5"/>
      <c r="U10" s="5"/>
      <c r="V10" s="5"/>
      <c r="W10" s="5"/>
      <c r="X10" s="5"/>
      <c r="Y10" s="5"/>
      <c r="Z10" s="5"/>
    </row>
    <row r="11">
      <c r="A11" s="29" t="s">
        <v>488</v>
      </c>
      <c r="B11" s="31">
        <v>0.0</v>
      </c>
      <c r="C11" s="31" t="s">
        <v>489</v>
      </c>
      <c r="D11" s="5"/>
      <c r="E11" s="5"/>
      <c r="F11" s="5"/>
      <c r="G11" s="5"/>
      <c r="H11" s="5"/>
      <c r="I11" s="5"/>
      <c r="J11" s="5"/>
      <c r="K11" s="5"/>
      <c r="L11" s="5"/>
      <c r="M11" s="5"/>
      <c r="N11" s="5"/>
      <c r="O11" s="5"/>
      <c r="P11" s="5"/>
      <c r="Q11" s="5"/>
      <c r="R11" s="5"/>
      <c r="S11" s="5"/>
      <c r="T11" s="5"/>
      <c r="U11" s="5"/>
      <c r="V11" s="5"/>
      <c r="W11" s="5"/>
      <c r="X11" s="5"/>
      <c r="Y11" s="5"/>
      <c r="Z11" s="5"/>
    </row>
    <row r="12">
      <c r="A12" s="29" t="s">
        <v>490</v>
      </c>
      <c r="B12" s="31">
        <v>0.0</v>
      </c>
      <c r="C12" s="31" t="s">
        <v>491</v>
      </c>
      <c r="D12" s="5"/>
      <c r="E12" s="5"/>
      <c r="F12" s="5"/>
      <c r="G12" s="5"/>
      <c r="H12" s="5"/>
      <c r="I12" s="5"/>
      <c r="J12" s="5"/>
      <c r="K12" s="5"/>
      <c r="L12" s="5"/>
      <c r="M12" s="5"/>
      <c r="N12" s="5"/>
      <c r="O12" s="5"/>
      <c r="P12" s="5"/>
      <c r="Q12" s="5"/>
      <c r="R12" s="5"/>
      <c r="S12" s="5"/>
      <c r="T12" s="5"/>
      <c r="U12" s="5"/>
      <c r="V12" s="5"/>
      <c r="W12" s="5"/>
      <c r="X12" s="5"/>
      <c r="Y12" s="5"/>
      <c r="Z12" s="5"/>
    </row>
    <row r="13">
      <c r="A13" s="29" t="s">
        <v>492</v>
      </c>
      <c r="B13" s="31" t="s">
        <v>493</v>
      </c>
      <c r="C13" s="31" t="s">
        <v>494</v>
      </c>
      <c r="D13" s="5"/>
      <c r="E13" s="5"/>
      <c r="F13" s="5"/>
      <c r="G13" s="5"/>
      <c r="H13" s="5"/>
      <c r="I13" s="5"/>
      <c r="J13" s="5"/>
      <c r="K13" s="5"/>
      <c r="L13" s="5"/>
      <c r="M13" s="5"/>
      <c r="N13" s="5"/>
      <c r="O13" s="5"/>
      <c r="P13" s="5"/>
      <c r="Q13" s="5"/>
      <c r="R13" s="5"/>
      <c r="S13" s="5"/>
      <c r="T13" s="5"/>
      <c r="U13" s="5"/>
      <c r="V13" s="5"/>
      <c r="W13" s="5"/>
      <c r="X13" s="5"/>
      <c r="Y13" s="5"/>
      <c r="Z13" s="5"/>
    </row>
    <row r="14">
      <c r="A14" s="29" t="s">
        <v>495</v>
      </c>
      <c r="B14" s="31" t="s">
        <v>496</v>
      </c>
      <c r="C14" s="31" t="s">
        <v>497</v>
      </c>
      <c r="D14" s="5"/>
      <c r="E14" s="5"/>
      <c r="F14" s="5"/>
      <c r="G14" s="5"/>
      <c r="H14" s="5"/>
      <c r="I14" s="5"/>
      <c r="J14" s="5"/>
      <c r="K14" s="5"/>
      <c r="L14" s="5"/>
      <c r="M14" s="5"/>
      <c r="N14" s="5"/>
      <c r="O14" s="5"/>
      <c r="P14" s="5"/>
      <c r="Q14" s="5"/>
      <c r="R14" s="5"/>
      <c r="S14" s="5"/>
      <c r="T14" s="5"/>
      <c r="U14" s="5"/>
      <c r="V14" s="5"/>
      <c r="W14" s="5"/>
      <c r="X14" s="5"/>
      <c r="Y14" s="5"/>
      <c r="Z14" s="5"/>
    </row>
    <row r="15">
      <c r="A15" s="29" t="s">
        <v>498</v>
      </c>
      <c r="B15" s="31" t="s">
        <v>499</v>
      </c>
      <c r="C15" s="31" t="s">
        <v>500</v>
      </c>
      <c r="D15" s="5"/>
      <c r="E15" s="5"/>
      <c r="F15" s="5"/>
      <c r="G15" s="5"/>
      <c r="H15" s="5"/>
      <c r="I15" s="5"/>
      <c r="J15" s="5"/>
      <c r="K15" s="5"/>
      <c r="L15" s="5"/>
      <c r="M15" s="5"/>
      <c r="N15" s="5"/>
      <c r="O15" s="5"/>
      <c r="P15" s="5"/>
      <c r="Q15" s="5"/>
      <c r="R15" s="5"/>
      <c r="S15" s="5"/>
      <c r="T15" s="5"/>
      <c r="U15" s="5"/>
      <c r="V15" s="5"/>
      <c r="W15" s="5"/>
      <c r="X15" s="5"/>
      <c r="Y15" s="5"/>
      <c r="Z15" s="5"/>
    </row>
    <row r="16">
      <c r="A16" s="29" t="s">
        <v>501</v>
      </c>
      <c r="B16" s="31" t="s">
        <v>502</v>
      </c>
      <c r="C16" s="31" t="s">
        <v>503</v>
      </c>
      <c r="D16" s="5"/>
      <c r="E16" s="5"/>
      <c r="F16" s="5"/>
      <c r="G16" s="5"/>
      <c r="H16" s="5"/>
      <c r="I16" s="5"/>
      <c r="J16" s="5"/>
      <c r="K16" s="5"/>
      <c r="L16" s="5"/>
      <c r="M16" s="5"/>
      <c r="N16" s="5"/>
      <c r="O16" s="5"/>
      <c r="P16" s="5"/>
      <c r="Q16" s="5"/>
      <c r="R16" s="5"/>
      <c r="S16" s="5"/>
      <c r="T16" s="5"/>
      <c r="U16" s="5"/>
      <c r="V16" s="5"/>
      <c r="W16" s="5"/>
      <c r="X16" s="5"/>
      <c r="Y16" s="5"/>
      <c r="Z16" s="5"/>
    </row>
    <row r="17">
      <c r="A17" s="29" t="s">
        <v>504</v>
      </c>
      <c r="B17" s="31" t="s">
        <v>505</v>
      </c>
      <c r="C17" s="31" t="s">
        <v>506</v>
      </c>
      <c r="D17" s="5"/>
      <c r="E17" s="5"/>
      <c r="F17" s="5"/>
      <c r="G17" s="5"/>
      <c r="H17" s="5"/>
      <c r="I17" s="5"/>
      <c r="J17" s="5"/>
      <c r="K17" s="5"/>
      <c r="L17" s="5"/>
      <c r="M17" s="5"/>
      <c r="N17" s="5"/>
      <c r="O17" s="5"/>
      <c r="P17" s="5"/>
      <c r="Q17" s="5"/>
      <c r="R17" s="5"/>
      <c r="S17" s="5"/>
      <c r="T17" s="5"/>
      <c r="U17" s="5"/>
      <c r="V17" s="5"/>
      <c r="W17" s="5"/>
      <c r="X17" s="5"/>
      <c r="Y17" s="5"/>
      <c r="Z17" s="5"/>
    </row>
    <row r="18">
      <c r="A18" s="29" t="s">
        <v>507</v>
      </c>
      <c r="B18" s="31" t="s">
        <v>508</v>
      </c>
      <c r="C18" s="31" t="s">
        <v>509</v>
      </c>
      <c r="D18" s="5"/>
      <c r="E18" s="5"/>
      <c r="F18" s="5"/>
      <c r="G18" s="5"/>
      <c r="H18" s="5"/>
      <c r="I18" s="5"/>
      <c r="J18" s="5"/>
      <c r="K18" s="5"/>
      <c r="L18" s="5"/>
      <c r="M18" s="5"/>
      <c r="N18" s="5"/>
      <c r="O18" s="5"/>
      <c r="P18" s="5"/>
      <c r="Q18" s="5"/>
      <c r="R18" s="5"/>
      <c r="S18" s="5"/>
      <c r="T18" s="5"/>
      <c r="U18" s="5"/>
      <c r="V18" s="5"/>
      <c r="W18" s="5"/>
      <c r="X18" s="5"/>
      <c r="Y18" s="5"/>
      <c r="Z18" s="5"/>
    </row>
    <row r="19">
      <c r="A19" s="29" t="s">
        <v>510</v>
      </c>
      <c r="B19" s="31" t="s">
        <v>511</v>
      </c>
      <c r="C19" s="31" t="s">
        <v>512</v>
      </c>
      <c r="D19" s="5"/>
      <c r="E19" s="5"/>
      <c r="F19" s="5"/>
      <c r="G19" s="5"/>
      <c r="H19" s="5"/>
      <c r="I19" s="5"/>
      <c r="J19" s="5"/>
      <c r="K19" s="5"/>
      <c r="L19" s="5"/>
      <c r="M19" s="5"/>
      <c r="N19" s="5"/>
      <c r="O19" s="5"/>
      <c r="P19" s="5"/>
      <c r="Q19" s="5"/>
      <c r="R19" s="5"/>
      <c r="S19" s="5"/>
      <c r="T19" s="5"/>
      <c r="U19" s="5"/>
      <c r="V19" s="5"/>
      <c r="W19" s="5"/>
      <c r="X19" s="5"/>
      <c r="Y19" s="5"/>
      <c r="Z19" s="5"/>
    </row>
    <row r="20">
      <c r="A20" s="29" t="s">
        <v>513</v>
      </c>
      <c r="B20" s="31" t="s">
        <v>514</v>
      </c>
      <c r="C20" s="31" t="s">
        <v>515</v>
      </c>
      <c r="D20" s="5"/>
      <c r="E20" s="5"/>
      <c r="F20" s="5"/>
      <c r="G20" s="5"/>
      <c r="H20" s="5"/>
      <c r="I20" s="5"/>
      <c r="J20" s="5"/>
      <c r="K20" s="5"/>
      <c r="L20" s="5"/>
      <c r="M20" s="5"/>
      <c r="N20" s="5"/>
      <c r="O20" s="5"/>
      <c r="P20" s="5"/>
      <c r="Q20" s="5"/>
      <c r="R20" s="5"/>
      <c r="S20" s="5"/>
      <c r="T20" s="5"/>
      <c r="U20" s="5"/>
      <c r="V20" s="5"/>
      <c r="W20" s="5"/>
      <c r="X20" s="5"/>
      <c r="Y20" s="5"/>
      <c r="Z20" s="5"/>
    </row>
    <row r="21" ht="15.75" customHeight="1">
      <c r="A21" s="29" t="s">
        <v>516</v>
      </c>
      <c r="B21" s="31" t="s">
        <v>418</v>
      </c>
      <c r="C21" s="31" t="s">
        <v>517</v>
      </c>
      <c r="D21" s="5"/>
      <c r="E21" s="5"/>
      <c r="F21" s="5"/>
      <c r="G21" s="5"/>
      <c r="H21" s="5"/>
      <c r="I21" s="5"/>
      <c r="J21" s="5"/>
      <c r="K21" s="5"/>
      <c r="L21" s="5"/>
      <c r="M21" s="5"/>
      <c r="N21" s="5"/>
      <c r="O21" s="5"/>
      <c r="P21" s="5"/>
      <c r="Q21" s="5"/>
      <c r="R21" s="5"/>
      <c r="S21" s="5"/>
      <c r="T21" s="5"/>
      <c r="U21" s="5"/>
      <c r="V21" s="5"/>
      <c r="W21" s="5"/>
      <c r="X21" s="5"/>
      <c r="Y21" s="5"/>
      <c r="Z21" s="5"/>
    </row>
    <row r="22" ht="15.75" customHeight="1">
      <c r="A22" s="29" t="s">
        <v>518</v>
      </c>
      <c r="B22" s="31" t="s">
        <v>421</v>
      </c>
      <c r="C22" s="31" t="s">
        <v>519</v>
      </c>
      <c r="D22" s="5"/>
      <c r="E22" s="5"/>
      <c r="F22" s="5"/>
      <c r="G22" s="5"/>
      <c r="H22" s="5"/>
      <c r="I22" s="5"/>
      <c r="J22" s="5"/>
      <c r="K22" s="5"/>
      <c r="L22" s="5"/>
      <c r="M22" s="5"/>
      <c r="N22" s="5"/>
      <c r="O22" s="5"/>
      <c r="P22" s="5"/>
      <c r="Q22" s="5"/>
      <c r="R22" s="5"/>
      <c r="S22" s="5"/>
      <c r="T22" s="5"/>
      <c r="U22" s="5"/>
      <c r="V22" s="5"/>
      <c r="W22" s="5"/>
      <c r="X22" s="5"/>
      <c r="Y22" s="5"/>
      <c r="Z22" s="5"/>
    </row>
    <row r="23" ht="15.75" customHeight="1">
      <c r="A23" s="29" t="s">
        <v>520</v>
      </c>
      <c r="B23" s="31" t="s">
        <v>431</v>
      </c>
      <c r="C23" s="31" t="s">
        <v>521</v>
      </c>
      <c r="D23" s="5"/>
      <c r="E23" s="5"/>
      <c r="F23" s="5"/>
      <c r="G23" s="5"/>
      <c r="H23" s="5"/>
      <c r="I23" s="5"/>
      <c r="J23" s="5"/>
      <c r="K23" s="5"/>
      <c r="L23" s="5"/>
      <c r="M23" s="5"/>
      <c r="N23" s="5"/>
      <c r="O23" s="5"/>
      <c r="P23" s="5"/>
      <c r="Q23" s="5"/>
      <c r="R23" s="5"/>
      <c r="S23" s="5"/>
      <c r="T23" s="5"/>
      <c r="U23" s="5"/>
      <c r="V23" s="5"/>
      <c r="W23" s="5"/>
      <c r="X23" s="5"/>
      <c r="Y23" s="5"/>
      <c r="Z23" s="5"/>
    </row>
    <row r="24" ht="15.75" customHeight="1">
      <c r="A24" s="29" t="s">
        <v>522</v>
      </c>
      <c r="B24" s="31" t="s">
        <v>523</v>
      </c>
      <c r="C24" s="31" t="s">
        <v>524</v>
      </c>
      <c r="D24" s="5"/>
      <c r="E24" s="5"/>
      <c r="F24" s="5"/>
      <c r="G24" s="5"/>
      <c r="H24" s="5"/>
      <c r="I24" s="5"/>
      <c r="J24" s="5"/>
      <c r="K24" s="5"/>
      <c r="L24" s="5"/>
      <c r="M24" s="5"/>
      <c r="N24" s="5"/>
      <c r="O24" s="5"/>
      <c r="P24" s="5"/>
      <c r="Q24" s="5"/>
      <c r="R24" s="5"/>
      <c r="S24" s="5"/>
      <c r="T24" s="5"/>
      <c r="U24" s="5"/>
      <c r="V24" s="5"/>
      <c r="W24" s="5"/>
      <c r="X24" s="5"/>
      <c r="Y24" s="5"/>
      <c r="Z24" s="5"/>
    </row>
    <row r="25" ht="15.75" customHeight="1">
      <c r="A25" s="29" t="s">
        <v>525</v>
      </c>
      <c r="B25" s="31" t="s">
        <v>526</v>
      </c>
      <c r="C25" s="31" t="s">
        <v>527</v>
      </c>
      <c r="D25" s="5"/>
      <c r="E25" s="5"/>
      <c r="F25" s="5"/>
      <c r="G25" s="5"/>
      <c r="H25" s="5"/>
      <c r="I25" s="5"/>
      <c r="J25" s="5"/>
      <c r="K25" s="5"/>
      <c r="L25" s="5"/>
      <c r="M25" s="5"/>
      <c r="N25" s="5"/>
      <c r="O25" s="5"/>
      <c r="P25" s="5"/>
      <c r="Q25" s="5"/>
      <c r="R25" s="5"/>
      <c r="S25" s="5"/>
      <c r="T25" s="5"/>
      <c r="U25" s="5"/>
      <c r="V25" s="5"/>
      <c r="W25" s="5"/>
      <c r="X25" s="5"/>
      <c r="Y25" s="5"/>
      <c r="Z25" s="5"/>
    </row>
    <row r="26" ht="15.75" customHeight="1">
      <c r="A26" s="29" t="s">
        <v>528</v>
      </c>
      <c r="B26" s="31" t="s">
        <v>529</v>
      </c>
      <c r="C26" s="31" t="s">
        <v>530</v>
      </c>
      <c r="D26" s="5"/>
      <c r="E26" s="5"/>
      <c r="F26" s="5"/>
      <c r="G26" s="5"/>
      <c r="H26" s="5"/>
      <c r="I26" s="5"/>
      <c r="J26" s="5"/>
      <c r="K26" s="5"/>
      <c r="L26" s="5"/>
      <c r="M26" s="5"/>
      <c r="N26" s="5"/>
      <c r="O26" s="5"/>
      <c r="P26" s="5"/>
      <c r="Q26" s="5"/>
      <c r="R26" s="5"/>
      <c r="S26" s="5"/>
      <c r="T26" s="5"/>
      <c r="U26" s="5"/>
      <c r="V26" s="5"/>
      <c r="W26" s="5"/>
      <c r="X26" s="5"/>
      <c r="Y26" s="5"/>
      <c r="Z26" s="5"/>
    </row>
    <row r="27" ht="15.75" customHeight="1">
      <c r="A27" s="29" t="s">
        <v>531</v>
      </c>
      <c r="B27" s="31" t="s">
        <v>532</v>
      </c>
      <c r="C27" s="31" t="s">
        <v>533</v>
      </c>
      <c r="D27" s="5"/>
      <c r="E27" s="5"/>
      <c r="F27" s="5"/>
      <c r="G27" s="5"/>
      <c r="H27" s="5"/>
      <c r="I27" s="5"/>
      <c r="J27" s="5"/>
      <c r="K27" s="5"/>
      <c r="L27" s="5"/>
      <c r="M27" s="5"/>
      <c r="N27" s="5"/>
      <c r="O27" s="5"/>
      <c r="P27" s="5"/>
      <c r="Q27" s="5"/>
      <c r="R27" s="5"/>
      <c r="S27" s="5"/>
      <c r="T27" s="5"/>
      <c r="U27" s="5"/>
      <c r="V27" s="5"/>
      <c r="W27" s="5"/>
      <c r="X27" s="5"/>
      <c r="Y27" s="5"/>
      <c r="Z27" s="5"/>
    </row>
    <row r="28" ht="15.75" customHeight="1">
      <c r="A28" s="29" t="s">
        <v>534</v>
      </c>
      <c r="B28" s="31" t="s">
        <v>535</v>
      </c>
      <c r="C28" s="31" t="s">
        <v>536</v>
      </c>
      <c r="D28" s="5"/>
      <c r="E28" s="5"/>
      <c r="F28" s="5"/>
      <c r="G28" s="5"/>
      <c r="H28" s="5"/>
      <c r="I28" s="5"/>
      <c r="J28" s="5"/>
      <c r="K28" s="5"/>
      <c r="L28" s="5"/>
      <c r="M28" s="5"/>
      <c r="N28" s="5"/>
      <c r="O28" s="5"/>
      <c r="P28" s="5"/>
      <c r="Q28" s="5"/>
      <c r="R28" s="5"/>
      <c r="S28" s="5"/>
      <c r="T28" s="5"/>
      <c r="U28" s="5"/>
      <c r="V28" s="5"/>
      <c r="W28" s="5"/>
      <c r="X28" s="5"/>
      <c r="Y28" s="5"/>
      <c r="Z28" s="5"/>
    </row>
    <row r="29" ht="15.75" customHeight="1">
      <c r="A29" s="29" t="s">
        <v>537</v>
      </c>
      <c r="B29" s="31" t="s">
        <v>538</v>
      </c>
      <c r="C29" s="31" t="s">
        <v>539</v>
      </c>
      <c r="D29" s="5"/>
      <c r="E29" s="5"/>
      <c r="F29" s="5"/>
      <c r="G29" s="5"/>
      <c r="H29" s="5"/>
      <c r="I29" s="5"/>
      <c r="J29" s="5"/>
      <c r="K29" s="5"/>
      <c r="L29" s="5"/>
      <c r="M29" s="5"/>
      <c r="N29" s="5"/>
      <c r="O29" s="5"/>
      <c r="P29" s="5"/>
      <c r="Q29" s="5"/>
      <c r="R29" s="5"/>
      <c r="S29" s="5"/>
      <c r="T29" s="5"/>
      <c r="U29" s="5"/>
      <c r="V29" s="5"/>
      <c r="W29" s="5"/>
      <c r="X29" s="5"/>
      <c r="Y29" s="5"/>
      <c r="Z29" s="5"/>
    </row>
    <row r="30" ht="15.75" customHeight="1">
      <c r="A30" s="29" t="s">
        <v>540</v>
      </c>
      <c r="B30" s="31" t="s">
        <v>434</v>
      </c>
      <c r="C30" s="31" t="s">
        <v>541</v>
      </c>
      <c r="D30" s="5"/>
      <c r="E30" s="5"/>
      <c r="F30" s="5"/>
      <c r="G30" s="5"/>
      <c r="H30" s="5"/>
      <c r="I30" s="5"/>
      <c r="J30" s="5"/>
      <c r="K30" s="5"/>
      <c r="L30" s="5"/>
      <c r="M30" s="5"/>
      <c r="N30" s="5"/>
      <c r="O30" s="5"/>
      <c r="P30" s="5"/>
      <c r="Q30" s="5"/>
      <c r="R30" s="5"/>
      <c r="S30" s="5"/>
      <c r="T30" s="5"/>
      <c r="U30" s="5"/>
      <c r="V30" s="5"/>
      <c r="W30" s="5"/>
      <c r="X30" s="5"/>
      <c r="Y30" s="5"/>
      <c r="Z30" s="5"/>
    </row>
    <row r="31" ht="15.75" customHeight="1">
      <c r="A31" s="29" t="s">
        <v>542</v>
      </c>
      <c r="B31" s="31">
        <v>1.0</v>
      </c>
      <c r="C31" s="31" t="s">
        <v>437</v>
      </c>
      <c r="D31" s="5"/>
      <c r="E31" s="5"/>
      <c r="F31" s="5"/>
      <c r="G31" s="5"/>
      <c r="H31" s="5"/>
      <c r="I31" s="5"/>
      <c r="J31" s="5"/>
      <c r="K31" s="5"/>
      <c r="L31" s="5"/>
      <c r="M31" s="5"/>
      <c r="N31" s="5"/>
      <c r="O31" s="5"/>
      <c r="P31" s="5"/>
      <c r="Q31" s="5"/>
      <c r="R31" s="5"/>
      <c r="S31" s="5"/>
      <c r="T31" s="5"/>
      <c r="U31" s="5"/>
      <c r="V31" s="5"/>
      <c r="W31" s="5"/>
      <c r="X31" s="5"/>
      <c r="Y31" s="5"/>
      <c r="Z31" s="5"/>
    </row>
    <row r="32" ht="15.75" customHeight="1">
      <c r="A32" s="29" t="s">
        <v>543</v>
      </c>
      <c r="B32" s="31" t="s">
        <v>544</v>
      </c>
      <c r="C32" s="31" t="s">
        <v>545</v>
      </c>
      <c r="D32" s="5"/>
      <c r="E32" s="5"/>
      <c r="F32" s="5"/>
      <c r="G32" s="5"/>
      <c r="H32" s="5"/>
      <c r="I32" s="5"/>
      <c r="J32" s="5"/>
      <c r="K32" s="5"/>
      <c r="L32" s="5"/>
      <c r="M32" s="5"/>
      <c r="N32" s="5"/>
      <c r="O32" s="5"/>
      <c r="P32" s="5"/>
      <c r="Q32" s="5"/>
      <c r="R32" s="5"/>
      <c r="S32" s="5"/>
      <c r="T32" s="5"/>
      <c r="U32" s="5"/>
      <c r="V32" s="5"/>
      <c r="W32" s="5"/>
      <c r="X32" s="5"/>
      <c r="Y32" s="5"/>
      <c r="Z32" s="5"/>
    </row>
    <row r="33" ht="15.75" customHeight="1">
      <c r="A33" s="29" t="s">
        <v>546</v>
      </c>
      <c r="B33" s="31" t="s">
        <v>447</v>
      </c>
      <c r="C33" s="31" t="s">
        <v>547</v>
      </c>
      <c r="D33" s="5"/>
      <c r="E33" s="5"/>
      <c r="F33" s="5"/>
      <c r="G33" s="5"/>
      <c r="H33" s="5"/>
      <c r="I33" s="5"/>
      <c r="J33" s="5"/>
      <c r="K33" s="5"/>
      <c r="L33" s="5"/>
      <c r="M33" s="5"/>
      <c r="N33" s="5"/>
      <c r="O33" s="5"/>
      <c r="P33" s="5"/>
      <c r="Q33" s="5"/>
      <c r="R33" s="5"/>
      <c r="S33" s="5"/>
      <c r="T33" s="5"/>
      <c r="U33" s="5"/>
      <c r="V33" s="5"/>
      <c r="W33" s="5"/>
      <c r="X33" s="5"/>
      <c r="Y33" s="5"/>
      <c r="Z33" s="5"/>
    </row>
    <row r="34" ht="15.75" customHeight="1">
      <c r="A34" s="29" t="s">
        <v>440</v>
      </c>
      <c r="B34" s="31" t="s">
        <v>441</v>
      </c>
      <c r="C34" s="31" t="s">
        <v>442</v>
      </c>
      <c r="D34" s="5"/>
      <c r="E34" s="5"/>
      <c r="F34" s="5"/>
      <c r="G34" s="5"/>
      <c r="H34" s="5"/>
      <c r="I34" s="5"/>
      <c r="J34" s="5"/>
      <c r="K34" s="5"/>
      <c r="L34" s="5"/>
      <c r="M34" s="5"/>
      <c r="N34" s="5"/>
      <c r="O34" s="5"/>
      <c r="P34" s="5"/>
      <c r="Q34" s="5"/>
      <c r="R34" s="5"/>
      <c r="S34" s="5"/>
      <c r="T34" s="5"/>
      <c r="U34" s="5"/>
      <c r="V34" s="5"/>
      <c r="W34" s="5"/>
      <c r="X34" s="5"/>
      <c r="Y34" s="5"/>
      <c r="Z34" s="5"/>
    </row>
    <row r="35" ht="15.75" customHeight="1">
      <c r="A35" s="29" t="s">
        <v>443</v>
      </c>
      <c r="B35" s="31" t="s">
        <v>444</v>
      </c>
      <c r="C35" s="31" t="s">
        <v>548</v>
      </c>
      <c r="D35" s="5"/>
      <c r="E35" s="5"/>
      <c r="F35" s="5"/>
      <c r="G35" s="5"/>
      <c r="H35" s="5"/>
      <c r="I35" s="5"/>
      <c r="J35" s="5"/>
      <c r="K35" s="5"/>
      <c r="L35" s="5"/>
      <c r="M35" s="5"/>
      <c r="N35" s="5"/>
      <c r="O35" s="5"/>
      <c r="P35" s="5"/>
      <c r="Q35" s="5"/>
      <c r="R35" s="5"/>
      <c r="S35" s="5"/>
      <c r="T35" s="5"/>
      <c r="U35" s="5"/>
      <c r="V35" s="5"/>
      <c r="W35" s="5"/>
      <c r="X35" s="5"/>
      <c r="Y35" s="5"/>
      <c r="Z35" s="5"/>
    </row>
    <row r="36" ht="15.75" customHeight="1">
      <c r="A36" s="29" t="s">
        <v>549</v>
      </c>
      <c r="B36" s="31" t="s">
        <v>456</v>
      </c>
      <c r="C36" s="31" t="s">
        <v>550</v>
      </c>
      <c r="D36" s="5"/>
      <c r="E36" s="5"/>
      <c r="F36" s="5"/>
      <c r="G36" s="5"/>
      <c r="H36" s="5"/>
      <c r="I36" s="5"/>
      <c r="J36" s="5"/>
      <c r="K36" s="5"/>
      <c r="L36" s="5"/>
      <c r="M36" s="5"/>
      <c r="N36" s="5"/>
      <c r="O36" s="5"/>
      <c r="P36" s="5"/>
      <c r="Q36" s="5"/>
      <c r="R36" s="5"/>
      <c r="S36" s="5"/>
      <c r="T36" s="5"/>
      <c r="U36" s="5"/>
      <c r="V36" s="5"/>
      <c r="W36" s="5"/>
      <c r="X36" s="5"/>
      <c r="Y36" s="5"/>
      <c r="Z36" s="5"/>
    </row>
    <row r="37" ht="15.75" customHeight="1">
      <c r="A37" s="29" t="s">
        <v>551</v>
      </c>
      <c r="B37" s="31" t="s">
        <v>162</v>
      </c>
      <c r="C37" s="31" t="s">
        <v>552</v>
      </c>
      <c r="D37" s="5"/>
      <c r="E37" s="5"/>
      <c r="F37" s="5"/>
      <c r="G37" s="5"/>
      <c r="H37" s="5"/>
      <c r="I37" s="5"/>
      <c r="J37" s="5"/>
      <c r="K37" s="5"/>
      <c r="L37" s="5"/>
      <c r="M37" s="5"/>
      <c r="N37" s="5"/>
      <c r="O37" s="5"/>
      <c r="P37" s="5"/>
      <c r="Q37" s="5"/>
      <c r="R37" s="5"/>
      <c r="S37" s="5"/>
      <c r="T37" s="5"/>
      <c r="U37" s="5"/>
      <c r="V37" s="5"/>
      <c r="W37" s="5"/>
      <c r="X37" s="5"/>
      <c r="Y37" s="5"/>
      <c r="Z37" s="5"/>
    </row>
    <row r="38" ht="15.75" customHeight="1">
      <c r="A38" s="29" t="s">
        <v>553</v>
      </c>
      <c r="B38" s="31" t="s">
        <v>193</v>
      </c>
      <c r="C38" s="31" t="s">
        <v>554</v>
      </c>
      <c r="D38" s="5"/>
      <c r="E38" s="5"/>
      <c r="F38" s="5"/>
      <c r="G38" s="5"/>
      <c r="H38" s="5"/>
      <c r="I38" s="5"/>
      <c r="J38" s="5"/>
      <c r="K38" s="5"/>
      <c r="L38" s="5"/>
      <c r="M38" s="5"/>
      <c r="N38" s="5"/>
      <c r="O38" s="5"/>
      <c r="P38" s="5"/>
      <c r="Q38" s="5"/>
      <c r="R38" s="5"/>
      <c r="S38" s="5"/>
      <c r="T38" s="5"/>
      <c r="U38" s="5"/>
      <c r="V38" s="5"/>
      <c r="W38" s="5"/>
      <c r="X38" s="5"/>
      <c r="Y38" s="5"/>
      <c r="Z38" s="5"/>
    </row>
    <row r="39" ht="15.75" customHeight="1">
      <c r="A39" s="5"/>
      <c r="B39" s="5"/>
      <c r="C39" s="5"/>
      <c r="D39" s="5"/>
      <c r="E39" s="5"/>
      <c r="F39" s="5"/>
    </row>
    <row r="40" ht="15.75" customHeight="1">
      <c r="A40" s="5"/>
      <c r="B40" s="5"/>
      <c r="C40" s="5"/>
      <c r="D40" s="5"/>
      <c r="E40" s="5"/>
      <c r="F40" s="5"/>
    </row>
    <row r="41" ht="15.75" customHeight="1">
      <c r="A41" s="5"/>
      <c r="B41" s="5"/>
      <c r="C41" s="5"/>
      <c r="D41" s="5"/>
      <c r="E41" s="5"/>
      <c r="F41" s="5"/>
    </row>
    <row r="42" ht="15.75" customHeight="1">
      <c r="A42" s="5"/>
      <c r="B42" s="5"/>
      <c r="C42" s="5"/>
      <c r="D42" s="5"/>
      <c r="E42" s="5"/>
      <c r="F42" s="5"/>
    </row>
    <row r="43" ht="15.75" customHeight="1">
      <c r="A43" s="5"/>
      <c r="B43" s="5"/>
      <c r="C43" s="5"/>
      <c r="D43" s="5"/>
      <c r="E43" s="5"/>
      <c r="F43" s="5"/>
    </row>
    <row r="44" ht="15.75" customHeight="1">
      <c r="A44" s="5"/>
      <c r="B44" s="5"/>
      <c r="C44" s="5"/>
      <c r="D44" s="5"/>
      <c r="E44" s="5"/>
      <c r="F44" s="5"/>
    </row>
    <row r="45" ht="15.75" customHeight="1">
      <c r="A45" s="5"/>
      <c r="B45" s="5"/>
      <c r="C45" s="5"/>
      <c r="D45" s="5"/>
      <c r="E45" s="5"/>
      <c r="F45" s="5"/>
    </row>
    <row r="46" ht="15.75" customHeight="1">
      <c r="A46" s="5"/>
      <c r="B46" s="5"/>
      <c r="C46" s="5"/>
      <c r="D46" s="5"/>
      <c r="E46" s="5"/>
      <c r="F46" s="5"/>
    </row>
    <row r="47" ht="15.75" customHeight="1">
      <c r="A47" s="5"/>
      <c r="B47" s="5"/>
      <c r="C47" s="5"/>
      <c r="D47" s="5"/>
      <c r="E47" s="5"/>
      <c r="F47" s="5"/>
    </row>
    <row r="48" ht="15.75" customHeight="1">
      <c r="A48" s="5"/>
      <c r="B48" s="5"/>
      <c r="C48" s="5"/>
      <c r="D48" s="5"/>
      <c r="E48" s="5"/>
      <c r="F48" s="5"/>
    </row>
    <row r="49" ht="15.75" customHeight="1">
      <c r="A49" s="5"/>
      <c r="B49" s="5"/>
      <c r="C49" s="5"/>
      <c r="D49" s="5"/>
      <c r="E49" s="5"/>
      <c r="F49" s="5"/>
    </row>
    <row r="50" ht="15.75" customHeight="1">
      <c r="A50" s="5"/>
      <c r="B50" s="5"/>
      <c r="C50" s="5"/>
      <c r="D50" s="5"/>
      <c r="E50" s="5"/>
      <c r="F50" s="5"/>
    </row>
    <row r="51" ht="15.75" customHeight="1">
      <c r="A51" s="5"/>
      <c r="B51" s="5"/>
      <c r="C51" s="5"/>
      <c r="D51" s="5"/>
      <c r="E51" s="5"/>
      <c r="F51" s="5"/>
    </row>
    <row r="52" ht="15.75" customHeight="1">
      <c r="A52" s="5"/>
      <c r="B52" s="5"/>
      <c r="C52" s="5"/>
      <c r="D52" s="5"/>
      <c r="E52" s="5"/>
      <c r="F52" s="5"/>
    </row>
    <row r="53" ht="15.75" customHeight="1">
      <c r="A53" s="5"/>
      <c r="B53" s="5"/>
      <c r="C53" s="5"/>
      <c r="D53" s="5"/>
      <c r="E53" s="5"/>
      <c r="F53" s="5"/>
    </row>
    <row r="54" ht="15.75" customHeight="1">
      <c r="A54" s="5"/>
      <c r="B54" s="5"/>
      <c r="C54" s="5"/>
      <c r="D54" s="5"/>
      <c r="E54" s="5"/>
      <c r="F54" s="5"/>
    </row>
    <row r="55" ht="15.75" customHeight="1">
      <c r="A55" s="5"/>
      <c r="B55" s="5"/>
      <c r="C55" s="5"/>
      <c r="D55" s="5"/>
      <c r="E55" s="5"/>
      <c r="F55" s="5"/>
    </row>
    <row r="56" ht="15.75" customHeight="1">
      <c r="A56" s="5"/>
      <c r="B56" s="5"/>
      <c r="C56" s="5"/>
      <c r="D56" s="5"/>
      <c r="E56" s="5"/>
      <c r="F56" s="5"/>
    </row>
    <row r="57" ht="15.75" customHeight="1">
      <c r="A57" s="5"/>
      <c r="B57" s="5"/>
      <c r="C57" s="5"/>
      <c r="D57" s="5"/>
      <c r="E57" s="5"/>
      <c r="F57" s="5"/>
    </row>
    <row r="58" ht="15.75" customHeight="1">
      <c r="A58" s="5"/>
      <c r="B58" s="5"/>
      <c r="C58" s="5"/>
      <c r="D58" s="5"/>
      <c r="E58" s="5"/>
      <c r="F58" s="5"/>
    </row>
    <row r="59" ht="15.75" customHeight="1">
      <c r="A59" s="5"/>
      <c r="B59" s="5"/>
      <c r="C59" s="5"/>
      <c r="D59" s="5"/>
      <c r="E59" s="5"/>
      <c r="F59" s="5"/>
    </row>
    <row r="60" ht="15.75" customHeight="1">
      <c r="A60" s="5"/>
      <c r="B60" s="5"/>
      <c r="C60" s="5"/>
      <c r="D60" s="5"/>
      <c r="E60" s="5"/>
      <c r="F60" s="5"/>
    </row>
    <row r="61" ht="15.75" customHeight="1">
      <c r="A61" s="5"/>
      <c r="B61" s="5"/>
      <c r="C61" s="5"/>
      <c r="D61" s="5"/>
      <c r="E61" s="5"/>
      <c r="F61" s="5"/>
    </row>
    <row r="62" ht="15.75" customHeight="1">
      <c r="A62" s="5"/>
      <c r="B62" s="5"/>
      <c r="C62" s="5"/>
      <c r="D62" s="5"/>
      <c r="E62" s="5"/>
      <c r="F62" s="5"/>
    </row>
    <row r="63" ht="15.75" customHeight="1">
      <c r="A63" s="5"/>
      <c r="B63" s="5"/>
      <c r="C63" s="5"/>
      <c r="D63" s="5"/>
      <c r="E63" s="5"/>
      <c r="F63" s="5"/>
    </row>
    <row r="64" ht="15.75" customHeight="1">
      <c r="A64" s="5"/>
      <c r="B64" s="5"/>
      <c r="C64" s="5"/>
      <c r="D64" s="5"/>
      <c r="E64" s="5"/>
      <c r="F64" s="5"/>
    </row>
    <row r="65" ht="15.75" customHeight="1">
      <c r="A65" s="5"/>
      <c r="B65" s="5"/>
      <c r="C65" s="5"/>
      <c r="D65" s="5"/>
      <c r="E65" s="5"/>
      <c r="F65" s="5"/>
    </row>
    <row r="66" ht="15.75" customHeight="1">
      <c r="A66" s="5"/>
      <c r="B66" s="5"/>
      <c r="C66" s="5"/>
      <c r="D66" s="5"/>
      <c r="E66" s="5"/>
      <c r="F66" s="5"/>
    </row>
    <row r="67" ht="15.75" customHeight="1">
      <c r="A67" s="5"/>
      <c r="B67" s="5"/>
      <c r="C67" s="5"/>
      <c r="D67" s="5"/>
      <c r="E67" s="5"/>
      <c r="F67" s="5"/>
    </row>
    <row r="68" ht="15.75" customHeight="1">
      <c r="A68" s="5"/>
      <c r="B68" s="5"/>
      <c r="C68" s="5"/>
      <c r="D68" s="5"/>
      <c r="E68" s="5"/>
      <c r="F68" s="5"/>
    </row>
    <row r="69" ht="15.75" customHeight="1">
      <c r="A69" s="5"/>
      <c r="B69" s="5"/>
      <c r="C69" s="5"/>
      <c r="D69" s="5"/>
      <c r="E69" s="5"/>
      <c r="F69" s="5"/>
    </row>
    <row r="70" ht="15.75" customHeight="1">
      <c r="A70" s="5"/>
      <c r="B70" s="5"/>
      <c r="C70" s="5"/>
      <c r="D70" s="5"/>
      <c r="E70" s="5"/>
      <c r="F70" s="5"/>
    </row>
    <row r="71" ht="15.75" customHeight="1">
      <c r="A71" s="5"/>
      <c r="B71" s="5"/>
      <c r="C71" s="5"/>
      <c r="D71" s="5"/>
      <c r="E71" s="5"/>
      <c r="F71" s="5"/>
    </row>
    <row r="72" ht="15.75" customHeight="1">
      <c r="A72" s="5"/>
      <c r="B72" s="5"/>
      <c r="C72" s="5"/>
      <c r="D72" s="5"/>
      <c r="E72" s="5"/>
      <c r="F72" s="5"/>
    </row>
    <row r="73" ht="15.75" customHeight="1">
      <c r="A73" s="5"/>
      <c r="B73" s="5"/>
      <c r="C73" s="5"/>
      <c r="D73" s="5"/>
      <c r="E73" s="5"/>
      <c r="F73" s="5"/>
    </row>
    <row r="74" ht="15.75" customHeight="1">
      <c r="A74" s="5"/>
      <c r="B74" s="5"/>
      <c r="C74" s="5"/>
      <c r="D74" s="5"/>
      <c r="E74" s="5"/>
      <c r="F74" s="5"/>
    </row>
    <row r="75" ht="15.75" customHeight="1">
      <c r="A75" s="5"/>
      <c r="B75" s="5"/>
      <c r="C75" s="5"/>
      <c r="D75" s="5"/>
      <c r="E75" s="5"/>
      <c r="F75" s="5"/>
    </row>
    <row r="76" ht="15.75" customHeight="1">
      <c r="A76" s="5"/>
      <c r="B76" s="5"/>
      <c r="C76" s="5"/>
      <c r="D76" s="5"/>
      <c r="E76" s="5"/>
      <c r="F76" s="5"/>
    </row>
    <row r="77" ht="15.75" customHeight="1">
      <c r="A77" s="5"/>
      <c r="B77" s="5"/>
      <c r="C77" s="5"/>
      <c r="D77" s="5"/>
      <c r="E77" s="5"/>
      <c r="F77" s="5"/>
    </row>
    <row r="78" ht="15.75" customHeight="1">
      <c r="A78" s="5"/>
      <c r="B78" s="5"/>
      <c r="C78" s="5"/>
      <c r="D78" s="5"/>
      <c r="E78" s="5"/>
      <c r="F78" s="5"/>
    </row>
    <row r="79" ht="15.75" customHeight="1">
      <c r="A79" s="5"/>
      <c r="B79" s="5"/>
      <c r="C79" s="5"/>
      <c r="D79" s="5"/>
      <c r="E79" s="5"/>
      <c r="F79" s="5"/>
    </row>
    <row r="80" ht="15.75" customHeight="1">
      <c r="A80" s="5"/>
      <c r="B80" s="5"/>
      <c r="C80" s="5"/>
      <c r="D80" s="5"/>
      <c r="E80" s="5"/>
      <c r="F80" s="5"/>
    </row>
    <row r="81" ht="15.75" customHeight="1">
      <c r="A81" s="5"/>
      <c r="B81" s="5"/>
      <c r="C81" s="5"/>
      <c r="D81" s="5"/>
      <c r="E81" s="5"/>
      <c r="F81" s="5"/>
    </row>
    <row r="82" ht="15.75" customHeight="1">
      <c r="A82" s="5"/>
      <c r="B82" s="5"/>
      <c r="C82" s="5"/>
      <c r="D82" s="5"/>
      <c r="E82" s="5"/>
      <c r="F82" s="5"/>
    </row>
    <row r="83" ht="15.75" customHeight="1">
      <c r="A83" s="5"/>
      <c r="B83" s="5"/>
      <c r="C83" s="5"/>
      <c r="D83" s="5"/>
      <c r="E83" s="5"/>
      <c r="F83" s="5"/>
    </row>
    <row r="84" ht="15.75" customHeight="1">
      <c r="A84" s="5"/>
      <c r="B84" s="5"/>
      <c r="C84" s="5"/>
      <c r="D84" s="5"/>
      <c r="E84" s="5"/>
      <c r="F84" s="5"/>
    </row>
    <row r="85" ht="15.75" customHeight="1">
      <c r="A85" s="5"/>
      <c r="B85" s="5"/>
      <c r="C85" s="5"/>
      <c r="D85" s="5"/>
      <c r="E85" s="5"/>
      <c r="F85" s="5"/>
    </row>
    <row r="86" ht="15.75" customHeight="1">
      <c r="A86" s="5"/>
      <c r="B86" s="5"/>
      <c r="C86" s="5"/>
      <c r="D86" s="5"/>
      <c r="E86" s="5"/>
      <c r="F86" s="5"/>
    </row>
    <row r="87" ht="15.75" customHeight="1">
      <c r="A87" s="5"/>
      <c r="B87" s="5"/>
      <c r="C87" s="5"/>
      <c r="D87" s="5"/>
      <c r="E87" s="5"/>
      <c r="F87" s="5"/>
    </row>
    <row r="88" ht="15.75" customHeight="1">
      <c r="A88" s="5"/>
      <c r="B88" s="5"/>
      <c r="C88" s="5"/>
      <c r="D88" s="5"/>
      <c r="E88" s="5"/>
      <c r="F88" s="5"/>
    </row>
    <row r="89" ht="15.75" customHeight="1">
      <c r="A89" s="5"/>
      <c r="B89" s="5"/>
      <c r="C89" s="5"/>
      <c r="D89" s="5"/>
      <c r="E89" s="5"/>
      <c r="F89" s="5"/>
    </row>
    <row r="90" ht="15.75" customHeight="1">
      <c r="A90" s="5"/>
      <c r="B90" s="5"/>
      <c r="C90" s="5"/>
      <c r="D90" s="5"/>
      <c r="E90" s="5"/>
      <c r="F90" s="5"/>
    </row>
    <row r="91" ht="15.75" customHeight="1">
      <c r="A91" s="5"/>
      <c r="B91" s="5"/>
      <c r="C91" s="5"/>
      <c r="D91" s="5"/>
      <c r="E91" s="5"/>
      <c r="F91" s="5"/>
    </row>
    <row r="92" ht="15.75" customHeight="1">
      <c r="A92" s="5"/>
      <c r="B92" s="5"/>
      <c r="C92" s="5"/>
      <c r="D92" s="5"/>
      <c r="E92" s="5"/>
      <c r="F92" s="5"/>
    </row>
    <row r="93" ht="15.75" customHeight="1">
      <c r="A93" s="5"/>
      <c r="B93" s="5"/>
      <c r="C93" s="5"/>
      <c r="D93" s="5"/>
      <c r="E93" s="5"/>
      <c r="F93" s="5"/>
    </row>
    <row r="94" ht="15.75" customHeight="1">
      <c r="A94" s="5"/>
      <c r="B94" s="5"/>
      <c r="C94" s="5"/>
      <c r="D94" s="5"/>
      <c r="E94" s="5"/>
      <c r="F94" s="5"/>
    </row>
    <row r="95" ht="15.75" customHeight="1">
      <c r="A95" s="5"/>
      <c r="B95" s="5"/>
      <c r="C95" s="5"/>
      <c r="D95" s="5"/>
      <c r="E95" s="5"/>
      <c r="F95" s="5"/>
    </row>
    <row r="96" ht="15.75" customHeight="1">
      <c r="A96" s="5"/>
      <c r="B96" s="5"/>
      <c r="C96" s="5"/>
      <c r="D96" s="5"/>
      <c r="E96" s="5"/>
      <c r="F96" s="5"/>
    </row>
    <row r="97" ht="15.75" customHeight="1">
      <c r="A97" s="5"/>
      <c r="B97" s="5"/>
      <c r="C97" s="5"/>
      <c r="D97" s="5"/>
      <c r="E97" s="5"/>
      <c r="F97" s="5"/>
    </row>
    <row r="98" ht="15.75" customHeight="1">
      <c r="A98" s="5"/>
      <c r="B98" s="5"/>
      <c r="C98" s="5"/>
      <c r="D98" s="5"/>
      <c r="E98" s="5"/>
      <c r="F98" s="5"/>
    </row>
    <row r="99" ht="15.75" customHeight="1">
      <c r="A99" s="5"/>
      <c r="B99" s="5"/>
      <c r="C99" s="5"/>
      <c r="D99" s="5"/>
      <c r="E99" s="5"/>
      <c r="F99" s="5"/>
    </row>
    <row r="100" ht="15.75" customHeight="1">
      <c r="A100" s="5"/>
      <c r="B100" s="5"/>
      <c r="C100" s="5"/>
      <c r="D100" s="5"/>
      <c r="E100" s="5"/>
      <c r="F100" s="5"/>
    </row>
    <row r="101" ht="15.75" customHeight="1">
      <c r="A101" s="5"/>
      <c r="B101" s="5"/>
      <c r="C101" s="5"/>
      <c r="D101" s="5"/>
      <c r="E101" s="5"/>
      <c r="F101" s="5"/>
    </row>
    <row r="102" ht="15.75" customHeight="1">
      <c r="A102" s="5"/>
      <c r="B102" s="5"/>
      <c r="C102" s="5"/>
      <c r="D102" s="5"/>
      <c r="E102" s="5"/>
      <c r="F102" s="5"/>
    </row>
    <row r="103" ht="15.75" customHeight="1">
      <c r="A103" s="5"/>
      <c r="B103" s="5"/>
      <c r="C103" s="5"/>
      <c r="D103" s="5"/>
      <c r="E103" s="5"/>
      <c r="F103" s="5"/>
    </row>
    <row r="104" ht="15.75" customHeight="1">
      <c r="A104" s="5"/>
      <c r="B104" s="5"/>
      <c r="C104" s="5"/>
      <c r="D104" s="5"/>
      <c r="E104" s="5"/>
      <c r="F104" s="5"/>
    </row>
    <row r="105" ht="15.75" customHeight="1">
      <c r="A105" s="5"/>
      <c r="B105" s="5"/>
      <c r="C105" s="5"/>
      <c r="D105" s="5"/>
      <c r="E105" s="5"/>
      <c r="F105" s="5"/>
    </row>
    <row r="106" ht="15.75" customHeight="1">
      <c r="A106" s="5"/>
      <c r="B106" s="5"/>
      <c r="C106" s="5"/>
      <c r="D106" s="5"/>
      <c r="E106" s="5"/>
      <c r="F106" s="5"/>
    </row>
    <row r="107" ht="15.75" customHeight="1">
      <c r="A107" s="5"/>
      <c r="B107" s="5"/>
      <c r="C107" s="5"/>
      <c r="D107" s="5"/>
      <c r="E107" s="5"/>
      <c r="F107" s="5"/>
    </row>
    <row r="108" ht="15.75" customHeight="1">
      <c r="A108" s="5"/>
      <c r="B108" s="5"/>
      <c r="C108" s="5"/>
      <c r="D108" s="5"/>
      <c r="E108" s="5"/>
      <c r="F108" s="5"/>
    </row>
    <row r="109" ht="15.75" customHeight="1">
      <c r="A109" s="5"/>
      <c r="B109" s="5"/>
      <c r="C109" s="5"/>
      <c r="D109" s="5"/>
      <c r="E109" s="5"/>
      <c r="F109" s="5"/>
    </row>
    <row r="110" ht="15.75" customHeight="1">
      <c r="A110" s="5"/>
      <c r="B110" s="5"/>
      <c r="C110" s="5"/>
      <c r="D110" s="5"/>
      <c r="E110" s="5"/>
      <c r="F110" s="5"/>
    </row>
    <row r="111" ht="15.75" customHeight="1">
      <c r="A111" s="5"/>
      <c r="B111" s="5"/>
      <c r="C111" s="5"/>
      <c r="D111" s="5"/>
      <c r="E111" s="5"/>
      <c r="F111" s="5"/>
    </row>
    <row r="112" ht="15.75" customHeight="1">
      <c r="A112" s="5"/>
      <c r="B112" s="5"/>
      <c r="C112" s="5"/>
      <c r="D112" s="5"/>
      <c r="E112" s="5"/>
      <c r="F112" s="5"/>
    </row>
    <row r="113" ht="15.75" customHeight="1">
      <c r="A113" s="5"/>
      <c r="B113" s="5"/>
      <c r="C113" s="5"/>
      <c r="D113" s="5"/>
      <c r="E113" s="5"/>
      <c r="F113" s="5"/>
    </row>
    <row r="114" ht="15.75" customHeight="1">
      <c r="A114" s="5"/>
      <c r="B114" s="5"/>
      <c r="C114" s="5"/>
      <c r="D114" s="5"/>
      <c r="E114" s="5"/>
      <c r="F114" s="5"/>
    </row>
    <row r="115" ht="15.75" customHeight="1">
      <c r="A115" s="5"/>
      <c r="B115" s="5"/>
      <c r="C115" s="5"/>
      <c r="D115" s="5"/>
      <c r="E115" s="5"/>
      <c r="F115" s="5"/>
    </row>
    <row r="116" ht="15.75" customHeight="1">
      <c r="A116" s="5"/>
      <c r="B116" s="5"/>
      <c r="C116" s="5"/>
      <c r="D116" s="5"/>
      <c r="E116" s="5"/>
      <c r="F116" s="5"/>
    </row>
    <row r="117" ht="15.75" customHeight="1">
      <c r="A117" s="5"/>
      <c r="B117" s="5"/>
      <c r="C117" s="5"/>
      <c r="D117" s="5"/>
      <c r="E117" s="5"/>
      <c r="F117" s="5"/>
    </row>
    <row r="118" ht="15.75" customHeight="1">
      <c r="A118" s="5"/>
      <c r="B118" s="5"/>
      <c r="C118" s="5"/>
      <c r="D118" s="5"/>
      <c r="E118" s="5"/>
      <c r="F118" s="5"/>
    </row>
    <row r="119" ht="15.75" customHeight="1">
      <c r="A119" s="5"/>
      <c r="B119" s="5"/>
      <c r="C119" s="5"/>
      <c r="D119" s="5"/>
      <c r="E119" s="5"/>
      <c r="F119" s="5"/>
    </row>
    <row r="120" ht="15.75" customHeight="1">
      <c r="A120" s="5"/>
      <c r="B120" s="5"/>
      <c r="C120" s="5"/>
      <c r="D120" s="5"/>
      <c r="E120" s="5"/>
      <c r="F120" s="5"/>
    </row>
    <row r="121" ht="15.75" customHeight="1">
      <c r="A121" s="5"/>
      <c r="B121" s="5"/>
      <c r="C121" s="5"/>
      <c r="D121" s="5"/>
      <c r="E121" s="5"/>
      <c r="F121" s="5"/>
    </row>
    <row r="122" ht="15.75" customHeight="1">
      <c r="A122" s="5"/>
      <c r="B122" s="5"/>
      <c r="C122" s="5"/>
      <c r="D122" s="5"/>
      <c r="E122" s="5"/>
      <c r="F122" s="5"/>
    </row>
    <row r="123" ht="15.75" customHeight="1">
      <c r="A123" s="5"/>
      <c r="B123" s="5"/>
      <c r="C123" s="5"/>
      <c r="D123" s="5"/>
      <c r="E123" s="5"/>
      <c r="F123" s="5"/>
    </row>
    <row r="124" ht="15.75" customHeight="1">
      <c r="A124" s="5"/>
      <c r="B124" s="5"/>
      <c r="C124" s="5"/>
      <c r="D124" s="5"/>
      <c r="E124" s="5"/>
      <c r="F124" s="5"/>
    </row>
    <row r="125" ht="15.75" customHeight="1">
      <c r="A125" s="5"/>
      <c r="B125" s="5"/>
      <c r="C125" s="5"/>
      <c r="D125" s="5"/>
      <c r="E125" s="5"/>
      <c r="F125" s="5"/>
    </row>
    <row r="126" ht="15.75" customHeight="1">
      <c r="A126" s="5"/>
      <c r="B126" s="5"/>
      <c r="C126" s="5"/>
      <c r="D126" s="5"/>
      <c r="E126" s="5"/>
      <c r="F126" s="5"/>
    </row>
    <row r="127" ht="15.75" customHeight="1">
      <c r="A127" s="5"/>
      <c r="B127" s="5"/>
      <c r="C127" s="5"/>
      <c r="D127" s="5"/>
      <c r="E127" s="5"/>
      <c r="F127" s="5"/>
    </row>
    <row r="128" ht="15.75" customHeight="1">
      <c r="A128" s="5"/>
      <c r="B128" s="5"/>
      <c r="C128" s="5"/>
      <c r="D128" s="5"/>
      <c r="E128" s="5"/>
      <c r="F128" s="5"/>
    </row>
    <row r="129" ht="15.75" customHeight="1">
      <c r="A129" s="5"/>
      <c r="B129" s="5"/>
      <c r="C129" s="5"/>
      <c r="D129" s="5"/>
      <c r="E129" s="5"/>
      <c r="F129" s="5"/>
    </row>
    <row r="130" ht="15.75" customHeight="1">
      <c r="A130" s="5"/>
      <c r="B130" s="5"/>
      <c r="C130" s="5"/>
      <c r="D130" s="5"/>
      <c r="E130" s="5"/>
      <c r="F130" s="5"/>
    </row>
    <row r="131" ht="15.75" customHeight="1">
      <c r="A131" s="5"/>
      <c r="B131" s="5"/>
      <c r="C131" s="5"/>
      <c r="D131" s="5"/>
      <c r="E131" s="5"/>
      <c r="F131" s="5"/>
    </row>
    <row r="132" ht="15.75" customHeight="1">
      <c r="A132" s="5"/>
      <c r="B132" s="5"/>
      <c r="C132" s="5"/>
      <c r="D132" s="5"/>
      <c r="E132" s="5"/>
      <c r="F132" s="5"/>
    </row>
    <row r="133" ht="15.75" customHeight="1">
      <c r="A133" s="5"/>
      <c r="B133" s="5"/>
      <c r="C133" s="5"/>
      <c r="D133" s="5"/>
      <c r="E133" s="5"/>
      <c r="F133" s="5"/>
    </row>
    <row r="134" ht="15.75" customHeight="1">
      <c r="A134" s="5"/>
      <c r="B134" s="5"/>
      <c r="C134" s="5"/>
      <c r="D134" s="5"/>
      <c r="E134" s="5"/>
      <c r="F134" s="5"/>
    </row>
    <row r="135" ht="15.75" customHeight="1">
      <c r="A135" s="5"/>
      <c r="B135" s="5"/>
      <c r="C135" s="5"/>
      <c r="D135" s="5"/>
      <c r="E135" s="5"/>
      <c r="F135" s="5"/>
    </row>
    <row r="136" ht="15.75" customHeight="1">
      <c r="A136" s="5"/>
      <c r="B136" s="5"/>
      <c r="C136" s="5"/>
      <c r="D136" s="5"/>
      <c r="E136" s="5"/>
      <c r="F136" s="5"/>
    </row>
    <row r="137" ht="15.75" customHeight="1">
      <c r="A137" s="5"/>
      <c r="B137" s="5"/>
      <c r="C137" s="5"/>
      <c r="D137" s="5"/>
      <c r="E137" s="5"/>
      <c r="F137" s="5"/>
    </row>
    <row r="138" ht="15.75" customHeight="1">
      <c r="A138" s="5"/>
      <c r="B138" s="5"/>
      <c r="C138" s="5"/>
      <c r="D138" s="5"/>
      <c r="E138" s="5"/>
      <c r="F138" s="5"/>
    </row>
    <row r="139" ht="15.75" customHeight="1">
      <c r="A139" s="5"/>
      <c r="B139" s="5"/>
      <c r="C139" s="5"/>
      <c r="D139" s="5"/>
      <c r="E139" s="5"/>
      <c r="F139" s="5"/>
    </row>
    <row r="140" ht="15.75" customHeight="1">
      <c r="A140" s="5"/>
      <c r="B140" s="5"/>
      <c r="C140" s="5"/>
      <c r="D140" s="5"/>
      <c r="E140" s="5"/>
      <c r="F140" s="5"/>
    </row>
    <row r="141" ht="15.75" customHeight="1">
      <c r="A141" s="5"/>
      <c r="B141" s="5"/>
      <c r="C141" s="5"/>
      <c r="D141" s="5"/>
      <c r="E141" s="5"/>
      <c r="F141" s="5"/>
    </row>
    <row r="142" ht="15.75" customHeight="1">
      <c r="A142" s="5"/>
      <c r="B142" s="5"/>
      <c r="C142" s="5"/>
      <c r="D142" s="5"/>
      <c r="E142" s="5"/>
      <c r="F142" s="5"/>
    </row>
    <row r="143" ht="15.75" customHeight="1">
      <c r="A143" s="5"/>
      <c r="B143" s="5"/>
      <c r="C143" s="5"/>
      <c r="D143" s="5"/>
      <c r="E143" s="5"/>
      <c r="F143" s="5"/>
    </row>
    <row r="144" ht="15.75" customHeight="1">
      <c r="A144" s="5"/>
      <c r="B144" s="5"/>
      <c r="C144" s="5"/>
      <c r="D144" s="5"/>
      <c r="E144" s="5"/>
      <c r="F144" s="5"/>
    </row>
    <row r="145" ht="15.75" customHeight="1">
      <c r="A145" s="5"/>
      <c r="B145" s="5"/>
      <c r="C145" s="5"/>
      <c r="D145" s="5"/>
      <c r="E145" s="5"/>
      <c r="F145" s="5"/>
    </row>
    <row r="146" ht="15.75" customHeight="1">
      <c r="A146" s="5"/>
      <c r="B146" s="5"/>
      <c r="C146" s="5"/>
      <c r="D146" s="5"/>
      <c r="E146" s="5"/>
      <c r="F146" s="5"/>
    </row>
    <row r="147" ht="15.75" customHeight="1">
      <c r="A147" s="5"/>
      <c r="B147" s="5"/>
      <c r="C147" s="5"/>
      <c r="D147" s="5"/>
      <c r="E147" s="5"/>
      <c r="F147" s="5"/>
    </row>
    <row r="148" ht="15.75" customHeight="1">
      <c r="A148" s="5"/>
      <c r="B148" s="5"/>
      <c r="C148" s="5"/>
      <c r="D148" s="5"/>
      <c r="E148" s="5"/>
      <c r="F148" s="5"/>
    </row>
    <row r="149" ht="15.75" customHeight="1">
      <c r="A149" s="5"/>
      <c r="B149" s="5"/>
      <c r="C149" s="5"/>
      <c r="D149" s="5"/>
      <c r="E149" s="5"/>
      <c r="F149" s="5"/>
    </row>
    <row r="150" ht="15.75" customHeight="1">
      <c r="A150" s="5"/>
      <c r="B150" s="5"/>
      <c r="C150" s="5"/>
      <c r="D150" s="5"/>
      <c r="E150" s="5"/>
      <c r="F150" s="5"/>
    </row>
    <row r="151" ht="15.75" customHeight="1">
      <c r="A151" s="5"/>
      <c r="B151" s="5"/>
      <c r="C151" s="5"/>
      <c r="D151" s="5"/>
      <c r="E151" s="5"/>
      <c r="F151" s="5"/>
    </row>
    <row r="152" ht="15.75" customHeight="1">
      <c r="A152" s="5"/>
      <c r="B152" s="5"/>
      <c r="C152" s="5"/>
      <c r="D152" s="5"/>
      <c r="E152" s="5"/>
      <c r="F152" s="5"/>
    </row>
    <row r="153" ht="15.75" customHeight="1">
      <c r="A153" s="5"/>
      <c r="B153" s="5"/>
      <c r="C153" s="5"/>
      <c r="D153" s="5"/>
      <c r="E153" s="5"/>
      <c r="F153" s="5"/>
    </row>
    <row r="154" ht="15.75" customHeight="1">
      <c r="A154" s="5"/>
      <c r="B154" s="5"/>
      <c r="C154" s="5"/>
      <c r="D154" s="5"/>
      <c r="E154" s="5"/>
      <c r="F154" s="5"/>
    </row>
    <row r="155" ht="15.75" customHeight="1">
      <c r="A155" s="5"/>
      <c r="B155" s="5"/>
      <c r="C155" s="5"/>
      <c r="D155" s="5"/>
      <c r="E155" s="5"/>
      <c r="F155" s="5"/>
    </row>
    <row r="156" ht="15.75" customHeight="1">
      <c r="A156" s="5"/>
      <c r="B156" s="5"/>
      <c r="C156" s="5"/>
      <c r="D156" s="5"/>
      <c r="E156" s="5"/>
      <c r="F156" s="5"/>
    </row>
    <row r="157" ht="15.75" customHeight="1">
      <c r="A157" s="5"/>
      <c r="B157" s="5"/>
      <c r="C157" s="5"/>
      <c r="D157" s="5"/>
      <c r="E157" s="5"/>
      <c r="F157" s="5"/>
    </row>
    <row r="158" ht="15.75" customHeight="1">
      <c r="A158" s="5"/>
      <c r="B158" s="5"/>
      <c r="C158" s="5"/>
      <c r="D158" s="5"/>
      <c r="E158" s="5"/>
      <c r="F158" s="5"/>
    </row>
    <row r="159" ht="15.75" customHeight="1">
      <c r="A159" s="5"/>
      <c r="B159" s="5"/>
      <c r="C159" s="5"/>
      <c r="D159" s="5"/>
      <c r="E159" s="5"/>
      <c r="F159" s="5"/>
    </row>
    <row r="160" ht="15.75" customHeight="1">
      <c r="A160" s="5"/>
      <c r="B160" s="5"/>
      <c r="C160" s="5"/>
      <c r="D160" s="5"/>
      <c r="E160" s="5"/>
      <c r="F160" s="5"/>
    </row>
    <row r="161" ht="15.75" customHeight="1">
      <c r="A161" s="5"/>
      <c r="B161" s="5"/>
      <c r="C161" s="5"/>
      <c r="D161" s="5"/>
      <c r="E161" s="5"/>
      <c r="F161" s="5"/>
    </row>
    <row r="162" ht="15.75" customHeight="1">
      <c r="A162" s="5"/>
      <c r="B162" s="5"/>
      <c r="C162" s="5"/>
      <c r="D162" s="5"/>
      <c r="E162" s="5"/>
      <c r="F162" s="5"/>
    </row>
    <row r="163" ht="15.75" customHeight="1">
      <c r="A163" s="5"/>
      <c r="B163" s="5"/>
      <c r="C163" s="5"/>
      <c r="D163" s="5"/>
      <c r="E163" s="5"/>
      <c r="F163" s="5"/>
    </row>
    <row r="164" ht="15.75" customHeight="1">
      <c r="A164" s="5"/>
      <c r="B164" s="5"/>
      <c r="C164" s="5"/>
      <c r="D164" s="5"/>
      <c r="E164" s="5"/>
      <c r="F164" s="5"/>
    </row>
    <row r="165" ht="15.75" customHeight="1">
      <c r="A165" s="5"/>
      <c r="B165" s="5"/>
      <c r="C165" s="5"/>
      <c r="D165" s="5"/>
      <c r="E165" s="5"/>
      <c r="F165" s="5"/>
    </row>
    <row r="166" ht="15.75" customHeight="1">
      <c r="A166" s="5"/>
      <c r="B166" s="5"/>
      <c r="C166" s="5"/>
      <c r="D166" s="5"/>
      <c r="E166" s="5"/>
      <c r="F166" s="5"/>
    </row>
    <row r="167" ht="15.75" customHeight="1">
      <c r="A167" s="5"/>
      <c r="B167" s="5"/>
      <c r="C167" s="5"/>
      <c r="D167" s="5"/>
      <c r="E167" s="5"/>
      <c r="F167" s="5"/>
    </row>
    <row r="168" ht="15.75" customHeight="1">
      <c r="A168" s="5"/>
      <c r="B168" s="5"/>
      <c r="C168" s="5"/>
      <c r="D168" s="5"/>
      <c r="E168" s="5"/>
      <c r="F168" s="5"/>
    </row>
    <row r="169" ht="15.75" customHeight="1">
      <c r="A169" s="5"/>
      <c r="B169" s="5"/>
      <c r="C169" s="5"/>
      <c r="D169" s="5"/>
      <c r="E169" s="5"/>
      <c r="F169" s="5"/>
    </row>
    <row r="170" ht="15.75" customHeight="1">
      <c r="A170" s="5"/>
      <c r="B170" s="5"/>
      <c r="C170" s="5"/>
      <c r="D170" s="5"/>
      <c r="E170" s="5"/>
      <c r="F170" s="5"/>
    </row>
    <row r="171" ht="15.75" customHeight="1">
      <c r="A171" s="5"/>
      <c r="B171" s="5"/>
      <c r="C171" s="5"/>
      <c r="D171" s="5"/>
      <c r="E171" s="5"/>
      <c r="F171" s="5"/>
    </row>
    <row r="172" ht="15.75" customHeight="1">
      <c r="A172" s="5"/>
      <c r="B172" s="5"/>
      <c r="C172" s="5"/>
      <c r="D172" s="5"/>
      <c r="E172" s="5"/>
      <c r="F172" s="5"/>
    </row>
    <row r="173" ht="15.75" customHeight="1">
      <c r="A173" s="5"/>
      <c r="B173" s="5"/>
      <c r="C173" s="5"/>
      <c r="D173" s="5"/>
      <c r="E173" s="5"/>
      <c r="F173" s="5"/>
    </row>
    <row r="174" ht="15.75" customHeight="1">
      <c r="A174" s="5"/>
      <c r="B174" s="5"/>
      <c r="C174" s="5"/>
      <c r="D174" s="5"/>
      <c r="E174" s="5"/>
      <c r="F174" s="5"/>
    </row>
    <row r="175" ht="15.75" customHeight="1">
      <c r="A175" s="5"/>
      <c r="B175" s="5"/>
      <c r="C175" s="5"/>
      <c r="D175" s="5"/>
      <c r="E175" s="5"/>
      <c r="F175" s="5"/>
    </row>
    <row r="176" ht="15.75" customHeight="1">
      <c r="A176" s="5"/>
      <c r="B176" s="5"/>
      <c r="C176" s="5"/>
      <c r="D176" s="5"/>
      <c r="E176" s="5"/>
      <c r="F176" s="5"/>
    </row>
    <row r="177" ht="15.75" customHeight="1">
      <c r="A177" s="5"/>
      <c r="B177" s="5"/>
      <c r="C177" s="5"/>
      <c r="D177" s="5"/>
      <c r="E177" s="5"/>
      <c r="F177" s="5"/>
    </row>
    <row r="178" ht="15.75" customHeight="1">
      <c r="A178" s="5"/>
      <c r="B178" s="5"/>
      <c r="C178" s="5"/>
      <c r="D178" s="5"/>
      <c r="E178" s="5"/>
      <c r="F178" s="5"/>
    </row>
    <row r="179" ht="15.75" customHeight="1">
      <c r="A179" s="5"/>
      <c r="B179" s="5"/>
      <c r="C179" s="5"/>
      <c r="D179" s="5"/>
      <c r="E179" s="5"/>
      <c r="F179" s="5"/>
    </row>
    <row r="180" ht="15.75" customHeight="1">
      <c r="A180" s="5"/>
      <c r="B180" s="5"/>
      <c r="C180" s="5"/>
      <c r="D180" s="5"/>
      <c r="E180" s="5"/>
      <c r="F180" s="5"/>
    </row>
    <row r="181" ht="15.75" customHeight="1">
      <c r="A181" s="5"/>
      <c r="B181" s="5"/>
      <c r="C181" s="5"/>
      <c r="D181" s="5"/>
      <c r="E181" s="5"/>
      <c r="F181" s="5"/>
    </row>
    <row r="182" ht="15.75" customHeight="1">
      <c r="A182" s="5"/>
      <c r="B182" s="5"/>
      <c r="C182" s="5"/>
      <c r="D182" s="5"/>
      <c r="E182" s="5"/>
      <c r="F182" s="5"/>
    </row>
    <row r="183" ht="15.75" customHeight="1">
      <c r="A183" s="5"/>
      <c r="B183" s="5"/>
      <c r="C183" s="5"/>
      <c r="D183" s="5"/>
      <c r="E183" s="5"/>
      <c r="F183" s="5"/>
    </row>
    <row r="184" ht="15.75" customHeight="1">
      <c r="A184" s="5"/>
      <c r="B184" s="5"/>
      <c r="C184" s="5"/>
      <c r="D184" s="5"/>
      <c r="E184" s="5"/>
      <c r="F184" s="5"/>
    </row>
    <row r="185" ht="15.75" customHeight="1">
      <c r="A185" s="5"/>
      <c r="B185" s="5"/>
      <c r="C185" s="5"/>
      <c r="D185" s="5"/>
      <c r="E185" s="5"/>
      <c r="F185" s="5"/>
    </row>
    <row r="186" ht="15.75" customHeight="1">
      <c r="A186" s="5"/>
      <c r="B186" s="5"/>
      <c r="C186" s="5"/>
      <c r="D186" s="5"/>
      <c r="E186" s="5"/>
      <c r="F186" s="5"/>
    </row>
    <row r="187" ht="15.75" customHeight="1">
      <c r="A187" s="5"/>
      <c r="B187" s="5"/>
      <c r="C187" s="5"/>
      <c r="D187" s="5"/>
      <c r="E187" s="5"/>
      <c r="F187" s="5"/>
    </row>
    <row r="188" ht="15.75" customHeight="1">
      <c r="A188" s="5"/>
      <c r="B188" s="5"/>
      <c r="C188" s="5"/>
      <c r="D188" s="5"/>
      <c r="E188" s="5"/>
      <c r="F188" s="5"/>
    </row>
    <row r="189" ht="15.75" customHeight="1">
      <c r="A189" s="5"/>
      <c r="B189" s="5"/>
      <c r="C189" s="5"/>
      <c r="D189" s="5"/>
      <c r="E189" s="5"/>
      <c r="F189" s="5"/>
    </row>
    <row r="190" ht="15.75" customHeight="1">
      <c r="A190" s="5"/>
      <c r="B190" s="5"/>
      <c r="C190" s="5"/>
      <c r="D190" s="5"/>
      <c r="E190" s="5"/>
      <c r="F190" s="5"/>
    </row>
    <row r="191" ht="15.75" customHeight="1">
      <c r="A191" s="5"/>
      <c r="B191" s="5"/>
      <c r="C191" s="5"/>
      <c r="D191" s="5"/>
      <c r="E191" s="5"/>
      <c r="F191" s="5"/>
    </row>
    <row r="192" ht="15.75" customHeight="1">
      <c r="A192" s="5"/>
      <c r="B192" s="5"/>
      <c r="C192" s="5"/>
      <c r="D192" s="5"/>
      <c r="E192" s="5"/>
      <c r="F192" s="5"/>
    </row>
    <row r="193" ht="15.75" customHeight="1">
      <c r="A193" s="5"/>
      <c r="B193" s="5"/>
      <c r="C193" s="5"/>
      <c r="D193" s="5"/>
      <c r="E193" s="5"/>
      <c r="F193" s="5"/>
    </row>
    <row r="194" ht="15.75" customHeight="1">
      <c r="A194" s="5"/>
      <c r="B194" s="5"/>
      <c r="C194" s="5"/>
      <c r="D194" s="5"/>
      <c r="E194" s="5"/>
      <c r="F194" s="5"/>
    </row>
    <row r="195" ht="15.75" customHeight="1">
      <c r="A195" s="5"/>
      <c r="B195" s="5"/>
      <c r="C195" s="5"/>
      <c r="D195" s="5"/>
      <c r="E195" s="5"/>
      <c r="F195" s="5"/>
    </row>
    <row r="196" ht="15.75" customHeight="1">
      <c r="A196" s="5"/>
      <c r="B196" s="5"/>
      <c r="C196" s="5"/>
      <c r="D196" s="5"/>
      <c r="E196" s="5"/>
      <c r="F196" s="5"/>
    </row>
    <row r="197" ht="15.75" customHeight="1">
      <c r="A197" s="5"/>
      <c r="B197" s="5"/>
      <c r="C197" s="5"/>
      <c r="D197" s="5"/>
      <c r="E197" s="5"/>
      <c r="F197" s="5"/>
    </row>
    <row r="198" ht="15.75" customHeight="1">
      <c r="A198" s="5"/>
      <c r="B198" s="5"/>
      <c r="C198" s="5"/>
      <c r="D198" s="5"/>
      <c r="E198" s="5"/>
      <c r="F198" s="5"/>
    </row>
    <row r="199" ht="15.75" customHeight="1">
      <c r="A199" s="5"/>
      <c r="B199" s="5"/>
      <c r="C199" s="5"/>
      <c r="D199" s="5"/>
      <c r="E199" s="5"/>
      <c r="F199" s="5"/>
    </row>
    <row r="200" ht="15.75" customHeight="1">
      <c r="A200" s="5"/>
      <c r="B200" s="5"/>
      <c r="C200" s="5"/>
      <c r="D200" s="5"/>
      <c r="E200" s="5"/>
      <c r="F200" s="5"/>
    </row>
    <row r="201" ht="15.75" customHeight="1">
      <c r="A201" s="5"/>
      <c r="B201" s="5"/>
      <c r="C201" s="5"/>
      <c r="D201" s="5"/>
      <c r="E201" s="5"/>
      <c r="F201" s="5"/>
    </row>
    <row r="202" ht="15.75" customHeight="1">
      <c r="A202" s="5"/>
      <c r="B202" s="5"/>
      <c r="C202" s="5"/>
      <c r="D202" s="5"/>
      <c r="E202" s="5"/>
      <c r="F202" s="5"/>
    </row>
    <row r="203" ht="15.75" customHeight="1">
      <c r="A203" s="5"/>
      <c r="B203" s="5"/>
      <c r="C203" s="5"/>
      <c r="D203" s="5"/>
      <c r="E203" s="5"/>
      <c r="F203" s="5"/>
    </row>
    <row r="204" ht="15.75" customHeight="1">
      <c r="A204" s="5"/>
      <c r="B204" s="5"/>
      <c r="C204" s="5"/>
      <c r="D204" s="5"/>
      <c r="E204" s="5"/>
      <c r="F204" s="5"/>
    </row>
    <row r="205" ht="15.75" customHeight="1">
      <c r="A205" s="5"/>
      <c r="B205" s="5"/>
      <c r="C205" s="5"/>
      <c r="D205" s="5"/>
      <c r="E205" s="5"/>
      <c r="F205" s="5"/>
    </row>
    <row r="206" ht="15.75" customHeight="1">
      <c r="A206" s="5"/>
      <c r="B206" s="5"/>
      <c r="C206" s="5"/>
      <c r="D206" s="5"/>
      <c r="E206" s="5"/>
      <c r="F206" s="5"/>
    </row>
    <row r="207" ht="15.75" customHeight="1">
      <c r="A207" s="5"/>
      <c r="B207" s="5"/>
      <c r="C207" s="5"/>
      <c r="D207" s="5"/>
      <c r="E207" s="5"/>
      <c r="F207" s="5"/>
    </row>
    <row r="208" ht="15.75" customHeight="1">
      <c r="A208" s="5"/>
      <c r="B208" s="5"/>
      <c r="C208" s="5"/>
      <c r="D208" s="5"/>
      <c r="E208" s="5"/>
      <c r="F208" s="5"/>
    </row>
    <row r="209" ht="15.75" customHeight="1">
      <c r="A209" s="5"/>
      <c r="B209" s="5"/>
      <c r="C209" s="5"/>
      <c r="D209" s="5"/>
      <c r="E209" s="5"/>
      <c r="F209" s="5"/>
    </row>
    <row r="210" ht="15.75" customHeight="1">
      <c r="A210" s="5"/>
      <c r="B210" s="5"/>
      <c r="C210" s="5"/>
      <c r="D210" s="5"/>
      <c r="E210" s="5"/>
      <c r="F210" s="5"/>
    </row>
    <row r="211" ht="15.75" customHeight="1">
      <c r="A211" s="5"/>
      <c r="B211" s="5"/>
      <c r="C211" s="5"/>
      <c r="D211" s="5"/>
      <c r="E211" s="5"/>
      <c r="F211" s="5"/>
    </row>
    <row r="212" ht="15.75" customHeight="1">
      <c r="A212" s="5"/>
      <c r="B212" s="5"/>
      <c r="C212" s="5"/>
      <c r="D212" s="5"/>
      <c r="E212" s="5"/>
      <c r="F212" s="5"/>
    </row>
    <row r="213" ht="15.75" customHeight="1">
      <c r="A213" s="5"/>
      <c r="B213" s="5"/>
      <c r="C213" s="5"/>
      <c r="D213" s="5"/>
      <c r="E213" s="5"/>
      <c r="F213" s="5"/>
    </row>
    <row r="214" ht="15.75" customHeight="1">
      <c r="A214" s="5"/>
      <c r="B214" s="5"/>
      <c r="C214" s="5"/>
      <c r="D214" s="5"/>
      <c r="E214" s="5"/>
      <c r="F214" s="5"/>
    </row>
    <row r="215" ht="15.75" customHeight="1">
      <c r="A215" s="5"/>
      <c r="B215" s="5"/>
      <c r="C215" s="5"/>
      <c r="D215" s="5"/>
      <c r="E215" s="5"/>
      <c r="F215" s="5"/>
    </row>
    <row r="216" ht="15.75" customHeight="1">
      <c r="A216" s="5"/>
      <c r="B216" s="5"/>
      <c r="C216" s="5"/>
      <c r="D216" s="5"/>
      <c r="E216" s="5"/>
      <c r="F216" s="5"/>
    </row>
    <row r="217" ht="15.75" customHeight="1">
      <c r="A217" s="5"/>
      <c r="B217" s="5"/>
      <c r="C217" s="5"/>
      <c r="D217" s="5"/>
      <c r="E217" s="5"/>
      <c r="F217" s="5"/>
    </row>
    <row r="218" ht="15.75" customHeight="1">
      <c r="A218" s="5"/>
      <c r="B218" s="5"/>
      <c r="C218" s="5"/>
      <c r="D218" s="5"/>
      <c r="E218" s="5"/>
      <c r="F218" s="5"/>
    </row>
    <row r="219" ht="15.75" customHeight="1">
      <c r="A219" s="5"/>
      <c r="B219" s="5"/>
      <c r="C219" s="5"/>
      <c r="D219" s="5"/>
      <c r="E219" s="5"/>
      <c r="F219" s="5"/>
    </row>
    <row r="220" ht="15.75" customHeight="1">
      <c r="A220" s="5"/>
      <c r="B220" s="5"/>
      <c r="C220" s="5"/>
      <c r="D220" s="5"/>
      <c r="E220" s="5"/>
      <c r="F220" s="5"/>
    </row>
    <row r="221" ht="15.75" customHeight="1">
      <c r="A221" s="5"/>
      <c r="B221" s="5"/>
      <c r="C221" s="5"/>
      <c r="D221" s="5"/>
      <c r="E221" s="5"/>
      <c r="F221" s="5"/>
    </row>
    <row r="222" ht="15.75" customHeight="1">
      <c r="A222" s="5"/>
      <c r="B222" s="5"/>
      <c r="C222" s="5"/>
      <c r="D222" s="5"/>
      <c r="E222" s="5"/>
      <c r="F222" s="5"/>
    </row>
    <row r="223" ht="15.75" customHeight="1">
      <c r="A223" s="5"/>
      <c r="B223" s="5"/>
      <c r="C223" s="5"/>
      <c r="D223" s="5"/>
      <c r="E223" s="5"/>
      <c r="F223" s="5"/>
    </row>
    <row r="224" ht="15.75" customHeight="1">
      <c r="A224" s="5"/>
      <c r="B224" s="5"/>
      <c r="C224" s="5"/>
      <c r="D224" s="5"/>
      <c r="E224" s="5"/>
      <c r="F224" s="5"/>
    </row>
    <row r="225" ht="15.75" customHeight="1">
      <c r="A225" s="5"/>
      <c r="B225" s="5"/>
      <c r="C225" s="5"/>
      <c r="D225" s="5"/>
      <c r="E225" s="5"/>
      <c r="F225" s="5"/>
    </row>
    <row r="226" ht="15.75" customHeight="1">
      <c r="A226" s="5"/>
      <c r="B226" s="5"/>
      <c r="C226" s="5"/>
      <c r="D226" s="5"/>
      <c r="E226" s="5"/>
      <c r="F226" s="5"/>
    </row>
    <row r="227" ht="15.75" customHeight="1">
      <c r="A227" s="5"/>
      <c r="B227" s="5"/>
      <c r="C227" s="5"/>
      <c r="D227" s="5"/>
      <c r="E227" s="5"/>
      <c r="F227" s="5"/>
    </row>
    <row r="228" ht="15.75" customHeight="1">
      <c r="A228" s="5"/>
      <c r="B228" s="5"/>
      <c r="C228" s="5"/>
      <c r="D228" s="5"/>
      <c r="E228" s="5"/>
      <c r="F228" s="5"/>
    </row>
    <row r="229" ht="15.75" customHeight="1">
      <c r="A229" s="5"/>
      <c r="B229" s="5"/>
      <c r="C229" s="5"/>
      <c r="D229" s="5"/>
      <c r="E229" s="5"/>
      <c r="F229" s="5"/>
    </row>
    <row r="230" ht="15.75" customHeight="1">
      <c r="A230" s="5"/>
      <c r="B230" s="5"/>
      <c r="C230" s="5"/>
      <c r="D230" s="5"/>
      <c r="E230" s="5"/>
      <c r="F230" s="5"/>
    </row>
    <row r="231" ht="15.75" customHeight="1">
      <c r="A231" s="5"/>
      <c r="B231" s="5"/>
      <c r="C231" s="5"/>
      <c r="D231" s="5"/>
      <c r="E231" s="5"/>
      <c r="F231" s="5"/>
    </row>
    <row r="232" ht="15.75" customHeight="1">
      <c r="A232" s="5"/>
      <c r="B232" s="5"/>
      <c r="C232" s="5"/>
      <c r="D232" s="5"/>
      <c r="E232" s="5"/>
      <c r="F232" s="5"/>
    </row>
    <row r="233" ht="15.75" customHeight="1">
      <c r="A233" s="5"/>
      <c r="B233" s="5"/>
      <c r="C233" s="5"/>
      <c r="D233" s="5"/>
      <c r="E233" s="5"/>
      <c r="F233" s="5"/>
    </row>
    <row r="234" ht="15.75" customHeight="1">
      <c r="A234" s="5"/>
      <c r="B234" s="5"/>
      <c r="C234" s="5"/>
      <c r="D234" s="5"/>
      <c r="E234" s="5"/>
      <c r="F234" s="5"/>
    </row>
    <row r="235" ht="15.75" customHeight="1">
      <c r="A235" s="5"/>
      <c r="B235" s="5"/>
      <c r="C235" s="5"/>
      <c r="D235" s="5"/>
      <c r="E235" s="5"/>
      <c r="F235" s="5"/>
    </row>
    <row r="236" ht="15.75" customHeight="1">
      <c r="A236" s="5"/>
      <c r="B236" s="5"/>
      <c r="C236" s="5"/>
      <c r="D236" s="5"/>
      <c r="E236" s="5"/>
      <c r="F236" s="5"/>
    </row>
    <row r="237" ht="15.75" customHeight="1">
      <c r="A237" s="5"/>
      <c r="B237" s="5"/>
      <c r="C237" s="5"/>
      <c r="D237" s="5"/>
      <c r="E237" s="5"/>
      <c r="F237" s="5"/>
    </row>
    <row r="238" ht="15.75" customHeight="1">
      <c r="A238" s="5"/>
      <c r="B238" s="5"/>
      <c r="C238" s="5"/>
      <c r="D238" s="5"/>
      <c r="E238" s="5"/>
      <c r="F238" s="5"/>
    </row>
    <row r="239" ht="15.75" customHeight="1">
      <c r="A239" s="5"/>
      <c r="B239" s="5"/>
      <c r="C239" s="5"/>
      <c r="D239" s="5"/>
      <c r="E239" s="5"/>
      <c r="F239" s="5"/>
    </row>
    <row r="240" ht="15.75" customHeight="1">
      <c r="A240" s="5"/>
      <c r="B240" s="5"/>
      <c r="C240" s="5"/>
      <c r="D240" s="5"/>
      <c r="E240" s="5"/>
      <c r="F240" s="5"/>
    </row>
    <row r="241" ht="15.75" customHeight="1">
      <c r="A241" s="5"/>
      <c r="B241" s="5"/>
      <c r="C241" s="5"/>
      <c r="D241" s="5"/>
      <c r="E241" s="5"/>
      <c r="F241" s="5"/>
    </row>
    <row r="242" ht="15.75" customHeight="1">
      <c r="A242" s="5"/>
      <c r="B242" s="5"/>
      <c r="C242" s="5"/>
      <c r="D242" s="5"/>
      <c r="E242" s="5"/>
      <c r="F242" s="5"/>
    </row>
    <row r="243" ht="15.75" customHeight="1">
      <c r="A243" s="5"/>
      <c r="B243" s="5"/>
      <c r="C243" s="5"/>
      <c r="D243" s="5"/>
      <c r="E243" s="5"/>
      <c r="F243" s="5"/>
    </row>
    <row r="244" ht="15.75" customHeight="1">
      <c r="A244" s="5"/>
      <c r="B244" s="5"/>
      <c r="C244" s="5"/>
      <c r="D244" s="5"/>
      <c r="E244" s="5"/>
      <c r="F244" s="5"/>
    </row>
    <row r="245" ht="15.75" customHeight="1">
      <c r="A245" s="5"/>
      <c r="B245" s="5"/>
      <c r="C245" s="5"/>
      <c r="D245" s="5"/>
      <c r="E245" s="5"/>
      <c r="F245" s="5"/>
    </row>
    <row r="246" ht="15.75" customHeight="1">
      <c r="A246" s="5"/>
      <c r="B246" s="5"/>
      <c r="C246" s="5"/>
      <c r="D246" s="5"/>
      <c r="E246" s="5"/>
      <c r="F246" s="5"/>
    </row>
    <row r="247" ht="15.75" customHeight="1">
      <c r="A247" s="5"/>
      <c r="B247" s="5"/>
      <c r="C247" s="5"/>
      <c r="D247" s="5"/>
      <c r="E247" s="5"/>
      <c r="F247" s="5"/>
    </row>
    <row r="248" ht="15.75" customHeight="1">
      <c r="A248" s="5"/>
      <c r="B248" s="5"/>
      <c r="C248" s="5"/>
      <c r="D248" s="5"/>
      <c r="E248" s="5"/>
      <c r="F248" s="5"/>
    </row>
    <row r="249" ht="15.75" customHeight="1">
      <c r="A249" s="5"/>
      <c r="B249" s="5"/>
      <c r="C249" s="5"/>
      <c r="D249" s="5"/>
      <c r="E249" s="5"/>
      <c r="F249" s="5"/>
    </row>
    <row r="250" ht="15.75" customHeight="1">
      <c r="A250" s="5"/>
      <c r="B250" s="5"/>
      <c r="C250" s="5"/>
      <c r="D250" s="5"/>
      <c r="E250" s="5"/>
      <c r="F250" s="5"/>
    </row>
    <row r="251" ht="15.75" customHeight="1">
      <c r="A251" s="5"/>
      <c r="B251" s="5"/>
      <c r="C251" s="5"/>
      <c r="D251" s="5"/>
      <c r="E251" s="5"/>
      <c r="F251" s="5"/>
    </row>
    <row r="252" ht="15.75" customHeight="1">
      <c r="A252" s="5"/>
      <c r="B252" s="5"/>
      <c r="C252" s="5"/>
      <c r="D252" s="5"/>
      <c r="E252" s="5"/>
      <c r="F252" s="5"/>
    </row>
    <row r="253" ht="15.75" customHeight="1">
      <c r="A253" s="5"/>
      <c r="B253" s="5"/>
      <c r="C253" s="5"/>
      <c r="D253" s="5"/>
      <c r="E253" s="5"/>
      <c r="F253" s="5"/>
    </row>
    <row r="254" ht="15.75" customHeight="1">
      <c r="A254" s="5"/>
      <c r="B254" s="5"/>
      <c r="C254" s="5"/>
      <c r="D254" s="5"/>
      <c r="E254" s="5"/>
      <c r="F254" s="5"/>
    </row>
    <row r="255" ht="15.75" customHeight="1">
      <c r="A255" s="5"/>
      <c r="B255" s="5"/>
      <c r="C255" s="5"/>
      <c r="D255" s="5"/>
      <c r="E255" s="5"/>
      <c r="F255" s="5"/>
    </row>
    <row r="256" ht="15.75" customHeight="1">
      <c r="A256" s="5"/>
      <c r="B256" s="5"/>
      <c r="C256" s="5"/>
      <c r="D256" s="5"/>
      <c r="E256" s="5"/>
      <c r="F256" s="5"/>
    </row>
    <row r="257" ht="15.75" customHeight="1">
      <c r="A257" s="5"/>
      <c r="B257" s="5"/>
      <c r="C257" s="5"/>
      <c r="D257" s="5"/>
      <c r="E257" s="5"/>
      <c r="F257" s="5"/>
    </row>
    <row r="258" ht="15.75" customHeight="1">
      <c r="A258" s="5"/>
      <c r="B258" s="5"/>
      <c r="C258" s="5"/>
      <c r="D258" s="5"/>
      <c r="E258" s="5"/>
      <c r="F258" s="5"/>
    </row>
    <row r="259" ht="15.75" customHeight="1">
      <c r="A259" s="5"/>
      <c r="B259" s="5"/>
      <c r="C259" s="5"/>
      <c r="D259" s="5"/>
      <c r="E259" s="5"/>
      <c r="F259" s="5"/>
    </row>
    <row r="260" ht="15.75" customHeight="1">
      <c r="A260" s="5"/>
      <c r="B260" s="5"/>
      <c r="C260" s="5"/>
      <c r="D260" s="5"/>
      <c r="E260" s="5"/>
      <c r="F260" s="5"/>
    </row>
    <row r="261" ht="15.75" customHeight="1">
      <c r="A261" s="5"/>
      <c r="B261" s="5"/>
      <c r="C261" s="5"/>
      <c r="D261" s="5"/>
      <c r="E261" s="5"/>
      <c r="F261" s="5"/>
    </row>
    <row r="262" ht="15.75" customHeight="1">
      <c r="A262" s="5"/>
      <c r="B262" s="5"/>
      <c r="C262" s="5"/>
      <c r="D262" s="5"/>
      <c r="E262" s="5"/>
      <c r="F262" s="5"/>
    </row>
    <row r="263" ht="15.75" customHeight="1">
      <c r="A263" s="5"/>
      <c r="B263" s="5"/>
      <c r="C263" s="5"/>
      <c r="D263" s="5"/>
      <c r="E263" s="5"/>
      <c r="F263" s="5"/>
    </row>
    <row r="264" ht="15.75" customHeight="1">
      <c r="A264" s="5"/>
      <c r="B264" s="5"/>
      <c r="C264" s="5"/>
      <c r="D264" s="5"/>
      <c r="E264" s="5"/>
      <c r="F264" s="5"/>
    </row>
    <row r="265" ht="15.75" customHeight="1">
      <c r="A265" s="5"/>
      <c r="B265" s="5"/>
      <c r="C265" s="5"/>
      <c r="D265" s="5"/>
      <c r="E265" s="5"/>
      <c r="F265" s="5"/>
    </row>
    <row r="266" ht="15.75" customHeight="1">
      <c r="A266" s="5"/>
      <c r="B266" s="5"/>
      <c r="C266" s="5"/>
      <c r="D266" s="5"/>
      <c r="E266" s="5"/>
      <c r="F266" s="5"/>
    </row>
    <row r="267" ht="15.75" customHeight="1">
      <c r="A267" s="5"/>
      <c r="B267" s="5"/>
      <c r="C267" s="5"/>
      <c r="D267" s="5"/>
      <c r="E267" s="5"/>
      <c r="F267" s="5"/>
    </row>
    <row r="268" ht="15.75" customHeight="1">
      <c r="A268" s="5"/>
      <c r="B268" s="5"/>
      <c r="C268" s="5"/>
      <c r="D268" s="5"/>
      <c r="E268" s="5"/>
      <c r="F268" s="5"/>
    </row>
    <row r="269" ht="15.75" customHeight="1">
      <c r="A269" s="5"/>
      <c r="B269" s="5"/>
      <c r="C269" s="5"/>
      <c r="D269" s="5"/>
      <c r="E269" s="5"/>
      <c r="F269" s="5"/>
    </row>
    <row r="270" ht="15.75" customHeight="1">
      <c r="A270" s="5"/>
      <c r="B270" s="5"/>
      <c r="C270" s="5"/>
      <c r="D270" s="5"/>
      <c r="E270" s="5"/>
      <c r="F270" s="5"/>
    </row>
    <row r="271" ht="15.75" customHeight="1">
      <c r="A271" s="5"/>
      <c r="B271" s="5"/>
      <c r="C271" s="5"/>
      <c r="D271" s="5"/>
      <c r="E271" s="5"/>
      <c r="F271" s="5"/>
    </row>
    <row r="272" ht="15.75" customHeight="1">
      <c r="A272" s="5"/>
      <c r="B272" s="5"/>
      <c r="C272" s="5"/>
      <c r="D272" s="5"/>
      <c r="E272" s="5"/>
      <c r="F272" s="5"/>
    </row>
    <row r="273" ht="15.75" customHeight="1">
      <c r="A273" s="5"/>
      <c r="B273" s="5"/>
      <c r="C273" s="5"/>
      <c r="D273" s="5"/>
      <c r="E273" s="5"/>
      <c r="F273" s="5"/>
    </row>
    <row r="274" ht="15.75" customHeight="1">
      <c r="A274" s="5"/>
      <c r="B274" s="5"/>
      <c r="C274" s="5"/>
      <c r="D274" s="5"/>
      <c r="E274" s="5"/>
      <c r="F274" s="5"/>
    </row>
    <row r="275" ht="15.75" customHeight="1">
      <c r="A275" s="5"/>
      <c r="B275" s="5"/>
      <c r="C275" s="5"/>
      <c r="D275" s="5"/>
      <c r="E275" s="5"/>
      <c r="F275" s="5"/>
    </row>
    <row r="276" ht="15.75" customHeight="1">
      <c r="A276" s="5"/>
      <c r="B276" s="5"/>
      <c r="C276" s="5"/>
      <c r="D276" s="5"/>
      <c r="E276" s="5"/>
      <c r="F276" s="5"/>
    </row>
    <row r="277" ht="15.75" customHeight="1">
      <c r="A277" s="5"/>
      <c r="B277" s="5"/>
      <c r="C277" s="5"/>
      <c r="D277" s="5"/>
      <c r="E277" s="5"/>
      <c r="F277" s="5"/>
    </row>
    <row r="278" ht="15.75" customHeight="1">
      <c r="A278" s="5"/>
      <c r="B278" s="5"/>
      <c r="C278" s="5"/>
      <c r="D278" s="5"/>
      <c r="E278" s="5"/>
      <c r="F278" s="5"/>
    </row>
    <row r="279" ht="15.75" customHeight="1">
      <c r="A279" s="5"/>
      <c r="B279" s="5"/>
      <c r="C279" s="5"/>
      <c r="D279" s="5"/>
      <c r="E279" s="5"/>
      <c r="F279" s="5"/>
    </row>
    <row r="280" ht="15.75" customHeight="1">
      <c r="A280" s="5"/>
      <c r="B280" s="5"/>
      <c r="C280" s="5"/>
      <c r="D280" s="5"/>
      <c r="E280" s="5"/>
      <c r="F280" s="5"/>
    </row>
    <row r="281" ht="15.75" customHeight="1">
      <c r="A281" s="5"/>
      <c r="B281" s="5"/>
      <c r="C281" s="5"/>
      <c r="D281" s="5"/>
      <c r="E281" s="5"/>
      <c r="F281" s="5"/>
    </row>
    <row r="282" ht="15.75" customHeight="1">
      <c r="A282" s="5"/>
      <c r="B282" s="5"/>
      <c r="C282" s="5"/>
      <c r="D282" s="5"/>
      <c r="E282" s="5"/>
      <c r="F282" s="5"/>
    </row>
    <row r="283" ht="15.75" customHeight="1">
      <c r="A283" s="5"/>
      <c r="B283" s="5"/>
      <c r="C283" s="5"/>
      <c r="D283" s="5"/>
      <c r="E283" s="5"/>
      <c r="F283" s="5"/>
    </row>
    <row r="284" ht="15.75" customHeight="1">
      <c r="A284" s="5"/>
      <c r="B284" s="5"/>
      <c r="C284" s="5"/>
      <c r="D284" s="5"/>
      <c r="E284" s="5"/>
      <c r="F284" s="5"/>
    </row>
    <row r="285" ht="15.75" customHeight="1">
      <c r="A285" s="5"/>
      <c r="B285" s="5"/>
      <c r="C285" s="5"/>
      <c r="D285" s="5"/>
      <c r="E285" s="5"/>
      <c r="F285" s="5"/>
    </row>
    <row r="286" ht="15.75" customHeight="1">
      <c r="A286" s="5"/>
      <c r="B286" s="5"/>
      <c r="C286" s="5"/>
      <c r="D286" s="5"/>
      <c r="E286" s="5"/>
      <c r="F286" s="5"/>
    </row>
    <row r="287" ht="15.75" customHeight="1">
      <c r="A287" s="5"/>
      <c r="B287" s="5"/>
      <c r="C287" s="5"/>
      <c r="D287" s="5"/>
      <c r="E287" s="5"/>
      <c r="F287" s="5"/>
    </row>
    <row r="288" ht="15.75" customHeight="1">
      <c r="A288" s="5"/>
      <c r="B288" s="5"/>
      <c r="C288" s="5"/>
      <c r="D288" s="5"/>
      <c r="E288" s="5"/>
      <c r="F288" s="5"/>
    </row>
    <row r="289" ht="15.75" customHeight="1">
      <c r="A289" s="5"/>
      <c r="B289" s="5"/>
      <c r="C289" s="5"/>
      <c r="D289" s="5"/>
      <c r="E289" s="5"/>
      <c r="F289" s="5"/>
    </row>
    <row r="290" ht="15.75" customHeight="1">
      <c r="A290" s="5"/>
      <c r="B290" s="5"/>
      <c r="C290" s="5"/>
      <c r="D290" s="5"/>
      <c r="E290" s="5"/>
      <c r="F290" s="5"/>
    </row>
    <row r="291" ht="15.75" customHeight="1">
      <c r="A291" s="5"/>
      <c r="B291" s="5"/>
      <c r="C291" s="5"/>
      <c r="D291" s="5"/>
      <c r="E291" s="5"/>
      <c r="F291" s="5"/>
    </row>
    <row r="292" ht="15.75" customHeight="1">
      <c r="A292" s="5"/>
      <c r="B292" s="5"/>
      <c r="C292" s="5"/>
      <c r="D292" s="5"/>
      <c r="E292" s="5"/>
      <c r="F292" s="5"/>
    </row>
    <row r="293" ht="15.75" customHeight="1">
      <c r="A293" s="5"/>
      <c r="B293" s="5"/>
      <c r="C293" s="5"/>
      <c r="D293" s="5"/>
      <c r="E293" s="5"/>
      <c r="F293" s="5"/>
    </row>
    <row r="294" ht="15.75" customHeight="1">
      <c r="A294" s="5"/>
      <c r="B294" s="5"/>
      <c r="C294" s="5"/>
      <c r="D294" s="5"/>
      <c r="E294" s="5"/>
      <c r="F294" s="5"/>
    </row>
    <row r="295" ht="15.75" customHeight="1">
      <c r="A295" s="5"/>
      <c r="B295" s="5"/>
      <c r="C295" s="5"/>
      <c r="D295" s="5"/>
      <c r="E295" s="5"/>
      <c r="F295" s="5"/>
    </row>
    <row r="296" ht="15.75" customHeight="1">
      <c r="A296" s="5"/>
      <c r="B296" s="5"/>
      <c r="C296" s="5"/>
      <c r="D296" s="5"/>
      <c r="E296" s="5"/>
      <c r="F296" s="5"/>
    </row>
    <row r="297" ht="15.75" customHeight="1">
      <c r="A297" s="5"/>
      <c r="B297" s="5"/>
      <c r="C297" s="5"/>
      <c r="D297" s="5"/>
      <c r="E297" s="5"/>
      <c r="F297" s="5"/>
    </row>
    <row r="298" ht="15.75" customHeight="1">
      <c r="A298" s="5"/>
      <c r="B298" s="5"/>
      <c r="C298" s="5"/>
      <c r="D298" s="5"/>
      <c r="E298" s="5"/>
      <c r="F298" s="5"/>
    </row>
    <row r="299" ht="15.75" customHeight="1">
      <c r="A299" s="5"/>
      <c r="B299" s="5"/>
      <c r="C299" s="5"/>
      <c r="D299" s="5"/>
      <c r="E299" s="5"/>
      <c r="F299" s="5"/>
    </row>
    <row r="300" ht="15.75" customHeight="1">
      <c r="A300" s="5"/>
      <c r="B300" s="5"/>
      <c r="C300" s="5"/>
      <c r="D300" s="5"/>
      <c r="E300" s="5"/>
      <c r="F300" s="5"/>
    </row>
    <row r="301" ht="15.75" customHeight="1">
      <c r="A301" s="5"/>
      <c r="B301" s="5"/>
      <c r="C301" s="5"/>
      <c r="D301" s="5"/>
      <c r="E301" s="5"/>
      <c r="F301" s="5"/>
    </row>
    <row r="302" ht="15.75" customHeight="1">
      <c r="A302" s="5"/>
      <c r="B302" s="5"/>
      <c r="C302" s="5"/>
      <c r="D302" s="5"/>
      <c r="E302" s="5"/>
      <c r="F302" s="5"/>
    </row>
    <row r="303" ht="15.75" customHeight="1">
      <c r="A303" s="5"/>
      <c r="B303" s="5"/>
      <c r="C303" s="5"/>
      <c r="D303" s="5"/>
      <c r="E303" s="5"/>
      <c r="F303" s="5"/>
    </row>
    <row r="304" ht="15.75" customHeight="1">
      <c r="A304" s="5"/>
      <c r="B304" s="5"/>
      <c r="C304" s="5"/>
      <c r="D304" s="5"/>
      <c r="E304" s="5"/>
      <c r="F304" s="5"/>
    </row>
    <row r="305" ht="15.75" customHeight="1">
      <c r="A305" s="5"/>
      <c r="B305" s="5"/>
      <c r="C305" s="5"/>
      <c r="D305" s="5"/>
      <c r="E305" s="5"/>
      <c r="F305" s="5"/>
    </row>
    <row r="306" ht="15.75" customHeight="1">
      <c r="A306" s="5"/>
      <c r="B306" s="5"/>
      <c r="C306" s="5"/>
      <c r="D306" s="5"/>
      <c r="E306" s="5"/>
      <c r="F306" s="5"/>
    </row>
    <row r="307" ht="15.75" customHeight="1">
      <c r="A307" s="5"/>
      <c r="B307" s="5"/>
      <c r="C307" s="5"/>
      <c r="D307" s="5"/>
      <c r="E307" s="5"/>
      <c r="F307" s="5"/>
    </row>
    <row r="308" ht="15.75" customHeight="1">
      <c r="A308" s="5"/>
      <c r="B308" s="5"/>
      <c r="C308" s="5"/>
      <c r="D308" s="5"/>
      <c r="E308" s="5"/>
      <c r="F308" s="5"/>
    </row>
    <row r="309" ht="15.75" customHeight="1">
      <c r="A309" s="5"/>
      <c r="B309" s="5"/>
      <c r="C309" s="5"/>
      <c r="D309" s="5"/>
      <c r="E309" s="5"/>
      <c r="F309" s="5"/>
    </row>
    <row r="310" ht="15.75" customHeight="1">
      <c r="A310" s="5"/>
      <c r="B310" s="5"/>
      <c r="C310" s="5"/>
      <c r="D310" s="5"/>
      <c r="E310" s="5"/>
      <c r="F310" s="5"/>
    </row>
    <row r="311" ht="15.75" customHeight="1">
      <c r="A311" s="5"/>
      <c r="B311" s="5"/>
      <c r="C311" s="5"/>
      <c r="D311" s="5"/>
      <c r="E311" s="5"/>
      <c r="F311" s="5"/>
    </row>
    <row r="312" ht="15.75" customHeight="1">
      <c r="A312" s="5"/>
      <c r="B312" s="5"/>
      <c r="C312" s="5"/>
      <c r="D312" s="5"/>
      <c r="E312" s="5"/>
      <c r="F312" s="5"/>
    </row>
    <row r="313" ht="15.75" customHeight="1">
      <c r="A313" s="5"/>
      <c r="B313" s="5"/>
      <c r="C313" s="5"/>
      <c r="D313" s="5"/>
      <c r="E313" s="5"/>
      <c r="F313" s="5"/>
    </row>
    <row r="314" ht="15.75" customHeight="1">
      <c r="A314" s="5"/>
      <c r="B314" s="5"/>
      <c r="C314" s="5"/>
      <c r="D314" s="5"/>
      <c r="E314" s="5"/>
      <c r="F314" s="5"/>
    </row>
    <row r="315" ht="15.75" customHeight="1">
      <c r="A315" s="5"/>
      <c r="B315" s="5"/>
      <c r="C315" s="5"/>
      <c r="D315" s="5"/>
      <c r="E315" s="5"/>
      <c r="F315" s="5"/>
    </row>
    <row r="316" ht="15.75" customHeight="1">
      <c r="A316" s="5"/>
      <c r="B316" s="5"/>
      <c r="C316" s="5"/>
      <c r="D316" s="5"/>
      <c r="E316" s="5"/>
      <c r="F316" s="5"/>
    </row>
    <row r="317" ht="15.75" customHeight="1">
      <c r="A317" s="5"/>
      <c r="B317" s="5"/>
      <c r="C317" s="5"/>
      <c r="D317" s="5"/>
      <c r="E317" s="5"/>
      <c r="F317" s="5"/>
    </row>
    <row r="318" ht="15.75" customHeight="1">
      <c r="A318" s="5"/>
      <c r="B318" s="5"/>
      <c r="C318" s="5"/>
      <c r="D318" s="5"/>
      <c r="E318" s="5"/>
      <c r="F318" s="5"/>
    </row>
    <row r="319" ht="15.75" customHeight="1">
      <c r="A319" s="5"/>
      <c r="B319" s="5"/>
      <c r="C319" s="5"/>
      <c r="D319" s="5"/>
      <c r="E319" s="5"/>
      <c r="F319" s="5"/>
    </row>
    <row r="320" ht="15.75" customHeight="1">
      <c r="A320" s="5"/>
      <c r="B320" s="5"/>
      <c r="C320" s="5"/>
      <c r="D320" s="5"/>
      <c r="E320" s="5"/>
      <c r="F320" s="5"/>
    </row>
    <row r="321" ht="15.75" customHeight="1">
      <c r="A321" s="5"/>
      <c r="B321" s="5"/>
      <c r="C321" s="5"/>
      <c r="D321" s="5"/>
      <c r="E321" s="5"/>
      <c r="F321" s="5"/>
    </row>
    <row r="322" ht="15.75" customHeight="1">
      <c r="A322" s="5"/>
      <c r="B322" s="5"/>
      <c r="C322" s="5"/>
      <c r="D322" s="5"/>
      <c r="E322" s="5"/>
      <c r="F322" s="5"/>
    </row>
    <row r="323" ht="15.75" customHeight="1">
      <c r="A323" s="5"/>
      <c r="B323" s="5"/>
      <c r="C323" s="5"/>
      <c r="D323" s="5"/>
      <c r="E323" s="5"/>
      <c r="F323" s="5"/>
    </row>
    <row r="324" ht="15.75" customHeight="1">
      <c r="A324" s="5"/>
      <c r="B324" s="5"/>
      <c r="C324" s="5"/>
      <c r="D324" s="5"/>
      <c r="E324" s="5"/>
      <c r="F324" s="5"/>
    </row>
    <row r="325" ht="15.75" customHeight="1">
      <c r="A325" s="5"/>
      <c r="B325" s="5"/>
      <c r="C325" s="5"/>
      <c r="D325" s="5"/>
      <c r="E325" s="5"/>
      <c r="F325" s="5"/>
    </row>
    <row r="326" ht="15.75" customHeight="1">
      <c r="A326" s="5"/>
      <c r="B326" s="5"/>
      <c r="C326" s="5"/>
      <c r="D326" s="5"/>
      <c r="E326" s="5"/>
      <c r="F326" s="5"/>
    </row>
    <row r="327" ht="15.75" customHeight="1">
      <c r="A327" s="5"/>
      <c r="B327" s="5"/>
      <c r="C327" s="5"/>
      <c r="D327" s="5"/>
      <c r="E327" s="5"/>
      <c r="F327" s="5"/>
    </row>
    <row r="328" ht="15.75" customHeight="1">
      <c r="A328" s="5"/>
      <c r="B328" s="5"/>
      <c r="C328" s="5"/>
      <c r="D328" s="5"/>
      <c r="E328" s="5"/>
      <c r="F328" s="5"/>
    </row>
    <row r="329" ht="15.75" customHeight="1">
      <c r="A329" s="5"/>
      <c r="B329" s="5"/>
      <c r="C329" s="5"/>
      <c r="D329" s="5"/>
      <c r="E329" s="5"/>
      <c r="F329" s="5"/>
    </row>
    <row r="330" ht="15.75" customHeight="1">
      <c r="A330" s="5"/>
      <c r="B330" s="5"/>
      <c r="C330" s="5"/>
      <c r="D330" s="5"/>
      <c r="E330" s="5"/>
      <c r="F330" s="5"/>
    </row>
    <row r="331" ht="15.75" customHeight="1">
      <c r="A331" s="5"/>
      <c r="B331" s="5"/>
      <c r="C331" s="5"/>
      <c r="D331" s="5"/>
      <c r="E331" s="5"/>
      <c r="F331" s="5"/>
    </row>
    <row r="332" ht="15.75" customHeight="1">
      <c r="A332" s="5"/>
      <c r="B332" s="5"/>
      <c r="C332" s="5"/>
      <c r="D332" s="5"/>
      <c r="E332" s="5"/>
      <c r="F332" s="5"/>
    </row>
    <row r="333" ht="15.75" customHeight="1">
      <c r="A333" s="5"/>
      <c r="B333" s="5"/>
      <c r="C333" s="5"/>
      <c r="D333" s="5"/>
      <c r="E333" s="5"/>
      <c r="F333" s="5"/>
    </row>
    <row r="334" ht="15.75" customHeight="1">
      <c r="A334" s="5"/>
      <c r="B334" s="5"/>
      <c r="C334" s="5"/>
      <c r="D334" s="5"/>
      <c r="E334" s="5"/>
      <c r="F334" s="5"/>
    </row>
    <row r="335" ht="15.75" customHeight="1">
      <c r="A335" s="5"/>
      <c r="B335" s="5"/>
      <c r="C335" s="5"/>
      <c r="D335" s="5"/>
      <c r="E335" s="5"/>
      <c r="F335" s="5"/>
    </row>
    <row r="336" ht="15.75" customHeight="1">
      <c r="A336" s="5"/>
      <c r="B336" s="5"/>
      <c r="C336" s="5"/>
      <c r="D336" s="5"/>
      <c r="E336" s="5"/>
      <c r="F336" s="5"/>
    </row>
    <row r="337" ht="15.75" customHeight="1">
      <c r="A337" s="5"/>
      <c r="B337" s="5"/>
      <c r="C337" s="5"/>
      <c r="D337" s="5"/>
      <c r="E337" s="5"/>
      <c r="F337" s="5"/>
    </row>
    <row r="338" ht="15.75" customHeight="1">
      <c r="A338" s="5"/>
      <c r="B338" s="5"/>
      <c r="C338" s="5"/>
      <c r="D338" s="5"/>
      <c r="E338" s="5"/>
      <c r="F338" s="5"/>
    </row>
    <row r="339" ht="15.75" customHeight="1">
      <c r="A339" s="5"/>
      <c r="B339" s="5"/>
      <c r="C339" s="5"/>
      <c r="D339" s="5"/>
      <c r="E339" s="5"/>
      <c r="F339" s="5"/>
    </row>
    <row r="340" ht="15.75" customHeight="1">
      <c r="A340" s="5"/>
      <c r="B340" s="5"/>
      <c r="C340" s="5"/>
      <c r="D340" s="5"/>
      <c r="E340" s="5"/>
      <c r="F340" s="5"/>
    </row>
    <row r="341" ht="15.75" customHeight="1">
      <c r="A341" s="5"/>
      <c r="B341" s="5"/>
      <c r="C341" s="5"/>
      <c r="D341" s="5"/>
      <c r="E341" s="5"/>
      <c r="F341" s="5"/>
    </row>
    <row r="342" ht="15.75" customHeight="1">
      <c r="A342" s="5"/>
      <c r="B342" s="5"/>
      <c r="C342" s="5"/>
      <c r="D342" s="5"/>
      <c r="E342" s="5"/>
      <c r="F342" s="5"/>
    </row>
    <row r="343" ht="15.75" customHeight="1">
      <c r="A343" s="5"/>
      <c r="B343" s="5"/>
      <c r="C343" s="5"/>
      <c r="D343" s="5"/>
      <c r="E343" s="5"/>
      <c r="F343" s="5"/>
    </row>
    <row r="344" ht="15.75" customHeight="1">
      <c r="A344" s="5"/>
      <c r="B344" s="5"/>
      <c r="C344" s="5"/>
      <c r="D344" s="5"/>
      <c r="E344" s="5"/>
      <c r="F344" s="5"/>
    </row>
    <row r="345" ht="15.75" customHeight="1">
      <c r="A345" s="5"/>
      <c r="B345" s="5"/>
      <c r="C345" s="5"/>
      <c r="D345" s="5"/>
      <c r="E345" s="5"/>
      <c r="F345" s="5"/>
    </row>
    <row r="346" ht="15.75" customHeight="1">
      <c r="A346" s="5"/>
      <c r="B346" s="5"/>
      <c r="C346" s="5"/>
      <c r="D346" s="5"/>
      <c r="E346" s="5"/>
      <c r="F346" s="5"/>
    </row>
    <row r="347" ht="15.75" customHeight="1">
      <c r="A347" s="5"/>
      <c r="B347" s="5"/>
      <c r="C347" s="5"/>
      <c r="D347" s="5"/>
      <c r="E347" s="5"/>
      <c r="F347" s="5"/>
    </row>
    <row r="348" ht="15.75" customHeight="1">
      <c r="A348" s="5"/>
      <c r="B348" s="5"/>
      <c r="C348" s="5"/>
      <c r="D348" s="5"/>
      <c r="E348" s="5"/>
      <c r="F348" s="5"/>
    </row>
    <row r="349" ht="15.75" customHeight="1">
      <c r="A349" s="5"/>
      <c r="B349" s="5"/>
      <c r="C349" s="5"/>
      <c r="D349" s="5"/>
      <c r="E349" s="5"/>
      <c r="F349" s="5"/>
    </row>
    <row r="350" ht="15.75" customHeight="1">
      <c r="A350" s="5"/>
      <c r="B350" s="5"/>
      <c r="C350" s="5"/>
      <c r="D350" s="5"/>
      <c r="E350" s="5"/>
      <c r="F350" s="5"/>
    </row>
    <row r="351" ht="15.75" customHeight="1">
      <c r="A351" s="5"/>
      <c r="B351" s="5"/>
      <c r="C351" s="5"/>
      <c r="D351" s="5"/>
      <c r="E351" s="5"/>
      <c r="F351" s="5"/>
    </row>
    <row r="352" ht="15.75" customHeight="1">
      <c r="A352" s="5"/>
      <c r="B352" s="5"/>
      <c r="C352" s="5"/>
      <c r="D352" s="5"/>
      <c r="E352" s="5"/>
      <c r="F352" s="5"/>
    </row>
    <row r="353" ht="15.75" customHeight="1">
      <c r="A353" s="5"/>
      <c r="B353" s="5"/>
      <c r="C353" s="5"/>
      <c r="D353" s="5"/>
      <c r="E353" s="5"/>
      <c r="F353" s="5"/>
    </row>
    <row r="354" ht="15.75" customHeight="1">
      <c r="A354" s="5"/>
      <c r="B354" s="5"/>
      <c r="C354" s="5"/>
      <c r="D354" s="5"/>
      <c r="E354" s="5"/>
      <c r="F354" s="5"/>
    </row>
    <row r="355" ht="15.75" customHeight="1">
      <c r="A355" s="5"/>
      <c r="B355" s="5"/>
      <c r="C355" s="5"/>
      <c r="D355" s="5"/>
      <c r="E355" s="5"/>
      <c r="F355" s="5"/>
    </row>
    <row r="356" ht="15.75" customHeight="1">
      <c r="A356" s="5"/>
      <c r="B356" s="5"/>
      <c r="C356" s="5"/>
      <c r="D356" s="5"/>
      <c r="E356" s="5"/>
      <c r="F356" s="5"/>
    </row>
    <row r="357" ht="15.75" customHeight="1">
      <c r="A357" s="5"/>
      <c r="B357" s="5"/>
      <c r="C357" s="5"/>
      <c r="D357" s="5"/>
      <c r="E357" s="5"/>
      <c r="F357" s="5"/>
    </row>
    <row r="358" ht="15.75" customHeight="1">
      <c r="A358" s="5"/>
      <c r="B358" s="5"/>
      <c r="C358" s="5"/>
      <c r="D358" s="5"/>
      <c r="E358" s="5"/>
      <c r="F358" s="5"/>
    </row>
    <row r="359" ht="15.75" customHeight="1">
      <c r="A359" s="5"/>
      <c r="B359" s="5"/>
      <c r="C359" s="5"/>
      <c r="D359" s="5"/>
      <c r="E359" s="5"/>
      <c r="F359" s="5"/>
    </row>
    <row r="360" ht="15.75" customHeight="1">
      <c r="A360" s="5"/>
      <c r="B360" s="5"/>
      <c r="C360" s="5"/>
      <c r="D360" s="5"/>
      <c r="E360" s="5"/>
      <c r="F360" s="5"/>
    </row>
    <row r="361" ht="15.75" customHeight="1">
      <c r="A361" s="5"/>
      <c r="B361" s="5"/>
      <c r="C361" s="5"/>
      <c r="D361" s="5"/>
      <c r="E361" s="5"/>
      <c r="F361" s="5"/>
    </row>
    <row r="362" ht="15.75" customHeight="1">
      <c r="A362" s="5"/>
      <c r="B362" s="5"/>
      <c r="C362" s="5"/>
      <c r="D362" s="5"/>
      <c r="E362" s="5"/>
      <c r="F362" s="5"/>
    </row>
    <row r="363" ht="15.75" customHeight="1">
      <c r="A363" s="5"/>
      <c r="B363" s="5"/>
      <c r="C363" s="5"/>
      <c r="D363" s="5"/>
      <c r="E363" s="5"/>
      <c r="F363" s="5"/>
    </row>
    <row r="364" ht="15.75" customHeight="1">
      <c r="A364" s="5"/>
      <c r="B364" s="5"/>
      <c r="C364" s="5"/>
      <c r="D364" s="5"/>
      <c r="E364" s="5"/>
      <c r="F364" s="5"/>
    </row>
    <row r="365" ht="15.75" customHeight="1">
      <c r="A365" s="5"/>
      <c r="B365" s="5"/>
      <c r="C365" s="5"/>
      <c r="D365" s="5"/>
      <c r="E365" s="5"/>
      <c r="F365" s="5"/>
    </row>
    <row r="366" ht="15.75" customHeight="1">
      <c r="A366" s="5"/>
      <c r="B366" s="5"/>
      <c r="C366" s="5"/>
      <c r="D366" s="5"/>
      <c r="E366" s="5"/>
      <c r="F366" s="5"/>
    </row>
    <row r="367" ht="15.75" customHeight="1">
      <c r="A367" s="5"/>
      <c r="B367" s="5"/>
      <c r="C367" s="5"/>
      <c r="D367" s="5"/>
      <c r="E367" s="5"/>
      <c r="F367" s="5"/>
    </row>
    <row r="368" ht="15.75" customHeight="1">
      <c r="A368" s="5"/>
      <c r="B368" s="5"/>
      <c r="C368" s="5"/>
      <c r="D368" s="5"/>
      <c r="E368" s="5"/>
      <c r="F368" s="5"/>
    </row>
    <row r="369" ht="15.75" customHeight="1">
      <c r="A369" s="5"/>
      <c r="B369" s="5"/>
      <c r="C369" s="5"/>
      <c r="D369" s="5"/>
      <c r="E369" s="5"/>
      <c r="F369" s="5"/>
    </row>
    <row r="370" ht="15.75" customHeight="1">
      <c r="A370" s="5"/>
      <c r="B370" s="5"/>
      <c r="C370" s="5"/>
      <c r="D370" s="5"/>
      <c r="E370" s="5"/>
      <c r="F370" s="5"/>
    </row>
    <row r="371" ht="15.75" customHeight="1">
      <c r="A371" s="5"/>
      <c r="B371" s="5"/>
      <c r="C371" s="5"/>
      <c r="D371" s="5"/>
      <c r="E371" s="5"/>
      <c r="F371" s="5"/>
    </row>
    <row r="372" ht="15.75" customHeight="1">
      <c r="A372" s="5"/>
      <c r="B372" s="5"/>
      <c r="C372" s="5"/>
      <c r="D372" s="5"/>
      <c r="E372" s="5"/>
      <c r="F372" s="5"/>
    </row>
    <row r="373" ht="15.75" customHeight="1">
      <c r="A373" s="5"/>
      <c r="B373" s="5"/>
      <c r="C373" s="5"/>
      <c r="D373" s="5"/>
      <c r="E373" s="5"/>
      <c r="F373" s="5"/>
    </row>
    <row r="374" ht="15.75" customHeight="1">
      <c r="A374" s="5"/>
      <c r="B374" s="5"/>
      <c r="C374" s="5"/>
      <c r="D374" s="5"/>
      <c r="E374" s="5"/>
      <c r="F374" s="5"/>
    </row>
    <row r="375" ht="15.75" customHeight="1">
      <c r="A375" s="5"/>
      <c r="B375" s="5"/>
      <c r="C375" s="5"/>
      <c r="D375" s="5"/>
      <c r="E375" s="5"/>
      <c r="F375" s="5"/>
    </row>
    <row r="376" ht="15.75" customHeight="1">
      <c r="A376" s="5"/>
      <c r="B376" s="5"/>
      <c r="C376" s="5"/>
      <c r="D376" s="5"/>
      <c r="E376" s="5"/>
      <c r="F376" s="5"/>
    </row>
    <row r="377" ht="15.75" customHeight="1">
      <c r="A377" s="5"/>
      <c r="B377" s="5"/>
      <c r="C377" s="5"/>
      <c r="D377" s="5"/>
      <c r="E377" s="5"/>
      <c r="F377" s="5"/>
    </row>
    <row r="378" ht="15.75" customHeight="1">
      <c r="A378" s="5"/>
      <c r="B378" s="5"/>
      <c r="C378" s="5"/>
      <c r="D378" s="5"/>
      <c r="E378" s="5"/>
      <c r="F378" s="5"/>
    </row>
    <row r="379" ht="15.75" customHeight="1">
      <c r="A379" s="5"/>
      <c r="B379" s="5"/>
      <c r="C379" s="5"/>
      <c r="D379" s="5"/>
      <c r="E379" s="5"/>
      <c r="F379" s="5"/>
    </row>
    <row r="380" ht="15.75" customHeight="1">
      <c r="A380" s="5"/>
      <c r="B380" s="5"/>
      <c r="C380" s="5"/>
      <c r="D380" s="5"/>
      <c r="E380" s="5"/>
      <c r="F380" s="5"/>
    </row>
    <row r="381" ht="15.75" customHeight="1">
      <c r="A381" s="5"/>
      <c r="B381" s="5"/>
      <c r="C381" s="5"/>
      <c r="D381" s="5"/>
      <c r="E381" s="5"/>
      <c r="F381" s="5"/>
    </row>
    <row r="382" ht="15.75" customHeight="1">
      <c r="A382" s="5"/>
      <c r="B382" s="5"/>
      <c r="C382" s="5"/>
      <c r="D382" s="5"/>
      <c r="E382" s="5"/>
      <c r="F382" s="5"/>
    </row>
    <row r="383" ht="15.75" customHeight="1">
      <c r="A383" s="5"/>
      <c r="B383" s="5"/>
      <c r="C383" s="5"/>
      <c r="D383" s="5"/>
      <c r="E383" s="5"/>
      <c r="F383" s="5"/>
    </row>
    <row r="384" ht="15.75" customHeight="1">
      <c r="A384" s="5"/>
      <c r="B384" s="5"/>
      <c r="C384" s="5"/>
      <c r="D384" s="5"/>
      <c r="E384" s="5"/>
      <c r="F384" s="5"/>
    </row>
    <row r="385" ht="15.75" customHeight="1">
      <c r="A385" s="5"/>
      <c r="B385" s="5"/>
      <c r="C385" s="5"/>
      <c r="D385" s="5"/>
      <c r="E385" s="5"/>
      <c r="F385" s="5"/>
    </row>
    <row r="386" ht="15.75" customHeight="1">
      <c r="A386" s="5"/>
      <c r="B386" s="5"/>
      <c r="C386" s="5"/>
      <c r="D386" s="5"/>
      <c r="E386" s="5"/>
      <c r="F386" s="5"/>
    </row>
    <row r="387" ht="15.75" customHeight="1">
      <c r="A387" s="5"/>
      <c r="B387" s="5"/>
      <c r="C387" s="5"/>
      <c r="D387" s="5"/>
      <c r="E387" s="5"/>
      <c r="F387" s="5"/>
    </row>
    <row r="388" ht="15.75" customHeight="1">
      <c r="A388" s="5"/>
      <c r="B388" s="5"/>
      <c r="C388" s="5"/>
      <c r="D388" s="5"/>
      <c r="E388" s="5"/>
      <c r="F388" s="5"/>
    </row>
    <row r="389" ht="15.75" customHeight="1">
      <c r="A389" s="5"/>
      <c r="B389" s="5"/>
      <c r="C389" s="5"/>
      <c r="D389" s="5"/>
      <c r="E389" s="5"/>
      <c r="F389" s="5"/>
    </row>
    <row r="390" ht="15.75" customHeight="1">
      <c r="A390" s="5"/>
      <c r="B390" s="5"/>
      <c r="C390" s="5"/>
      <c r="D390" s="5"/>
      <c r="E390" s="5"/>
      <c r="F390" s="5"/>
    </row>
    <row r="391" ht="15.75" customHeight="1">
      <c r="A391" s="5"/>
      <c r="B391" s="5"/>
      <c r="C391" s="5"/>
      <c r="D391" s="5"/>
      <c r="E391" s="5"/>
      <c r="F391" s="5"/>
    </row>
    <row r="392" ht="15.75" customHeight="1">
      <c r="A392" s="5"/>
      <c r="B392" s="5"/>
      <c r="C392" s="5"/>
      <c r="D392" s="5"/>
      <c r="E392" s="5"/>
      <c r="F392" s="5"/>
    </row>
    <row r="393" ht="15.75" customHeight="1">
      <c r="A393" s="5"/>
      <c r="B393" s="5"/>
      <c r="C393" s="5"/>
      <c r="D393" s="5"/>
      <c r="E393" s="5"/>
      <c r="F393" s="5"/>
    </row>
    <row r="394" ht="15.75" customHeight="1">
      <c r="A394" s="5"/>
      <c r="B394" s="5"/>
      <c r="C394" s="5"/>
      <c r="D394" s="5"/>
      <c r="E394" s="5"/>
      <c r="F394" s="5"/>
    </row>
    <row r="395" ht="15.75" customHeight="1">
      <c r="A395" s="5"/>
      <c r="B395" s="5"/>
      <c r="C395" s="5"/>
      <c r="D395" s="5"/>
      <c r="E395" s="5"/>
      <c r="F395" s="5"/>
    </row>
    <row r="396" ht="15.75" customHeight="1">
      <c r="A396" s="5"/>
      <c r="B396" s="5"/>
      <c r="C396" s="5"/>
      <c r="D396" s="5"/>
      <c r="E396" s="5"/>
      <c r="F396" s="5"/>
    </row>
    <row r="397" ht="15.75" customHeight="1">
      <c r="A397" s="5"/>
      <c r="B397" s="5"/>
      <c r="C397" s="5"/>
      <c r="D397" s="5"/>
      <c r="E397" s="5"/>
      <c r="F397" s="5"/>
    </row>
    <row r="398" ht="15.75" customHeight="1">
      <c r="A398" s="5"/>
      <c r="B398" s="5"/>
      <c r="C398" s="5"/>
      <c r="D398" s="5"/>
      <c r="E398" s="5"/>
      <c r="F398" s="5"/>
    </row>
    <row r="399" ht="15.75" customHeight="1">
      <c r="A399" s="5"/>
      <c r="B399" s="5"/>
      <c r="C399" s="5"/>
      <c r="D399" s="5"/>
      <c r="E399" s="5"/>
      <c r="F399" s="5"/>
    </row>
    <row r="400" ht="15.75" customHeight="1">
      <c r="A400" s="5"/>
      <c r="B400" s="5"/>
      <c r="C400" s="5"/>
      <c r="D400" s="5"/>
      <c r="E400" s="5"/>
      <c r="F400" s="5"/>
    </row>
    <row r="401" ht="15.75" customHeight="1">
      <c r="A401" s="5"/>
      <c r="B401" s="5"/>
      <c r="C401" s="5"/>
      <c r="D401" s="5"/>
      <c r="E401" s="5"/>
      <c r="F401" s="5"/>
    </row>
    <row r="402" ht="15.75" customHeight="1">
      <c r="A402" s="5"/>
      <c r="B402" s="5"/>
      <c r="C402" s="5"/>
      <c r="D402" s="5"/>
      <c r="E402" s="5"/>
      <c r="F402" s="5"/>
    </row>
    <row r="403" ht="15.75" customHeight="1">
      <c r="A403" s="5"/>
      <c r="B403" s="5"/>
      <c r="C403" s="5"/>
      <c r="D403" s="5"/>
      <c r="E403" s="5"/>
      <c r="F403" s="5"/>
    </row>
    <row r="404" ht="15.75" customHeight="1">
      <c r="A404" s="5"/>
      <c r="B404" s="5"/>
      <c r="C404" s="5"/>
      <c r="D404" s="5"/>
      <c r="E404" s="5"/>
      <c r="F404" s="5"/>
    </row>
    <row r="405" ht="15.75" customHeight="1">
      <c r="A405" s="5"/>
      <c r="B405" s="5"/>
      <c r="C405" s="5"/>
      <c r="D405" s="5"/>
      <c r="E405" s="5"/>
      <c r="F405" s="5"/>
    </row>
    <row r="406" ht="15.75" customHeight="1">
      <c r="A406" s="5"/>
      <c r="B406" s="5"/>
      <c r="C406" s="5"/>
      <c r="D406" s="5"/>
      <c r="E406" s="5"/>
      <c r="F406" s="5"/>
    </row>
    <row r="407" ht="15.75" customHeight="1">
      <c r="A407" s="5"/>
      <c r="B407" s="5"/>
      <c r="C407" s="5"/>
      <c r="D407" s="5"/>
      <c r="E407" s="5"/>
      <c r="F407" s="5"/>
    </row>
    <row r="408" ht="15.75" customHeight="1">
      <c r="A408" s="5"/>
      <c r="B408" s="5"/>
      <c r="C408" s="5"/>
      <c r="D408" s="5"/>
      <c r="E408" s="5"/>
      <c r="F408" s="5"/>
    </row>
    <row r="409" ht="15.75" customHeight="1">
      <c r="A409" s="5"/>
      <c r="B409" s="5"/>
      <c r="C409" s="5"/>
      <c r="D409" s="5"/>
      <c r="E409" s="5"/>
      <c r="F409" s="5"/>
    </row>
    <row r="410" ht="15.75" customHeight="1">
      <c r="A410" s="5"/>
      <c r="B410" s="5"/>
      <c r="C410" s="5"/>
      <c r="D410" s="5"/>
      <c r="E410" s="5"/>
      <c r="F410" s="5"/>
    </row>
    <row r="411" ht="15.75" customHeight="1">
      <c r="A411" s="5"/>
      <c r="B411" s="5"/>
      <c r="C411" s="5"/>
      <c r="D411" s="5"/>
      <c r="E411" s="5"/>
      <c r="F411" s="5"/>
    </row>
    <row r="412" ht="15.75" customHeight="1">
      <c r="A412" s="5"/>
      <c r="B412" s="5"/>
      <c r="C412" s="5"/>
      <c r="D412" s="5"/>
      <c r="E412" s="5"/>
      <c r="F412" s="5"/>
    </row>
    <row r="413" ht="15.75" customHeight="1">
      <c r="A413" s="5"/>
      <c r="B413" s="5"/>
      <c r="C413" s="5"/>
      <c r="D413" s="5"/>
      <c r="E413" s="5"/>
      <c r="F413" s="5"/>
    </row>
    <row r="414" ht="15.75" customHeight="1">
      <c r="A414" s="5"/>
      <c r="B414" s="5"/>
      <c r="C414" s="5"/>
      <c r="D414" s="5"/>
      <c r="E414" s="5"/>
      <c r="F414" s="5"/>
    </row>
    <row r="415" ht="15.75" customHeight="1">
      <c r="A415" s="5"/>
      <c r="B415" s="5"/>
      <c r="C415" s="5"/>
      <c r="D415" s="5"/>
      <c r="E415" s="5"/>
      <c r="F415" s="5"/>
    </row>
    <row r="416" ht="15.75" customHeight="1">
      <c r="A416" s="5"/>
      <c r="B416" s="5"/>
      <c r="C416" s="5"/>
      <c r="D416" s="5"/>
      <c r="E416" s="5"/>
      <c r="F416" s="5"/>
    </row>
    <row r="417" ht="15.75" customHeight="1">
      <c r="A417" s="5"/>
      <c r="B417" s="5"/>
      <c r="C417" s="5"/>
      <c r="D417" s="5"/>
      <c r="E417" s="5"/>
      <c r="F417" s="5"/>
    </row>
    <row r="418" ht="15.75" customHeight="1">
      <c r="A418" s="5"/>
      <c r="B418" s="5"/>
      <c r="C418" s="5"/>
      <c r="D418" s="5"/>
      <c r="E418" s="5"/>
      <c r="F418" s="5"/>
    </row>
    <row r="419" ht="15.75" customHeight="1">
      <c r="A419" s="5"/>
      <c r="B419" s="5"/>
      <c r="C419" s="5"/>
      <c r="D419" s="5"/>
      <c r="E419" s="5"/>
      <c r="F419" s="5"/>
    </row>
    <row r="420" ht="15.75" customHeight="1">
      <c r="A420" s="5"/>
      <c r="B420" s="5"/>
      <c r="C420" s="5"/>
      <c r="D420" s="5"/>
      <c r="E420" s="5"/>
      <c r="F420" s="5"/>
    </row>
    <row r="421" ht="15.75" customHeight="1">
      <c r="A421" s="5"/>
      <c r="B421" s="5"/>
      <c r="C421" s="5"/>
      <c r="D421" s="5"/>
      <c r="E421" s="5"/>
      <c r="F421" s="5"/>
    </row>
    <row r="422" ht="15.75" customHeight="1">
      <c r="A422" s="5"/>
      <c r="B422" s="5"/>
      <c r="C422" s="5"/>
      <c r="D422" s="5"/>
      <c r="E422" s="5"/>
      <c r="F422" s="5"/>
    </row>
    <row r="423" ht="15.75" customHeight="1">
      <c r="A423" s="5"/>
      <c r="B423" s="5"/>
      <c r="C423" s="5"/>
      <c r="D423" s="5"/>
      <c r="E423" s="5"/>
      <c r="F423" s="5"/>
    </row>
    <row r="424" ht="15.75" customHeight="1">
      <c r="A424" s="5"/>
      <c r="B424" s="5"/>
      <c r="C424" s="5"/>
      <c r="D424" s="5"/>
      <c r="E424" s="5"/>
      <c r="F424" s="5"/>
    </row>
    <row r="425" ht="15.75" customHeight="1">
      <c r="A425" s="5"/>
      <c r="B425" s="5"/>
      <c r="C425" s="5"/>
      <c r="D425" s="5"/>
      <c r="E425" s="5"/>
      <c r="F425" s="5"/>
    </row>
    <row r="426" ht="15.75" customHeight="1">
      <c r="A426" s="5"/>
      <c r="B426" s="5"/>
      <c r="C426" s="5"/>
      <c r="D426" s="5"/>
      <c r="E426" s="5"/>
      <c r="F426" s="5"/>
    </row>
    <row r="427" ht="15.75" customHeight="1">
      <c r="A427" s="5"/>
      <c r="B427" s="5"/>
      <c r="C427" s="5"/>
      <c r="D427" s="5"/>
      <c r="E427" s="5"/>
      <c r="F427" s="5"/>
    </row>
    <row r="428" ht="15.75" customHeight="1">
      <c r="A428" s="5"/>
      <c r="B428" s="5"/>
      <c r="C428" s="5"/>
      <c r="D428" s="5"/>
      <c r="E428" s="5"/>
      <c r="F428" s="5"/>
    </row>
    <row r="429" ht="15.75" customHeight="1">
      <c r="A429" s="5"/>
      <c r="B429" s="5"/>
      <c r="C429" s="5"/>
      <c r="D429" s="5"/>
      <c r="E429" s="5"/>
      <c r="F429" s="5"/>
    </row>
    <row r="430" ht="15.75" customHeight="1">
      <c r="A430" s="5"/>
      <c r="B430" s="5"/>
      <c r="C430" s="5"/>
      <c r="D430" s="5"/>
      <c r="E430" s="5"/>
      <c r="F430" s="5"/>
    </row>
    <row r="431" ht="15.75" customHeight="1">
      <c r="A431" s="5"/>
      <c r="B431" s="5"/>
      <c r="C431" s="5"/>
      <c r="D431" s="5"/>
      <c r="E431" s="5"/>
      <c r="F431" s="5"/>
    </row>
    <row r="432" ht="15.75" customHeight="1">
      <c r="A432" s="5"/>
      <c r="B432" s="5"/>
      <c r="C432" s="5"/>
      <c r="D432" s="5"/>
      <c r="E432" s="5"/>
      <c r="F432" s="5"/>
    </row>
    <row r="433" ht="15.75" customHeight="1">
      <c r="A433" s="5"/>
      <c r="B433" s="5"/>
      <c r="C433" s="5"/>
      <c r="D433" s="5"/>
      <c r="E433" s="5"/>
      <c r="F433" s="5"/>
    </row>
    <row r="434" ht="15.75" customHeight="1">
      <c r="A434" s="5"/>
      <c r="B434" s="5"/>
      <c r="C434" s="5"/>
      <c r="D434" s="5"/>
      <c r="E434" s="5"/>
      <c r="F434" s="5"/>
    </row>
    <row r="435" ht="15.75" customHeight="1">
      <c r="A435" s="5"/>
      <c r="B435" s="5"/>
      <c r="C435" s="5"/>
      <c r="D435" s="5"/>
      <c r="E435" s="5"/>
      <c r="F435" s="5"/>
    </row>
    <row r="436" ht="15.75" customHeight="1">
      <c r="A436" s="5"/>
      <c r="B436" s="5"/>
      <c r="C436" s="5"/>
      <c r="D436" s="5"/>
      <c r="E436" s="5"/>
      <c r="F436" s="5"/>
    </row>
    <row r="437" ht="15.75" customHeight="1">
      <c r="A437" s="5"/>
      <c r="B437" s="5"/>
      <c r="C437" s="5"/>
      <c r="D437" s="5"/>
      <c r="E437" s="5"/>
      <c r="F437" s="5"/>
    </row>
    <row r="438" ht="15.75" customHeight="1">
      <c r="A438" s="5"/>
      <c r="B438" s="5"/>
      <c r="C438" s="5"/>
      <c r="D438" s="5"/>
      <c r="E438" s="5"/>
      <c r="F438" s="5"/>
    </row>
    <row r="439" ht="15.75" customHeight="1">
      <c r="A439" s="5"/>
      <c r="B439" s="5"/>
      <c r="C439" s="5"/>
      <c r="D439" s="5"/>
      <c r="E439" s="5"/>
      <c r="F439" s="5"/>
    </row>
    <row r="440" ht="15.75" customHeight="1">
      <c r="A440" s="5"/>
      <c r="B440" s="5"/>
      <c r="C440" s="5"/>
      <c r="D440" s="5"/>
      <c r="E440" s="5"/>
      <c r="F440" s="5"/>
    </row>
    <row r="441" ht="15.75" customHeight="1">
      <c r="A441" s="5"/>
      <c r="B441" s="5"/>
      <c r="C441" s="5"/>
      <c r="D441" s="5"/>
      <c r="E441" s="5"/>
      <c r="F441" s="5"/>
    </row>
    <row r="442" ht="15.75" customHeight="1">
      <c r="A442" s="5"/>
      <c r="B442" s="5"/>
      <c r="C442" s="5"/>
      <c r="D442" s="5"/>
      <c r="E442" s="5"/>
      <c r="F442" s="5"/>
    </row>
    <row r="443" ht="15.75" customHeight="1">
      <c r="A443" s="5"/>
      <c r="B443" s="5"/>
      <c r="C443" s="5"/>
      <c r="D443" s="5"/>
      <c r="E443" s="5"/>
      <c r="F443" s="5"/>
    </row>
    <row r="444" ht="15.75" customHeight="1">
      <c r="A444" s="5"/>
      <c r="B444" s="5"/>
      <c r="C444" s="5"/>
      <c r="D444" s="5"/>
      <c r="E444" s="5"/>
      <c r="F444" s="5"/>
    </row>
    <row r="445" ht="15.75" customHeight="1">
      <c r="A445" s="5"/>
      <c r="B445" s="5"/>
      <c r="C445" s="5"/>
      <c r="D445" s="5"/>
      <c r="E445" s="5"/>
      <c r="F445" s="5"/>
    </row>
    <row r="446" ht="15.75" customHeight="1">
      <c r="A446" s="5"/>
      <c r="B446" s="5"/>
      <c r="C446" s="5"/>
      <c r="D446" s="5"/>
      <c r="E446" s="5"/>
      <c r="F446" s="5"/>
    </row>
    <row r="447" ht="15.75" customHeight="1">
      <c r="A447" s="5"/>
      <c r="B447" s="5"/>
      <c r="C447" s="5"/>
      <c r="D447" s="5"/>
      <c r="E447" s="5"/>
      <c r="F447" s="5"/>
    </row>
    <row r="448" ht="15.75" customHeight="1">
      <c r="A448" s="5"/>
      <c r="B448" s="5"/>
      <c r="C448" s="5"/>
      <c r="D448" s="5"/>
      <c r="E448" s="5"/>
      <c r="F448" s="5"/>
    </row>
    <row r="449" ht="15.75" customHeight="1">
      <c r="A449" s="5"/>
      <c r="B449" s="5"/>
      <c r="C449" s="5"/>
      <c r="D449" s="5"/>
      <c r="E449" s="5"/>
      <c r="F449" s="5"/>
    </row>
    <row r="450" ht="15.75" customHeight="1">
      <c r="A450" s="5"/>
      <c r="B450" s="5"/>
      <c r="C450" s="5"/>
      <c r="D450" s="5"/>
      <c r="E450" s="5"/>
      <c r="F450" s="5"/>
    </row>
    <row r="451" ht="15.75" customHeight="1">
      <c r="A451" s="5"/>
      <c r="B451" s="5"/>
      <c r="C451" s="5"/>
      <c r="D451" s="5"/>
      <c r="E451" s="5"/>
      <c r="F451" s="5"/>
    </row>
    <row r="452" ht="15.75" customHeight="1">
      <c r="A452" s="5"/>
      <c r="B452" s="5"/>
      <c r="C452" s="5"/>
      <c r="D452" s="5"/>
      <c r="E452" s="5"/>
      <c r="F452" s="5"/>
    </row>
    <row r="453" ht="15.75" customHeight="1">
      <c r="A453" s="5"/>
      <c r="B453" s="5"/>
      <c r="C453" s="5"/>
      <c r="D453" s="5"/>
      <c r="E453" s="5"/>
      <c r="F453" s="5"/>
    </row>
    <row r="454" ht="15.75" customHeight="1">
      <c r="A454" s="5"/>
      <c r="B454" s="5"/>
      <c r="C454" s="5"/>
      <c r="D454" s="5"/>
      <c r="E454" s="5"/>
      <c r="F454" s="5"/>
    </row>
    <row r="455" ht="15.75" customHeight="1">
      <c r="A455" s="5"/>
      <c r="B455" s="5"/>
      <c r="C455" s="5"/>
      <c r="D455" s="5"/>
      <c r="E455" s="5"/>
      <c r="F455" s="5"/>
    </row>
    <row r="456" ht="15.75" customHeight="1">
      <c r="A456" s="5"/>
      <c r="B456" s="5"/>
      <c r="C456" s="5"/>
      <c r="D456" s="5"/>
      <c r="E456" s="5"/>
      <c r="F456" s="5"/>
    </row>
    <row r="457" ht="15.75" customHeight="1">
      <c r="A457" s="5"/>
      <c r="B457" s="5"/>
      <c r="C457" s="5"/>
      <c r="D457" s="5"/>
      <c r="E457" s="5"/>
      <c r="F457" s="5"/>
    </row>
    <row r="458" ht="15.75" customHeight="1">
      <c r="A458" s="5"/>
      <c r="B458" s="5"/>
      <c r="C458" s="5"/>
      <c r="D458" s="5"/>
      <c r="E458" s="5"/>
      <c r="F458" s="5"/>
    </row>
    <row r="459" ht="15.75" customHeight="1">
      <c r="A459" s="5"/>
      <c r="B459" s="5"/>
      <c r="C459" s="5"/>
      <c r="D459" s="5"/>
      <c r="E459" s="5"/>
      <c r="F459" s="5"/>
    </row>
    <row r="460" ht="15.75" customHeight="1">
      <c r="A460" s="5"/>
      <c r="B460" s="5"/>
      <c r="C460" s="5"/>
      <c r="D460" s="5"/>
      <c r="E460" s="5"/>
      <c r="F460" s="5"/>
    </row>
    <row r="461" ht="15.75" customHeight="1">
      <c r="A461" s="5"/>
      <c r="B461" s="5"/>
      <c r="C461" s="5"/>
      <c r="D461" s="5"/>
      <c r="E461" s="5"/>
      <c r="F461" s="5"/>
    </row>
    <row r="462" ht="15.75" customHeight="1">
      <c r="A462" s="5"/>
      <c r="B462" s="5"/>
      <c r="C462" s="5"/>
      <c r="D462" s="5"/>
      <c r="E462" s="5"/>
      <c r="F462" s="5"/>
    </row>
    <row r="463" ht="15.75" customHeight="1">
      <c r="A463" s="5"/>
      <c r="B463" s="5"/>
      <c r="C463" s="5"/>
      <c r="D463" s="5"/>
      <c r="E463" s="5"/>
      <c r="F463" s="5"/>
    </row>
    <row r="464" ht="15.75" customHeight="1">
      <c r="A464" s="5"/>
      <c r="B464" s="5"/>
      <c r="C464" s="5"/>
      <c r="D464" s="5"/>
      <c r="E464" s="5"/>
      <c r="F464" s="5"/>
    </row>
    <row r="465" ht="15.75" customHeight="1">
      <c r="A465" s="5"/>
      <c r="B465" s="5"/>
      <c r="C465" s="5"/>
      <c r="D465" s="5"/>
      <c r="E465" s="5"/>
      <c r="F465" s="5"/>
    </row>
    <row r="466" ht="15.75" customHeight="1">
      <c r="A466" s="5"/>
      <c r="B466" s="5"/>
      <c r="C466" s="5"/>
      <c r="D466" s="5"/>
      <c r="E466" s="5"/>
      <c r="F466" s="5"/>
    </row>
    <row r="467" ht="15.75" customHeight="1">
      <c r="A467" s="5"/>
      <c r="B467" s="5"/>
      <c r="C467" s="5"/>
      <c r="D467" s="5"/>
      <c r="E467" s="5"/>
      <c r="F467" s="5"/>
    </row>
    <row r="468" ht="15.75" customHeight="1">
      <c r="A468" s="5"/>
      <c r="B468" s="5"/>
      <c r="C468" s="5"/>
      <c r="D468" s="5"/>
      <c r="E468" s="5"/>
      <c r="F468" s="5"/>
    </row>
    <row r="469" ht="15.75" customHeight="1">
      <c r="A469" s="5"/>
      <c r="B469" s="5"/>
      <c r="C469" s="5"/>
      <c r="D469" s="5"/>
      <c r="E469" s="5"/>
      <c r="F469" s="5"/>
    </row>
    <row r="470" ht="15.75" customHeight="1">
      <c r="A470" s="5"/>
      <c r="B470" s="5"/>
      <c r="C470" s="5"/>
      <c r="D470" s="5"/>
      <c r="E470" s="5"/>
      <c r="F470" s="5"/>
    </row>
    <row r="471" ht="15.75" customHeight="1">
      <c r="A471" s="5"/>
      <c r="B471" s="5"/>
      <c r="C471" s="5"/>
      <c r="D471" s="5"/>
      <c r="E471" s="5"/>
      <c r="F471" s="5"/>
    </row>
    <row r="472" ht="15.75" customHeight="1">
      <c r="A472" s="5"/>
      <c r="B472" s="5"/>
      <c r="C472" s="5"/>
      <c r="D472" s="5"/>
      <c r="E472" s="5"/>
      <c r="F472" s="5"/>
    </row>
    <row r="473" ht="15.75" customHeight="1">
      <c r="A473" s="5"/>
      <c r="B473" s="5"/>
      <c r="C473" s="5"/>
      <c r="D473" s="5"/>
      <c r="E473" s="5"/>
      <c r="F473" s="5"/>
    </row>
    <row r="474" ht="15.75" customHeight="1">
      <c r="A474" s="5"/>
      <c r="B474" s="5"/>
      <c r="C474" s="5"/>
      <c r="D474" s="5"/>
      <c r="E474" s="5"/>
      <c r="F474" s="5"/>
    </row>
    <row r="475" ht="15.75" customHeight="1">
      <c r="A475" s="5"/>
      <c r="B475" s="5"/>
      <c r="C475" s="5"/>
      <c r="D475" s="5"/>
      <c r="E475" s="5"/>
      <c r="F475" s="5"/>
    </row>
    <row r="476" ht="15.75" customHeight="1">
      <c r="A476" s="5"/>
      <c r="B476" s="5"/>
      <c r="C476" s="5"/>
      <c r="D476" s="5"/>
      <c r="E476" s="5"/>
      <c r="F476" s="5"/>
    </row>
    <row r="477" ht="15.75" customHeight="1">
      <c r="A477" s="5"/>
      <c r="B477" s="5"/>
      <c r="C477" s="5"/>
      <c r="D477" s="5"/>
      <c r="E477" s="5"/>
      <c r="F477" s="5"/>
    </row>
    <row r="478" ht="15.75" customHeight="1">
      <c r="A478" s="5"/>
      <c r="B478" s="5"/>
      <c r="C478" s="5"/>
      <c r="D478" s="5"/>
      <c r="E478" s="5"/>
      <c r="F478" s="5"/>
    </row>
    <row r="479" ht="15.75" customHeight="1">
      <c r="A479" s="5"/>
      <c r="B479" s="5"/>
      <c r="C479" s="5"/>
      <c r="D479" s="5"/>
      <c r="E479" s="5"/>
      <c r="F479" s="5"/>
    </row>
    <row r="480" ht="15.75" customHeight="1">
      <c r="A480" s="5"/>
      <c r="B480" s="5"/>
      <c r="C480" s="5"/>
      <c r="D480" s="5"/>
      <c r="E480" s="5"/>
      <c r="F480" s="5"/>
    </row>
    <row r="481" ht="15.75" customHeight="1">
      <c r="A481" s="5"/>
      <c r="B481" s="5"/>
      <c r="C481" s="5"/>
      <c r="D481" s="5"/>
      <c r="E481" s="5"/>
      <c r="F481" s="5"/>
    </row>
    <row r="482" ht="15.75" customHeight="1">
      <c r="A482" s="5"/>
      <c r="B482" s="5"/>
      <c r="C482" s="5"/>
      <c r="D482" s="5"/>
      <c r="E482" s="5"/>
      <c r="F482" s="5"/>
    </row>
    <row r="483" ht="15.75" customHeight="1">
      <c r="A483" s="5"/>
      <c r="B483" s="5"/>
      <c r="C483" s="5"/>
      <c r="D483" s="5"/>
      <c r="E483" s="5"/>
      <c r="F483" s="5"/>
    </row>
    <row r="484" ht="15.75" customHeight="1">
      <c r="A484" s="5"/>
      <c r="B484" s="5"/>
      <c r="C484" s="5"/>
      <c r="D484" s="5"/>
      <c r="E484" s="5"/>
      <c r="F484" s="5"/>
    </row>
    <row r="485" ht="15.75" customHeight="1">
      <c r="A485" s="5"/>
      <c r="B485" s="5"/>
      <c r="C485" s="5"/>
      <c r="D485" s="5"/>
      <c r="E485" s="5"/>
      <c r="F485" s="5"/>
    </row>
    <row r="486" ht="15.75" customHeight="1">
      <c r="A486" s="5"/>
      <c r="B486" s="5"/>
      <c r="C486" s="5"/>
      <c r="D486" s="5"/>
      <c r="E486" s="5"/>
      <c r="F486" s="5"/>
    </row>
    <row r="487" ht="15.75" customHeight="1">
      <c r="A487" s="5"/>
      <c r="B487" s="5"/>
      <c r="C487" s="5"/>
      <c r="D487" s="5"/>
      <c r="E487" s="5"/>
      <c r="F487" s="5"/>
    </row>
    <row r="488" ht="15.75" customHeight="1">
      <c r="A488" s="5"/>
      <c r="B488" s="5"/>
      <c r="C488" s="5"/>
      <c r="D488" s="5"/>
      <c r="E488" s="5"/>
      <c r="F488" s="5"/>
    </row>
    <row r="489" ht="15.75" customHeight="1">
      <c r="A489" s="5"/>
      <c r="B489" s="5"/>
      <c r="C489" s="5"/>
      <c r="D489" s="5"/>
      <c r="E489" s="5"/>
      <c r="F489" s="5"/>
    </row>
    <row r="490" ht="15.75" customHeight="1">
      <c r="A490" s="5"/>
      <c r="B490" s="5"/>
      <c r="C490" s="5"/>
      <c r="D490" s="5"/>
      <c r="E490" s="5"/>
      <c r="F490" s="5"/>
    </row>
    <row r="491" ht="15.75" customHeight="1">
      <c r="A491" s="5"/>
      <c r="B491" s="5"/>
      <c r="C491" s="5"/>
      <c r="D491" s="5"/>
      <c r="E491" s="5"/>
      <c r="F491" s="5"/>
    </row>
    <row r="492" ht="15.75" customHeight="1">
      <c r="A492" s="5"/>
      <c r="B492" s="5"/>
      <c r="C492" s="5"/>
      <c r="D492" s="5"/>
      <c r="E492" s="5"/>
      <c r="F492" s="5"/>
    </row>
    <row r="493" ht="15.75" customHeight="1">
      <c r="A493" s="5"/>
      <c r="B493" s="5"/>
      <c r="C493" s="5"/>
      <c r="D493" s="5"/>
      <c r="E493" s="5"/>
      <c r="F493" s="5"/>
    </row>
    <row r="494" ht="15.75" customHeight="1">
      <c r="A494" s="5"/>
      <c r="B494" s="5"/>
      <c r="C494" s="5"/>
      <c r="D494" s="5"/>
      <c r="E494" s="5"/>
      <c r="F494" s="5"/>
    </row>
    <row r="495" ht="15.75" customHeight="1">
      <c r="A495" s="5"/>
      <c r="B495" s="5"/>
      <c r="C495" s="5"/>
      <c r="D495" s="5"/>
      <c r="E495" s="5"/>
      <c r="F495" s="5"/>
    </row>
    <row r="496" ht="15.75" customHeight="1">
      <c r="A496" s="5"/>
      <c r="B496" s="5"/>
      <c r="C496" s="5"/>
      <c r="D496" s="5"/>
      <c r="E496" s="5"/>
      <c r="F496" s="5"/>
    </row>
    <row r="497" ht="15.75" customHeight="1">
      <c r="A497" s="5"/>
      <c r="B497" s="5"/>
      <c r="C497" s="5"/>
      <c r="D497" s="5"/>
      <c r="E497" s="5"/>
      <c r="F497" s="5"/>
    </row>
    <row r="498" ht="15.75" customHeight="1">
      <c r="A498" s="5"/>
      <c r="B498" s="5"/>
      <c r="C498" s="5"/>
      <c r="D498" s="5"/>
      <c r="E498" s="5"/>
      <c r="F498" s="5"/>
    </row>
    <row r="499" ht="15.75" customHeight="1">
      <c r="A499" s="5"/>
      <c r="B499" s="5"/>
      <c r="C499" s="5"/>
      <c r="D499" s="5"/>
      <c r="E499" s="5"/>
      <c r="F499" s="5"/>
    </row>
    <row r="500" ht="15.75" customHeight="1">
      <c r="A500" s="5"/>
      <c r="B500" s="5"/>
      <c r="C500" s="5"/>
      <c r="D500" s="5"/>
      <c r="E500" s="5"/>
      <c r="F500" s="5"/>
    </row>
    <row r="501" ht="15.75" customHeight="1">
      <c r="A501" s="5"/>
      <c r="B501" s="5"/>
      <c r="C501" s="5"/>
      <c r="D501" s="5"/>
      <c r="E501" s="5"/>
      <c r="F501" s="5"/>
    </row>
    <row r="502" ht="15.75" customHeight="1">
      <c r="A502" s="5"/>
      <c r="B502" s="5"/>
      <c r="C502" s="5"/>
      <c r="D502" s="5"/>
      <c r="E502" s="5"/>
      <c r="F502" s="5"/>
    </row>
    <row r="503" ht="15.75" customHeight="1">
      <c r="A503" s="5"/>
      <c r="B503" s="5"/>
      <c r="C503" s="5"/>
      <c r="D503" s="5"/>
      <c r="E503" s="5"/>
      <c r="F503" s="5"/>
    </row>
    <row r="504" ht="15.75" customHeight="1">
      <c r="A504" s="5"/>
      <c r="B504" s="5"/>
      <c r="C504" s="5"/>
      <c r="D504" s="5"/>
      <c r="E504" s="5"/>
      <c r="F504" s="5"/>
    </row>
    <row r="505" ht="15.75" customHeight="1">
      <c r="A505" s="5"/>
      <c r="B505" s="5"/>
      <c r="C505" s="5"/>
      <c r="D505" s="5"/>
      <c r="E505" s="5"/>
      <c r="F505" s="5"/>
    </row>
    <row r="506" ht="15.75" customHeight="1">
      <c r="A506" s="5"/>
      <c r="B506" s="5"/>
      <c r="C506" s="5"/>
      <c r="D506" s="5"/>
      <c r="E506" s="5"/>
      <c r="F506" s="5"/>
    </row>
    <row r="507" ht="15.75" customHeight="1">
      <c r="A507" s="5"/>
      <c r="B507" s="5"/>
      <c r="C507" s="5"/>
      <c r="D507" s="5"/>
      <c r="E507" s="5"/>
      <c r="F507" s="5"/>
    </row>
    <row r="508" ht="15.75" customHeight="1">
      <c r="A508" s="5"/>
      <c r="B508" s="5"/>
      <c r="C508" s="5"/>
      <c r="D508" s="5"/>
      <c r="E508" s="5"/>
      <c r="F508" s="5"/>
    </row>
    <row r="509" ht="15.75" customHeight="1">
      <c r="A509" s="5"/>
      <c r="B509" s="5"/>
      <c r="C509" s="5"/>
      <c r="D509" s="5"/>
      <c r="E509" s="5"/>
      <c r="F509" s="5"/>
    </row>
    <row r="510" ht="15.75" customHeight="1">
      <c r="A510" s="5"/>
      <c r="B510" s="5"/>
      <c r="C510" s="5"/>
      <c r="D510" s="5"/>
      <c r="E510" s="5"/>
      <c r="F510" s="5"/>
    </row>
    <row r="511" ht="15.75" customHeight="1">
      <c r="A511" s="5"/>
      <c r="B511" s="5"/>
      <c r="C511" s="5"/>
      <c r="D511" s="5"/>
      <c r="E511" s="5"/>
      <c r="F511" s="5"/>
    </row>
    <row r="512" ht="15.75" customHeight="1">
      <c r="A512" s="5"/>
      <c r="B512" s="5"/>
      <c r="C512" s="5"/>
      <c r="D512" s="5"/>
      <c r="E512" s="5"/>
      <c r="F512" s="5"/>
    </row>
    <row r="513" ht="15.75" customHeight="1">
      <c r="A513" s="5"/>
      <c r="B513" s="5"/>
      <c r="C513" s="5"/>
      <c r="D513" s="5"/>
      <c r="E513" s="5"/>
      <c r="F513" s="5"/>
    </row>
    <row r="514" ht="15.75" customHeight="1">
      <c r="A514" s="5"/>
      <c r="B514" s="5"/>
      <c r="C514" s="5"/>
      <c r="D514" s="5"/>
      <c r="E514" s="5"/>
      <c r="F514" s="5"/>
    </row>
    <row r="515" ht="15.75" customHeight="1">
      <c r="A515" s="5"/>
      <c r="B515" s="5"/>
      <c r="C515" s="5"/>
      <c r="D515" s="5"/>
      <c r="E515" s="5"/>
      <c r="F515" s="5"/>
    </row>
    <row r="516" ht="15.75" customHeight="1">
      <c r="A516" s="5"/>
      <c r="B516" s="5"/>
      <c r="C516" s="5"/>
      <c r="D516" s="5"/>
      <c r="E516" s="5"/>
      <c r="F516" s="5"/>
    </row>
    <row r="517" ht="15.75" customHeight="1">
      <c r="A517" s="5"/>
      <c r="B517" s="5"/>
      <c r="C517" s="5"/>
      <c r="D517" s="5"/>
      <c r="E517" s="5"/>
      <c r="F517" s="5"/>
    </row>
    <row r="518" ht="15.75" customHeight="1">
      <c r="A518" s="5"/>
      <c r="B518" s="5"/>
      <c r="C518" s="5"/>
      <c r="D518" s="5"/>
      <c r="E518" s="5"/>
      <c r="F518" s="5"/>
    </row>
    <row r="519" ht="15.75" customHeight="1">
      <c r="A519" s="5"/>
      <c r="B519" s="5"/>
      <c r="C519" s="5"/>
      <c r="D519" s="5"/>
      <c r="E519" s="5"/>
      <c r="F519" s="5"/>
    </row>
    <row r="520" ht="15.75" customHeight="1">
      <c r="A520" s="5"/>
      <c r="B520" s="5"/>
      <c r="C520" s="5"/>
      <c r="D520" s="5"/>
      <c r="E520" s="5"/>
      <c r="F520" s="5"/>
    </row>
    <row r="521" ht="15.75" customHeight="1">
      <c r="A521" s="5"/>
      <c r="B521" s="5"/>
      <c r="C521" s="5"/>
      <c r="D521" s="5"/>
      <c r="E521" s="5"/>
      <c r="F521" s="5"/>
    </row>
    <row r="522" ht="15.75" customHeight="1">
      <c r="A522" s="5"/>
      <c r="B522" s="5"/>
      <c r="C522" s="5"/>
      <c r="D522" s="5"/>
      <c r="E522" s="5"/>
      <c r="F522" s="5"/>
    </row>
    <row r="523" ht="15.75" customHeight="1">
      <c r="A523" s="5"/>
      <c r="B523" s="5"/>
      <c r="C523" s="5"/>
      <c r="D523" s="5"/>
      <c r="E523" s="5"/>
      <c r="F523" s="5"/>
    </row>
    <row r="524" ht="15.75" customHeight="1">
      <c r="A524" s="5"/>
      <c r="B524" s="5"/>
      <c r="C524" s="5"/>
      <c r="D524" s="5"/>
      <c r="E524" s="5"/>
      <c r="F524" s="5"/>
    </row>
    <row r="525" ht="15.75" customHeight="1">
      <c r="A525" s="5"/>
      <c r="B525" s="5"/>
      <c r="C525" s="5"/>
      <c r="D525" s="5"/>
      <c r="E525" s="5"/>
      <c r="F525" s="5"/>
    </row>
    <row r="526" ht="15.75" customHeight="1">
      <c r="A526" s="5"/>
      <c r="B526" s="5"/>
      <c r="C526" s="5"/>
      <c r="D526" s="5"/>
      <c r="E526" s="5"/>
      <c r="F526" s="5"/>
    </row>
    <row r="527" ht="15.75" customHeight="1">
      <c r="A527" s="5"/>
      <c r="B527" s="5"/>
      <c r="C527" s="5"/>
      <c r="D527" s="5"/>
      <c r="E527" s="5"/>
      <c r="F527" s="5"/>
    </row>
    <row r="528" ht="15.75" customHeight="1">
      <c r="A528" s="5"/>
      <c r="B528" s="5"/>
      <c r="C528" s="5"/>
      <c r="D528" s="5"/>
      <c r="E528" s="5"/>
      <c r="F528" s="5"/>
    </row>
    <row r="529" ht="15.75" customHeight="1">
      <c r="A529" s="5"/>
      <c r="B529" s="5"/>
      <c r="C529" s="5"/>
      <c r="D529" s="5"/>
      <c r="E529" s="5"/>
      <c r="F529" s="5"/>
    </row>
    <row r="530" ht="15.75" customHeight="1">
      <c r="A530" s="5"/>
      <c r="B530" s="5"/>
      <c r="C530" s="5"/>
      <c r="D530" s="5"/>
      <c r="E530" s="5"/>
      <c r="F530" s="5"/>
    </row>
    <row r="531" ht="15.75" customHeight="1">
      <c r="A531" s="5"/>
      <c r="B531" s="5"/>
      <c r="C531" s="5"/>
      <c r="D531" s="5"/>
      <c r="E531" s="5"/>
      <c r="F531" s="5"/>
    </row>
    <row r="532" ht="15.75" customHeight="1">
      <c r="A532" s="5"/>
      <c r="B532" s="5"/>
      <c r="C532" s="5"/>
      <c r="D532" s="5"/>
      <c r="E532" s="5"/>
      <c r="F532" s="5"/>
    </row>
    <row r="533" ht="15.75" customHeight="1">
      <c r="A533" s="5"/>
      <c r="B533" s="5"/>
      <c r="C533" s="5"/>
      <c r="D533" s="5"/>
      <c r="E533" s="5"/>
      <c r="F533" s="5"/>
    </row>
    <row r="534" ht="15.75" customHeight="1">
      <c r="A534" s="5"/>
      <c r="B534" s="5"/>
      <c r="C534" s="5"/>
      <c r="D534" s="5"/>
      <c r="E534" s="5"/>
      <c r="F534" s="5"/>
    </row>
    <row r="535" ht="15.75" customHeight="1">
      <c r="A535" s="5"/>
      <c r="B535" s="5"/>
      <c r="C535" s="5"/>
      <c r="D535" s="5"/>
      <c r="E535" s="5"/>
      <c r="F535" s="5"/>
    </row>
    <row r="536" ht="15.75" customHeight="1">
      <c r="A536" s="5"/>
      <c r="B536" s="5"/>
      <c r="C536" s="5"/>
      <c r="D536" s="5"/>
      <c r="E536" s="5"/>
      <c r="F536" s="5"/>
    </row>
    <row r="537" ht="15.75" customHeight="1">
      <c r="A537" s="5"/>
      <c r="B537" s="5"/>
      <c r="C537" s="5"/>
      <c r="D537" s="5"/>
      <c r="E537" s="5"/>
      <c r="F537" s="5"/>
    </row>
    <row r="538" ht="15.75" customHeight="1">
      <c r="A538" s="5"/>
      <c r="B538" s="5"/>
      <c r="C538" s="5"/>
      <c r="D538" s="5"/>
      <c r="E538" s="5"/>
      <c r="F538" s="5"/>
    </row>
    <row r="539" ht="15.75" customHeight="1">
      <c r="A539" s="5"/>
      <c r="B539" s="5"/>
      <c r="C539" s="5"/>
      <c r="D539" s="5"/>
      <c r="E539" s="5"/>
      <c r="F539" s="5"/>
    </row>
    <row r="540" ht="15.75" customHeight="1">
      <c r="A540" s="5"/>
      <c r="B540" s="5"/>
      <c r="C540" s="5"/>
      <c r="D540" s="5"/>
      <c r="E540" s="5"/>
      <c r="F540" s="5"/>
    </row>
    <row r="541" ht="15.75" customHeight="1">
      <c r="A541" s="5"/>
      <c r="B541" s="5"/>
      <c r="C541" s="5"/>
      <c r="D541" s="5"/>
      <c r="E541" s="5"/>
      <c r="F541" s="5"/>
    </row>
    <row r="542" ht="15.75" customHeight="1">
      <c r="A542" s="5"/>
      <c r="B542" s="5"/>
      <c r="C542" s="5"/>
      <c r="D542" s="5"/>
      <c r="E542" s="5"/>
      <c r="F542" s="5"/>
    </row>
    <row r="543" ht="15.75" customHeight="1">
      <c r="A543" s="5"/>
      <c r="B543" s="5"/>
      <c r="C543" s="5"/>
      <c r="D543" s="5"/>
      <c r="E543" s="5"/>
      <c r="F543" s="5"/>
    </row>
    <row r="544" ht="15.75" customHeight="1">
      <c r="A544" s="5"/>
      <c r="B544" s="5"/>
      <c r="C544" s="5"/>
      <c r="D544" s="5"/>
      <c r="E544" s="5"/>
      <c r="F544" s="5"/>
    </row>
    <row r="545" ht="15.75" customHeight="1">
      <c r="A545" s="5"/>
      <c r="B545" s="5"/>
      <c r="C545" s="5"/>
      <c r="D545" s="5"/>
      <c r="E545" s="5"/>
      <c r="F545" s="5"/>
    </row>
    <row r="546" ht="15.75" customHeight="1">
      <c r="A546" s="5"/>
      <c r="B546" s="5"/>
      <c r="C546" s="5"/>
      <c r="D546" s="5"/>
      <c r="E546" s="5"/>
      <c r="F546" s="5"/>
    </row>
    <row r="547" ht="15.75" customHeight="1">
      <c r="A547" s="5"/>
      <c r="B547" s="5"/>
      <c r="C547" s="5"/>
      <c r="D547" s="5"/>
      <c r="E547" s="5"/>
      <c r="F547" s="5"/>
    </row>
    <row r="548" ht="15.75" customHeight="1">
      <c r="A548" s="5"/>
      <c r="B548" s="5"/>
      <c r="C548" s="5"/>
      <c r="D548" s="5"/>
      <c r="E548" s="5"/>
      <c r="F548" s="5"/>
    </row>
    <row r="549" ht="15.75" customHeight="1">
      <c r="A549" s="5"/>
      <c r="B549" s="5"/>
      <c r="C549" s="5"/>
      <c r="D549" s="5"/>
      <c r="E549" s="5"/>
      <c r="F549" s="5"/>
    </row>
    <row r="550" ht="15.75" customHeight="1">
      <c r="A550" s="5"/>
      <c r="B550" s="5"/>
      <c r="C550" s="5"/>
      <c r="D550" s="5"/>
      <c r="E550" s="5"/>
      <c r="F550" s="5"/>
    </row>
    <row r="551" ht="15.75" customHeight="1">
      <c r="A551" s="5"/>
      <c r="B551" s="5"/>
      <c r="C551" s="5"/>
      <c r="D551" s="5"/>
      <c r="E551" s="5"/>
      <c r="F551" s="5"/>
    </row>
    <row r="552" ht="15.75" customHeight="1">
      <c r="A552" s="5"/>
      <c r="B552" s="5"/>
      <c r="C552" s="5"/>
      <c r="D552" s="5"/>
      <c r="E552" s="5"/>
      <c r="F552" s="5"/>
    </row>
    <row r="553" ht="15.75" customHeight="1">
      <c r="A553" s="5"/>
      <c r="B553" s="5"/>
      <c r="C553" s="5"/>
      <c r="D553" s="5"/>
      <c r="E553" s="5"/>
      <c r="F553" s="5"/>
    </row>
    <row r="554" ht="15.75" customHeight="1">
      <c r="A554" s="5"/>
      <c r="B554" s="5"/>
      <c r="C554" s="5"/>
      <c r="D554" s="5"/>
      <c r="E554" s="5"/>
      <c r="F554" s="5"/>
    </row>
    <row r="555" ht="15.75" customHeight="1">
      <c r="A555" s="5"/>
      <c r="B555" s="5"/>
      <c r="C555" s="5"/>
      <c r="D555" s="5"/>
      <c r="E555" s="5"/>
      <c r="F555" s="5"/>
    </row>
    <row r="556" ht="15.75" customHeight="1">
      <c r="A556" s="5"/>
      <c r="B556" s="5"/>
      <c r="C556" s="5"/>
      <c r="D556" s="5"/>
      <c r="E556" s="5"/>
      <c r="F556" s="5"/>
    </row>
    <row r="557" ht="15.75" customHeight="1">
      <c r="A557" s="5"/>
      <c r="B557" s="5"/>
      <c r="C557" s="5"/>
      <c r="D557" s="5"/>
      <c r="E557" s="5"/>
      <c r="F557" s="5"/>
    </row>
    <row r="558" ht="15.75" customHeight="1">
      <c r="A558" s="5"/>
      <c r="B558" s="5"/>
      <c r="C558" s="5"/>
      <c r="D558" s="5"/>
      <c r="E558" s="5"/>
      <c r="F558" s="5"/>
    </row>
    <row r="559" ht="15.75" customHeight="1">
      <c r="A559" s="5"/>
      <c r="B559" s="5"/>
      <c r="C559" s="5"/>
      <c r="D559" s="5"/>
      <c r="E559" s="5"/>
      <c r="F559" s="5"/>
    </row>
    <row r="560" ht="15.75" customHeight="1">
      <c r="A560" s="5"/>
      <c r="B560" s="5"/>
      <c r="C560" s="5"/>
      <c r="D560" s="5"/>
      <c r="E560" s="5"/>
      <c r="F560" s="5"/>
    </row>
    <row r="561" ht="15.75" customHeight="1">
      <c r="A561" s="5"/>
      <c r="B561" s="5"/>
      <c r="C561" s="5"/>
      <c r="D561" s="5"/>
      <c r="E561" s="5"/>
      <c r="F561" s="5"/>
    </row>
    <row r="562" ht="15.75" customHeight="1">
      <c r="A562" s="5"/>
      <c r="B562" s="5"/>
      <c r="C562" s="5"/>
      <c r="D562" s="5"/>
      <c r="E562" s="5"/>
      <c r="F562" s="5"/>
    </row>
    <row r="563" ht="15.75" customHeight="1">
      <c r="A563" s="5"/>
      <c r="B563" s="5"/>
      <c r="C563" s="5"/>
      <c r="D563" s="5"/>
      <c r="E563" s="5"/>
      <c r="F563" s="5"/>
    </row>
    <row r="564" ht="15.75" customHeight="1">
      <c r="A564" s="5"/>
      <c r="B564" s="5"/>
      <c r="C564" s="5"/>
      <c r="D564" s="5"/>
      <c r="E564" s="5"/>
      <c r="F564" s="5"/>
    </row>
    <row r="565" ht="15.75" customHeight="1">
      <c r="A565" s="5"/>
      <c r="B565" s="5"/>
      <c r="C565" s="5"/>
      <c r="D565" s="5"/>
      <c r="E565" s="5"/>
      <c r="F565" s="5"/>
    </row>
    <row r="566" ht="15.75" customHeight="1">
      <c r="A566" s="5"/>
      <c r="B566" s="5"/>
      <c r="C566" s="5"/>
      <c r="D566" s="5"/>
      <c r="E566" s="5"/>
      <c r="F566" s="5"/>
    </row>
    <row r="567" ht="15.75" customHeight="1">
      <c r="A567" s="5"/>
      <c r="B567" s="5"/>
      <c r="C567" s="5"/>
      <c r="D567" s="5"/>
      <c r="E567" s="5"/>
      <c r="F567" s="5"/>
    </row>
    <row r="568" ht="15.75" customHeight="1">
      <c r="A568" s="5"/>
      <c r="B568" s="5"/>
      <c r="C568" s="5"/>
      <c r="D568" s="5"/>
      <c r="E568" s="5"/>
      <c r="F568" s="5"/>
    </row>
    <row r="569" ht="15.75" customHeight="1">
      <c r="A569" s="5"/>
      <c r="B569" s="5"/>
      <c r="C569" s="5"/>
      <c r="D569" s="5"/>
      <c r="E569" s="5"/>
      <c r="F569" s="5"/>
    </row>
    <row r="570" ht="15.75" customHeight="1">
      <c r="A570" s="5"/>
      <c r="B570" s="5"/>
      <c r="C570" s="5"/>
      <c r="D570" s="5"/>
      <c r="E570" s="5"/>
      <c r="F570" s="5"/>
    </row>
    <row r="571" ht="15.75" customHeight="1">
      <c r="A571" s="5"/>
      <c r="B571" s="5"/>
      <c r="C571" s="5"/>
      <c r="D571" s="5"/>
      <c r="E571" s="5"/>
      <c r="F571" s="5"/>
    </row>
    <row r="572" ht="15.75" customHeight="1">
      <c r="A572" s="5"/>
      <c r="B572" s="5"/>
      <c r="C572" s="5"/>
      <c r="D572" s="5"/>
      <c r="E572" s="5"/>
      <c r="F572" s="5"/>
    </row>
    <row r="573" ht="15.75" customHeight="1">
      <c r="A573" s="5"/>
      <c r="B573" s="5"/>
      <c r="C573" s="5"/>
      <c r="D573" s="5"/>
      <c r="E573" s="5"/>
      <c r="F573" s="5"/>
    </row>
    <row r="574" ht="15.75" customHeight="1">
      <c r="A574" s="5"/>
      <c r="B574" s="5"/>
      <c r="C574" s="5"/>
      <c r="D574" s="5"/>
      <c r="E574" s="5"/>
      <c r="F574" s="5"/>
    </row>
    <row r="575" ht="15.75" customHeight="1">
      <c r="A575" s="5"/>
      <c r="B575" s="5"/>
      <c r="C575" s="5"/>
      <c r="D575" s="5"/>
      <c r="E575" s="5"/>
      <c r="F575" s="5"/>
    </row>
    <row r="576" ht="15.75" customHeight="1">
      <c r="A576" s="5"/>
      <c r="B576" s="5"/>
      <c r="C576" s="5"/>
      <c r="D576" s="5"/>
      <c r="E576" s="5"/>
      <c r="F576" s="5"/>
    </row>
    <row r="577" ht="15.75" customHeight="1">
      <c r="A577" s="5"/>
      <c r="B577" s="5"/>
      <c r="C577" s="5"/>
      <c r="D577" s="5"/>
      <c r="E577" s="5"/>
      <c r="F577" s="5"/>
    </row>
    <row r="578" ht="15.75" customHeight="1">
      <c r="A578" s="5"/>
      <c r="B578" s="5"/>
      <c r="C578" s="5"/>
      <c r="D578" s="5"/>
      <c r="E578" s="5"/>
      <c r="F578" s="5"/>
    </row>
    <row r="579" ht="15.75" customHeight="1">
      <c r="A579" s="5"/>
      <c r="B579" s="5"/>
      <c r="C579" s="5"/>
      <c r="D579" s="5"/>
      <c r="E579" s="5"/>
      <c r="F579" s="5"/>
    </row>
    <row r="580" ht="15.75" customHeight="1">
      <c r="A580" s="5"/>
      <c r="B580" s="5"/>
      <c r="C580" s="5"/>
      <c r="D580" s="5"/>
      <c r="E580" s="5"/>
      <c r="F580" s="5"/>
    </row>
    <row r="581" ht="15.75" customHeight="1">
      <c r="A581" s="5"/>
      <c r="B581" s="5"/>
      <c r="C581" s="5"/>
      <c r="D581" s="5"/>
      <c r="E581" s="5"/>
      <c r="F581" s="5"/>
    </row>
    <row r="582" ht="15.75" customHeight="1">
      <c r="A582" s="5"/>
      <c r="B582" s="5"/>
      <c r="C582" s="5"/>
      <c r="D582" s="5"/>
      <c r="E582" s="5"/>
      <c r="F582" s="5"/>
    </row>
    <row r="583" ht="15.75" customHeight="1">
      <c r="A583" s="5"/>
      <c r="B583" s="5"/>
      <c r="C583" s="5"/>
      <c r="D583" s="5"/>
      <c r="E583" s="5"/>
      <c r="F583" s="5"/>
    </row>
    <row r="584" ht="15.75" customHeight="1">
      <c r="A584" s="5"/>
      <c r="B584" s="5"/>
      <c r="C584" s="5"/>
      <c r="D584" s="5"/>
      <c r="E584" s="5"/>
      <c r="F584" s="5"/>
    </row>
    <row r="585" ht="15.75" customHeight="1">
      <c r="A585" s="5"/>
      <c r="B585" s="5"/>
      <c r="C585" s="5"/>
      <c r="D585" s="5"/>
      <c r="E585" s="5"/>
      <c r="F585" s="5"/>
    </row>
    <row r="586" ht="15.75" customHeight="1">
      <c r="A586" s="5"/>
      <c r="B586" s="5"/>
      <c r="C586" s="5"/>
      <c r="D586" s="5"/>
      <c r="E586" s="5"/>
      <c r="F586" s="5"/>
    </row>
    <row r="587" ht="15.75" customHeight="1">
      <c r="A587" s="5"/>
      <c r="B587" s="5"/>
      <c r="C587" s="5"/>
      <c r="D587" s="5"/>
      <c r="E587" s="5"/>
      <c r="F587" s="5"/>
    </row>
    <row r="588" ht="15.75" customHeight="1">
      <c r="A588" s="5"/>
      <c r="B588" s="5"/>
      <c r="C588" s="5"/>
      <c r="D588" s="5"/>
      <c r="E588" s="5"/>
      <c r="F588" s="5"/>
    </row>
    <row r="589" ht="15.75" customHeight="1">
      <c r="A589" s="5"/>
      <c r="B589" s="5"/>
      <c r="C589" s="5"/>
      <c r="D589" s="5"/>
      <c r="E589" s="5"/>
      <c r="F589" s="5"/>
    </row>
    <row r="590" ht="15.75" customHeight="1">
      <c r="A590" s="5"/>
      <c r="B590" s="5"/>
      <c r="C590" s="5"/>
      <c r="D590" s="5"/>
      <c r="E590" s="5"/>
      <c r="F590" s="5"/>
    </row>
    <row r="591" ht="15.75" customHeight="1">
      <c r="A591" s="5"/>
      <c r="B591" s="5"/>
      <c r="C591" s="5"/>
      <c r="D591" s="5"/>
      <c r="E591" s="5"/>
      <c r="F591" s="5"/>
    </row>
    <row r="592" ht="15.75" customHeight="1">
      <c r="A592" s="5"/>
      <c r="B592" s="5"/>
      <c r="C592" s="5"/>
      <c r="D592" s="5"/>
      <c r="E592" s="5"/>
      <c r="F592" s="5"/>
    </row>
    <row r="593" ht="15.75" customHeight="1">
      <c r="A593" s="5"/>
      <c r="B593" s="5"/>
      <c r="C593" s="5"/>
      <c r="D593" s="5"/>
      <c r="E593" s="5"/>
      <c r="F593" s="5"/>
    </row>
    <row r="594" ht="15.75" customHeight="1">
      <c r="A594" s="5"/>
      <c r="B594" s="5"/>
      <c r="C594" s="5"/>
      <c r="D594" s="5"/>
      <c r="E594" s="5"/>
      <c r="F594" s="5"/>
    </row>
    <row r="595" ht="15.75" customHeight="1">
      <c r="A595" s="5"/>
      <c r="B595" s="5"/>
      <c r="C595" s="5"/>
      <c r="D595" s="5"/>
      <c r="E595" s="5"/>
      <c r="F595" s="5"/>
    </row>
    <row r="596" ht="15.75" customHeight="1">
      <c r="A596" s="5"/>
      <c r="B596" s="5"/>
      <c r="C596" s="5"/>
      <c r="D596" s="5"/>
      <c r="E596" s="5"/>
      <c r="F596" s="5"/>
    </row>
    <row r="597" ht="15.75" customHeight="1">
      <c r="A597" s="5"/>
      <c r="B597" s="5"/>
      <c r="C597" s="5"/>
      <c r="D597" s="5"/>
      <c r="E597" s="5"/>
      <c r="F597" s="5"/>
    </row>
    <row r="598" ht="15.75" customHeight="1">
      <c r="A598" s="5"/>
      <c r="B598" s="5"/>
      <c r="C598" s="5"/>
      <c r="D598" s="5"/>
      <c r="E598" s="5"/>
      <c r="F598" s="5"/>
    </row>
    <row r="599" ht="15.75" customHeight="1">
      <c r="A599" s="5"/>
      <c r="B599" s="5"/>
      <c r="C599" s="5"/>
      <c r="D599" s="5"/>
      <c r="E599" s="5"/>
      <c r="F599" s="5"/>
    </row>
    <row r="600" ht="15.75" customHeight="1">
      <c r="A600" s="5"/>
      <c r="B600" s="5"/>
      <c r="C600" s="5"/>
      <c r="D600" s="5"/>
      <c r="E600" s="5"/>
      <c r="F600" s="5"/>
    </row>
    <row r="601" ht="15.75" customHeight="1">
      <c r="A601" s="5"/>
      <c r="B601" s="5"/>
      <c r="C601" s="5"/>
      <c r="D601" s="5"/>
      <c r="E601" s="5"/>
      <c r="F601" s="5"/>
    </row>
    <row r="602" ht="15.75" customHeight="1">
      <c r="A602" s="5"/>
      <c r="B602" s="5"/>
      <c r="C602" s="5"/>
      <c r="D602" s="5"/>
      <c r="E602" s="5"/>
      <c r="F602" s="5"/>
    </row>
    <row r="603" ht="15.75" customHeight="1">
      <c r="A603" s="5"/>
      <c r="B603" s="5"/>
      <c r="C603" s="5"/>
      <c r="D603" s="5"/>
      <c r="E603" s="5"/>
      <c r="F603" s="5"/>
    </row>
    <row r="604" ht="15.75" customHeight="1">
      <c r="A604" s="5"/>
      <c r="B604" s="5"/>
      <c r="C604" s="5"/>
      <c r="D604" s="5"/>
      <c r="E604" s="5"/>
      <c r="F604" s="5"/>
    </row>
    <row r="605" ht="15.75" customHeight="1">
      <c r="A605" s="5"/>
      <c r="B605" s="5"/>
      <c r="C605" s="5"/>
      <c r="D605" s="5"/>
      <c r="E605" s="5"/>
      <c r="F605" s="5"/>
    </row>
    <row r="606" ht="15.75" customHeight="1">
      <c r="A606" s="5"/>
      <c r="B606" s="5"/>
      <c r="C606" s="5"/>
      <c r="D606" s="5"/>
      <c r="E606" s="5"/>
      <c r="F606" s="5"/>
    </row>
    <row r="607" ht="15.75" customHeight="1">
      <c r="A607" s="5"/>
      <c r="B607" s="5"/>
      <c r="C607" s="5"/>
      <c r="D607" s="5"/>
      <c r="E607" s="5"/>
      <c r="F607" s="5"/>
    </row>
    <row r="608" ht="15.75" customHeight="1">
      <c r="A608" s="5"/>
      <c r="B608" s="5"/>
      <c r="C608" s="5"/>
      <c r="D608" s="5"/>
      <c r="E608" s="5"/>
      <c r="F608" s="5"/>
    </row>
    <row r="609" ht="15.75" customHeight="1">
      <c r="A609" s="5"/>
      <c r="B609" s="5"/>
      <c r="C609" s="5"/>
      <c r="D609" s="5"/>
      <c r="E609" s="5"/>
      <c r="F609" s="5"/>
    </row>
    <row r="610" ht="15.75" customHeight="1">
      <c r="A610" s="5"/>
      <c r="B610" s="5"/>
      <c r="C610" s="5"/>
      <c r="D610" s="5"/>
      <c r="E610" s="5"/>
      <c r="F610" s="5"/>
    </row>
    <row r="611" ht="15.75" customHeight="1">
      <c r="A611" s="5"/>
      <c r="B611" s="5"/>
      <c r="C611" s="5"/>
      <c r="D611" s="5"/>
      <c r="E611" s="5"/>
      <c r="F611" s="5"/>
    </row>
    <row r="612" ht="15.75" customHeight="1">
      <c r="A612" s="5"/>
      <c r="B612" s="5"/>
      <c r="C612" s="5"/>
      <c r="D612" s="5"/>
      <c r="E612" s="5"/>
      <c r="F612" s="5"/>
    </row>
    <row r="613" ht="15.75" customHeight="1">
      <c r="A613" s="5"/>
      <c r="B613" s="5"/>
      <c r="C613" s="5"/>
      <c r="D613" s="5"/>
      <c r="E613" s="5"/>
      <c r="F613" s="5"/>
    </row>
    <row r="614" ht="15.75" customHeight="1">
      <c r="A614" s="5"/>
      <c r="B614" s="5"/>
      <c r="C614" s="5"/>
      <c r="D614" s="5"/>
      <c r="E614" s="5"/>
      <c r="F614" s="5"/>
    </row>
    <row r="615" ht="15.75" customHeight="1">
      <c r="A615" s="5"/>
      <c r="B615" s="5"/>
      <c r="C615" s="5"/>
      <c r="D615" s="5"/>
      <c r="E615" s="5"/>
      <c r="F615" s="5"/>
    </row>
    <row r="616" ht="15.75" customHeight="1">
      <c r="A616" s="5"/>
      <c r="B616" s="5"/>
      <c r="C616" s="5"/>
      <c r="D616" s="5"/>
      <c r="E616" s="5"/>
      <c r="F616" s="5"/>
    </row>
    <row r="617" ht="15.75" customHeight="1">
      <c r="A617" s="5"/>
      <c r="B617" s="5"/>
      <c r="C617" s="5"/>
      <c r="D617" s="5"/>
      <c r="E617" s="5"/>
      <c r="F617" s="5"/>
    </row>
    <row r="618" ht="15.75" customHeight="1">
      <c r="A618" s="5"/>
      <c r="B618" s="5"/>
      <c r="C618" s="5"/>
      <c r="D618" s="5"/>
      <c r="E618" s="5"/>
      <c r="F618" s="5"/>
    </row>
    <row r="619" ht="15.75" customHeight="1">
      <c r="A619" s="5"/>
      <c r="B619" s="5"/>
      <c r="C619" s="5"/>
      <c r="D619" s="5"/>
      <c r="E619" s="5"/>
      <c r="F619" s="5"/>
    </row>
    <row r="620" ht="15.75" customHeight="1">
      <c r="A620" s="5"/>
      <c r="B620" s="5"/>
      <c r="C620" s="5"/>
      <c r="D620" s="5"/>
      <c r="E620" s="5"/>
      <c r="F620" s="5"/>
    </row>
    <row r="621" ht="15.75" customHeight="1">
      <c r="A621" s="5"/>
      <c r="B621" s="5"/>
      <c r="C621" s="5"/>
      <c r="D621" s="5"/>
      <c r="E621" s="5"/>
      <c r="F621" s="5"/>
    </row>
    <row r="622" ht="15.75" customHeight="1">
      <c r="A622" s="5"/>
      <c r="B622" s="5"/>
      <c r="C622" s="5"/>
      <c r="D622" s="5"/>
      <c r="E622" s="5"/>
      <c r="F622" s="5"/>
    </row>
    <row r="623" ht="15.75" customHeight="1">
      <c r="A623" s="5"/>
      <c r="B623" s="5"/>
      <c r="C623" s="5"/>
      <c r="D623" s="5"/>
      <c r="E623" s="5"/>
      <c r="F623" s="5"/>
    </row>
    <row r="624" ht="15.75" customHeight="1">
      <c r="A624" s="5"/>
      <c r="B624" s="5"/>
      <c r="C624" s="5"/>
      <c r="D624" s="5"/>
      <c r="E624" s="5"/>
      <c r="F624" s="5"/>
    </row>
    <row r="625" ht="15.75" customHeight="1">
      <c r="A625" s="5"/>
      <c r="B625" s="5"/>
      <c r="C625" s="5"/>
      <c r="D625" s="5"/>
      <c r="E625" s="5"/>
      <c r="F625" s="5"/>
    </row>
    <row r="626" ht="15.75" customHeight="1">
      <c r="A626" s="5"/>
      <c r="B626" s="5"/>
      <c r="C626" s="5"/>
      <c r="D626" s="5"/>
      <c r="E626" s="5"/>
      <c r="F626" s="5"/>
    </row>
    <row r="627" ht="15.75" customHeight="1">
      <c r="A627" s="5"/>
      <c r="B627" s="5"/>
      <c r="C627" s="5"/>
      <c r="D627" s="5"/>
      <c r="E627" s="5"/>
      <c r="F627" s="5"/>
    </row>
    <row r="628" ht="15.75" customHeight="1">
      <c r="A628" s="5"/>
      <c r="B628" s="5"/>
      <c r="C628" s="5"/>
      <c r="D628" s="5"/>
      <c r="E628" s="5"/>
      <c r="F628" s="5"/>
    </row>
    <row r="629" ht="15.75" customHeight="1">
      <c r="A629" s="5"/>
      <c r="B629" s="5"/>
      <c r="C629" s="5"/>
      <c r="D629" s="5"/>
      <c r="E629" s="5"/>
      <c r="F629" s="5"/>
    </row>
    <row r="630" ht="15.75" customHeight="1">
      <c r="A630" s="5"/>
      <c r="B630" s="5"/>
      <c r="C630" s="5"/>
      <c r="D630" s="5"/>
      <c r="E630" s="5"/>
      <c r="F630" s="5"/>
    </row>
    <row r="631" ht="15.75" customHeight="1">
      <c r="A631" s="5"/>
      <c r="B631" s="5"/>
      <c r="C631" s="5"/>
      <c r="D631" s="5"/>
      <c r="E631" s="5"/>
      <c r="F631" s="5"/>
    </row>
    <row r="632" ht="15.75" customHeight="1">
      <c r="A632" s="5"/>
      <c r="B632" s="5"/>
      <c r="C632" s="5"/>
      <c r="D632" s="5"/>
      <c r="E632" s="5"/>
      <c r="F632" s="5"/>
    </row>
    <row r="633" ht="15.75" customHeight="1">
      <c r="A633" s="5"/>
      <c r="B633" s="5"/>
      <c r="C633" s="5"/>
      <c r="D633" s="5"/>
      <c r="E633" s="5"/>
      <c r="F633" s="5"/>
    </row>
    <row r="634" ht="15.75" customHeight="1">
      <c r="A634" s="5"/>
      <c r="B634" s="5"/>
      <c r="C634" s="5"/>
      <c r="D634" s="5"/>
      <c r="E634" s="5"/>
      <c r="F634" s="5"/>
    </row>
    <row r="635" ht="15.75" customHeight="1">
      <c r="A635" s="5"/>
      <c r="B635" s="5"/>
      <c r="C635" s="5"/>
      <c r="D635" s="5"/>
      <c r="E635" s="5"/>
      <c r="F635" s="5"/>
    </row>
    <row r="636" ht="15.75" customHeight="1">
      <c r="A636" s="5"/>
      <c r="B636" s="5"/>
      <c r="C636" s="5"/>
      <c r="D636" s="5"/>
      <c r="E636" s="5"/>
      <c r="F636" s="5"/>
    </row>
    <row r="637" ht="15.75" customHeight="1">
      <c r="A637" s="5"/>
      <c r="B637" s="5"/>
      <c r="C637" s="5"/>
      <c r="D637" s="5"/>
      <c r="E637" s="5"/>
      <c r="F637" s="5"/>
    </row>
    <row r="638" ht="15.75" customHeight="1">
      <c r="A638" s="5"/>
      <c r="B638" s="5"/>
      <c r="C638" s="5"/>
      <c r="D638" s="5"/>
      <c r="E638" s="5"/>
      <c r="F638" s="5"/>
    </row>
    <row r="639" ht="15.75" customHeight="1">
      <c r="A639" s="5"/>
      <c r="B639" s="5"/>
      <c r="C639" s="5"/>
      <c r="D639" s="5"/>
      <c r="E639" s="5"/>
      <c r="F639" s="5"/>
    </row>
    <row r="640" ht="15.75" customHeight="1">
      <c r="A640" s="5"/>
      <c r="B640" s="5"/>
      <c r="C640" s="5"/>
      <c r="D640" s="5"/>
      <c r="E640" s="5"/>
      <c r="F640" s="5"/>
    </row>
    <row r="641" ht="15.75" customHeight="1">
      <c r="A641" s="5"/>
      <c r="B641" s="5"/>
      <c r="C641" s="5"/>
      <c r="D641" s="5"/>
      <c r="E641" s="5"/>
      <c r="F641" s="5"/>
    </row>
    <row r="642" ht="15.75" customHeight="1">
      <c r="A642" s="5"/>
      <c r="B642" s="5"/>
      <c r="C642" s="5"/>
      <c r="D642" s="5"/>
      <c r="E642" s="5"/>
      <c r="F642" s="5"/>
    </row>
    <row r="643" ht="15.75" customHeight="1">
      <c r="A643" s="5"/>
      <c r="B643" s="5"/>
      <c r="C643" s="5"/>
      <c r="D643" s="5"/>
      <c r="E643" s="5"/>
      <c r="F643" s="5"/>
    </row>
    <row r="644" ht="15.75" customHeight="1">
      <c r="A644" s="5"/>
      <c r="B644" s="5"/>
      <c r="C644" s="5"/>
      <c r="D644" s="5"/>
      <c r="E644" s="5"/>
      <c r="F644" s="5"/>
    </row>
    <row r="645" ht="15.75" customHeight="1">
      <c r="A645" s="5"/>
      <c r="B645" s="5"/>
      <c r="C645" s="5"/>
      <c r="D645" s="5"/>
      <c r="E645" s="5"/>
      <c r="F645" s="5"/>
    </row>
    <row r="646" ht="15.75" customHeight="1">
      <c r="A646" s="5"/>
      <c r="B646" s="5"/>
      <c r="C646" s="5"/>
      <c r="D646" s="5"/>
      <c r="E646" s="5"/>
      <c r="F646" s="5"/>
    </row>
    <row r="647" ht="15.75" customHeight="1">
      <c r="A647" s="5"/>
      <c r="B647" s="5"/>
      <c r="C647" s="5"/>
      <c r="D647" s="5"/>
      <c r="E647" s="5"/>
      <c r="F647" s="5"/>
    </row>
    <row r="648" ht="15.75" customHeight="1">
      <c r="A648" s="5"/>
      <c r="B648" s="5"/>
      <c r="C648" s="5"/>
      <c r="D648" s="5"/>
      <c r="E648" s="5"/>
      <c r="F648" s="5"/>
    </row>
    <row r="649" ht="15.75" customHeight="1">
      <c r="A649" s="5"/>
      <c r="B649" s="5"/>
      <c r="C649" s="5"/>
      <c r="D649" s="5"/>
      <c r="E649" s="5"/>
      <c r="F649" s="5"/>
    </row>
    <row r="650" ht="15.75" customHeight="1">
      <c r="A650" s="5"/>
      <c r="B650" s="5"/>
      <c r="C650" s="5"/>
      <c r="D650" s="5"/>
      <c r="E650" s="5"/>
      <c r="F650" s="5"/>
    </row>
    <row r="651" ht="15.75" customHeight="1">
      <c r="A651" s="5"/>
      <c r="B651" s="5"/>
      <c r="C651" s="5"/>
      <c r="D651" s="5"/>
      <c r="E651" s="5"/>
      <c r="F651" s="5"/>
    </row>
    <row r="652" ht="15.75" customHeight="1">
      <c r="A652" s="5"/>
      <c r="B652" s="5"/>
      <c r="C652" s="5"/>
      <c r="D652" s="5"/>
      <c r="E652" s="5"/>
      <c r="F652" s="5"/>
    </row>
    <row r="653" ht="15.75" customHeight="1">
      <c r="A653" s="5"/>
      <c r="B653" s="5"/>
      <c r="C653" s="5"/>
      <c r="D653" s="5"/>
      <c r="E653" s="5"/>
      <c r="F653" s="5"/>
    </row>
    <row r="654" ht="15.75" customHeight="1">
      <c r="A654" s="5"/>
      <c r="B654" s="5"/>
      <c r="C654" s="5"/>
      <c r="D654" s="5"/>
      <c r="E654" s="5"/>
      <c r="F654" s="5"/>
    </row>
    <row r="655" ht="15.75" customHeight="1">
      <c r="A655" s="5"/>
      <c r="B655" s="5"/>
      <c r="C655" s="5"/>
      <c r="D655" s="5"/>
      <c r="E655" s="5"/>
      <c r="F655" s="5"/>
    </row>
    <row r="656" ht="15.75" customHeight="1">
      <c r="A656" s="5"/>
      <c r="B656" s="5"/>
      <c r="C656" s="5"/>
      <c r="D656" s="5"/>
      <c r="E656" s="5"/>
      <c r="F656" s="5"/>
    </row>
    <row r="657" ht="15.75" customHeight="1">
      <c r="A657" s="5"/>
      <c r="B657" s="5"/>
      <c r="C657" s="5"/>
      <c r="D657" s="5"/>
      <c r="E657" s="5"/>
      <c r="F657" s="5"/>
    </row>
    <row r="658" ht="15.75" customHeight="1">
      <c r="A658" s="5"/>
      <c r="B658" s="5"/>
      <c r="C658" s="5"/>
      <c r="D658" s="5"/>
      <c r="E658" s="5"/>
      <c r="F658" s="5"/>
    </row>
    <row r="659" ht="15.75" customHeight="1">
      <c r="A659" s="5"/>
      <c r="B659" s="5"/>
      <c r="C659" s="5"/>
      <c r="D659" s="5"/>
      <c r="E659" s="5"/>
      <c r="F659" s="5"/>
    </row>
    <row r="660" ht="15.75" customHeight="1">
      <c r="A660" s="5"/>
      <c r="B660" s="5"/>
      <c r="C660" s="5"/>
      <c r="D660" s="5"/>
      <c r="E660" s="5"/>
      <c r="F660" s="5"/>
    </row>
    <row r="661" ht="15.75" customHeight="1">
      <c r="A661" s="5"/>
      <c r="B661" s="5"/>
      <c r="C661" s="5"/>
      <c r="D661" s="5"/>
      <c r="E661" s="5"/>
      <c r="F661" s="5"/>
    </row>
    <row r="662" ht="15.75" customHeight="1">
      <c r="A662" s="5"/>
      <c r="B662" s="5"/>
      <c r="C662" s="5"/>
      <c r="D662" s="5"/>
      <c r="E662" s="5"/>
      <c r="F662" s="5"/>
    </row>
    <row r="663" ht="15.75" customHeight="1">
      <c r="A663" s="5"/>
      <c r="B663" s="5"/>
      <c r="C663" s="5"/>
      <c r="D663" s="5"/>
      <c r="E663" s="5"/>
      <c r="F663" s="5"/>
    </row>
    <row r="664" ht="15.75" customHeight="1">
      <c r="A664" s="5"/>
      <c r="B664" s="5"/>
      <c r="C664" s="5"/>
      <c r="D664" s="5"/>
      <c r="E664" s="5"/>
      <c r="F664" s="5"/>
    </row>
    <row r="665" ht="15.75" customHeight="1">
      <c r="A665" s="5"/>
      <c r="B665" s="5"/>
      <c r="C665" s="5"/>
      <c r="D665" s="5"/>
      <c r="E665" s="5"/>
      <c r="F665" s="5"/>
    </row>
    <row r="666" ht="15.75" customHeight="1">
      <c r="A666" s="5"/>
      <c r="B666" s="5"/>
      <c r="C666" s="5"/>
      <c r="D666" s="5"/>
      <c r="E666" s="5"/>
      <c r="F666" s="5"/>
    </row>
    <row r="667" ht="15.75" customHeight="1">
      <c r="A667" s="5"/>
      <c r="B667" s="5"/>
      <c r="C667" s="5"/>
      <c r="D667" s="5"/>
      <c r="E667" s="5"/>
      <c r="F667" s="5"/>
    </row>
    <row r="668" ht="15.75" customHeight="1">
      <c r="A668" s="5"/>
      <c r="B668" s="5"/>
      <c r="C668" s="5"/>
      <c r="D668" s="5"/>
      <c r="E668" s="5"/>
      <c r="F668" s="5"/>
    </row>
    <row r="669" ht="15.75" customHeight="1">
      <c r="A669" s="5"/>
      <c r="B669" s="5"/>
      <c r="C669" s="5"/>
      <c r="D669" s="5"/>
      <c r="E669" s="5"/>
      <c r="F669" s="5"/>
    </row>
    <row r="670" ht="15.75" customHeight="1">
      <c r="A670" s="5"/>
      <c r="B670" s="5"/>
      <c r="C670" s="5"/>
      <c r="D670" s="5"/>
      <c r="E670" s="5"/>
      <c r="F670" s="5"/>
    </row>
    <row r="671" ht="15.75" customHeight="1">
      <c r="A671" s="5"/>
      <c r="B671" s="5"/>
      <c r="C671" s="5"/>
      <c r="D671" s="5"/>
      <c r="E671" s="5"/>
      <c r="F671" s="5"/>
    </row>
    <row r="672" ht="15.75" customHeight="1">
      <c r="A672" s="5"/>
      <c r="B672" s="5"/>
      <c r="C672" s="5"/>
      <c r="D672" s="5"/>
      <c r="E672" s="5"/>
      <c r="F672" s="5"/>
    </row>
    <row r="673" ht="15.75" customHeight="1">
      <c r="A673" s="5"/>
      <c r="B673" s="5"/>
      <c r="C673" s="5"/>
      <c r="D673" s="5"/>
      <c r="E673" s="5"/>
      <c r="F673" s="5"/>
    </row>
    <row r="674" ht="15.75" customHeight="1">
      <c r="A674" s="5"/>
      <c r="B674" s="5"/>
      <c r="C674" s="5"/>
      <c r="D674" s="5"/>
      <c r="E674" s="5"/>
      <c r="F674" s="5"/>
    </row>
    <row r="675" ht="15.75" customHeight="1">
      <c r="A675" s="5"/>
      <c r="B675" s="5"/>
      <c r="C675" s="5"/>
      <c r="D675" s="5"/>
      <c r="E675" s="5"/>
      <c r="F675" s="5"/>
    </row>
    <row r="676" ht="15.75" customHeight="1">
      <c r="A676" s="5"/>
      <c r="B676" s="5"/>
      <c r="C676" s="5"/>
      <c r="D676" s="5"/>
      <c r="E676" s="5"/>
      <c r="F676" s="5"/>
    </row>
    <row r="677" ht="15.75" customHeight="1">
      <c r="A677" s="5"/>
      <c r="B677" s="5"/>
      <c r="C677" s="5"/>
      <c r="D677" s="5"/>
      <c r="E677" s="5"/>
      <c r="F677" s="5"/>
    </row>
    <row r="678" ht="15.75" customHeight="1">
      <c r="A678" s="5"/>
      <c r="B678" s="5"/>
      <c r="C678" s="5"/>
      <c r="D678" s="5"/>
      <c r="E678" s="5"/>
      <c r="F678" s="5"/>
    </row>
    <row r="679" ht="15.75" customHeight="1">
      <c r="A679" s="5"/>
      <c r="B679" s="5"/>
      <c r="C679" s="5"/>
      <c r="D679" s="5"/>
      <c r="E679" s="5"/>
      <c r="F679" s="5"/>
    </row>
    <row r="680" ht="15.75" customHeight="1">
      <c r="A680" s="5"/>
      <c r="B680" s="5"/>
      <c r="C680" s="5"/>
      <c r="D680" s="5"/>
      <c r="E680" s="5"/>
      <c r="F680" s="5"/>
    </row>
    <row r="681" ht="15.75" customHeight="1">
      <c r="A681" s="5"/>
      <c r="B681" s="5"/>
      <c r="C681" s="5"/>
      <c r="D681" s="5"/>
      <c r="E681" s="5"/>
      <c r="F681" s="5"/>
    </row>
    <row r="682" ht="15.75" customHeight="1">
      <c r="A682" s="5"/>
      <c r="B682" s="5"/>
      <c r="C682" s="5"/>
      <c r="D682" s="5"/>
      <c r="E682" s="5"/>
      <c r="F682" s="5"/>
    </row>
    <row r="683" ht="15.75" customHeight="1">
      <c r="A683" s="5"/>
      <c r="B683" s="5"/>
      <c r="C683" s="5"/>
      <c r="D683" s="5"/>
      <c r="E683" s="5"/>
      <c r="F683" s="5"/>
    </row>
    <row r="684" ht="15.75" customHeight="1">
      <c r="A684" s="5"/>
      <c r="B684" s="5"/>
      <c r="C684" s="5"/>
      <c r="D684" s="5"/>
      <c r="E684" s="5"/>
      <c r="F684" s="5"/>
    </row>
    <row r="685" ht="15.75" customHeight="1">
      <c r="A685" s="5"/>
      <c r="B685" s="5"/>
      <c r="C685" s="5"/>
      <c r="D685" s="5"/>
      <c r="E685" s="5"/>
      <c r="F685" s="5"/>
    </row>
    <row r="686" ht="15.75" customHeight="1">
      <c r="A686" s="5"/>
      <c r="B686" s="5"/>
      <c r="C686" s="5"/>
      <c r="D686" s="5"/>
      <c r="E686" s="5"/>
      <c r="F686" s="5"/>
    </row>
    <row r="687" ht="15.75" customHeight="1">
      <c r="A687" s="5"/>
      <c r="B687" s="5"/>
      <c r="C687" s="5"/>
      <c r="D687" s="5"/>
      <c r="E687" s="5"/>
      <c r="F687" s="5"/>
    </row>
    <row r="688" ht="15.75" customHeight="1">
      <c r="A688" s="5"/>
      <c r="B688" s="5"/>
      <c r="C688" s="5"/>
      <c r="D688" s="5"/>
      <c r="E688" s="5"/>
      <c r="F688" s="5"/>
    </row>
    <row r="689" ht="15.75" customHeight="1">
      <c r="A689" s="5"/>
      <c r="B689" s="5"/>
      <c r="C689" s="5"/>
      <c r="D689" s="5"/>
      <c r="E689" s="5"/>
      <c r="F689" s="5"/>
    </row>
    <row r="690" ht="15.75" customHeight="1">
      <c r="A690" s="5"/>
      <c r="B690" s="5"/>
      <c r="C690" s="5"/>
      <c r="D690" s="5"/>
      <c r="E690" s="5"/>
      <c r="F690" s="5"/>
    </row>
    <row r="691" ht="15.75" customHeight="1">
      <c r="A691" s="5"/>
      <c r="B691" s="5"/>
      <c r="C691" s="5"/>
      <c r="D691" s="5"/>
      <c r="E691" s="5"/>
      <c r="F691" s="5"/>
    </row>
    <row r="692" ht="15.75" customHeight="1">
      <c r="A692" s="5"/>
      <c r="B692" s="5"/>
      <c r="C692" s="5"/>
      <c r="D692" s="5"/>
      <c r="E692" s="5"/>
      <c r="F692" s="5"/>
    </row>
    <row r="693" ht="15.75" customHeight="1">
      <c r="A693" s="5"/>
      <c r="B693" s="5"/>
      <c r="C693" s="5"/>
      <c r="D693" s="5"/>
      <c r="E693" s="5"/>
      <c r="F693" s="5"/>
    </row>
    <row r="694" ht="15.75" customHeight="1">
      <c r="A694" s="5"/>
      <c r="B694" s="5"/>
      <c r="C694" s="5"/>
      <c r="D694" s="5"/>
      <c r="E694" s="5"/>
      <c r="F694" s="5"/>
    </row>
    <row r="695" ht="15.75" customHeight="1">
      <c r="A695" s="5"/>
      <c r="B695" s="5"/>
      <c r="C695" s="5"/>
      <c r="D695" s="5"/>
      <c r="E695" s="5"/>
      <c r="F695" s="5"/>
    </row>
    <row r="696" ht="15.75" customHeight="1">
      <c r="A696" s="5"/>
      <c r="B696" s="5"/>
      <c r="C696" s="5"/>
      <c r="D696" s="5"/>
      <c r="E696" s="5"/>
      <c r="F696" s="5"/>
    </row>
    <row r="697" ht="15.75" customHeight="1">
      <c r="A697" s="5"/>
      <c r="B697" s="5"/>
      <c r="C697" s="5"/>
      <c r="D697" s="5"/>
      <c r="E697" s="5"/>
      <c r="F697" s="5"/>
    </row>
    <row r="698" ht="15.75" customHeight="1">
      <c r="A698" s="5"/>
      <c r="B698" s="5"/>
      <c r="C698" s="5"/>
      <c r="D698" s="5"/>
      <c r="E698" s="5"/>
      <c r="F698" s="5"/>
    </row>
    <row r="699" ht="15.75" customHeight="1">
      <c r="A699" s="5"/>
      <c r="B699" s="5"/>
      <c r="C699" s="5"/>
      <c r="D699" s="5"/>
      <c r="E699" s="5"/>
      <c r="F699" s="5"/>
    </row>
    <row r="700" ht="15.75" customHeight="1">
      <c r="A700" s="5"/>
      <c r="B700" s="5"/>
      <c r="C700" s="5"/>
      <c r="D700" s="5"/>
      <c r="E700" s="5"/>
      <c r="F700" s="5"/>
    </row>
    <row r="701" ht="15.75" customHeight="1">
      <c r="A701" s="5"/>
      <c r="B701" s="5"/>
      <c r="C701" s="5"/>
      <c r="D701" s="5"/>
      <c r="E701" s="5"/>
      <c r="F701" s="5"/>
    </row>
    <row r="702" ht="15.75" customHeight="1">
      <c r="A702" s="5"/>
      <c r="B702" s="5"/>
      <c r="C702" s="5"/>
      <c r="D702" s="5"/>
      <c r="E702" s="5"/>
      <c r="F702" s="5"/>
    </row>
    <row r="703" ht="15.75" customHeight="1">
      <c r="A703" s="5"/>
      <c r="B703" s="5"/>
      <c r="C703" s="5"/>
      <c r="D703" s="5"/>
      <c r="E703" s="5"/>
      <c r="F703" s="5"/>
    </row>
    <row r="704" ht="15.75" customHeight="1">
      <c r="A704" s="5"/>
      <c r="B704" s="5"/>
      <c r="C704" s="5"/>
      <c r="D704" s="5"/>
      <c r="E704" s="5"/>
      <c r="F704" s="5"/>
    </row>
    <row r="705" ht="15.75" customHeight="1">
      <c r="A705" s="5"/>
      <c r="B705" s="5"/>
      <c r="C705" s="5"/>
      <c r="D705" s="5"/>
      <c r="E705" s="5"/>
      <c r="F705" s="5"/>
    </row>
    <row r="706" ht="15.75" customHeight="1">
      <c r="A706" s="5"/>
      <c r="B706" s="5"/>
      <c r="C706" s="5"/>
      <c r="D706" s="5"/>
      <c r="E706" s="5"/>
      <c r="F706" s="5"/>
    </row>
    <row r="707" ht="15.75" customHeight="1">
      <c r="A707" s="5"/>
      <c r="B707" s="5"/>
      <c r="C707" s="5"/>
      <c r="D707" s="5"/>
      <c r="E707" s="5"/>
      <c r="F707" s="5"/>
    </row>
    <row r="708" ht="15.75" customHeight="1">
      <c r="A708" s="5"/>
      <c r="B708" s="5"/>
      <c r="C708" s="5"/>
      <c r="D708" s="5"/>
      <c r="E708" s="5"/>
      <c r="F708" s="5"/>
    </row>
    <row r="709" ht="15.75" customHeight="1">
      <c r="A709" s="5"/>
      <c r="B709" s="5"/>
      <c r="C709" s="5"/>
      <c r="D709" s="5"/>
      <c r="E709" s="5"/>
      <c r="F709" s="5"/>
    </row>
    <row r="710" ht="15.75" customHeight="1">
      <c r="A710" s="5"/>
      <c r="B710" s="5"/>
      <c r="C710" s="5"/>
      <c r="D710" s="5"/>
      <c r="E710" s="5"/>
      <c r="F710" s="5"/>
    </row>
    <row r="711" ht="15.75" customHeight="1">
      <c r="A711" s="5"/>
      <c r="B711" s="5"/>
      <c r="C711" s="5"/>
      <c r="D711" s="5"/>
      <c r="E711" s="5"/>
      <c r="F711" s="5"/>
    </row>
    <row r="712" ht="15.75" customHeight="1">
      <c r="A712" s="5"/>
      <c r="B712" s="5"/>
      <c r="C712" s="5"/>
      <c r="D712" s="5"/>
      <c r="E712" s="5"/>
      <c r="F712" s="5"/>
    </row>
    <row r="713" ht="15.75" customHeight="1">
      <c r="A713" s="5"/>
      <c r="B713" s="5"/>
      <c r="C713" s="5"/>
      <c r="D713" s="5"/>
      <c r="E713" s="5"/>
      <c r="F713" s="5"/>
    </row>
    <row r="714" ht="15.75" customHeight="1">
      <c r="A714" s="5"/>
      <c r="B714" s="5"/>
      <c r="C714" s="5"/>
      <c r="D714" s="5"/>
      <c r="E714" s="5"/>
      <c r="F714" s="5"/>
    </row>
    <row r="715" ht="15.75" customHeight="1">
      <c r="A715" s="5"/>
      <c r="B715" s="5"/>
      <c r="C715" s="5"/>
      <c r="D715" s="5"/>
      <c r="E715" s="5"/>
      <c r="F715" s="5"/>
    </row>
    <row r="716" ht="15.75" customHeight="1">
      <c r="A716" s="5"/>
      <c r="B716" s="5"/>
      <c r="C716" s="5"/>
      <c r="D716" s="5"/>
      <c r="E716" s="5"/>
      <c r="F716" s="5"/>
    </row>
    <row r="717" ht="15.75" customHeight="1">
      <c r="A717" s="5"/>
      <c r="B717" s="5"/>
      <c r="C717" s="5"/>
      <c r="D717" s="5"/>
      <c r="E717" s="5"/>
      <c r="F717" s="5"/>
    </row>
    <row r="718" ht="15.75" customHeight="1">
      <c r="A718" s="5"/>
      <c r="B718" s="5"/>
      <c r="C718" s="5"/>
      <c r="D718" s="5"/>
      <c r="E718" s="5"/>
      <c r="F718" s="5"/>
    </row>
    <row r="719" ht="15.75" customHeight="1">
      <c r="A719" s="5"/>
      <c r="B719" s="5"/>
      <c r="C719" s="5"/>
      <c r="D719" s="5"/>
      <c r="E719" s="5"/>
      <c r="F719" s="5"/>
    </row>
    <row r="720" ht="15.75" customHeight="1">
      <c r="A720" s="5"/>
      <c r="B720" s="5"/>
      <c r="C720" s="5"/>
      <c r="D720" s="5"/>
      <c r="E720" s="5"/>
      <c r="F720" s="5"/>
    </row>
    <row r="721" ht="15.75" customHeight="1">
      <c r="A721" s="5"/>
      <c r="B721" s="5"/>
      <c r="C721" s="5"/>
      <c r="D721" s="5"/>
      <c r="E721" s="5"/>
      <c r="F721" s="5"/>
    </row>
    <row r="722" ht="15.75" customHeight="1">
      <c r="A722" s="5"/>
      <c r="B722" s="5"/>
      <c r="C722" s="5"/>
      <c r="D722" s="5"/>
      <c r="E722" s="5"/>
      <c r="F722" s="5"/>
    </row>
    <row r="723" ht="15.75" customHeight="1">
      <c r="A723" s="5"/>
      <c r="B723" s="5"/>
      <c r="C723" s="5"/>
      <c r="D723" s="5"/>
      <c r="E723" s="5"/>
      <c r="F723" s="5"/>
    </row>
    <row r="724" ht="15.75" customHeight="1">
      <c r="A724" s="5"/>
      <c r="B724" s="5"/>
      <c r="C724" s="5"/>
      <c r="D724" s="5"/>
      <c r="E724" s="5"/>
      <c r="F724" s="5"/>
    </row>
    <row r="725" ht="15.75" customHeight="1">
      <c r="A725" s="5"/>
      <c r="B725" s="5"/>
      <c r="C725" s="5"/>
      <c r="D725" s="5"/>
      <c r="E725" s="5"/>
      <c r="F725" s="5"/>
    </row>
    <row r="726" ht="15.75" customHeight="1">
      <c r="A726" s="5"/>
      <c r="B726" s="5"/>
      <c r="C726" s="5"/>
      <c r="D726" s="5"/>
      <c r="E726" s="5"/>
      <c r="F726" s="5"/>
    </row>
    <row r="727" ht="15.75" customHeight="1">
      <c r="A727" s="5"/>
      <c r="B727" s="5"/>
      <c r="C727" s="5"/>
      <c r="D727" s="5"/>
      <c r="E727" s="5"/>
      <c r="F727" s="5"/>
    </row>
    <row r="728" ht="15.75" customHeight="1">
      <c r="A728" s="5"/>
      <c r="B728" s="5"/>
      <c r="C728" s="5"/>
      <c r="D728" s="5"/>
      <c r="E728" s="5"/>
      <c r="F728" s="5"/>
    </row>
    <row r="729" ht="15.75" customHeight="1">
      <c r="A729" s="5"/>
      <c r="B729" s="5"/>
      <c r="C729" s="5"/>
      <c r="D729" s="5"/>
      <c r="E729" s="5"/>
      <c r="F729" s="5"/>
    </row>
    <row r="730" ht="15.75" customHeight="1">
      <c r="A730" s="5"/>
      <c r="B730" s="5"/>
      <c r="C730" s="5"/>
      <c r="D730" s="5"/>
      <c r="E730" s="5"/>
      <c r="F730" s="5"/>
    </row>
    <row r="731" ht="15.75" customHeight="1">
      <c r="A731" s="5"/>
      <c r="B731" s="5"/>
      <c r="C731" s="5"/>
      <c r="D731" s="5"/>
      <c r="E731" s="5"/>
      <c r="F731" s="5"/>
    </row>
    <row r="732" ht="15.75" customHeight="1">
      <c r="A732" s="5"/>
      <c r="B732" s="5"/>
      <c r="C732" s="5"/>
      <c r="D732" s="5"/>
      <c r="E732" s="5"/>
      <c r="F732" s="5"/>
    </row>
    <row r="733" ht="15.75" customHeight="1">
      <c r="A733" s="5"/>
      <c r="B733" s="5"/>
      <c r="C733" s="5"/>
      <c r="D733" s="5"/>
      <c r="E733" s="5"/>
      <c r="F733" s="5"/>
    </row>
    <row r="734" ht="15.75" customHeight="1">
      <c r="A734" s="5"/>
      <c r="B734" s="5"/>
      <c r="C734" s="5"/>
      <c r="D734" s="5"/>
      <c r="E734" s="5"/>
      <c r="F734" s="5"/>
    </row>
    <row r="735" ht="15.75" customHeight="1">
      <c r="A735" s="5"/>
      <c r="B735" s="5"/>
      <c r="C735" s="5"/>
      <c r="D735" s="5"/>
      <c r="E735" s="5"/>
      <c r="F735" s="5"/>
    </row>
    <row r="736" ht="15.75" customHeight="1">
      <c r="A736" s="5"/>
      <c r="B736" s="5"/>
      <c r="C736" s="5"/>
      <c r="D736" s="5"/>
      <c r="E736" s="5"/>
      <c r="F736" s="5"/>
    </row>
    <row r="737" ht="15.75" customHeight="1">
      <c r="A737" s="5"/>
      <c r="B737" s="5"/>
      <c r="C737" s="5"/>
      <c r="D737" s="5"/>
      <c r="E737" s="5"/>
      <c r="F737" s="5"/>
    </row>
    <row r="738" ht="15.75" customHeight="1">
      <c r="A738" s="5"/>
      <c r="B738" s="5"/>
      <c r="C738" s="5"/>
      <c r="D738" s="5"/>
      <c r="E738" s="5"/>
      <c r="F738" s="5"/>
    </row>
    <row r="739" ht="15.75" customHeight="1">
      <c r="A739" s="5"/>
      <c r="B739" s="5"/>
      <c r="C739" s="5"/>
      <c r="D739" s="5"/>
      <c r="E739" s="5"/>
      <c r="F739" s="5"/>
    </row>
    <row r="740" ht="15.75" customHeight="1">
      <c r="A740" s="5"/>
      <c r="B740" s="5"/>
      <c r="C740" s="5"/>
      <c r="D740" s="5"/>
      <c r="E740" s="5"/>
      <c r="F740" s="5"/>
    </row>
    <row r="741" ht="15.75" customHeight="1">
      <c r="A741" s="5"/>
      <c r="B741" s="5"/>
      <c r="C741" s="5"/>
      <c r="D741" s="5"/>
      <c r="E741" s="5"/>
      <c r="F741" s="5"/>
    </row>
    <row r="742" ht="15.75" customHeight="1">
      <c r="A742" s="5"/>
      <c r="B742" s="5"/>
      <c r="C742" s="5"/>
      <c r="D742" s="5"/>
      <c r="E742" s="5"/>
      <c r="F742" s="5"/>
    </row>
    <row r="743" ht="15.75" customHeight="1">
      <c r="A743" s="5"/>
      <c r="B743" s="5"/>
      <c r="C743" s="5"/>
      <c r="D743" s="5"/>
      <c r="E743" s="5"/>
      <c r="F743" s="5"/>
    </row>
    <row r="744" ht="15.75" customHeight="1">
      <c r="A744" s="5"/>
      <c r="B744" s="5"/>
      <c r="C744" s="5"/>
      <c r="D744" s="5"/>
      <c r="E744" s="5"/>
      <c r="F744" s="5"/>
    </row>
    <row r="745" ht="15.75" customHeight="1">
      <c r="A745" s="5"/>
      <c r="B745" s="5"/>
      <c r="C745" s="5"/>
      <c r="D745" s="5"/>
      <c r="E745" s="5"/>
      <c r="F745" s="5"/>
    </row>
    <row r="746" ht="15.75" customHeight="1">
      <c r="A746" s="5"/>
      <c r="B746" s="5"/>
      <c r="C746" s="5"/>
      <c r="D746" s="5"/>
      <c r="E746" s="5"/>
      <c r="F746" s="5"/>
    </row>
    <row r="747" ht="15.75" customHeight="1">
      <c r="A747" s="5"/>
      <c r="B747" s="5"/>
      <c r="C747" s="5"/>
      <c r="D747" s="5"/>
      <c r="E747" s="5"/>
      <c r="F747" s="5"/>
    </row>
    <row r="748" ht="15.75" customHeight="1">
      <c r="A748" s="5"/>
      <c r="B748" s="5"/>
      <c r="C748" s="5"/>
      <c r="D748" s="5"/>
      <c r="E748" s="5"/>
      <c r="F748" s="5"/>
    </row>
    <row r="749" ht="15.75" customHeight="1">
      <c r="A749" s="5"/>
      <c r="B749" s="5"/>
      <c r="C749" s="5"/>
      <c r="D749" s="5"/>
      <c r="E749" s="5"/>
      <c r="F749" s="5"/>
    </row>
    <row r="750" ht="15.75" customHeight="1">
      <c r="A750" s="5"/>
      <c r="B750" s="5"/>
      <c r="C750" s="5"/>
      <c r="D750" s="5"/>
      <c r="E750" s="5"/>
      <c r="F750" s="5"/>
    </row>
    <row r="751" ht="15.75" customHeight="1">
      <c r="A751" s="5"/>
      <c r="B751" s="5"/>
      <c r="C751" s="5"/>
      <c r="D751" s="5"/>
      <c r="E751" s="5"/>
      <c r="F751" s="5"/>
    </row>
    <row r="752" ht="15.75" customHeight="1">
      <c r="A752" s="5"/>
      <c r="B752" s="5"/>
      <c r="C752" s="5"/>
      <c r="D752" s="5"/>
      <c r="E752" s="5"/>
      <c r="F752" s="5"/>
    </row>
    <row r="753" ht="15.75" customHeight="1">
      <c r="A753" s="5"/>
      <c r="B753" s="5"/>
      <c r="C753" s="5"/>
      <c r="D753" s="5"/>
      <c r="E753" s="5"/>
      <c r="F753" s="5"/>
    </row>
    <row r="754" ht="15.75" customHeight="1">
      <c r="A754" s="5"/>
      <c r="B754" s="5"/>
      <c r="C754" s="5"/>
      <c r="D754" s="5"/>
      <c r="E754" s="5"/>
      <c r="F754" s="5"/>
    </row>
    <row r="755" ht="15.75" customHeight="1">
      <c r="A755" s="5"/>
      <c r="B755" s="5"/>
      <c r="C755" s="5"/>
      <c r="D755" s="5"/>
      <c r="E755" s="5"/>
      <c r="F755" s="5"/>
    </row>
    <row r="756" ht="15.75" customHeight="1">
      <c r="A756" s="5"/>
      <c r="B756" s="5"/>
      <c r="C756" s="5"/>
      <c r="D756" s="5"/>
      <c r="E756" s="5"/>
      <c r="F756" s="5"/>
    </row>
    <row r="757" ht="15.75" customHeight="1">
      <c r="A757" s="5"/>
      <c r="B757" s="5"/>
      <c r="C757" s="5"/>
      <c r="D757" s="5"/>
      <c r="E757" s="5"/>
      <c r="F757" s="5"/>
    </row>
    <row r="758" ht="15.75" customHeight="1">
      <c r="A758" s="5"/>
      <c r="B758" s="5"/>
      <c r="C758" s="5"/>
      <c r="D758" s="5"/>
      <c r="E758" s="5"/>
      <c r="F758" s="5"/>
    </row>
    <row r="759" ht="15.75" customHeight="1">
      <c r="A759" s="5"/>
      <c r="B759" s="5"/>
      <c r="C759" s="5"/>
      <c r="D759" s="5"/>
      <c r="E759" s="5"/>
      <c r="F759" s="5"/>
    </row>
    <row r="760" ht="15.75" customHeight="1">
      <c r="A760" s="5"/>
      <c r="B760" s="5"/>
      <c r="C760" s="5"/>
      <c r="D760" s="5"/>
      <c r="E760" s="5"/>
      <c r="F760" s="5"/>
    </row>
    <row r="761" ht="15.75" customHeight="1">
      <c r="A761" s="5"/>
      <c r="B761" s="5"/>
      <c r="C761" s="5"/>
      <c r="D761" s="5"/>
      <c r="E761" s="5"/>
      <c r="F761" s="5"/>
    </row>
    <row r="762" ht="15.75" customHeight="1">
      <c r="A762" s="5"/>
      <c r="B762" s="5"/>
      <c r="C762" s="5"/>
      <c r="D762" s="5"/>
      <c r="E762" s="5"/>
      <c r="F762" s="5"/>
    </row>
    <row r="763" ht="15.75" customHeight="1">
      <c r="A763" s="5"/>
      <c r="B763" s="5"/>
      <c r="C763" s="5"/>
      <c r="D763" s="5"/>
      <c r="E763" s="5"/>
      <c r="F763" s="5"/>
    </row>
    <row r="764" ht="15.75" customHeight="1">
      <c r="A764" s="5"/>
      <c r="B764" s="5"/>
      <c r="C764" s="5"/>
      <c r="D764" s="5"/>
      <c r="E764" s="5"/>
      <c r="F764" s="5"/>
    </row>
    <row r="765" ht="15.75" customHeight="1">
      <c r="A765" s="5"/>
      <c r="B765" s="5"/>
      <c r="C765" s="5"/>
      <c r="D765" s="5"/>
      <c r="E765" s="5"/>
      <c r="F765" s="5"/>
    </row>
    <row r="766" ht="15.75" customHeight="1">
      <c r="A766" s="5"/>
      <c r="B766" s="5"/>
      <c r="C766" s="5"/>
      <c r="D766" s="5"/>
      <c r="E766" s="5"/>
      <c r="F766" s="5"/>
    </row>
    <row r="767" ht="15.75" customHeight="1">
      <c r="A767" s="5"/>
      <c r="B767" s="5"/>
      <c r="C767" s="5"/>
      <c r="D767" s="5"/>
      <c r="E767" s="5"/>
      <c r="F767" s="5"/>
    </row>
    <row r="768" ht="15.75" customHeight="1">
      <c r="A768" s="5"/>
      <c r="B768" s="5"/>
      <c r="C768" s="5"/>
      <c r="D768" s="5"/>
      <c r="E768" s="5"/>
      <c r="F768" s="5"/>
    </row>
    <row r="769" ht="15.75" customHeight="1">
      <c r="A769" s="5"/>
      <c r="B769" s="5"/>
      <c r="C769" s="5"/>
      <c r="D769" s="5"/>
      <c r="E769" s="5"/>
      <c r="F769" s="5"/>
    </row>
    <row r="770" ht="15.75" customHeight="1">
      <c r="A770" s="5"/>
      <c r="B770" s="5"/>
      <c r="C770" s="5"/>
      <c r="D770" s="5"/>
      <c r="E770" s="5"/>
      <c r="F770" s="5"/>
    </row>
    <row r="771" ht="15.75" customHeight="1">
      <c r="A771" s="5"/>
      <c r="B771" s="5"/>
      <c r="C771" s="5"/>
      <c r="D771" s="5"/>
      <c r="E771" s="5"/>
      <c r="F771" s="5"/>
    </row>
    <row r="772" ht="15.75" customHeight="1">
      <c r="A772" s="5"/>
      <c r="B772" s="5"/>
      <c r="C772" s="5"/>
      <c r="D772" s="5"/>
      <c r="E772" s="5"/>
      <c r="F772" s="5"/>
    </row>
    <row r="773" ht="15.75" customHeight="1">
      <c r="A773" s="5"/>
      <c r="B773" s="5"/>
      <c r="C773" s="5"/>
      <c r="D773" s="5"/>
      <c r="E773" s="5"/>
      <c r="F773" s="5"/>
    </row>
    <row r="774" ht="15.75" customHeight="1">
      <c r="A774" s="5"/>
      <c r="B774" s="5"/>
      <c r="C774" s="5"/>
      <c r="D774" s="5"/>
      <c r="E774" s="5"/>
      <c r="F774" s="5"/>
    </row>
    <row r="775" ht="15.75" customHeight="1">
      <c r="A775" s="5"/>
      <c r="B775" s="5"/>
      <c r="C775" s="5"/>
      <c r="D775" s="5"/>
      <c r="E775" s="5"/>
      <c r="F775" s="5"/>
    </row>
    <row r="776" ht="15.75" customHeight="1">
      <c r="A776" s="5"/>
      <c r="B776" s="5"/>
      <c r="C776" s="5"/>
      <c r="D776" s="5"/>
      <c r="E776" s="5"/>
      <c r="F776" s="5"/>
    </row>
    <row r="777" ht="15.75" customHeight="1">
      <c r="A777" s="5"/>
      <c r="B777" s="5"/>
      <c r="C777" s="5"/>
      <c r="D777" s="5"/>
      <c r="E777" s="5"/>
      <c r="F777" s="5"/>
    </row>
    <row r="778" ht="15.75" customHeight="1">
      <c r="A778" s="5"/>
      <c r="B778" s="5"/>
      <c r="C778" s="5"/>
      <c r="D778" s="5"/>
      <c r="E778" s="5"/>
      <c r="F778" s="5"/>
    </row>
    <row r="779" ht="15.75" customHeight="1">
      <c r="A779" s="5"/>
      <c r="B779" s="5"/>
      <c r="C779" s="5"/>
      <c r="D779" s="5"/>
      <c r="E779" s="5"/>
      <c r="F779" s="5"/>
    </row>
    <row r="780" ht="15.75" customHeight="1">
      <c r="A780" s="5"/>
      <c r="B780" s="5"/>
      <c r="C780" s="5"/>
      <c r="D780" s="5"/>
      <c r="E780" s="5"/>
      <c r="F780" s="5"/>
    </row>
    <row r="781" ht="15.75" customHeight="1">
      <c r="A781" s="5"/>
      <c r="B781" s="5"/>
      <c r="C781" s="5"/>
      <c r="D781" s="5"/>
      <c r="E781" s="5"/>
      <c r="F781" s="5"/>
    </row>
    <row r="782" ht="15.75" customHeight="1">
      <c r="A782" s="5"/>
      <c r="B782" s="5"/>
      <c r="C782" s="5"/>
      <c r="D782" s="5"/>
      <c r="E782" s="5"/>
      <c r="F782" s="5"/>
    </row>
    <row r="783" ht="15.75" customHeight="1">
      <c r="A783" s="5"/>
      <c r="B783" s="5"/>
      <c r="C783" s="5"/>
      <c r="D783" s="5"/>
      <c r="E783" s="5"/>
      <c r="F783" s="5"/>
    </row>
    <row r="784" ht="15.75" customHeight="1">
      <c r="A784" s="5"/>
      <c r="B784" s="5"/>
      <c r="C784" s="5"/>
      <c r="D784" s="5"/>
      <c r="E784" s="5"/>
      <c r="F784" s="5"/>
    </row>
    <row r="785" ht="15.75" customHeight="1">
      <c r="A785" s="5"/>
      <c r="B785" s="5"/>
      <c r="C785" s="5"/>
      <c r="D785" s="5"/>
      <c r="E785" s="5"/>
      <c r="F785" s="5"/>
    </row>
    <row r="786" ht="15.75" customHeight="1">
      <c r="A786" s="5"/>
      <c r="B786" s="5"/>
      <c r="C786" s="5"/>
      <c r="D786" s="5"/>
      <c r="E786" s="5"/>
      <c r="F786" s="5"/>
    </row>
    <row r="787" ht="15.75" customHeight="1">
      <c r="A787" s="5"/>
      <c r="B787" s="5"/>
      <c r="C787" s="5"/>
      <c r="D787" s="5"/>
      <c r="E787" s="5"/>
      <c r="F787" s="5"/>
    </row>
    <row r="788" ht="15.75" customHeight="1">
      <c r="A788" s="5"/>
      <c r="B788" s="5"/>
      <c r="C788" s="5"/>
      <c r="D788" s="5"/>
      <c r="E788" s="5"/>
      <c r="F788" s="5"/>
    </row>
    <row r="789" ht="15.75" customHeight="1">
      <c r="A789" s="5"/>
      <c r="B789" s="5"/>
      <c r="C789" s="5"/>
      <c r="D789" s="5"/>
      <c r="E789" s="5"/>
      <c r="F789" s="5"/>
    </row>
    <row r="790" ht="15.75" customHeight="1">
      <c r="A790" s="5"/>
      <c r="B790" s="5"/>
      <c r="C790" s="5"/>
      <c r="D790" s="5"/>
      <c r="E790" s="5"/>
      <c r="F790" s="5"/>
    </row>
    <row r="791" ht="15.75" customHeight="1">
      <c r="A791" s="5"/>
      <c r="B791" s="5"/>
      <c r="C791" s="5"/>
      <c r="D791" s="5"/>
      <c r="E791" s="5"/>
      <c r="F791" s="5"/>
    </row>
    <row r="792" ht="15.75" customHeight="1">
      <c r="A792" s="5"/>
      <c r="B792" s="5"/>
      <c r="C792" s="5"/>
      <c r="D792" s="5"/>
      <c r="E792" s="5"/>
      <c r="F792" s="5"/>
    </row>
    <row r="793" ht="15.75" customHeight="1">
      <c r="A793" s="5"/>
      <c r="B793" s="5"/>
      <c r="C793" s="5"/>
      <c r="D793" s="5"/>
      <c r="E793" s="5"/>
      <c r="F793" s="5"/>
    </row>
    <row r="794" ht="15.75" customHeight="1">
      <c r="A794" s="5"/>
      <c r="B794" s="5"/>
      <c r="C794" s="5"/>
      <c r="D794" s="5"/>
      <c r="E794" s="5"/>
      <c r="F794" s="5"/>
    </row>
    <row r="795" ht="15.75" customHeight="1">
      <c r="A795" s="5"/>
      <c r="B795" s="5"/>
      <c r="C795" s="5"/>
      <c r="D795" s="5"/>
      <c r="E795" s="5"/>
      <c r="F795" s="5"/>
    </row>
    <row r="796" ht="15.75" customHeight="1">
      <c r="A796" s="5"/>
      <c r="B796" s="5"/>
      <c r="C796" s="5"/>
      <c r="D796" s="5"/>
      <c r="E796" s="5"/>
      <c r="F796" s="5"/>
    </row>
    <row r="797" ht="15.75" customHeight="1">
      <c r="A797" s="5"/>
      <c r="B797" s="5"/>
      <c r="C797" s="5"/>
      <c r="D797" s="5"/>
      <c r="E797" s="5"/>
      <c r="F797" s="5"/>
    </row>
    <row r="798" ht="15.75" customHeight="1">
      <c r="A798" s="5"/>
      <c r="B798" s="5"/>
      <c r="C798" s="5"/>
      <c r="D798" s="5"/>
      <c r="E798" s="5"/>
      <c r="F798" s="5"/>
    </row>
    <row r="799" ht="15.75" customHeight="1">
      <c r="A799" s="5"/>
      <c r="B799" s="5"/>
      <c r="C799" s="5"/>
      <c r="D799" s="5"/>
      <c r="E799" s="5"/>
      <c r="F799" s="5"/>
    </row>
    <row r="800" ht="15.75" customHeight="1">
      <c r="A800" s="5"/>
      <c r="B800" s="5"/>
      <c r="C800" s="5"/>
      <c r="D800" s="5"/>
      <c r="E800" s="5"/>
      <c r="F800" s="5"/>
    </row>
    <row r="801" ht="15.75" customHeight="1">
      <c r="A801" s="5"/>
      <c r="B801" s="5"/>
      <c r="C801" s="5"/>
      <c r="D801" s="5"/>
      <c r="E801" s="5"/>
      <c r="F801" s="5"/>
    </row>
    <row r="802" ht="15.75" customHeight="1">
      <c r="A802" s="5"/>
      <c r="B802" s="5"/>
      <c r="C802" s="5"/>
      <c r="D802" s="5"/>
      <c r="E802" s="5"/>
      <c r="F802" s="5"/>
    </row>
    <row r="803" ht="15.75" customHeight="1">
      <c r="A803" s="5"/>
      <c r="B803" s="5"/>
      <c r="C803" s="5"/>
      <c r="D803" s="5"/>
      <c r="E803" s="5"/>
      <c r="F803" s="5"/>
    </row>
    <row r="804" ht="15.75" customHeight="1">
      <c r="A804" s="5"/>
      <c r="B804" s="5"/>
      <c r="C804" s="5"/>
      <c r="D804" s="5"/>
      <c r="E804" s="5"/>
      <c r="F804" s="5"/>
    </row>
    <row r="805" ht="15.75" customHeight="1">
      <c r="A805" s="5"/>
      <c r="B805" s="5"/>
      <c r="C805" s="5"/>
      <c r="D805" s="5"/>
      <c r="E805" s="5"/>
      <c r="F805" s="5"/>
    </row>
    <row r="806" ht="15.75" customHeight="1">
      <c r="A806" s="5"/>
      <c r="B806" s="5"/>
      <c r="C806" s="5"/>
      <c r="D806" s="5"/>
      <c r="E806" s="5"/>
      <c r="F806" s="5"/>
    </row>
    <row r="807" ht="15.75" customHeight="1">
      <c r="A807" s="5"/>
      <c r="B807" s="5"/>
      <c r="C807" s="5"/>
      <c r="D807" s="5"/>
      <c r="E807" s="5"/>
      <c r="F807" s="5"/>
    </row>
    <row r="808" ht="15.75" customHeight="1">
      <c r="A808" s="5"/>
      <c r="B808" s="5"/>
      <c r="C808" s="5"/>
      <c r="D808" s="5"/>
      <c r="E808" s="5"/>
      <c r="F808" s="5"/>
    </row>
    <row r="809" ht="15.75" customHeight="1">
      <c r="A809" s="5"/>
      <c r="B809" s="5"/>
      <c r="C809" s="5"/>
      <c r="D809" s="5"/>
      <c r="E809" s="5"/>
      <c r="F809" s="5"/>
    </row>
    <row r="810" ht="15.75" customHeight="1">
      <c r="A810" s="5"/>
      <c r="B810" s="5"/>
      <c r="C810" s="5"/>
      <c r="D810" s="5"/>
      <c r="E810" s="5"/>
      <c r="F810" s="5"/>
    </row>
    <row r="811" ht="15.75" customHeight="1">
      <c r="A811" s="5"/>
      <c r="B811" s="5"/>
      <c r="C811" s="5"/>
      <c r="D811" s="5"/>
      <c r="E811" s="5"/>
      <c r="F811" s="5"/>
    </row>
    <row r="812" ht="15.75" customHeight="1">
      <c r="A812" s="5"/>
      <c r="B812" s="5"/>
      <c r="C812" s="5"/>
      <c r="D812" s="5"/>
      <c r="E812" s="5"/>
      <c r="F812" s="5"/>
    </row>
    <row r="813" ht="15.75" customHeight="1">
      <c r="A813" s="5"/>
      <c r="B813" s="5"/>
      <c r="C813" s="5"/>
      <c r="D813" s="5"/>
      <c r="E813" s="5"/>
      <c r="F813" s="5"/>
    </row>
    <row r="814" ht="15.75" customHeight="1">
      <c r="A814" s="5"/>
      <c r="B814" s="5"/>
      <c r="C814" s="5"/>
      <c r="D814" s="5"/>
      <c r="E814" s="5"/>
      <c r="F814" s="5"/>
    </row>
    <row r="815" ht="15.75" customHeight="1">
      <c r="A815" s="5"/>
      <c r="B815" s="5"/>
      <c r="C815" s="5"/>
      <c r="D815" s="5"/>
      <c r="E815" s="5"/>
      <c r="F815" s="5"/>
    </row>
    <row r="816" ht="15.75" customHeight="1">
      <c r="A816" s="5"/>
      <c r="B816" s="5"/>
      <c r="C816" s="5"/>
      <c r="D816" s="5"/>
      <c r="E816" s="5"/>
      <c r="F816" s="5"/>
    </row>
    <row r="817" ht="15.75" customHeight="1">
      <c r="A817" s="5"/>
      <c r="B817" s="5"/>
      <c r="C817" s="5"/>
      <c r="D817" s="5"/>
      <c r="E817" s="5"/>
      <c r="F817" s="5"/>
    </row>
    <row r="818" ht="15.75" customHeight="1">
      <c r="A818" s="5"/>
      <c r="B818" s="5"/>
      <c r="C818" s="5"/>
      <c r="D818" s="5"/>
      <c r="E818" s="5"/>
      <c r="F818" s="5"/>
    </row>
    <row r="819" ht="15.75" customHeight="1">
      <c r="A819" s="5"/>
      <c r="B819" s="5"/>
      <c r="C819" s="5"/>
      <c r="D819" s="5"/>
      <c r="E819" s="5"/>
      <c r="F819" s="5"/>
    </row>
    <row r="820" ht="15.75" customHeight="1">
      <c r="A820" s="5"/>
      <c r="B820" s="5"/>
      <c r="C820" s="5"/>
      <c r="D820" s="5"/>
      <c r="E820" s="5"/>
      <c r="F820" s="5"/>
    </row>
    <row r="821" ht="15.75" customHeight="1">
      <c r="A821" s="5"/>
      <c r="B821" s="5"/>
      <c r="C821" s="5"/>
      <c r="D821" s="5"/>
      <c r="E821" s="5"/>
      <c r="F821" s="5"/>
    </row>
    <row r="822" ht="15.75" customHeight="1">
      <c r="A822" s="5"/>
      <c r="B822" s="5"/>
      <c r="C822" s="5"/>
      <c r="D822" s="5"/>
      <c r="E822" s="5"/>
      <c r="F822" s="5"/>
    </row>
    <row r="823" ht="15.75" customHeight="1">
      <c r="A823" s="5"/>
      <c r="B823" s="5"/>
      <c r="C823" s="5"/>
      <c r="D823" s="5"/>
      <c r="E823" s="5"/>
      <c r="F823" s="5"/>
    </row>
    <row r="824" ht="15.75" customHeight="1">
      <c r="A824" s="5"/>
      <c r="B824" s="5"/>
      <c r="C824" s="5"/>
      <c r="D824" s="5"/>
      <c r="E824" s="5"/>
      <c r="F824" s="5"/>
    </row>
    <row r="825" ht="15.75" customHeight="1">
      <c r="A825" s="5"/>
      <c r="B825" s="5"/>
      <c r="C825" s="5"/>
      <c r="D825" s="5"/>
      <c r="E825" s="5"/>
      <c r="F825" s="5"/>
    </row>
    <row r="826" ht="15.75" customHeight="1">
      <c r="A826" s="5"/>
      <c r="B826" s="5"/>
      <c r="C826" s="5"/>
      <c r="D826" s="5"/>
      <c r="E826" s="5"/>
      <c r="F826" s="5"/>
    </row>
    <row r="827" ht="15.75" customHeight="1">
      <c r="A827" s="5"/>
      <c r="B827" s="5"/>
      <c r="C827" s="5"/>
      <c r="D827" s="5"/>
      <c r="E827" s="5"/>
      <c r="F827" s="5"/>
    </row>
    <row r="828" ht="15.75" customHeight="1">
      <c r="A828" s="5"/>
      <c r="B828" s="5"/>
      <c r="C828" s="5"/>
      <c r="D828" s="5"/>
      <c r="E828" s="5"/>
      <c r="F828" s="5"/>
    </row>
    <row r="829" ht="15.75" customHeight="1">
      <c r="A829" s="5"/>
      <c r="B829" s="5"/>
      <c r="C829" s="5"/>
      <c r="D829" s="5"/>
      <c r="E829" s="5"/>
      <c r="F829" s="5"/>
    </row>
    <row r="830" ht="15.75" customHeight="1">
      <c r="A830" s="5"/>
      <c r="B830" s="5"/>
      <c r="C830" s="5"/>
      <c r="D830" s="5"/>
      <c r="E830" s="5"/>
      <c r="F830" s="5"/>
    </row>
    <row r="831" ht="15.75" customHeight="1">
      <c r="A831" s="5"/>
      <c r="B831" s="5"/>
      <c r="C831" s="5"/>
      <c r="D831" s="5"/>
      <c r="E831" s="5"/>
      <c r="F831" s="5"/>
    </row>
    <row r="832" ht="15.75" customHeight="1">
      <c r="A832" s="5"/>
      <c r="B832" s="5"/>
      <c r="C832" s="5"/>
      <c r="D832" s="5"/>
      <c r="E832" s="5"/>
      <c r="F832" s="5"/>
    </row>
    <row r="833" ht="15.75" customHeight="1">
      <c r="A833" s="5"/>
      <c r="B833" s="5"/>
      <c r="C833" s="5"/>
      <c r="D833" s="5"/>
      <c r="E833" s="5"/>
      <c r="F833" s="5"/>
    </row>
    <row r="834" ht="15.75" customHeight="1">
      <c r="A834" s="5"/>
      <c r="B834" s="5"/>
      <c r="C834" s="5"/>
      <c r="D834" s="5"/>
      <c r="E834" s="5"/>
      <c r="F834" s="5"/>
    </row>
    <row r="835" ht="15.75" customHeight="1">
      <c r="A835" s="5"/>
      <c r="B835" s="5"/>
      <c r="C835" s="5"/>
      <c r="D835" s="5"/>
      <c r="E835" s="5"/>
      <c r="F835" s="5"/>
    </row>
    <row r="836" ht="15.75" customHeight="1">
      <c r="A836" s="5"/>
      <c r="B836" s="5"/>
      <c r="C836" s="5"/>
      <c r="D836" s="5"/>
      <c r="E836" s="5"/>
      <c r="F836" s="5"/>
    </row>
    <row r="837" ht="15.75" customHeight="1">
      <c r="A837" s="5"/>
      <c r="B837" s="5"/>
      <c r="C837" s="5"/>
      <c r="D837" s="5"/>
      <c r="E837" s="5"/>
      <c r="F837" s="5"/>
    </row>
    <row r="838" ht="15.75" customHeight="1">
      <c r="A838" s="5"/>
      <c r="B838" s="5"/>
      <c r="C838" s="5"/>
      <c r="D838" s="5"/>
      <c r="E838" s="5"/>
      <c r="F838" s="5"/>
    </row>
    <row r="839" ht="15.75" customHeight="1">
      <c r="A839" s="5"/>
      <c r="B839" s="5"/>
      <c r="C839" s="5"/>
      <c r="D839" s="5"/>
      <c r="E839" s="5"/>
      <c r="F839" s="5"/>
    </row>
    <row r="840" ht="15.75" customHeight="1">
      <c r="A840" s="5"/>
      <c r="B840" s="5"/>
      <c r="C840" s="5"/>
      <c r="D840" s="5"/>
      <c r="E840" s="5"/>
      <c r="F840" s="5"/>
    </row>
    <row r="841" ht="15.75" customHeight="1">
      <c r="A841" s="5"/>
      <c r="B841" s="5"/>
      <c r="C841" s="5"/>
      <c r="D841" s="5"/>
      <c r="E841" s="5"/>
      <c r="F841" s="5"/>
    </row>
    <row r="842" ht="15.75" customHeight="1">
      <c r="A842" s="5"/>
      <c r="B842" s="5"/>
      <c r="C842" s="5"/>
      <c r="D842" s="5"/>
      <c r="E842" s="5"/>
      <c r="F842" s="5"/>
    </row>
    <row r="843" ht="15.75" customHeight="1">
      <c r="A843" s="5"/>
      <c r="B843" s="5"/>
      <c r="C843" s="5"/>
      <c r="D843" s="5"/>
      <c r="E843" s="5"/>
      <c r="F843" s="5"/>
    </row>
    <row r="844" ht="15.75" customHeight="1">
      <c r="A844" s="5"/>
      <c r="B844" s="5"/>
      <c r="C844" s="5"/>
      <c r="D844" s="5"/>
      <c r="E844" s="5"/>
      <c r="F844" s="5"/>
    </row>
    <row r="845" ht="15.75" customHeight="1">
      <c r="A845" s="5"/>
      <c r="B845" s="5"/>
      <c r="C845" s="5"/>
      <c r="D845" s="5"/>
      <c r="E845" s="5"/>
      <c r="F845" s="5"/>
    </row>
    <row r="846" ht="15.75" customHeight="1">
      <c r="A846" s="5"/>
      <c r="B846" s="5"/>
      <c r="C846" s="5"/>
      <c r="D846" s="5"/>
      <c r="E846" s="5"/>
      <c r="F846" s="5"/>
    </row>
    <row r="847" ht="15.75" customHeight="1">
      <c r="A847" s="5"/>
      <c r="B847" s="5"/>
      <c r="C847" s="5"/>
      <c r="D847" s="5"/>
      <c r="E847" s="5"/>
      <c r="F847" s="5"/>
    </row>
    <row r="848" ht="15.75" customHeight="1">
      <c r="A848" s="5"/>
      <c r="B848" s="5"/>
      <c r="C848" s="5"/>
      <c r="D848" s="5"/>
      <c r="E848" s="5"/>
      <c r="F848" s="5"/>
    </row>
    <row r="849" ht="15.75" customHeight="1">
      <c r="A849" s="5"/>
      <c r="B849" s="5"/>
      <c r="C849" s="5"/>
      <c r="D849" s="5"/>
      <c r="E849" s="5"/>
      <c r="F849" s="5"/>
    </row>
    <row r="850" ht="15.75" customHeight="1">
      <c r="A850" s="5"/>
      <c r="B850" s="5"/>
      <c r="C850" s="5"/>
      <c r="D850" s="5"/>
      <c r="E850" s="5"/>
      <c r="F850" s="5"/>
    </row>
    <row r="851" ht="15.75" customHeight="1">
      <c r="A851" s="5"/>
      <c r="B851" s="5"/>
      <c r="C851" s="5"/>
      <c r="D851" s="5"/>
      <c r="E851" s="5"/>
      <c r="F851" s="5"/>
    </row>
    <row r="852" ht="15.75" customHeight="1">
      <c r="A852" s="5"/>
      <c r="B852" s="5"/>
      <c r="C852" s="5"/>
      <c r="D852" s="5"/>
      <c r="E852" s="5"/>
      <c r="F852" s="5"/>
    </row>
    <row r="853" ht="15.75" customHeight="1">
      <c r="A853" s="5"/>
      <c r="B853" s="5"/>
      <c r="C853" s="5"/>
      <c r="D853" s="5"/>
      <c r="E853" s="5"/>
      <c r="F853" s="5"/>
    </row>
    <row r="854" ht="15.75" customHeight="1">
      <c r="A854" s="5"/>
      <c r="B854" s="5"/>
      <c r="C854" s="5"/>
      <c r="D854" s="5"/>
      <c r="E854" s="5"/>
      <c r="F854" s="5"/>
    </row>
    <row r="855" ht="15.75" customHeight="1">
      <c r="A855" s="5"/>
      <c r="B855" s="5"/>
      <c r="C855" s="5"/>
      <c r="D855" s="5"/>
      <c r="E855" s="5"/>
      <c r="F855" s="5"/>
    </row>
    <row r="856" ht="15.75" customHeight="1">
      <c r="A856" s="5"/>
      <c r="B856" s="5"/>
      <c r="C856" s="5"/>
      <c r="D856" s="5"/>
      <c r="E856" s="5"/>
      <c r="F856" s="5"/>
    </row>
    <row r="857" ht="15.75" customHeight="1">
      <c r="A857" s="5"/>
      <c r="B857" s="5"/>
      <c r="C857" s="5"/>
      <c r="D857" s="5"/>
      <c r="E857" s="5"/>
      <c r="F857" s="5"/>
    </row>
    <row r="858" ht="15.75" customHeight="1">
      <c r="A858" s="5"/>
      <c r="B858" s="5"/>
      <c r="C858" s="5"/>
      <c r="D858" s="5"/>
      <c r="E858" s="5"/>
      <c r="F858" s="5"/>
    </row>
    <row r="859" ht="15.75" customHeight="1">
      <c r="A859" s="5"/>
      <c r="B859" s="5"/>
      <c r="C859" s="5"/>
      <c r="D859" s="5"/>
      <c r="E859" s="5"/>
      <c r="F859" s="5"/>
    </row>
    <row r="860" ht="15.75" customHeight="1">
      <c r="A860" s="5"/>
      <c r="B860" s="5"/>
      <c r="C860" s="5"/>
      <c r="D860" s="5"/>
      <c r="E860" s="5"/>
      <c r="F860" s="5"/>
    </row>
    <row r="861" ht="15.75" customHeight="1">
      <c r="A861" s="5"/>
      <c r="B861" s="5"/>
      <c r="C861" s="5"/>
      <c r="D861" s="5"/>
      <c r="E861" s="5"/>
      <c r="F861" s="5"/>
    </row>
    <row r="862" ht="15.75" customHeight="1">
      <c r="A862" s="5"/>
      <c r="B862" s="5"/>
      <c r="C862" s="5"/>
      <c r="D862" s="5"/>
      <c r="E862" s="5"/>
      <c r="F862" s="5"/>
    </row>
    <row r="863" ht="15.75" customHeight="1">
      <c r="A863" s="5"/>
      <c r="B863" s="5"/>
      <c r="C863" s="5"/>
      <c r="D863" s="5"/>
      <c r="E863" s="5"/>
      <c r="F863" s="5"/>
    </row>
    <row r="864" ht="15.75" customHeight="1">
      <c r="A864" s="5"/>
      <c r="B864" s="5"/>
      <c r="C864" s="5"/>
      <c r="D864" s="5"/>
      <c r="E864" s="5"/>
      <c r="F864" s="5"/>
    </row>
    <row r="865" ht="15.75" customHeight="1">
      <c r="A865" s="5"/>
      <c r="B865" s="5"/>
      <c r="C865" s="5"/>
      <c r="D865" s="5"/>
      <c r="E865" s="5"/>
      <c r="F865" s="5"/>
    </row>
    <row r="866" ht="15.75" customHeight="1">
      <c r="A866" s="5"/>
      <c r="B866" s="5"/>
      <c r="C866" s="5"/>
      <c r="D866" s="5"/>
      <c r="E866" s="5"/>
      <c r="F866" s="5"/>
    </row>
    <row r="867" ht="15.75" customHeight="1">
      <c r="A867" s="5"/>
      <c r="B867" s="5"/>
      <c r="C867" s="5"/>
      <c r="D867" s="5"/>
      <c r="E867" s="5"/>
      <c r="F867" s="5"/>
    </row>
    <row r="868" ht="15.75" customHeight="1">
      <c r="A868" s="5"/>
      <c r="B868" s="5"/>
      <c r="C868" s="5"/>
      <c r="D868" s="5"/>
      <c r="E868" s="5"/>
      <c r="F868" s="5"/>
    </row>
    <row r="869" ht="15.75" customHeight="1">
      <c r="A869" s="5"/>
      <c r="B869" s="5"/>
      <c r="C869" s="5"/>
      <c r="D869" s="5"/>
      <c r="E869" s="5"/>
      <c r="F869" s="5"/>
    </row>
    <row r="870" ht="15.75" customHeight="1">
      <c r="A870" s="5"/>
      <c r="B870" s="5"/>
      <c r="C870" s="5"/>
      <c r="D870" s="5"/>
      <c r="E870" s="5"/>
      <c r="F870" s="5"/>
    </row>
    <row r="871" ht="15.75" customHeight="1">
      <c r="A871" s="5"/>
      <c r="B871" s="5"/>
      <c r="C871" s="5"/>
      <c r="D871" s="5"/>
      <c r="E871" s="5"/>
      <c r="F871" s="5"/>
    </row>
    <row r="872" ht="15.75" customHeight="1">
      <c r="A872" s="5"/>
      <c r="B872" s="5"/>
      <c r="C872" s="5"/>
      <c r="D872" s="5"/>
      <c r="E872" s="5"/>
      <c r="F872" s="5"/>
    </row>
    <row r="873" ht="15.75" customHeight="1">
      <c r="A873" s="5"/>
      <c r="B873" s="5"/>
      <c r="C873" s="5"/>
      <c r="D873" s="5"/>
      <c r="E873" s="5"/>
      <c r="F873" s="5"/>
    </row>
    <row r="874" ht="15.75" customHeight="1">
      <c r="A874" s="5"/>
      <c r="B874" s="5"/>
      <c r="C874" s="5"/>
      <c r="D874" s="5"/>
      <c r="E874" s="5"/>
      <c r="F874" s="5"/>
    </row>
    <row r="875" ht="15.75" customHeight="1">
      <c r="A875" s="5"/>
      <c r="B875" s="5"/>
      <c r="C875" s="5"/>
      <c r="D875" s="5"/>
      <c r="E875" s="5"/>
      <c r="F875" s="5"/>
    </row>
    <row r="876" ht="15.75" customHeight="1">
      <c r="A876" s="5"/>
      <c r="B876" s="5"/>
      <c r="C876" s="5"/>
      <c r="D876" s="5"/>
      <c r="E876" s="5"/>
      <c r="F876" s="5"/>
    </row>
    <row r="877" ht="15.75" customHeight="1">
      <c r="A877" s="5"/>
      <c r="B877" s="5"/>
      <c r="C877" s="5"/>
      <c r="D877" s="5"/>
      <c r="E877" s="5"/>
      <c r="F877" s="5"/>
    </row>
    <row r="878" ht="15.75" customHeight="1">
      <c r="A878" s="5"/>
      <c r="B878" s="5"/>
      <c r="C878" s="5"/>
      <c r="D878" s="5"/>
      <c r="E878" s="5"/>
      <c r="F878" s="5"/>
    </row>
    <row r="879" ht="15.75" customHeight="1">
      <c r="A879" s="5"/>
      <c r="B879" s="5"/>
      <c r="C879" s="5"/>
      <c r="D879" s="5"/>
      <c r="E879" s="5"/>
      <c r="F879" s="5"/>
    </row>
    <row r="880" ht="15.75" customHeight="1">
      <c r="A880" s="5"/>
      <c r="B880" s="5"/>
      <c r="C880" s="5"/>
      <c r="D880" s="5"/>
      <c r="E880" s="5"/>
      <c r="F880" s="5"/>
    </row>
    <row r="881" ht="15.75" customHeight="1">
      <c r="A881" s="5"/>
      <c r="B881" s="5"/>
      <c r="C881" s="5"/>
      <c r="D881" s="5"/>
      <c r="E881" s="5"/>
      <c r="F881" s="5"/>
    </row>
    <row r="882" ht="15.75" customHeight="1">
      <c r="A882" s="5"/>
      <c r="B882" s="5"/>
      <c r="C882" s="5"/>
      <c r="D882" s="5"/>
      <c r="E882" s="5"/>
      <c r="F882" s="5"/>
    </row>
    <row r="883" ht="15.75" customHeight="1">
      <c r="A883" s="5"/>
      <c r="B883" s="5"/>
      <c r="C883" s="5"/>
      <c r="D883" s="5"/>
      <c r="E883" s="5"/>
      <c r="F883" s="5"/>
    </row>
    <row r="884" ht="15.75" customHeight="1">
      <c r="A884" s="5"/>
      <c r="B884" s="5"/>
      <c r="C884" s="5"/>
      <c r="D884" s="5"/>
      <c r="E884" s="5"/>
      <c r="F884" s="5"/>
    </row>
    <row r="885" ht="15.75" customHeight="1">
      <c r="A885" s="5"/>
      <c r="B885" s="5"/>
      <c r="C885" s="5"/>
      <c r="D885" s="5"/>
      <c r="E885" s="5"/>
      <c r="F885" s="5"/>
    </row>
    <row r="886" ht="15.75" customHeight="1">
      <c r="A886" s="5"/>
      <c r="B886" s="5"/>
      <c r="C886" s="5"/>
      <c r="D886" s="5"/>
      <c r="E886" s="5"/>
      <c r="F886" s="5"/>
    </row>
    <row r="887" ht="15.75" customHeight="1">
      <c r="A887" s="5"/>
      <c r="B887" s="5"/>
      <c r="C887" s="5"/>
      <c r="D887" s="5"/>
      <c r="E887" s="5"/>
      <c r="F887" s="5"/>
    </row>
    <row r="888" ht="15.75" customHeight="1">
      <c r="A888" s="5"/>
      <c r="B888" s="5"/>
      <c r="C888" s="5"/>
      <c r="D888" s="5"/>
      <c r="E888" s="5"/>
      <c r="F888" s="5"/>
    </row>
    <row r="889" ht="15.75" customHeight="1">
      <c r="A889" s="5"/>
      <c r="B889" s="5"/>
      <c r="C889" s="5"/>
      <c r="D889" s="5"/>
      <c r="E889" s="5"/>
      <c r="F889" s="5"/>
    </row>
    <row r="890" ht="15.75" customHeight="1">
      <c r="A890" s="5"/>
      <c r="B890" s="5"/>
      <c r="C890" s="5"/>
      <c r="D890" s="5"/>
      <c r="E890" s="5"/>
      <c r="F890" s="5"/>
    </row>
    <row r="891" ht="15.75" customHeight="1">
      <c r="A891" s="5"/>
      <c r="B891" s="5"/>
      <c r="C891" s="5"/>
      <c r="D891" s="5"/>
      <c r="E891" s="5"/>
      <c r="F891" s="5"/>
    </row>
    <row r="892" ht="15.75" customHeight="1">
      <c r="A892" s="5"/>
      <c r="B892" s="5"/>
      <c r="C892" s="5"/>
      <c r="D892" s="5"/>
      <c r="E892" s="5"/>
      <c r="F892" s="5"/>
    </row>
    <row r="893" ht="15.75" customHeight="1">
      <c r="A893" s="5"/>
      <c r="B893" s="5"/>
      <c r="C893" s="5"/>
      <c r="D893" s="5"/>
      <c r="E893" s="5"/>
      <c r="F893" s="5"/>
    </row>
    <row r="894" ht="15.75" customHeight="1">
      <c r="A894" s="5"/>
      <c r="B894" s="5"/>
      <c r="C894" s="5"/>
      <c r="D894" s="5"/>
      <c r="E894" s="5"/>
      <c r="F894" s="5"/>
    </row>
    <row r="895" ht="15.75" customHeight="1">
      <c r="A895" s="5"/>
      <c r="B895" s="5"/>
      <c r="C895" s="5"/>
      <c r="D895" s="5"/>
      <c r="E895" s="5"/>
      <c r="F895" s="5"/>
    </row>
    <row r="896" ht="15.75" customHeight="1">
      <c r="A896" s="5"/>
      <c r="B896" s="5"/>
      <c r="C896" s="5"/>
      <c r="D896" s="5"/>
      <c r="E896" s="5"/>
      <c r="F896" s="5"/>
    </row>
    <row r="897" ht="15.75" customHeight="1">
      <c r="A897" s="5"/>
      <c r="B897" s="5"/>
      <c r="C897" s="5"/>
      <c r="D897" s="5"/>
      <c r="E897" s="5"/>
      <c r="F897" s="5"/>
    </row>
    <row r="898" ht="15.75" customHeight="1">
      <c r="A898" s="5"/>
      <c r="B898" s="5"/>
      <c r="C898" s="5"/>
      <c r="D898" s="5"/>
      <c r="E898" s="5"/>
      <c r="F898" s="5"/>
    </row>
    <row r="899" ht="15.75" customHeight="1">
      <c r="A899" s="5"/>
      <c r="B899" s="5"/>
      <c r="C899" s="5"/>
      <c r="D899" s="5"/>
      <c r="E899" s="5"/>
      <c r="F899" s="5"/>
    </row>
    <row r="900" ht="15.75" customHeight="1">
      <c r="A900" s="5"/>
      <c r="B900" s="5"/>
      <c r="C900" s="5"/>
      <c r="D900" s="5"/>
      <c r="E900" s="5"/>
      <c r="F900" s="5"/>
    </row>
    <row r="901" ht="15.75" customHeight="1">
      <c r="A901" s="5"/>
      <c r="B901" s="5"/>
      <c r="C901" s="5"/>
      <c r="D901" s="5"/>
      <c r="E901" s="5"/>
      <c r="F901" s="5"/>
    </row>
    <row r="902" ht="15.75" customHeight="1">
      <c r="A902" s="5"/>
      <c r="B902" s="5"/>
      <c r="C902" s="5"/>
      <c r="D902" s="5"/>
      <c r="E902" s="5"/>
      <c r="F902" s="5"/>
    </row>
    <row r="903" ht="15.75" customHeight="1">
      <c r="A903" s="5"/>
      <c r="B903" s="5"/>
      <c r="C903" s="5"/>
      <c r="D903" s="5"/>
      <c r="E903" s="5"/>
      <c r="F903" s="5"/>
    </row>
    <row r="904" ht="15.75" customHeight="1">
      <c r="A904" s="5"/>
      <c r="B904" s="5"/>
      <c r="C904" s="5"/>
      <c r="D904" s="5"/>
      <c r="E904" s="5"/>
      <c r="F904" s="5"/>
    </row>
    <row r="905" ht="15.75" customHeight="1">
      <c r="A905" s="5"/>
      <c r="B905" s="5"/>
      <c r="C905" s="5"/>
      <c r="D905" s="5"/>
      <c r="E905" s="5"/>
      <c r="F905" s="5"/>
    </row>
    <row r="906" ht="15.75" customHeight="1">
      <c r="A906" s="5"/>
      <c r="B906" s="5"/>
      <c r="C906" s="5"/>
      <c r="D906" s="5"/>
      <c r="E906" s="5"/>
      <c r="F906" s="5"/>
    </row>
    <row r="907" ht="15.75" customHeight="1">
      <c r="A907" s="5"/>
      <c r="B907" s="5"/>
      <c r="C907" s="5"/>
      <c r="D907" s="5"/>
      <c r="E907" s="5"/>
      <c r="F907" s="5"/>
    </row>
    <row r="908" ht="15.75" customHeight="1">
      <c r="A908" s="5"/>
      <c r="B908" s="5"/>
      <c r="C908" s="5"/>
      <c r="D908" s="5"/>
      <c r="E908" s="5"/>
      <c r="F908" s="5"/>
    </row>
    <row r="909" ht="15.75" customHeight="1">
      <c r="A909" s="5"/>
      <c r="B909" s="5"/>
      <c r="C909" s="5"/>
      <c r="D909" s="5"/>
      <c r="E909" s="5"/>
      <c r="F909" s="5"/>
    </row>
    <row r="910" ht="15.75" customHeight="1">
      <c r="A910" s="5"/>
      <c r="B910" s="5"/>
      <c r="C910" s="5"/>
      <c r="D910" s="5"/>
      <c r="E910" s="5"/>
      <c r="F910" s="5"/>
    </row>
    <row r="911" ht="15.75" customHeight="1">
      <c r="A911" s="5"/>
      <c r="B911" s="5"/>
      <c r="C911" s="5"/>
      <c r="D911" s="5"/>
      <c r="E911" s="5"/>
      <c r="F911" s="5"/>
    </row>
    <row r="912" ht="15.75" customHeight="1">
      <c r="A912" s="5"/>
      <c r="B912" s="5"/>
      <c r="C912" s="5"/>
      <c r="D912" s="5"/>
      <c r="E912" s="5"/>
      <c r="F912" s="5"/>
    </row>
    <row r="913" ht="15.75" customHeight="1">
      <c r="A913" s="5"/>
      <c r="B913" s="5"/>
      <c r="C913" s="5"/>
      <c r="D913" s="5"/>
      <c r="E913" s="5"/>
      <c r="F913" s="5"/>
    </row>
    <row r="914" ht="15.75" customHeight="1">
      <c r="A914" s="5"/>
      <c r="B914" s="5"/>
      <c r="C914" s="5"/>
      <c r="D914" s="5"/>
      <c r="E914" s="5"/>
      <c r="F914" s="5"/>
    </row>
    <row r="915" ht="15.75" customHeight="1">
      <c r="A915" s="5"/>
      <c r="B915" s="5"/>
      <c r="C915" s="5"/>
      <c r="D915" s="5"/>
      <c r="E915" s="5"/>
      <c r="F915" s="5"/>
    </row>
    <row r="916" ht="15.75" customHeight="1">
      <c r="A916" s="5"/>
      <c r="B916" s="5"/>
      <c r="C916" s="5"/>
      <c r="D916" s="5"/>
      <c r="E916" s="5"/>
      <c r="F916" s="5"/>
    </row>
    <row r="917" ht="15.75" customHeight="1">
      <c r="A917" s="5"/>
      <c r="B917" s="5"/>
      <c r="C917" s="5"/>
      <c r="D917" s="5"/>
      <c r="E917" s="5"/>
      <c r="F917" s="5"/>
    </row>
    <row r="918" ht="15.75" customHeight="1">
      <c r="A918" s="5"/>
      <c r="B918" s="5"/>
      <c r="C918" s="5"/>
      <c r="D918" s="5"/>
      <c r="E918" s="5"/>
      <c r="F918" s="5"/>
    </row>
    <row r="919" ht="15.75" customHeight="1">
      <c r="A919" s="5"/>
      <c r="B919" s="5"/>
      <c r="C919" s="5"/>
      <c r="D919" s="5"/>
      <c r="E919" s="5"/>
      <c r="F919" s="5"/>
    </row>
    <row r="920" ht="15.75" customHeight="1">
      <c r="A920" s="5"/>
      <c r="B920" s="5"/>
      <c r="C920" s="5"/>
      <c r="D920" s="5"/>
      <c r="E920" s="5"/>
      <c r="F920" s="5"/>
    </row>
    <row r="921" ht="15.75" customHeight="1">
      <c r="A921" s="5"/>
      <c r="B921" s="5"/>
      <c r="C921" s="5"/>
      <c r="D921" s="5"/>
      <c r="E921" s="5"/>
      <c r="F921" s="5"/>
    </row>
    <row r="922" ht="15.75" customHeight="1">
      <c r="A922" s="5"/>
      <c r="B922" s="5"/>
      <c r="C922" s="5"/>
      <c r="D922" s="5"/>
      <c r="E922" s="5"/>
      <c r="F922" s="5"/>
    </row>
    <row r="923" ht="15.75" customHeight="1">
      <c r="A923" s="5"/>
      <c r="B923" s="5"/>
      <c r="C923" s="5"/>
      <c r="D923" s="5"/>
      <c r="E923" s="5"/>
      <c r="F923" s="5"/>
    </row>
    <row r="924" ht="15.75" customHeight="1">
      <c r="A924" s="5"/>
      <c r="B924" s="5"/>
      <c r="C924" s="5"/>
      <c r="D924" s="5"/>
      <c r="E924" s="5"/>
      <c r="F924" s="5"/>
    </row>
    <row r="925" ht="15.75" customHeight="1">
      <c r="A925" s="5"/>
      <c r="B925" s="5"/>
      <c r="C925" s="5"/>
      <c r="D925" s="5"/>
      <c r="E925" s="5"/>
      <c r="F925" s="5"/>
    </row>
    <row r="926" ht="15.75" customHeight="1">
      <c r="A926" s="5"/>
      <c r="B926" s="5"/>
      <c r="C926" s="5"/>
      <c r="D926" s="5"/>
      <c r="E926" s="5"/>
      <c r="F926" s="5"/>
    </row>
    <row r="927" ht="15.75" customHeight="1">
      <c r="A927" s="5"/>
      <c r="B927" s="5"/>
      <c r="C927" s="5"/>
      <c r="D927" s="5"/>
      <c r="E927" s="5"/>
      <c r="F927" s="5"/>
    </row>
    <row r="928" ht="15.75" customHeight="1">
      <c r="A928" s="5"/>
      <c r="B928" s="5"/>
      <c r="C928" s="5"/>
      <c r="D928" s="5"/>
      <c r="E928" s="5"/>
      <c r="F928" s="5"/>
    </row>
    <row r="929" ht="15.75" customHeight="1">
      <c r="A929" s="5"/>
      <c r="B929" s="5"/>
      <c r="C929" s="5"/>
      <c r="D929" s="5"/>
      <c r="E929" s="5"/>
      <c r="F929" s="5"/>
    </row>
    <row r="930" ht="15.75" customHeight="1">
      <c r="A930" s="5"/>
      <c r="B930" s="5"/>
      <c r="C930" s="5"/>
      <c r="D930" s="5"/>
      <c r="E930" s="5"/>
      <c r="F930" s="5"/>
    </row>
    <row r="931" ht="15.75" customHeight="1">
      <c r="A931" s="5"/>
      <c r="B931" s="5"/>
      <c r="C931" s="5"/>
      <c r="D931" s="5"/>
      <c r="E931" s="5"/>
      <c r="F931" s="5"/>
    </row>
    <row r="932" ht="15.75" customHeight="1">
      <c r="A932" s="5"/>
      <c r="B932" s="5"/>
      <c r="C932" s="5"/>
      <c r="D932" s="5"/>
      <c r="E932" s="5"/>
      <c r="F932" s="5"/>
    </row>
    <row r="933" ht="15.75" customHeight="1">
      <c r="A933" s="5"/>
      <c r="B933" s="5"/>
      <c r="C933" s="5"/>
      <c r="D933" s="5"/>
      <c r="E933" s="5"/>
      <c r="F933" s="5"/>
    </row>
    <row r="934" ht="15.75" customHeight="1">
      <c r="A934" s="5"/>
      <c r="B934" s="5"/>
      <c r="C934" s="5"/>
      <c r="D934" s="5"/>
      <c r="E934" s="5"/>
      <c r="F934" s="5"/>
    </row>
    <row r="935" ht="15.75" customHeight="1">
      <c r="A935" s="5"/>
      <c r="B935" s="5"/>
      <c r="C935" s="5"/>
      <c r="D935" s="5"/>
      <c r="E935" s="5"/>
      <c r="F935" s="5"/>
    </row>
    <row r="936" ht="15.75" customHeight="1">
      <c r="A936" s="5"/>
      <c r="B936" s="5"/>
      <c r="C936" s="5"/>
      <c r="D936" s="5"/>
      <c r="E936" s="5"/>
      <c r="F936" s="5"/>
    </row>
    <row r="937" ht="15.75" customHeight="1">
      <c r="A937" s="5"/>
      <c r="B937" s="5"/>
      <c r="C937" s="5"/>
      <c r="D937" s="5"/>
      <c r="E937" s="5"/>
      <c r="F937" s="5"/>
    </row>
    <row r="938" ht="15.75" customHeight="1">
      <c r="A938" s="5"/>
      <c r="B938" s="5"/>
      <c r="C938" s="5"/>
      <c r="D938" s="5"/>
      <c r="E938" s="5"/>
      <c r="F938" s="5"/>
    </row>
    <row r="939" ht="15.75" customHeight="1">
      <c r="A939" s="5"/>
      <c r="B939" s="5"/>
      <c r="C939" s="5"/>
      <c r="D939" s="5"/>
      <c r="E939" s="5"/>
      <c r="F939" s="5"/>
    </row>
    <row r="940" ht="15.75" customHeight="1">
      <c r="A940" s="5"/>
      <c r="B940" s="5"/>
      <c r="C940" s="5"/>
      <c r="D940" s="5"/>
      <c r="E940" s="5"/>
      <c r="F940" s="5"/>
    </row>
    <row r="941" ht="15.75" customHeight="1">
      <c r="A941" s="5"/>
      <c r="B941" s="5"/>
      <c r="C941" s="5"/>
      <c r="D941" s="5"/>
      <c r="E941" s="5"/>
      <c r="F941" s="5"/>
    </row>
    <row r="942" ht="15.75" customHeight="1">
      <c r="A942" s="5"/>
      <c r="B942" s="5"/>
      <c r="C942" s="5"/>
      <c r="D942" s="5"/>
      <c r="E942" s="5"/>
      <c r="F942" s="5"/>
    </row>
    <row r="943" ht="15.75" customHeight="1">
      <c r="A943" s="5"/>
      <c r="B943" s="5"/>
      <c r="C943" s="5"/>
      <c r="D943" s="5"/>
      <c r="E943" s="5"/>
      <c r="F943" s="5"/>
    </row>
    <row r="944" ht="15.75" customHeight="1">
      <c r="A944" s="5"/>
      <c r="B944" s="5"/>
      <c r="C944" s="5"/>
      <c r="D944" s="5"/>
      <c r="E944" s="5"/>
      <c r="F944" s="5"/>
    </row>
    <row r="945" ht="15.75" customHeight="1">
      <c r="A945" s="5"/>
      <c r="B945" s="5"/>
      <c r="C945" s="5"/>
      <c r="D945" s="5"/>
      <c r="E945" s="5"/>
      <c r="F945" s="5"/>
    </row>
    <row r="946" ht="15.75" customHeight="1">
      <c r="A946" s="5"/>
      <c r="B946" s="5"/>
      <c r="C946" s="5"/>
      <c r="D946" s="5"/>
      <c r="E946" s="5"/>
      <c r="F946" s="5"/>
    </row>
    <row r="947" ht="15.75" customHeight="1">
      <c r="A947" s="5"/>
      <c r="B947" s="5"/>
      <c r="C947" s="5"/>
      <c r="D947" s="5"/>
      <c r="E947" s="5"/>
      <c r="F947" s="5"/>
    </row>
    <row r="948" ht="15.75" customHeight="1">
      <c r="A948" s="5"/>
      <c r="B948" s="5"/>
      <c r="C948" s="5"/>
      <c r="D948" s="5"/>
      <c r="E948" s="5"/>
      <c r="F948" s="5"/>
    </row>
    <row r="949" ht="15.75" customHeight="1">
      <c r="A949" s="5"/>
      <c r="B949" s="5"/>
      <c r="C949" s="5"/>
      <c r="D949" s="5"/>
      <c r="E949" s="5"/>
      <c r="F949" s="5"/>
    </row>
    <row r="950" ht="15.75" customHeight="1">
      <c r="A950" s="5"/>
      <c r="B950" s="5"/>
      <c r="C950" s="5"/>
      <c r="D950" s="5"/>
      <c r="E950" s="5"/>
      <c r="F950" s="5"/>
    </row>
    <row r="951" ht="15.75" customHeight="1">
      <c r="A951" s="5"/>
      <c r="B951" s="5"/>
      <c r="C951" s="5"/>
      <c r="D951" s="5"/>
      <c r="E951" s="5"/>
      <c r="F951" s="5"/>
    </row>
    <row r="952" ht="15.75" customHeight="1">
      <c r="A952" s="5"/>
      <c r="B952" s="5"/>
      <c r="C952" s="5"/>
      <c r="D952" s="5"/>
      <c r="E952" s="5"/>
      <c r="F952" s="5"/>
    </row>
    <row r="953" ht="15.75" customHeight="1">
      <c r="A953" s="5"/>
      <c r="B953" s="5"/>
      <c r="C953" s="5"/>
      <c r="D953" s="5"/>
      <c r="E953" s="5"/>
      <c r="F953" s="5"/>
    </row>
    <row r="954" ht="15.75" customHeight="1">
      <c r="A954" s="5"/>
      <c r="B954" s="5"/>
      <c r="C954" s="5"/>
      <c r="D954" s="5"/>
      <c r="E954" s="5"/>
      <c r="F954" s="5"/>
    </row>
    <row r="955" ht="15.75" customHeight="1">
      <c r="A955" s="5"/>
      <c r="B955" s="5"/>
      <c r="C955" s="5"/>
      <c r="D955" s="5"/>
      <c r="E955" s="5"/>
      <c r="F955" s="5"/>
    </row>
    <row r="956" ht="15.75" customHeight="1">
      <c r="A956" s="5"/>
      <c r="B956" s="5"/>
      <c r="C956" s="5"/>
      <c r="D956" s="5"/>
      <c r="E956" s="5"/>
      <c r="F956" s="5"/>
    </row>
    <row r="957" ht="15.75" customHeight="1">
      <c r="A957" s="5"/>
      <c r="B957" s="5"/>
      <c r="C957" s="5"/>
      <c r="D957" s="5"/>
      <c r="E957" s="5"/>
      <c r="F957" s="5"/>
    </row>
    <row r="958" ht="15.75" customHeight="1">
      <c r="A958" s="5"/>
      <c r="B958" s="5"/>
      <c r="C958" s="5"/>
      <c r="D958" s="5"/>
      <c r="E958" s="5"/>
      <c r="F958" s="5"/>
    </row>
    <row r="959" ht="15.75" customHeight="1">
      <c r="A959" s="5"/>
      <c r="B959" s="5"/>
      <c r="C959" s="5"/>
      <c r="D959" s="5"/>
      <c r="E959" s="5"/>
      <c r="F959" s="5"/>
    </row>
    <row r="960" ht="15.75" customHeight="1">
      <c r="A960" s="5"/>
      <c r="B960" s="5"/>
      <c r="C960" s="5"/>
      <c r="D960" s="5"/>
      <c r="E960" s="5"/>
      <c r="F960" s="5"/>
    </row>
    <row r="961" ht="15.75" customHeight="1">
      <c r="A961" s="5"/>
      <c r="B961" s="5"/>
      <c r="C961" s="5"/>
      <c r="D961" s="5"/>
      <c r="E961" s="5"/>
      <c r="F961" s="5"/>
    </row>
    <row r="962" ht="15.75" customHeight="1">
      <c r="A962" s="5"/>
      <c r="B962" s="5"/>
      <c r="C962" s="5"/>
      <c r="D962" s="5"/>
      <c r="E962" s="5"/>
      <c r="F962" s="5"/>
    </row>
    <row r="963" ht="15.75" customHeight="1">
      <c r="A963" s="5"/>
      <c r="B963" s="5"/>
      <c r="C963" s="5"/>
      <c r="D963" s="5"/>
      <c r="E963" s="5"/>
      <c r="F963" s="5"/>
    </row>
    <row r="964" ht="15.75" customHeight="1">
      <c r="A964" s="5"/>
      <c r="B964" s="5"/>
      <c r="C964" s="5"/>
      <c r="D964" s="5"/>
      <c r="E964" s="5"/>
      <c r="F964" s="5"/>
    </row>
    <row r="965" ht="15.75" customHeight="1">
      <c r="A965" s="5"/>
      <c r="B965" s="5"/>
      <c r="C965" s="5"/>
      <c r="D965" s="5"/>
      <c r="E965" s="5"/>
      <c r="F965" s="5"/>
    </row>
    <row r="966" ht="15.75" customHeight="1">
      <c r="A966" s="5"/>
      <c r="B966" s="5"/>
      <c r="C966" s="5"/>
      <c r="D966" s="5"/>
      <c r="E966" s="5"/>
      <c r="F966" s="5"/>
    </row>
    <row r="967" ht="15.75" customHeight="1">
      <c r="A967" s="5"/>
      <c r="B967" s="5"/>
      <c r="C967" s="5"/>
      <c r="D967" s="5"/>
      <c r="E967" s="5"/>
      <c r="F967" s="5"/>
    </row>
    <row r="968" ht="15.75" customHeight="1">
      <c r="A968" s="5"/>
      <c r="B968" s="5"/>
      <c r="C968" s="5"/>
      <c r="D968" s="5"/>
      <c r="E968" s="5"/>
      <c r="F968" s="5"/>
    </row>
    <row r="969" ht="15.75" customHeight="1">
      <c r="A969" s="5"/>
      <c r="B969" s="5"/>
      <c r="C969" s="5"/>
      <c r="D969" s="5"/>
      <c r="E969" s="5"/>
      <c r="F969" s="5"/>
    </row>
    <row r="970" ht="15.75" customHeight="1">
      <c r="A970" s="5"/>
      <c r="B970" s="5"/>
      <c r="C970" s="5"/>
      <c r="D970" s="5"/>
      <c r="E970" s="5"/>
      <c r="F970" s="5"/>
    </row>
    <row r="971" ht="15.75" customHeight="1">
      <c r="A971" s="5"/>
      <c r="B971" s="5"/>
      <c r="C971" s="5"/>
      <c r="D971" s="5"/>
      <c r="E971" s="5"/>
      <c r="F971" s="5"/>
    </row>
    <row r="972" ht="15.75" customHeight="1">
      <c r="A972" s="5"/>
      <c r="B972" s="5"/>
      <c r="C972" s="5"/>
      <c r="D972" s="5"/>
      <c r="E972" s="5"/>
      <c r="F972" s="5"/>
    </row>
    <row r="973" ht="15.75" customHeight="1">
      <c r="A973" s="5"/>
      <c r="B973" s="5"/>
      <c r="C973" s="5"/>
      <c r="D973" s="5"/>
      <c r="E973" s="5"/>
      <c r="F973" s="5"/>
    </row>
    <row r="974" ht="15.75" customHeight="1">
      <c r="A974" s="5"/>
      <c r="B974" s="5"/>
      <c r="C974" s="5"/>
      <c r="D974" s="5"/>
      <c r="E974" s="5"/>
      <c r="F974" s="5"/>
    </row>
    <row r="975" ht="15.75" customHeight="1">
      <c r="A975" s="5"/>
      <c r="B975" s="5"/>
      <c r="C975" s="5"/>
      <c r="D975" s="5"/>
      <c r="E975" s="5"/>
      <c r="F975" s="5"/>
    </row>
    <row r="976" ht="15.75" customHeight="1">
      <c r="A976" s="5"/>
      <c r="B976" s="5"/>
      <c r="C976" s="5"/>
      <c r="D976" s="5"/>
      <c r="E976" s="5"/>
      <c r="F976" s="5"/>
    </row>
    <row r="977" ht="15.75" customHeight="1">
      <c r="A977" s="5"/>
      <c r="B977" s="5"/>
      <c r="C977" s="5"/>
      <c r="D977" s="5"/>
      <c r="E977" s="5"/>
      <c r="F977" s="5"/>
    </row>
    <row r="978" ht="15.75" customHeight="1">
      <c r="A978" s="5"/>
      <c r="B978" s="5"/>
      <c r="C978" s="5"/>
      <c r="D978" s="5"/>
      <c r="E978" s="5"/>
      <c r="F978" s="5"/>
    </row>
    <row r="979" ht="15.75" customHeight="1">
      <c r="A979" s="5"/>
      <c r="B979" s="5"/>
      <c r="C979" s="5"/>
      <c r="D979" s="5"/>
      <c r="E979" s="5"/>
      <c r="F979" s="5"/>
    </row>
    <row r="980" ht="15.75" customHeight="1">
      <c r="A980" s="5"/>
      <c r="B980" s="5"/>
      <c r="C980" s="5"/>
      <c r="D980" s="5"/>
      <c r="E980" s="5"/>
      <c r="F980" s="5"/>
    </row>
    <row r="981" ht="15.75" customHeight="1">
      <c r="A981" s="5"/>
      <c r="B981" s="5"/>
      <c r="C981" s="5"/>
      <c r="D981" s="5"/>
      <c r="E981" s="5"/>
      <c r="F981" s="5"/>
    </row>
    <row r="982" ht="15.75" customHeight="1">
      <c r="A982" s="5"/>
      <c r="B982" s="5"/>
      <c r="C982" s="5"/>
      <c r="D982" s="5"/>
      <c r="E982" s="5"/>
      <c r="F982" s="5"/>
    </row>
    <row r="983" ht="15.75" customHeight="1">
      <c r="A983" s="5"/>
      <c r="B983" s="5"/>
      <c r="C983" s="5"/>
      <c r="D983" s="5"/>
      <c r="E983" s="5"/>
      <c r="F983" s="5"/>
    </row>
    <row r="984" ht="15.75" customHeight="1">
      <c r="A984" s="5"/>
      <c r="B984" s="5"/>
      <c r="C984" s="5"/>
      <c r="D984" s="5"/>
      <c r="E984" s="5"/>
      <c r="F984" s="5"/>
    </row>
    <row r="985" ht="15.75" customHeight="1">
      <c r="A985" s="5"/>
      <c r="B985" s="5"/>
      <c r="C985" s="5"/>
      <c r="D985" s="5"/>
      <c r="E985" s="5"/>
      <c r="F985" s="5"/>
    </row>
    <row r="986" ht="15.75" customHeight="1">
      <c r="A986" s="5"/>
      <c r="B986" s="5"/>
      <c r="C986" s="5"/>
      <c r="D986" s="5"/>
      <c r="E986" s="5"/>
      <c r="F986" s="5"/>
    </row>
    <row r="987" ht="15.75" customHeight="1">
      <c r="A987" s="5"/>
      <c r="B987" s="5"/>
      <c r="C987" s="5"/>
      <c r="D987" s="5"/>
      <c r="E987" s="5"/>
      <c r="F987" s="5"/>
    </row>
    <row r="988" ht="15.75" customHeight="1">
      <c r="A988" s="5"/>
      <c r="B988" s="5"/>
      <c r="C988" s="5"/>
      <c r="D988" s="5"/>
      <c r="E988" s="5"/>
      <c r="F988" s="5"/>
    </row>
    <row r="989" ht="15.75" customHeight="1">
      <c r="A989" s="5"/>
      <c r="B989" s="5"/>
      <c r="C989" s="5"/>
      <c r="D989" s="5"/>
      <c r="E989" s="5"/>
      <c r="F989" s="5"/>
    </row>
    <row r="990" ht="15.75" customHeight="1">
      <c r="A990" s="5"/>
      <c r="B990" s="5"/>
      <c r="C990" s="5"/>
      <c r="D990" s="5"/>
      <c r="E990" s="5"/>
      <c r="F990" s="5"/>
    </row>
    <row r="991" ht="15.75" customHeight="1">
      <c r="A991" s="5"/>
      <c r="B991" s="5"/>
      <c r="C991" s="5"/>
      <c r="D991" s="5"/>
      <c r="E991" s="5"/>
      <c r="F991" s="5"/>
    </row>
    <row r="992" ht="15.75" customHeight="1">
      <c r="A992" s="5"/>
      <c r="B992" s="5"/>
      <c r="C992" s="5"/>
      <c r="D992" s="5"/>
      <c r="E992" s="5"/>
      <c r="F992" s="5"/>
    </row>
    <row r="993" ht="15.75" customHeight="1">
      <c r="A993" s="5"/>
      <c r="B993" s="5"/>
      <c r="C993" s="5"/>
      <c r="D993" s="5"/>
      <c r="E993" s="5"/>
      <c r="F993" s="5"/>
    </row>
    <row r="994" ht="15.75" customHeight="1">
      <c r="A994" s="5"/>
      <c r="B994" s="5"/>
      <c r="C994" s="5"/>
      <c r="D994" s="5"/>
      <c r="E994" s="5"/>
      <c r="F994" s="5"/>
    </row>
    <row r="995" ht="15.75" customHeight="1">
      <c r="A995" s="5"/>
      <c r="B995" s="5"/>
      <c r="C995" s="5"/>
      <c r="D995" s="5"/>
      <c r="E995" s="5"/>
      <c r="F995" s="5"/>
    </row>
    <row r="996" ht="15.75" customHeight="1">
      <c r="A996" s="5"/>
      <c r="B996" s="5"/>
      <c r="C996" s="5"/>
      <c r="D996" s="5"/>
      <c r="E996" s="5"/>
      <c r="F996" s="5"/>
    </row>
    <row r="997" ht="15.75" customHeight="1">
      <c r="A997" s="5"/>
      <c r="B997" s="5"/>
      <c r="C997" s="5"/>
      <c r="D997" s="5"/>
      <c r="E997" s="5"/>
      <c r="F997" s="5"/>
    </row>
    <row r="998" ht="15.75" customHeight="1">
      <c r="A998" s="5"/>
      <c r="B998" s="5"/>
      <c r="C998" s="5"/>
      <c r="D998" s="5"/>
      <c r="E998" s="5"/>
      <c r="F998" s="5"/>
    </row>
    <row r="999" ht="15.75" customHeight="1">
      <c r="A999" s="5"/>
      <c r="B999" s="5"/>
      <c r="C999" s="5"/>
      <c r="D999" s="5"/>
      <c r="E999" s="5"/>
      <c r="F999" s="5"/>
    </row>
    <row r="1000" ht="15.75" customHeight="1">
      <c r="A1000" s="5"/>
      <c r="B1000" s="5"/>
      <c r="C1000" s="5"/>
      <c r="D1000" s="5"/>
      <c r="E1000" s="5"/>
      <c r="F1000" s="5"/>
    </row>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88"/>
    <col customWidth="1" min="2" max="2" width="38.0"/>
    <col customWidth="1" min="3" max="3" width="18.5"/>
    <col customWidth="1" min="4" max="4" width="18.25"/>
    <col customWidth="1" min="5" max="5" width="13.38"/>
    <col customWidth="1" min="6" max="6" width="12.63"/>
  </cols>
  <sheetData>
    <row r="1" ht="15.75" customHeight="1">
      <c r="A1" s="32" t="s">
        <v>555</v>
      </c>
      <c r="B1" s="32" t="s">
        <v>556</v>
      </c>
      <c r="C1" s="33" t="s">
        <v>557</v>
      </c>
      <c r="D1" s="32" t="s">
        <v>558</v>
      </c>
      <c r="E1" s="34" t="s">
        <v>559</v>
      </c>
      <c r="F1" s="35"/>
      <c r="G1" s="35"/>
      <c r="H1" s="35"/>
      <c r="I1" s="35"/>
      <c r="J1" s="35"/>
      <c r="K1" s="35"/>
      <c r="L1" s="35"/>
      <c r="M1" s="35"/>
      <c r="N1" s="35"/>
      <c r="O1" s="35"/>
      <c r="P1" s="35"/>
      <c r="Q1" s="35"/>
      <c r="R1" s="35"/>
      <c r="S1" s="35"/>
      <c r="T1" s="35"/>
      <c r="U1" s="35"/>
      <c r="V1" s="35"/>
      <c r="W1" s="35"/>
      <c r="X1" s="35"/>
      <c r="Y1" s="5"/>
      <c r="Z1" s="5"/>
    </row>
    <row r="2" ht="15.75" customHeight="1">
      <c r="A2" s="36" t="s">
        <v>107</v>
      </c>
      <c r="B2" s="36" t="s">
        <v>560</v>
      </c>
      <c r="C2" s="37" t="s">
        <v>104</v>
      </c>
      <c r="D2" s="36" t="s">
        <v>561</v>
      </c>
      <c r="E2" s="38">
        <v>1.4</v>
      </c>
      <c r="F2" s="5"/>
      <c r="G2" s="5"/>
      <c r="H2" s="5"/>
      <c r="I2" s="5"/>
      <c r="J2" s="5"/>
      <c r="K2" s="5"/>
      <c r="L2" s="5"/>
      <c r="M2" s="5"/>
      <c r="N2" s="5"/>
      <c r="O2" s="5"/>
      <c r="P2" s="5"/>
      <c r="Q2" s="5"/>
      <c r="R2" s="5"/>
      <c r="S2" s="5"/>
      <c r="T2" s="5"/>
      <c r="U2" s="5"/>
      <c r="V2" s="5"/>
      <c r="W2" s="5"/>
      <c r="X2" s="5"/>
      <c r="Y2" s="5"/>
      <c r="Z2" s="5"/>
    </row>
    <row r="3" ht="15.75" customHeight="1">
      <c r="A3" s="36" t="s">
        <v>117</v>
      </c>
      <c r="B3" s="36" t="s">
        <v>562</v>
      </c>
      <c r="C3" s="37" t="s">
        <v>115</v>
      </c>
      <c r="D3" s="36" t="s">
        <v>561</v>
      </c>
      <c r="E3" s="38">
        <v>1.6</v>
      </c>
      <c r="F3" s="5"/>
      <c r="G3" s="5"/>
      <c r="H3" s="5"/>
      <c r="I3" s="5"/>
      <c r="J3" s="5"/>
      <c r="K3" s="5"/>
      <c r="L3" s="5"/>
      <c r="M3" s="5"/>
      <c r="N3" s="5"/>
      <c r="O3" s="5"/>
      <c r="P3" s="5"/>
      <c r="Q3" s="5"/>
      <c r="R3" s="5"/>
      <c r="S3" s="5"/>
      <c r="T3" s="5"/>
      <c r="U3" s="5"/>
      <c r="V3" s="5"/>
      <c r="W3" s="5"/>
      <c r="X3" s="5"/>
      <c r="Y3" s="5"/>
      <c r="Z3" s="5"/>
    </row>
    <row r="4" ht="15.75" customHeight="1">
      <c r="A4" s="36" t="s">
        <v>120</v>
      </c>
      <c r="B4" s="36" t="s">
        <v>563</v>
      </c>
      <c r="C4" s="37" t="s">
        <v>118</v>
      </c>
      <c r="D4" s="36" t="s">
        <v>561</v>
      </c>
      <c r="E4" s="38">
        <v>1.3</v>
      </c>
      <c r="F4" s="5"/>
      <c r="G4" s="5"/>
      <c r="H4" s="5"/>
      <c r="I4" s="5"/>
      <c r="J4" s="5"/>
      <c r="K4" s="5"/>
      <c r="L4" s="5"/>
      <c r="M4" s="5"/>
      <c r="N4" s="5"/>
      <c r="O4" s="5"/>
      <c r="P4" s="5"/>
      <c r="Q4" s="5"/>
      <c r="R4" s="5"/>
      <c r="S4" s="5"/>
      <c r="T4" s="5"/>
      <c r="U4" s="5"/>
      <c r="V4" s="5"/>
      <c r="W4" s="5"/>
      <c r="X4" s="5"/>
      <c r="Y4" s="5"/>
      <c r="Z4" s="5"/>
    </row>
    <row r="5" ht="15.75" customHeight="1">
      <c r="A5" s="36" t="s">
        <v>129</v>
      </c>
      <c r="B5" s="36" t="s">
        <v>564</v>
      </c>
      <c r="C5" s="37" t="s">
        <v>127</v>
      </c>
      <c r="D5" s="36" t="s">
        <v>561</v>
      </c>
      <c r="E5" s="38">
        <v>1.4</v>
      </c>
      <c r="F5" s="5"/>
      <c r="G5" s="5"/>
      <c r="H5" s="5"/>
      <c r="I5" s="5"/>
      <c r="J5" s="5"/>
      <c r="K5" s="5"/>
      <c r="L5" s="5"/>
      <c r="M5" s="5"/>
      <c r="N5" s="5"/>
      <c r="O5" s="5"/>
      <c r="P5" s="5"/>
      <c r="Q5" s="5"/>
      <c r="R5" s="5"/>
      <c r="S5" s="5"/>
      <c r="T5" s="5"/>
      <c r="U5" s="5"/>
      <c r="V5" s="5"/>
      <c r="W5" s="5"/>
      <c r="X5" s="5"/>
      <c r="Y5" s="5"/>
      <c r="Z5" s="5"/>
    </row>
    <row r="6" ht="15.75" customHeight="1">
      <c r="A6" s="36" t="s">
        <v>136</v>
      </c>
      <c r="B6" s="36" t="s">
        <v>565</v>
      </c>
      <c r="C6" s="37" t="s">
        <v>134</v>
      </c>
      <c r="D6" s="36" t="s">
        <v>561</v>
      </c>
      <c r="E6" s="38">
        <v>1.4</v>
      </c>
      <c r="F6" s="5"/>
      <c r="G6" s="5"/>
      <c r="H6" s="5"/>
      <c r="I6" s="5"/>
      <c r="J6" s="5"/>
      <c r="K6" s="5"/>
      <c r="L6" s="5"/>
      <c r="M6" s="5"/>
      <c r="N6" s="5"/>
      <c r="O6" s="5"/>
      <c r="P6" s="5"/>
      <c r="Q6" s="5"/>
      <c r="R6" s="5"/>
      <c r="S6" s="5"/>
      <c r="T6" s="5"/>
      <c r="U6" s="5"/>
      <c r="V6" s="5"/>
      <c r="W6" s="5"/>
      <c r="X6" s="5"/>
      <c r="Y6" s="5"/>
      <c r="Z6" s="5"/>
    </row>
    <row r="7" ht="15.75" customHeight="1">
      <c r="A7" s="36" t="s">
        <v>139</v>
      </c>
      <c r="B7" s="36" t="s">
        <v>566</v>
      </c>
      <c r="C7" s="37" t="s">
        <v>137</v>
      </c>
      <c r="D7" s="36" t="s">
        <v>561</v>
      </c>
      <c r="E7" s="38">
        <v>1.4</v>
      </c>
      <c r="F7" s="5"/>
      <c r="G7" s="5"/>
      <c r="H7" s="5"/>
      <c r="I7" s="5"/>
      <c r="J7" s="5"/>
      <c r="K7" s="5"/>
      <c r="L7" s="5"/>
      <c r="M7" s="5"/>
      <c r="N7" s="5"/>
      <c r="O7" s="5"/>
      <c r="P7" s="5"/>
      <c r="Q7" s="5"/>
      <c r="R7" s="5"/>
      <c r="S7" s="5"/>
      <c r="T7" s="5"/>
      <c r="U7" s="5"/>
      <c r="V7" s="5"/>
      <c r="W7" s="5"/>
      <c r="X7" s="5"/>
      <c r="Y7" s="5"/>
      <c r="Z7" s="5"/>
    </row>
    <row r="8" ht="15.75" customHeight="1">
      <c r="A8" s="36" t="s">
        <v>149</v>
      </c>
      <c r="B8" s="36" t="s">
        <v>567</v>
      </c>
      <c r="C8" s="37" t="s">
        <v>147</v>
      </c>
      <c r="D8" s="36" t="s">
        <v>561</v>
      </c>
      <c r="E8" s="38">
        <v>1.8</v>
      </c>
      <c r="F8" s="5"/>
      <c r="G8" s="5"/>
      <c r="H8" s="5"/>
      <c r="I8" s="5"/>
      <c r="J8" s="5"/>
      <c r="K8" s="5"/>
      <c r="L8" s="5"/>
      <c r="M8" s="5"/>
      <c r="N8" s="5"/>
      <c r="O8" s="5"/>
      <c r="P8" s="5"/>
      <c r="Q8" s="5"/>
      <c r="R8" s="5"/>
      <c r="S8" s="5"/>
      <c r="T8" s="5"/>
      <c r="U8" s="5"/>
      <c r="V8" s="5"/>
      <c r="W8" s="5"/>
      <c r="X8" s="5"/>
      <c r="Y8" s="5"/>
      <c r="Z8" s="5"/>
    </row>
    <row r="9" ht="15.75" customHeight="1">
      <c r="A9" s="36" t="s">
        <v>146</v>
      </c>
      <c r="B9" s="36" t="s">
        <v>568</v>
      </c>
      <c r="C9" s="37" t="s">
        <v>144</v>
      </c>
      <c r="D9" s="36" t="s">
        <v>561</v>
      </c>
      <c r="E9" s="38">
        <v>2.0</v>
      </c>
      <c r="F9" s="5"/>
      <c r="G9" s="5"/>
      <c r="H9" s="5"/>
      <c r="I9" s="5"/>
      <c r="J9" s="5"/>
      <c r="K9" s="5"/>
      <c r="L9" s="5"/>
      <c r="M9" s="5"/>
      <c r="N9" s="5"/>
      <c r="O9" s="5"/>
      <c r="P9" s="5"/>
      <c r="Q9" s="5"/>
      <c r="R9" s="5"/>
      <c r="S9" s="5"/>
      <c r="T9" s="5"/>
      <c r="U9" s="5"/>
      <c r="V9" s="5"/>
      <c r="W9" s="5"/>
      <c r="X9" s="5"/>
      <c r="Y9" s="5"/>
      <c r="Z9" s="5"/>
    </row>
    <row r="10" ht="15.75" customHeight="1">
      <c r="A10" s="36" t="s">
        <v>143</v>
      </c>
      <c r="B10" s="36" t="s">
        <v>569</v>
      </c>
      <c r="C10" s="37" t="s">
        <v>140</v>
      </c>
      <c r="D10" s="36" t="s">
        <v>570</v>
      </c>
      <c r="E10" s="38">
        <v>1.6</v>
      </c>
      <c r="F10" s="5"/>
      <c r="G10" s="5"/>
      <c r="H10" s="5"/>
      <c r="I10" s="5"/>
      <c r="J10" s="5"/>
      <c r="K10" s="5"/>
      <c r="L10" s="5"/>
      <c r="M10" s="5"/>
      <c r="N10" s="5"/>
      <c r="O10" s="5"/>
      <c r="P10" s="5"/>
      <c r="Q10" s="5"/>
      <c r="R10" s="5"/>
      <c r="S10" s="5"/>
      <c r="T10" s="5"/>
      <c r="U10" s="5"/>
      <c r="V10" s="5"/>
      <c r="W10" s="5"/>
      <c r="X10" s="5"/>
      <c r="Y10" s="5"/>
      <c r="Z10" s="5"/>
    </row>
    <row r="11" ht="15.75" customHeight="1">
      <c r="A11" s="36" t="s">
        <v>185</v>
      </c>
      <c r="B11" s="36" t="s">
        <v>571</v>
      </c>
      <c r="C11" s="37" t="s">
        <v>183</v>
      </c>
      <c r="D11" s="36" t="s">
        <v>561</v>
      </c>
      <c r="E11" s="38">
        <v>2.0</v>
      </c>
      <c r="F11" s="5"/>
      <c r="G11" s="5"/>
      <c r="H11" s="5"/>
      <c r="I11" s="5"/>
      <c r="J11" s="5"/>
      <c r="K11" s="5"/>
      <c r="L11" s="5"/>
      <c r="M11" s="5"/>
      <c r="N11" s="5"/>
      <c r="O11" s="5"/>
      <c r="P11" s="5"/>
      <c r="Q11" s="5"/>
      <c r="R11" s="5"/>
      <c r="S11" s="5"/>
      <c r="T11" s="5"/>
      <c r="U11" s="5"/>
      <c r="V11" s="5"/>
      <c r="W11" s="5"/>
      <c r="X11" s="5"/>
      <c r="Y11" s="5"/>
      <c r="Z11" s="5"/>
    </row>
    <row r="12" ht="15.75" customHeight="1">
      <c r="A12" s="36" t="s">
        <v>179</v>
      </c>
      <c r="B12" s="36" t="s">
        <v>572</v>
      </c>
      <c r="C12" s="37" t="s">
        <v>177</v>
      </c>
      <c r="D12" s="36" t="s">
        <v>561</v>
      </c>
      <c r="E12" s="38">
        <v>1.3</v>
      </c>
      <c r="F12" s="5"/>
      <c r="G12" s="5"/>
      <c r="H12" s="5"/>
      <c r="I12" s="5"/>
      <c r="J12" s="5"/>
      <c r="K12" s="5"/>
      <c r="L12" s="5"/>
      <c r="M12" s="5"/>
      <c r="N12" s="5"/>
      <c r="O12" s="5"/>
      <c r="P12" s="5"/>
      <c r="Q12" s="5"/>
      <c r="R12" s="5"/>
      <c r="S12" s="5"/>
      <c r="T12" s="5"/>
      <c r="U12" s="5"/>
      <c r="V12" s="5"/>
      <c r="W12" s="5"/>
      <c r="X12" s="5"/>
      <c r="Y12" s="5"/>
      <c r="Z12" s="5"/>
    </row>
    <row r="13" ht="15.75" customHeight="1">
      <c r="A13" s="36" t="s">
        <v>182</v>
      </c>
      <c r="B13" s="36" t="s">
        <v>573</v>
      </c>
      <c r="C13" s="37" t="s">
        <v>180</v>
      </c>
      <c r="D13" s="36" t="s">
        <v>561</v>
      </c>
      <c r="E13" s="38">
        <v>1.3</v>
      </c>
      <c r="F13" s="5"/>
      <c r="G13" s="5"/>
      <c r="H13" s="5"/>
      <c r="I13" s="5"/>
      <c r="J13" s="5"/>
      <c r="K13" s="5"/>
      <c r="L13" s="5"/>
      <c r="M13" s="5"/>
      <c r="N13" s="5"/>
      <c r="O13" s="5"/>
      <c r="P13" s="5"/>
      <c r="Q13" s="5"/>
      <c r="R13" s="5"/>
      <c r="S13" s="5"/>
      <c r="T13" s="5"/>
      <c r="U13" s="5"/>
      <c r="V13" s="5"/>
      <c r="W13" s="5"/>
      <c r="X13" s="5"/>
      <c r="Y13" s="5"/>
      <c r="Z13" s="5"/>
    </row>
    <row r="14" ht="15.75" customHeight="1">
      <c r="A14" s="36" t="s">
        <v>190</v>
      </c>
      <c r="B14" s="36" t="s">
        <v>574</v>
      </c>
      <c r="C14" s="37" t="s">
        <v>188</v>
      </c>
      <c r="D14" s="36" t="s">
        <v>561</v>
      </c>
      <c r="E14" s="38">
        <v>1.6</v>
      </c>
      <c r="F14" s="5"/>
      <c r="G14" s="5"/>
      <c r="H14" s="5"/>
      <c r="I14" s="5"/>
      <c r="J14" s="5"/>
      <c r="K14" s="5"/>
      <c r="L14" s="5"/>
      <c r="M14" s="5"/>
      <c r="N14" s="5"/>
      <c r="O14" s="5"/>
      <c r="P14" s="5"/>
      <c r="Q14" s="5"/>
      <c r="R14" s="5"/>
      <c r="S14" s="5"/>
      <c r="T14" s="5"/>
      <c r="U14" s="5"/>
      <c r="V14" s="5"/>
      <c r="W14" s="5"/>
      <c r="X14" s="5"/>
      <c r="Y14" s="5"/>
      <c r="Z14" s="5"/>
    </row>
    <row r="15" ht="15.75" customHeight="1">
      <c r="A15" s="36" t="s">
        <v>196</v>
      </c>
      <c r="B15" s="36" t="s">
        <v>575</v>
      </c>
      <c r="C15" s="37" t="s">
        <v>194</v>
      </c>
      <c r="D15" s="36" t="s">
        <v>561</v>
      </c>
      <c r="E15" s="38">
        <v>1.9</v>
      </c>
      <c r="F15" s="5"/>
      <c r="G15" s="5"/>
      <c r="H15" s="5"/>
      <c r="I15" s="5"/>
      <c r="J15" s="5"/>
      <c r="K15" s="5"/>
      <c r="L15" s="5"/>
      <c r="M15" s="5"/>
      <c r="N15" s="5"/>
      <c r="O15" s="5"/>
      <c r="P15" s="5"/>
      <c r="Q15" s="5"/>
      <c r="R15" s="5"/>
      <c r="S15" s="5"/>
      <c r="T15" s="5"/>
      <c r="U15" s="5"/>
      <c r="V15" s="5"/>
      <c r="W15" s="5"/>
      <c r="X15" s="5"/>
      <c r="Y15" s="5"/>
      <c r="Z15" s="5"/>
    </row>
    <row r="16" ht="15.75" customHeight="1">
      <c r="A16" s="36" t="s">
        <v>157</v>
      </c>
      <c r="B16" s="36" t="s">
        <v>576</v>
      </c>
      <c r="C16" s="37" t="s">
        <v>155</v>
      </c>
      <c r="D16" s="36" t="s">
        <v>561</v>
      </c>
      <c r="E16" s="38">
        <v>1.0</v>
      </c>
      <c r="F16" s="5"/>
      <c r="G16" s="5"/>
      <c r="H16" s="5"/>
      <c r="I16" s="5"/>
      <c r="J16" s="5"/>
      <c r="K16" s="5"/>
      <c r="L16" s="5"/>
      <c r="M16" s="5"/>
      <c r="N16" s="5"/>
      <c r="O16" s="5"/>
      <c r="P16" s="5"/>
      <c r="Q16" s="5"/>
      <c r="R16" s="5"/>
      <c r="S16" s="5"/>
      <c r="T16" s="5"/>
      <c r="U16" s="5"/>
      <c r="V16" s="5"/>
      <c r="W16" s="5"/>
      <c r="X16" s="5"/>
      <c r="Y16" s="5"/>
      <c r="Z16" s="5"/>
    </row>
    <row r="17" ht="15.75" customHeight="1">
      <c r="A17" s="36" t="s">
        <v>165</v>
      </c>
      <c r="B17" s="36" t="s">
        <v>577</v>
      </c>
      <c r="C17" s="37" t="s">
        <v>163</v>
      </c>
      <c r="D17" s="36" t="s">
        <v>561</v>
      </c>
      <c r="E17" s="38">
        <v>1.6</v>
      </c>
      <c r="F17" s="5"/>
      <c r="G17" s="5"/>
      <c r="H17" s="5"/>
      <c r="I17" s="5"/>
      <c r="J17" s="5"/>
      <c r="K17" s="5"/>
      <c r="L17" s="5"/>
      <c r="M17" s="5"/>
      <c r="N17" s="5"/>
      <c r="O17" s="5"/>
      <c r="P17" s="5"/>
      <c r="Q17" s="5"/>
      <c r="R17" s="5"/>
      <c r="S17" s="5"/>
      <c r="T17" s="5"/>
      <c r="U17" s="5"/>
      <c r="V17" s="5"/>
      <c r="W17" s="5"/>
      <c r="X17" s="5"/>
      <c r="Y17" s="5"/>
      <c r="Z17" s="5"/>
    </row>
    <row r="18" ht="15.75" customHeight="1">
      <c r="A18" s="36" t="s">
        <v>168</v>
      </c>
      <c r="B18" s="36" t="s">
        <v>578</v>
      </c>
      <c r="C18" s="37" t="s">
        <v>166</v>
      </c>
      <c r="D18" s="36" t="s">
        <v>561</v>
      </c>
      <c r="E18" s="38">
        <v>2.0</v>
      </c>
      <c r="F18" s="5"/>
      <c r="G18" s="5"/>
      <c r="H18" s="5"/>
      <c r="I18" s="5"/>
      <c r="J18" s="5"/>
      <c r="K18" s="5"/>
      <c r="L18" s="5"/>
      <c r="M18" s="5"/>
      <c r="N18" s="5"/>
      <c r="O18" s="5"/>
      <c r="P18" s="5"/>
      <c r="Q18" s="5"/>
      <c r="R18" s="5"/>
      <c r="S18" s="5"/>
      <c r="T18" s="5"/>
      <c r="U18" s="5"/>
      <c r="V18" s="5"/>
      <c r="W18" s="5"/>
      <c r="X18" s="5"/>
      <c r="Y18" s="5"/>
      <c r="Z18" s="5"/>
    </row>
    <row r="19" ht="15.75" customHeight="1">
      <c r="A19" s="36" t="s">
        <v>171</v>
      </c>
      <c r="B19" s="36" t="s">
        <v>579</v>
      </c>
      <c r="C19" s="37" t="s">
        <v>169</v>
      </c>
      <c r="D19" s="36" t="s">
        <v>561</v>
      </c>
      <c r="E19" s="38">
        <v>1.3</v>
      </c>
      <c r="F19" s="5"/>
      <c r="G19" s="5"/>
      <c r="H19" s="5"/>
      <c r="I19" s="5"/>
      <c r="J19" s="5"/>
      <c r="K19" s="5"/>
      <c r="L19" s="5"/>
      <c r="M19" s="5"/>
      <c r="N19" s="5"/>
      <c r="O19" s="5"/>
      <c r="P19" s="5"/>
      <c r="Q19" s="5"/>
      <c r="R19" s="5"/>
      <c r="S19" s="5"/>
      <c r="T19" s="5"/>
      <c r="U19" s="5"/>
      <c r="V19" s="5"/>
      <c r="W19" s="5"/>
      <c r="X19" s="5"/>
      <c r="Y19" s="5"/>
      <c r="Z19" s="5"/>
    </row>
    <row r="20" ht="15.75" customHeight="1">
      <c r="A20" s="36" t="s">
        <v>174</v>
      </c>
      <c r="B20" s="36" t="s">
        <v>580</v>
      </c>
      <c r="C20" s="37" t="s">
        <v>172</v>
      </c>
      <c r="D20" s="36" t="s">
        <v>561</v>
      </c>
      <c r="E20" s="38">
        <v>1.2</v>
      </c>
      <c r="F20" s="5"/>
      <c r="G20" s="5"/>
      <c r="H20" s="5"/>
      <c r="I20" s="5"/>
      <c r="J20" s="5"/>
      <c r="K20" s="5"/>
      <c r="L20" s="5"/>
      <c r="M20" s="5"/>
      <c r="N20" s="5"/>
      <c r="O20" s="5"/>
      <c r="P20" s="5"/>
      <c r="Q20" s="5"/>
      <c r="R20" s="5"/>
      <c r="S20" s="5"/>
      <c r="T20" s="5"/>
      <c r="U20" s="5"/>
      <c r="V20" s="5"/>
      <c r="W20" s="5"/>
      <c r="X20" s="5"/>
      <c r="Y20" s="5"/>
      <c r="Z20" s="5"/>
    </row>
    <row r="21" ht="15.75" customHeight="1">
      <c r="A21" s="36" t="s">
        <v>162</v>
      </c>
      <c r="B21" s="36" t="s">
        <v>581</v>
      </c>
      <c r="C21" s="37" t="s">
        <v>160</v>
      </c>
      <c r="D21" s="36" t="s">
        <v>561</v>
      </c>
      <c r="E21" s="38">
        <v>1.0</v>
      </c>
      <c r="F21" s="5"/>
      <c r="G21" s="5"/>
      <c r="H21" s="5"/>
      <c r="I21" s="5"/>
      <c r="J21" s="5"/>
      <c r="K21" s="5"/>
      <c r="L21" s="5"/>
      <c r="M21" s="5"/>
      <c r="N21" s="5"/>
      <c r="O21" s="5"/>
      <c r="P21" s="5"/>
      <c r="Q21" s="5"/>
      <c r="R21" s="5"/>
      <c r="S21" s="5"/>
      <c r="T21" s="5"/>
      <c r="U21" s="5"/>
      <c r="V21" s="5"/>
      <c r="W21" s="5"/>
      <c r="X21" s="5"/>
      <c r="Y21" s="5"/>
      <c r="Z21" s="5"/>
    </row>
    <row r="22" ht="15.75" customHeight="1">
      <c r="A22" s="36" t="s">
        <v>193</v>
      </c>
      <c r="B22" s="36" t="s">
        <v>582</v>
      </c>
      <c r="C22" s="37" t="s">
        <v>191</v>
      </c>
      <c r="D22" s="36" t="s">
        <v>561</v>
      </c>
      <c r="E22" s="38">
        <v>1.2</v>
      </c>
      <c r="F22" s="5"/>
      <c r="G22" s="5"/>
      <c r="H22" s="5"/>
      <c r="I22" s="5"/>
      <c r="J22" s="5"/>
      <c r="K22" s="5"/>
      <c r="L22" s="5"/>
      <c r="M22" s="5"/>
      <c r="N22" s="5"/>
      <c r="O22" s="5"/>
      <c r="P22" s="5"/>
      <c r="Q22" s="5"/>
      <c r="R22" s="5"/>
      <c r="S22" s="5"/>
      <c r="T22" s="5"/>
      <c r="U22" s="5"/>
      <c r="V22" s="5"/>
      <c r="W22" s="5"/>
      <c r="X22" s="5"/>
      <c r="Y22" s="5"/>
      <c r="Z22" s="5"/>
    </row>
    <row r="23" ht="15.75" customHeight="1">
      <c r="A23" s="5"/>
      <c r="B23" s="5"/>
      <c r="C23" s="5"/>
      <c r="D23" s="5"/>
      <c r="E23" s="5"/>
    </row>
    <row r="24" ht="15.75" customHeight="1">
      <c r="A24" s="5"/>
      <c r="B24" s="5"/>
      <c r="C24" s="5"/>
      <c r="D24" s="5"/>
      <c r="E24" s="5"/>
    </row>
    <row r="25" ht="15.75" customHeight="1">
      <c r="A25" s="5"/>
      <c r="B25" s="5"/>
      <c r="C25" s="5"/>
      <c r="D25" s="5"/>
      <c r="E25" s="5"/>
    </row>
    <row r="26" ht="15.75" customHeight="1">
      <c r="A26" s="5"/>
      <c r="B26" s="5"/>
      <c r="C26" s="5"/>
      <c r="D26" s="5"/>
      <c r="E26" s="5"/>
    </row>
    <row r="27" ht="15.75" customHeight="1">
      <c r="A27" s="5"/>
      <c r="B27" s="5"/>
      <c r="C27" s="5"/>
      <c r="D27" s="5"/>
      <c r="E27" s="5"/>
    </row>
    <row r="28" ht="15.75" customHeight="1">
      <c r="A28" s="5"/>
      <c r="B28" s="5"/>
      <c r="C28" s="5"/>
      <c r="D28" s="5"/>
      <c r="E28" s="5"/>
    </row>
    <row r="29" ht="15.75" customHeight="1">
      <c r="A29" s="5"/>
      <c r="B29" s="5"/>
      <c r="C29" s="5"/>
      <c r="D29" s="5"/>
      <c r="E29" s="5"/>
    </row>
    <row r="30" ht="15.75" customHeight="1">
      <c r="A30" s="5"/>
      <c r="B30" s="5"/>
      <c r="C30" s="5"/>
      <c r="D30" s="5"/>
      <c r="E30" s="5"/>
    </row>
    <row r="31" ht="15.75" customHeight="1">
      <c r="A31" s="5"/>
      <c r="B31" s="5"/>
      <c r="C31" s="5"/>
      <c r="D31" s="5"/>
      <c r="E31" s="5"/>
    </row>
    <row r="32" ht="15.75" customHeight="1">
      <c r="A32" s="5"/>
      <c r="B32" s="5"/>
      <c r="C32" s="5"/>
      <c r="D32" s="5"/>
      <c r="E32" s="5"/>
    </row>
    <row r="33" ht="15.75" customHeight="1">
      <c r="A33" s="5"/>
      <c r="B33" s="5"/>
      <c r="C33" s="5"/>
      <c r="D33" s="5"/>
      <c r="E33" s="5"/>
    </row>
    <row r="34" ht="15.75" customHeight="1">
      <c r="A34" s="5"/>
      <c r="B34" s="5"/>
      <c r="C34" s="5"/>
      <c r="D34" s="5"/>
      <c r="E34" s="5"/>
    </row>
    <row r="35" ht="15.75" customHeight="1">
      <c r="A35" s="5"/>
      <c r="B35" s="5"/>
      <c r="C35" s="5"/>
      <c r="D35" s="5"/>
      <c r="E35" s="5"/>
    </row>
    <row r="36" ht="15.75" customHeight="1">
      <c r="A36" s="5"/>
      <c r="B36" s="5"/>
      <c r="C36" s="5"/>
      <c r="D36" s="5"/>
      <c r="E36" s="5"/>
    </row>
    <row r="37" ht="15.75" customHeight="1">
      <c r="A37" s="5"/>
      <c r="B37" s="5"/>
      <c r="C37" s="5"/>
      <c r="D37" s="5"/>
      <c r="E37" s="5"/>
    </row>
    <row r="38" ht="15.75" customHeight="1">
      <c r="A38" s="5"/>
      <c r="B38" s="5"/>
      <c r="C38" s="5"/>
      <c r="D38" s="5"/>
      <c r="E38" s="5"/>
    </row>
    <row r="39" ht="15.75" customHeight="1">
      <c r="A39" s="5"/>
      <c r="B39" s="5"/>
      <c r="C39" s="5"/>
      <c r="D39" s="5"/>
      <c r="E39" s="5"/>
    </row>
    <row r="40" ht="15.75" customHeight="1">
      <c r="A40" s="5"/>
      <c r="B40" s="5"/>
      <c r="C40" s="5"/>
      <c r="D40" s="5"/>
      <c r="E40" s="5"/>
    </row>
    <row r="41" ht="15.75" customHeight="1">
      <c r="A41" s="5"/>
      <c r="B41" s="5"/>
      <c r="C41" s="5"/>
      <c r="D41" s="5"/>
      <c r="E41" s="5"/>
    </row>
    <row r="42" ht="15.75" customHeight="1">
      <c r="A42" s="5"/>
      <c r="B42" s="5"/>
      <c r="C42" s="5"/>
      <c r="D42" s="5"/>
      <c r="E42" s="5"/>
    </row>
    <row r="43" ht="15.75" customHeight="1">
      <c r="A43" s="5"/>
      <c r="B43" s="5"/>
      <c r="C43" s="5"/>
      <c r="D43" s="5"/>
      <c r="E43" s="5"/>
    </row>
    <row r="44" ht="15.75" customHeight="1">
      <c r="A44" s="5"/>
      <c r="B44" s="5"/>
      <c r="C44" s="5"/>
      <c r="D44" s="5"/>
      <c r="E44" s="5"/>
    </row>
    <row r="45" ht="15.75" customHeight="1">
      <c r="A45" s="5"/>
      <c r="B45" s="5"/>
      <c r="C45" s="5"/>
      <c r="D45" s="5"/>
      <c r="E45" s="5"/>
    </row>
    <row r="46" ht="15.75" customHeight="1">
      <c r="A46" s="5"/>
      <c r="B46" s="5"/>
      <c r="C46" s="5"/>
      <c r="D46" s="5"/>
      <c r="E46" s="5"/>
    </row>
    <row r="47" ht="15.75" customHeight="1">
      <c r="A47" s="5"/>
      <c r="B47" s="5"/>
      <c r="C47" s="5"/>
      <c r="D47" s="5"/>
      <c r="E47" s="5"/>
    </row>
    <row r="48" ht="15.75" customHeight="1">
      <c r="A48" s="5"/>
      <c r="B48" s="5"/>
      <c r="C48" s="5"/>
      <c r="D48" s="5"/>
      <c r="E48" s="5"/>
    </row>
    <row r="49" ht="15.75" customHeight="1">
      <c r="A49" s="5"/>
      <c r="B49" s="5"/>
      <c r="C49" s="5"/>
      <c r="D49" s="5"/>
      <c r="E49" s="5"/>
    </row>
    <row r="50" ht="15.75" customHeight="1">
      <c r="A50" s="5"/>
      <c r="B50" s="5"/>
      <c r="C50" s="5"/>
      <c r="D50" s="5"/>
      <c r="E50" s="5"/>
    </row>
    <row r="51" ht="15.75" customHeight="1">
      <c r="A51" s="5"/>
      <c r="B51" s="5"/>
      <c r="C51" s="5"/>
      <c r="D51" s="5"/>
      <c r="E51" s="5"/>
    </row>
    <row r="52" ht="15.75" customHeight="1">
      <c r="A52" s="5"/>
      <c r="B52" s="5"/>
      <c r="C52" s="5"/>
      <c r="D52" s="5"/>
      <c r="E52" s="5"/>
    </row>
    <row r="53" ht="15.75" customHeight="1">
      <c r="A53" s="5"/>
      <c r="B53" s="5"/>
      <c r="C53" s="5"/>
      <c r="D53" s="5"/>
      <c r="E53" s="5"/>
    </row>
    <row r="54" ht="15.75" customHeight="1">
      <c r="A54" s="5"/>
      <c r="B54" s="5"/>
      <c r="C54" s="5"/>
      <c r="D54" s="5"/>
      <c r="E54" s="5"/>
    </row>
    <row r="55" ht="15.75" customHeight="1">
      <c r="A55" s="5"/>
      <c r="B55" s="5"/>
      <c r="C55" s="5"/>
      <c r="D55" s="5"/>
      <c r="E55" s="5"/>
    </row>
    <row r="56" ht="15.75" customHeight="1">
      <c r="A56" s="5"/>
      <c r="B56" s="5"/>
      <c r="C56" s="5"/>
      <c r="D56" s="5"/>
      <c r="E56" s="5"/>
    </row>
    <row r="57" ht="15.75" customHeight="1">
      <c r="A57" s="5"/>
      <c r="B57" s="5"/>
      <c r="C57" s="5"/>
      <c r="D57" s="5"/>
      <c r="E57" s="5"/>
    </row>
    <row r="58" ht="15.75" customHeight="1">
      <c r="A58" s="5"/>
      <c r="B58" s="5"/>
      <c r="C58" s="5"/>
      <c r="D58" s="5"/>
      <c r="E58" s="5"/>
    </row>
    <row r="59" ht="15.75" customHeight="1">
      <c r="A59" s="5"/>
      <c r="B59" s="5"/>
      <c r="C59" s="5"/>
      <c r="D59" s="5"/>
      <c r="E59" s="5"/>
    </row>
    <row r="60" ht="15.75" customHeight="1">
      <c r="A60" s="5"/>
      <c r="B60" s="5"/>
      <c r="C60" s="5"/>
      <c r="D60" s="5"/>
      <c r="E60" s="5"/>
    </row>
    <row r="61" ht="15.75" customHeight="1">
      <c r="A61" s="5"/>
      <c r="B61" s="5"/>
      <c r="C61" s="5"/>
      <c r="D61" s="5"/>
      <c r="E61" s="5"/>
    </row>
    <row r="62" ht="15.75" customHeight="1">
      <c r="A62" s="5"/>
      <c r="B62" s="5"/>
      <c r="C62" s="5"/>
      <c r="D62" s="5"/>
      <c r="E62" s="5"/>
    </row>
    <row r="63" ht="15.75" customHeight="1">
      <c r="A63" s="5"/>
      <c r="B63" s="5"/>
      <c r="C63" s="5"/>
      <c r="D63" s="5"/>
      <c r="E63" s="5"/>
    </row>
    <row r="64" ht="15.75" customHeight="1">
      <c r="A64" s="5"/>
      <c r="B64" s="5"/>
      <c r="C64" s="5"/>
      <c r="D64" s="5"/>
      <c r="E64" s="5"/>
    </row>
    <row r="65" ht="15.75" customHeight="1">
      <c r="A65" s="5"/>
      <c r="B65" s="5"/>
      <c r="C65" s="5"/>
      <c r="D65" s="5"/>
      <c r="E65" s="5"/>
    </row>
    <row r="66" ht="15.75" customHeight="1">
      <c r="A66" s="5"/>
      <c r="B66" s="5"/>
      <c r="C66" s="5"/>
      <c r="D66" s="5"/>
      <c r="E66" s="5"/>
    </row>
    <row r="67" ht="15.75" customHeight="1">
      <c r="A67" s="5"/>
      <c r="B67" s="5"/>
      <c r="C67" s="5"/>
      <c r="D67" s="5"/>
      <c r="E67" s="5"/>
    </row>
    <row r="68" ht="15.75" customHeight="1">
      <c r="A68" s="5"/>
      <c r="B68" s="5"/>
      <c r="C68" s="5"/>
      <c r="D68" s="5"/>
      <c r="E68" s="5"/>
    </row>
    <row r="69" ht="15.75" customHeight="1">
      <c r="A69" s="5"/>
      <c r="B69" s="5"/>
      <c r="C69" s="5"/>
      <c r="D69" s="5"/>
      <c r="E69" s="5"/>
    </row>
    <row r="70" ht="15.75" customHeight="1">
      <c r="A70" s="5"/>
      <c r="B70" s="5"/>
      <c r="C70" s="5"/>
      <c r="D70" s="5"/>
      <c r="E70" s="5"/>
    </row>
    <row r="71" ht="15.75" customHeight="1">
      <c r="A71" s="5"/>
      <c r="B71" s="5"/>
      <c r="C71" s="5"/>
      <c r="D71" s="5"/>
      <c r="E71" s="5"/>
    </row>
    <row r="72" ht="15.75" customHeight="1">
      <c r="A72" s="5"/>
      <c r="B72" s="5"/>
      <c r="C72" s="5"/>
      <c r="D72" s="5"/>
      <c r="E72" s="5"/>
    </row>
    <row r="73" ht="15.75" customHeight="1">
      <c r="A73" s="5"/>
      <c r="B73" s="5"/>
      <c r="C73" s="5"/>
      <c r="D73" s="5"/>
      <c r="E73" s="5"/>
    </row>
    <row r="74" ht="15.75" customHeight="1">
      <c r="A74" s="5"/>
      <c r="B74" s="5"/>
      <c r="C74" s="5"/>
      <c r="D74" s="5"/>
      <c r="E74" s="5"/>
    </row>
    <row r="75" ht="15.75" customHeight="1">
      <c r="A75" s="5"/>
      <c r="B75" s="5"/>
      <c r="C75" s="5"/>
      <c r="D75" s="5"/>
      <c r="E75" s="5"/>
    </row>
    <row r="76" ht="15.75" customHeight="1">
      <c r="A76" s="5"/>
      <c r="B76" s="5"/>
      <c r="C76" s="5"/>
      <c r="D76" s="5"/>
      <c r="E76" s="5"/>
    </row>
    <row r="77" ht="15.75" customHeight="1">
      <c r="A77" s="5"/>
      <c r="B77" s="5"/>
      <c r="C77" s="5"/>
      <c r="D77" s="5"/>
      <c r="E77" s="5"/>
    </row>
    <row r="78" ht="15.75" customHeight="1">
      <c r="A78" s="5"/>
      <c r="B78" s="5"/>
      <c r="C78" s="5"/>
      <c r="D78" s="5"/>
      <c r="E78" s="5"/>
    </row>
    <row r="79" ht="15.75" customHeight="1">
      <c r="A79" s="5"/>
      <c r="B79" s="5"/>
      <c r="C79" s="5"/>
      <c r="D79" s="5"/>
      <c r="E79" s="5"/>
    </row>
    <row r="80" ht="15.75" customHeight="1">
      <c r="A80" s="5"/>
      <c r="B80" s="5"/>
      <c r="C80" s="5"/>
      <c r="D80" s="5"/>
      <c r="E80" s="5"/>
    </row>
    <row r="81" ht="15.75" customHeight="1">
      <c r="A81" s="5"/>
      <c r="B81" s="5"/>
      <c r="C81" s="5"/>
      <c r="D81" s="5"/>
      <c r="E81" s="5"/>
    </row>
    <row r="82" ht="15.75" customHeight="1">
      <c r="A82" s="5"/>
      <c r="B82" s="5"/>
      <c r="C82" s="5"/>
      <c r="D82" s="5"/>
      <c r="E82" s="5"/>
    </row>
    <row r="83" ht="15.75" customHeight="1">
      <c r="A83" s="5"/>
      <c r="B83" s="5"/>
      <c r="C83" s="5"/>
      <c r="D83" s="5"/>
      <c r="E83" s="5"/>
    </row>
    <row r="84" ht="15.75" customHeight="1">
      <c r="A84" s="5"/>
      <c r="B84" s="5"/>
      <c r="C84" s="5"/>
      <c r="D84" s="5"/>
      <c r="E84" s="5"/>
    </row>
    <row r="85" ht="15.75" customHeight="1">
      <c r="A85" s="5"/>
      <c r="B85" s="5"/>
      <c r="C85" s="5"/>
      <c r="D85" s="5"/>
      <c r="E85" s="5"/>
    </row>
    <row r="86" ht="15.75" customHeight="1">
      <c r="A86" s="5"/>
      <c r="B86" s="5"/>
      <c r="C86" s="5"/>
      <c r="D86" s="5"/>
      <c r="E86" s="5"/>
    </row>
    <row r="87" ht="15.75" customHeight="1">
      <c r="A87" s="5"/>
      <c r="B87" s="5"/>
      <c r="C87" s="5"/>
      <c r="D87" s="5"/>
      <c r="E87" s="5"/>
    </row>
    <row r="88" ht="15.75" customHeight="1">
      <c r="A88" s="5"/>
      <c r="B88" s="5"/>
      <c r="C88" s="5"/>
      <c r="D88" s="5"/>
      <c r="E88" s="5"/>
    </row>
    <row r="89" ht="15.75" customHeight="1">
      <c r="A89" s="5"/>
      <c r="B89" s="5"/>
      <c r="C89" s="5"/>
      <c r="D89" s="5"/>
      <c r="E89" s="5"/>
    </row>
    <row r="90" ht="15.75" customHeight="1">
      <c r="A90" s="5"/>
      <c r="B90" s="5"/>
      <c r="C90" s="5"/>
      <c r="D90" s="5"/>
      <c r="E90" s="5"/>
    </row>
    <row r="91" ht="15.75" customHeight="1">
      <c r="A91" s="5"/>
      <c r="B91" s="5"/>
      <c r="C91" s="5"/>
      <c r="D91" s="5"/>
      <c r="E91" s="5"/>
    </row>
    <row r="92" ht="15.75" customHeight="1">
      <c r="A92" s="5"/>
      <c r="B92" s="5"/>
      <c r="C92" s="5"/>
      <c r="D92" s="5"/>
      <c r="E92" s="5"/>
    </row>
    <row r="93" ht="15.75" customHeight="1">
      <c r="A93" s="5"/>
      <c r="B93" s="5"/>
      <c r="C93" s="5"/>
      <c r="D93" s="5"/>
      <c r="E93" s="5"/>
    </row>
    <row r="94" ht="15.75" customHeight="1">
      <c r="A94" s="5"/>
      <c r="B94" s="5"/>
      <c r="C94" s="5"/>
      <c r="D94" s="5"/>
      <c r="E94" s="5"/>
    </row>
    <row r="95" ht="15.75" customHeight="1">
      <c r="A95" s="5"/>
      <c r="B95" s="5"/>
      <c r="C95" s="5"/>
      <c r="D95" s="5"/>
      <c r="E95" s="5"/>
    </row>
    <row r="96" ht="15.75" customHeight="1">
      <c r="A96" s="5"/>
      <c r="B96" s="5"/>
      <c r="C96" s="5"/>
      <c r="D96" s="5"/>
      <c r="E96" s="5"/>
    </row>
    <row r="97" ht="15.75" customHeight="1">
      <c r="A97" s="5"/>
      <c r="B97" s="5"/>
      <c r="C97" s="5"/>
      <c r="D97" s="5"/>
      <c r="E97" s="5"/>
    </row>
    <row r="98" ht="15.75" customHeight="1">
      <c r="A98" s="5"/>
      <c r="B98" s="5"/>
      <c r="C98" s="5"/>
      <c r="D98" s="5"/>
      <c r="E98" s="5"/>
    </row>
    <row r="99" ht="15.75" customHeight="1">
      <c r="A99" s="5"/>
      <c r="B99" s="5"/>
      <c r="C99" s="5"/>
      <c r="D99" s="5"/>
      <c r="E99" s="5"/>
    </row>
    <row r="100" ht="15.75" customHeight="1">
      <c r="A100" s="5"/>
      <c r="B100" s="5"/>
      <c r="C100" s="5"/>
      <c r="D100" s="5"/>
      <c r="E100" s="5"/>
    </row>
    <row r="101" ht="15.75" customHeight="1">
      <c r="A101" s="5"/>
      <c r="B101" s="5"/>
      <c r="C101" s="5"/>
      <c r="D101" s="5"/>
      <c r="E101" s="5"/>
    </row>
    <row r="102" ht="15.75" customHeight="1">
      <c r="A102" s="5"/>
      <c r="B102" s="5"/>
      <c r="C102" s="5"/>
      <c r="D102" s="5"/>
      <c r="E102" s="5"/>
    </row>
    <row r="103" ht="15.75" customHeight="1">
      <c r="A103" s="5"/>
      <c r="B103" s="5"/>
      <c r="C103" s="5"/>
      <c r="D103" s="5"/>
      <c r="E103" s="5"/>
    </row>
    <row r="104" ht="15.75" customHeight="1">
      <c r="A104" s="5"/>
      <c r="B104" s="5"/>
      <c r="C104" s="5"/>
      <c r="D104" s="5"/>
      <c r="E104" s="5"/>
    </row>
    <row r="105" ht="15.75" customHeight="1">
      <c r="A105" s="5"/>
      <c r="B105" s="5"/>
      <c r="C105" s="5"/>
      <c r="D105" s="5"/>
      <c r="E105" s="5"/>
    </row>
    <row r="106" ht="15.75" customHeight="1">
      <c r="A106" s="5"/>
      <c r="B106" s="5"/>
      <c r="C106" s="5"/>
      <c r="D106" s="5"/>
      <c r="E106" s="5"/>
    </row>
    <row r="107" ht="15.75" customHeight="1">
      <c r="A107" s="5"/>
      <c r="B107" s="5"/>
      <c r="C107" s="5"/>
      <c r="D107" s="5"/>
      <c r="E107" s="5"/>
    </row>
    <row r="108" ht="15.75" customHeight="1">
      <c r="A108" s="5"/>
      <c r="B108" s="5"/>
      <c r="C108" s="5"/>
      <c r="D108" s="5"/>
      <c r="E108" s="5"/>
    </row>
    <row r="109" ht="15.75" customHeight="1">
      <c r="A109" s="5"/>
      <c r="B109" s="5"/>
      <c r="C109" s="5"/>
      <c r="D109" s="5"/>
      <c r="E109" s="5"/>
    </row>
    <row r="110" ht="15.75" customHeight="1">
      <c r="A110" s="5"/>
      <c r="B110" s="5"/>
      <c r="C110" s="5"/>
      <c r="D110" s="5"/>
      <c r="E110" s="5"/>
    </row>
    <row r="111" ht="15.75" customHeight="1">
      <c r="A111" s="5"/>
      <c r="B111" s="5"/>
      <c r="C111" s="5"/>
      <c r="D111" s="5"/>
      <c r="E111" s="5"/>
    </row>
    <row r="112" ht="15.75" customHeight="1">
      <c r="A112" s="5"/>
      <c r="B112" s="5"/>
      <c r="C112" s="5"/>
      <c r="D112" s="5"/>
      <c r="E112" s="5"/>
    </row>
    <row r="113" ht="15.75" customHeight="1">
      <c r="A113" s="5"/>
      <c r="B113" s="5"/>
      <c r="C113" s="5"/>
      <c r="D113" s="5"/>
      <c r="E113" s="5"/>
    </row>
    <row r="114" ht="15.75" customHeight="1">
      <c r="A114" s="5"/>
      <c r="B114" s="5"/>
      <c r="C114" s="5"/>
      <c r="D114" s="5"/>
      <c r="E114" s="5"/>
    </row>
    <row r="115" ht="15.75" customHeight="1">
      <c r="A115" s="5"/>
      <c r="B115" s="5"/>
      <c r="C115" s="5"/>
      <c r="D115" s="5"/>
      <c r="E115" s="5"/>
    </row>
    <row r="116" ht="15.75" customHeight="1">
      <c r="A116" s="5"/>
      <c r="B116" s="5"/>
      <c r="C116" s="5"/>
      <c r="D116" s="5"/>
      <c r="E116" s="5"/>
    </row>
    <row r="117" ht="15.75" customHeight="1">
      <c r="A117" s="5"/>
      <c r="B117" s="5"/>
      <c r="C117" s="5"/>
      <c r="D117" s="5"/>
      <c r="E117" s="5"/>
    </row>
    <row r="118" ht="15.75" customHeight="1">
      <c r="A118" s="5"/>
      <c r="B118" s="5"/>
      <c r="C118" s="5"/>
      <c r="D118" s="5"/>
      <c r="E118" s="5"/>
    </row>
    <row r="119" ht="15.75" customHeight="1">
      <c r="A119" s="5"/>
      <c r="B119" s="5"/>
      <c r="C119" s="5"/>
      <c r="D119" s="5"/>
      <c r="E119" s="5"/>
    </row>
    <row r="120" ht="15.75" customHeight="1">
      <c r="A120" s="5"/>
      <c r="B120" s="5"/>
      <c r="C120" s="5"/>
      <c r="D120" s="5"/>
      <c r="E120" s="5"/>
    </row>
    <row r="121" ht="15.75" customHeight="1">
      <c r="A121" s="5"/>
      <c r="B121" s="5"/>
      <c r="C121" s="5"/>
      <c r="D121" s="5"/>
      <c r="E121" s="5"/>
    </row>
    <row r="122" ht="15.75" customHeight="1">
      <c r="A122" s="5"/>
      <c r="B122" s="5"/>
      <c r="C122" s="5"/>
      <c r="D122" s="5"/>
      <c r="E122" s="5"/>
    </row>
    <row r="123" ht="15.75" customHeight="1">
      <c r="A123" s="5"/>
      <c r="B123" s="5"/>
      <c r="C123" s="5"/>
      <c r="D123" s="5"/>
      <c r="E123" s="5"/>
    </row>
    <row r="124" ht="15.75" customHeight="1">
      <c r="A124" s="5"/>
      <c r="B124" s="5"/>
      <c r="C124" s="5"/>
      <c r="D124" s="5"/>
      <c r="E124" s="5"/>
    </row>
    <row r="125" ht="15.75" customHeight="1">
      <c r="A125" s="5"/>
      <c r="B125" s="5"/>
      <c r="C125" s="5"/>
      <c r="D125" s="5"/>
      <c r="E125" s="5"/>
    </row>
    <row r="126" ht="15.75" customHeight="1">
      <c r="A126" s="5"/>
      <c r="B126" s="5"/>
      <c r="C126" s="5"/>
      <c r="D126" s="5"/>
      <c r="E126" s="5"/>
    </row>
    <row r="127" ht="15.75" customHeight="1">
      <c r="A127" s="5"/>
      <c r="B127" s="5"/>
      <c r="C127" s="5"/>
      <c r="D127" s="5"/>
      <c r="E127" s="5"/>
    </row>
    <row r="128" ht="15.75" customHeight="1">
      <c r="A128" s="5"/>
      <c r="B128" s="5"/>
      <c r="C128" s="5"/>
      <c r="D128" s="5"/>
      <c r="E128" s="5"/>
    </row>
    <row r="129" ht="15.75" customHeight="1">
      <c r="A129" s="5"/>
      <c r="B129" s="5"/>
      <c r="C129" s="5"/>
      <c r="D129" s="5"/>
      <c r="E129" s="5"/>
    </row>
    <row r="130" ht="15.75" customHeight="1">
      <c r="A130" s="5"/>
      <c r="B130" s="5"/>
      <c r="C130" s="5"/>
      <c r="D130" s="5"/>
      <c r="E130" s="5"/>
    </row>
    <row r="131" ht="15.75" customHeight="1">
      <c r="A131" s="5"/>
      <c r="B131" s="5"/>
      <c r="C131" s="5"/>
      <c r="D131" s="5"/>
      <c r="E131" s="5"/>
    </row>
    <row r="132" ht="15.75" customHeight="1">
      <c r="A132" s="5"/>
      <c r="B132" s="5"/>
      <c r="C132" s="5"/>
      <c r="D132" s="5"/>
      <c r="E132" s="5"/>
    </row>
    <row r="133" ht="15.75" customHeight="1">
      <c r="A133" s="5"/>
      <c r="B133" s="5"/>
      <c r="C133" s="5"/>
      <c r="D133" s="5"/>
      <c r="E133" s="5"/>
    </row>
    <row r="134" ht="15.75" customHeight="1">
      <c r="A134" s="5"/>
      <c r="B134" s="5"/>
      <c r="C134" s="5"/>
      <c r="D134" s="5"/>
      <c r="E134" s="5"/>
    </row>
    <row r="135" ht="15.75" customHeight="1">
      <c r="A135" s="5"/>
      <c r="B135" s="5"/>
      <c r="C135" s="5"/>
      <c r="D135" s="5"/>
      <c r="E135" s="5"/>
    </row>
    <row r="136" ht="15.75" customHeight="1">
      <c r="A136" s="5"/>
      <c r="B136" s="5"/>
      <c r="C136" s="5"/>
      <c r="D136" s="5"/>
      <c r="E136" s="5"/>
    </row>
    <row r="137" ht="15.75" customHeight="1">
      <c r="A137" s="5"/>
      <c r="B137" s="5"/>
      <c r="C137" s="5"/>
      <c r="D137" s="5"/>
      <c r="E137" s="5"/>
    </row>
    <row r="138" ht="15.75" customHeight="1">
      <c r="A138" s="5"/>
      <c r="B138" s="5"/>
      <c r="C138" s="5"/>
      <c r="D138" s="5"/>
      <c r="E138" s="5"/>
    </row>
    <row r="139" ht="15.75" customHeight="1">
      <c r="A139" s="5"/>
      <c r="B139" s="5"/>
      <c r="C139" s="5"/>
      <c r="D139" s="5"/>
      <c r="E139" s="5"/>
    </row>
    <row r="140" ht="15.75" customHeight="1">
      <c r="A140" s="5"/>
      <c r="B140" s="5"/>
      <c r="C140" s="5"/>
      <c r="D140" s="5"/>
      <c r="E140" s="5"/>
    </row>
    <row r="141" ht="15.75" customHeight="1">
      <c r="A141" s="5"/>
      <c r="B141" s="5"/>
      <c r="C141" s="5"/>
      <c r="D141" s="5"/>
      <c r="E141" s="5"/>
    </row>
    <row r="142" ht="15.75" customHeight="1">
      <c r="A142" s="5"/>
      <c r="B142" s="5"/>
      <c r="C142" s="5"/>
      <c r="D142" s="5"/>
      <c r="E142" s="5"/>
    </row>
    <row r="143" ht="15.75" customHeight="1">
      <c r="A143" s="5"/>
      <c r="B143" s="5"/>
      <c r="C143" s="5"/>
      <c r="D143" s="5"/>
      <c r="E143" s="5"/>
    </row>
    <row r="144" ht="15.75" customHeight="1">
      <c r="A144" s="5"/>
      <c r="B144" s="5"/>
      <c r="C144" s="5"/>
      <c r="D144" s="5"/>
      <c r="E144" s="5"/>
    </row>
    <row r="145" ht="15.75" customHeight="1">
      <c r="A145" s="5"/>
      <c r="B145" s="5"/>
      <c r="C145" s="5"/>
      <c r="D145" s="5"/>
      <c r="E145" s="5"/>
    </row>
    <row r="146" ht="15.75" customHeight="1">
      <c r="A146" s="5"/>
      <c r="B146" s="5"/>
      <c r="C146" s="5"/>
      <c r="D146" s="5"/>
      <c r="E146" s="5"/>
    </row>
    <row r="147" ht="15.75" customHeight="1">
      <c r="A147" s="5"/>
      <c r="B147" s="5"/>
      <c r="C147" s="5"/>
      <c r="D147" s="5"/>
      <c r="E147" s="5"/>
    </row>
    <row r="148" ht="15.75" customHeight="1">
      <c r="A148" s="5"/>
      <c r="B148" s="5"/>
      <c r="C148" s="5"/>
      <c r="D148" s="5"/>
      <c r="E148" s="5"/>
    </row>
    <row r="149" ht="15.75" customHeight="1">
      <c r="A149" s="5"/>
      <c r="B149" s="5"/>
      <c r="C149" s="5"/>
      <c r="D149" s="5"/>
      <c r="E149" s="5"/>
    </row>
    <row r="150" ht="15.75" customHeight="1">
      <c r="A150" s="5"/>
      <c r="B150" s="5"/>
      <c r="C150" s="5"/>
      <c r="D150" s="5"/>
      <c r="E150" s="5"/>
    </row>
    <row r="151" ht="15.75" customHeight="1">
      <c r="A151" s="5"/>
      <c r="B151" s="5"/>
      <c r="C151" s="5"/>
      <c r="D151" s="5"/>
      <c r="E151" s="5"/>
    </row>
    <row r="152" ht="15.75" customHeight="1">
      <c r="A152" s="5"/>
      <c r="B152" s="5"/>
      <c r="C152" s="5"/>
      <c r="D152" s="5"/>
      <c r="E152" s="5"/>
    </row>
    <row r="153" ht="15.75" customHeight="1">
      <c r="A153" s="5"/>
      <c r="B153" s="5"/>
      <c r="C153" s="5"/>
      <c r="D153" s="5"/>
      <c r="E153" s="5"/>
    </row>
    <row r="154" ht="15.75" customHeight="1">
      <c r="A154" s="5"/>
      <c r="B154" s="5"/>
      <c r="C154" s="5"/>
      <c r="D154" s="5"/>
      <c r="E154" s="5"/>
    </row>
    <row r="155" ht="15.75" customHeight="1">
      <c r="A155" s="5"/>
      <c r="B155" s="5"/>
      <c r="C155" s="5"/>
      <c r="D155" s="5"/>
      <c r="E155" s="5"/>
    </row>
    <row r="156" ht="15.75" customHeight="1">
      <c r="A156" s="5"/>
      <c r="B156" s="5"/>
      <c r="C156" s="5"/>
      <c r="D156" s="5"/>
      <c r="E156" s="5"/>
    </row>
    <row r="157" ht="15.75" customHeight="1">
      <c r="A157" s="5"/>
      <c r="B157" s="5"/>
      <c r="C157" s="5"/>
      <c r="D157" s="5"/>
      <c r="E157" s="5"/>
    </row>
    <row r="158" ht="15.75" customHeight="1">
      <c r="A158" s="5"/>
      <c r="B158" s="5"/>
      <c r="C158" s="5"/>
      <c r="D158" s="5"/>
      <c r="E158" s="5"/>
    </row>
    <row r="159" ht="15.75" customHeight="1">
      <c r="A159" s="5"/>
      <c r="B159" s="5"/>
      <c r="C159" s="5"/>
      <c r="D159" s="5"/>
      <c r="E159" s="5"/>
    </row>
    <row r="160" ht="15.75" customHeight="1">
      <c r="A160" s="5"/>
      <c r="B160" s="5"/>
      <c r="C160" s="5"/>
      <c r="D160" s="5"/>
      <c r="E160" s="5"/>
    </row>
    <row r="161" ht="15.75" customHeight="1">
      <c r="A161" s="5"/>
      <c r="B161" s="5"/>
      <c r="C161" s="5"/>
      <c r="D161" s="5"/>
      <c r="E161" s="5"/>
    </row>
    <row r="162" ht="15.75" customHeight="1">
      <c r="A162" s="5"/>
      <c r="B162" s="5"/>
      <c r="C162" s="5"/>
      <c r="D162" s="5"/>
      <c r="E162" s="5"/>
    </row>
    <row r="163" ht="15.75" customHeight="1">
      <c r="A163" s="5"/>
      <c r="B163" s="5"/>
      <c r="C163" s="5"/>
      <c r="D163" s="5"/>
      <c r="E163" s="5"/>
    </row>
    <row r="164" ht="15.75" customHeight="1">
      <c r="A164" s="5"/>
      <c r="B164" s="5"/>
      <c r="C164" s="5"/>
      <c r="D164" s="5"/>
      <c r="E164" s="5"/>
    </row>
    <row r="165" ht="15.75" customHeight="1">
      <c r="A165" s="5"/>
      <c r="B165" s="5"/>
      <c r="C165" s="5"/>
      <c r="D165" s="5"/>
      <c r="E165" s="5"/>
    </row>
    <row r="166" ht="15.75" customHeight="1">
      <c r="A166" s="5"/>
      <c r="B166" s="5"/>
      <c r="C166" s="5"/>
      <c r="D166" s="5"/>
      <c r="E166" s="5"/>
    </row>
    <row r="167" ht="15.75" customHeight="1">
      <c r="A167" s="5"/>
      <c r="B167" s="5"/>
      <c r="C167" s="5"/>
      <c r="D167" s="5"/>
      <c r="E167" s="5"/>
    </row>
    <row r="168" ht="15.75" customHeight="1">
      <c r="A168" s="5"/>
      <c r="B168" s="5"/>
      <c r="C168" s="5"/>
      <c r="D168" s="5"/>
      <c r="E168" s="5"/>
    </row>
    <row r="169" ht="15.75" customHeight="1">
      <c r="A169" s="5"/>
      <c r="B169" s="5"/>
      <c r="C169" s="5"/>
      <c r="D169" s="5"/>
      <c r="E169" s="5"/>
    </row>
    <row r="170" ht="15.75" customHeight="1">
      <c r="A170" s="5"/>
      <c r="B170" s="5"/>
      <c r="C170" s="5"/>
      <c r="D170" s="5"/>
      <c r="E170" s="5"/>
    </row>
    <row r="171" ht="15.75" customHeight="1">
      <c r="A171" s="5"/>
      <c r="B171" s="5"/>
      <c r="C171" s="5"/>
      <c r="D171" s="5"/>
      <c r="E171" s="5"/>
    </row>
    <row r="172" ht="15.75" customHeight="1">
      <c r="A172" s="5"/>
      <c r="B172" s="5"/>
      <c r="C172" s="5"/>
      <c r="D172" s="5"/>
      <c r="E172" s="5"/>
    </row>
    <row r="173" ht="15.75" customHeight="1">
      <c r="A173" s="5"/>
      <c r="B173" s="5"/>
      <c r="C173" s="5"/>
      <c r="D173" s="5"/>
      <c r="E173" s="5"/>
    </row>
    <row r="174" ht="15.75" customHeight="1">
      <c r="A174" s="5"/>
      <c r="B174" s="5"/>
      <c r="C174" s="5"/>
      <c r="D174" s="5"/>
      <c r="E174" s="5"/>
    </row>
    <row r="175" ht="15.75" customHeight="1">
      <c r="A175" s="5"/>
      <c r="B175" s="5"/>
      <c r="C175" s="5"/>
      <c r="D175" s="5"/>
      <c r="E175" s="5"/>
    </row>
    <row r="176" ht="15.75" customHeight="1">
      <c r="A176" s="5"/>
      <c r="B176" s="5"/>
      <c r="C176" s="5"/>
      <c r="D176" s="5"/>
      <c r="E176" s="5"/>
    </row>
    <row r="177" ht="15.75" customHeight="1">
      <c r="A177" s="5"/>
      <c r="B177" s="5"/>
      <c r="C177" s="5"/>
      <c r="D177" s="5"/>
      <c r="E177" s="5"/>
    </row>
    <row r="178" ht="15.75" customHeight="1">
      <c r="A178" s="5"/>
      <c r="B178" s="5"/>
      <c r="C178" s="5"/>
      <c r="D178" s="5"/>
      <c r="E178" s="5"/>
    </row>
    <row r="179" ht="15.75" customHeight="1">
      <c r="A179" s="5"/>
      <c r="B179" s="5"/>
      <c r="C179" s="5"/>
      <c r="D179" s="5"/>
      <c r="E179" s="5"/>
    </row>
    <row r="180" ht="15.75" customHeight="1">
      <c r="A180" s="5"/>
      <c r="B180" s="5"/>
      <c r="C180" s="5"/>
      <c r="D180" s="5"/>
      <c r="E180" s="5"/>
    </row>
    <row r="181" ht="15.75" customHeight="1">
      <c r="A181" s="5"/>
      <c r="B181" s="5"/>
      <c r="C181" s="5"/>
      <c r="D181" s="5"/>
      <c r="E181" s="5"/>
    </row>
    <row r="182" ht="15.75" customHeight="1">
      <c r="A182" s="5"/>
      <c r="B182" s="5"/>
      <c r="C182" s="5"/>
      <c r="D182" s="5"/>
      <c r="E182" s="5"/>
    </row>
    <row r="183" ht="15.75" customHeight="1">
      <c r="A183" s="5"/>
      <c r="B183" s="5"/>
      <c r="C183" s="5"/>
      <c r="D183" s="5"/>
      <c r="E183" s="5"/>
    </row>
    <row r="184" ht="15.75" customHeight="1">
      <c r="A184" s="5"/>
      <c r="B184" s="5"/>
      <c r="C184" s="5"/>
      <c r="D184" s="5"/>
      <c r="E184" s="5"/>
    </row>
    <row r="185" ht="15.75" customHeight="1">
      <c r="A185" s="5"/>
      <c r="B185" s="5"/>
      <c r="C185" s="5"/>
      <c r="D185" s="5"/>
      <c r="E185" s="5"/>
    </row>
    <row r="186" ht="15.75" customHeight="1">
      <c r="A186" s="5"/>
      <c r="B186" s="5"/>
      <c r="C186" s="5"/>
      <c r="D186" s="5"/>
      <c r="E186" s="5"/>
    </row>
    <row r="187" ht="15.75" customHeight="1">
      <c r="A187" s="5"/>
      <c r="B187" s="5"/>
      <c r="C187" s="5"/>
      <c r="D187" s="5"/>
      <c r="E187" s="5"/>
    </row>
    <row r="188" ht="15.75" customHeight="1">
      <c r="A188" s="5"/>
      <c r="B188" s="5"/>
      <c r="C188" s="5"/>
      <c r="D188" s="5"/>
      <c r="E188" s="5"/>
    </row>
    <row r="189" ht="15.75" customHeight="1">
      <c r="A189" s="5"/>
      <c r="B189" s="5"/>
      <c r="C189" s="5"/>
      <c r="D189" s="5"/>
      <c r="E189" s="5"/>
    </row>
    <row r="190" ht="15.75" customHeight="1">
      <c r="A190" s="5"/>
      <c r="B190" s="5"/>
      <c r="C190" s="5"/>
      <c r="D190" s="5"/>
      <c r="E190" s="5"/>
    </row>
    <row r="191" ht="15.75" customHeight="1">
      <c r="A191" s="5"/>
      <c r="B191" s="5"/>
      <c r="C191" s="5"/>
      <c r="D191" s="5"/>
      <c r="E191" s="5"/>
    </row>
    <row r="192" ht="15.75" customHeight="1">
      <c r="A192" s="5"/>
      <c r="B192" s="5"/>
      <c r="C192" s="5"/>
      <c r="D192" s="5"/>
      <c r="E192" s="5"/>
    </row>
    <row r="193" ht="15.75" customHeight="1">
      <c r="A193" s="5"/>
      <c r="B193" s="5"/>
      <c r="C193" s="5"/>
      <c r="D193" s="5"/>
      <c r="E193" s="5"/>
    </row>
    <row r="194" ht="15.75" customHeight="1">
      <c r="A194" s="5"/>
      <c r="B194" s="5"/>
      <c r="C194" s="5"/>
      <c r="D194" s="5"/>
      <c r="E194" s="5"/>
    </row>
    <row r="195" ht="15.75" customHeight="1">
      <c r="A195" s="5"/>
      <c r="B195" s="5"/>
      <c r="C195" s="5"/>
      <c r="D195" s="5"/>
      <c r="E195" s="5"/>
    </row>
    <row r="196" ht="15.75" customHeight="1">
      <c r="A196" s="5"/>
      <c r="B196" s="5"/>
      <c r="C196" s="5"/>
      <c r="D196" s="5"/>
      <c r="E196" s="5"/>
    </row>
    <row r="197" ht="15.75" customHeight="1">
      <c r="A197" s="5"/>
      <c r="B197" s="5"/>
      <c r="C197" s="5"/>
      <c r="D197" s="5"/>
      <c r="E197" s="5"/>
    </row>
    <row r="198" ht="15.75" customHeight="1">
      <c r="A198" s="5"/>
      <c r="B198" s="5"/>
      <c r="C198" s="5"/>
      <c r="D198" s="5"/>
      <c r="E198" s="5"/>
    </row>
    <row r="199" ht="15.75" customHeight="1">
      <c r="A199" s="5"/>
      <c r="B199" s="5"/>
      <c r="C199" s="5"/>
      <c r="D199" s="5"/>
      <c r="E199" s="5"/>
    </row>
    <row r="200" ht="15.75" customHeight="1">
      <c r="A200" s="5"/>
      <c r="B200" s="5"/>
      <c r="C200" s="5"/>
      <c r="D200" s="5"/>
      <c r="E200" s="5"/>
    </row>
    <row r="201" ht="15.75" customHeight="1">
      <c r="A201" s="5"/>
      <c r="B201" s="5"/>
      <c r="C201" s="5"/>
      <c r="D201" s="5"/>
      <c r="E201" s="5"/>
    </row>
    <row r="202" ht="15.75" customHeight="1">
      <c r="A202" s="5"/>
      <c r="B202" s="5"/>
      <c r="C202" s="5"/>
      <c r="D202" s="5"/>
      <c r="E202" s="5"/>
    </row>
    <row r="203" ht="15.75" customHeight="1">
      <c r="A203" s="5"/>
      <c r="B203" s="5"/>
      <c r="C203" s="5"/>
      <c r="D203" s="5"/>
      <c r="E203" s="5"/>
    </row>
    <row r="204" ht="15.75" customHeight="1">
      <c r="A204" s="5"/>
      <c r="B204" s="5"/>
      <c r="C204" s="5"/>
      <c r="D204" s="5"/>
      <c r="E204" s="5"/>
    </row>
    <row r="205" ht="15.75" customHeight="1">
      <c r="A205" s="5"/>
      <c r="B205" s="5"/>
      <c r="C205" s="5"/>
      <c r="D205" s="5"/>
      <c r="E205" s="5"/>
    </row>
    <row r="206" ht="15.75" customHeight="1">
      <c r="A206" s="5"/>
      <c r="B206" s="5"/>
      <c r="C206" s="5"/>
      <c r="D206" s="5"/>
      <c r="E206" s="5"/>
    </row>
    <row r="207" ht="15.75" customHeight="1">
      <c r="A207" s="5"/>
      <c r="B207" s="5"/>
      <c r="C207" s="5"/>
      <c r="D207" s="5"/>
      <c r="E207" s="5"/>
    </row>
    <row r="208" ht="15.75" customHeight="1">
      <c r="A208" s="5"/>
      <c r="B208" s="5"/>
      <c r="C208" s="5"/>
      <c r="D208" s="5"/>
      <c r="E208" s="5"/>
    </row>
    <row r="209" ht="15.75" customHeight="1">
      <c r="A209" s="5"/>
      <c r="B209" s="5"/>
      <c r="C209" s="5"/>
      <c r="D209" s="5"/>
      <c r="E209" s="5"/>
    </row>
    <row r="210" ht="15.75" customHeight="1">
      <c r="A210" s="5"/>
      <c r="B210" s="5"/>
      <c r="C210" s="5"/>
      <c r="D210" s="5"/>
      <c r="E210" s="5"/>
    </row>
    <row r="211" ht="15.75" customHeight="1">
      <c r="A211" s="5"/>
      <c r="B211" s="5"/>
      <c r="C211" s="5"/>
      <c r="D211" s="5"/>
      <c r="E211" s="5"/>
    </row>
    <row r="212" ht="15.75" customHeight="1">
      <c r="A212" s="5"/>
      <c r="B212" s="5"/>
      <c r="C212" s="5"/>
      <c r="D212" s="5"/>
      <c r="E212" s="5"/>
    </row>
    <row r="213" ht="15.75" customHeight="1">
      <c r="A213" s="5"/>
      <c r="B213" s="5"/>
      <c r="C213" s="5"/>
      <c r="D213" s="5"/>
      <c r="E213" s="5"/>
    </row>
    <row r="214" ht="15.75" customHeight="1">
      <c r="A214" s="5"/>
      <c r="B214" s="5"/>
      <c r="C214" s="5"/>
      <c r="D214" s="5"/>
      <c r="E214" s="5"/>
    </row>
    <row r="215" ht="15.75" customHeight="1">
      <c r="A215" s="5"/>
      <c r="B215" s="5"/>
      <c r="C215" s="5"/>
      <c r="D215" s="5"/>
      <c r="E215" s="5"/>
    </row>
    <row r="216" ht="15.75" customHeight="1">
      <c r="A216" s="5"/>
      <c r="B216" s="5"/>
      <c r="C216" s="5"/>
      <c r="D216" s="5"/>
      <c r="E216" s="5"/>
    </row>
    <row r="217" ht="15.75" customHeight="1">
      <c r="A217" s="5"/>
      <c r="B217" s="5"/>
      <c r="C217" s="5"/>
      <c r="D217" s="5"/>
      <c r="E217" s="5"/>
    </row>
    <row r="218" ht="15.75" customHeight="1">
      <c r="A218" s="5"/>
      <c r="B218" s="5"/>
      <c r="C218" s="5"/>
      <c r="D218" s="5"/>
      <c r="E218" s="5"/>
    </row>
    <row r="219" ht="15.75" customHeight="1">
      <c r="A219" s="5"/>
      <c r="B219" s="5"/>
      <c r="C219" s="5"/>
      <c r="D219" s="5"/>
      <c r="E219" s="5"/>
    </row>
    <row r="220" ht="15.75" customHeight="1">
      <c r="A220" s="5"/>
      <c r="B220" s="5"/>
      <c r="C220" s="5"/>
      <c r="D220" s="5"/>
      <c r="E220" s="5"/>
    </row>
    <row r="221" ht="15.75" customHeight="1">
      <c r="A221" s="5"/>
      <c r="B221" s="5"/>
      <c r="C221" s="5"/>
      <c r="D221" s="5"/>
      <c r="E221" s="5"/>
    </row>
    <row r="222" ht="15.75" customHeight="1">
      <c r="A222" s="5"/>
      <c r="B222" s="5"/>
      <c r="C222" s="5"/>
      <c r="D222" s="5"/>
      <c r="E222" s="5"/>
    </row>
    <row r="223" ht="15.75" customHeight="1">
      <c r="A223" s="5"/>
      <c r="B223" s="5"/>
      <c r="C223" s="5"/>
      <c r="D223" s="5"/>
      <c r="E223" s="5"/>
    </row>
    <row r="224" ht="15.75" customHeight="1">
      <c r="A224" s="5"/>
      <c r="B224" s="5"/>
      <c r="C224" s="5"/>
      <c r="D224" s="5"/>
      <c r="E224" s="5"/>
    </row>
    <row r="225" ht="15.75" customHeight="1">
      <c r="A225" s="5"/>
      <c r="B225" s="5"/>
      <c r="C225" s="5"/>
      <c r="D225" s="5"/>
      <c r="E225" s="5"/>
    </row>
    <row r="226" ht="15.75" customHeight="1">
      <c r="A226" s="5"/>
      <c r="B226" s="5"/>
      <c r="C226" s="5"/>
      <c r="D226" s="5"/>
      <c r="E226" s="5"/>
    </row>
    <row r="227" ht="15.75" customHeight="1">
      <c r="A227" s="5"/>
      <c r="B227" s="5"/>
      <c r="C227" s="5"/>
      <c r="D227" s="5"/>
      <c r="E227" s="5"/>
    </row>
    <row r="228" ht="15.75" customHeight="1">
      <c r="A228" s="5"/>
      <c r="B228" s="5"/>
      <c r="C228" s="5"/>
      <c r="D228" s="5"/>
      <c r="E228" s="5"/>
    </row>
    <row r="229" ht="15.75" customHeight="1">
      <c r="A229" s="5"/>
      <c r="B229" s="5"/>
      <c r="C229" s="5"/>
      <c r="D229" s="5"/>
      <c r="E229" s="5"/>
    </row>
    <row r="230" ht="15.75" customHeight="1">
      <c r="A230" s="5"/>
      <c r="B230" s="5"/>
      <c r="C230" s="5"/>
      <c r="D230" s="5"/>
      <c r="E230" s="5"/>
    </row>
    <row r="231" ht="15.75" customHeight="1">
      <c r="A231" s="5"/>
      <c r="B231" s="5"/>
      <c r="C231" s="5"/>
      <c r="D231" s="5"/>
      <c r="E231" s="5"/>
    </row>
    <row r="232" ht="15.75" customHeight="1">
      <c r="A232" s="5"/>
      <c r="B232" s="5"/>
      <c r="C232" s="5"/>
      <c r="D232" s="5"/>
      <c r="E232" s="5"/>
    </row>
    <row r="233" ht="15.75" customHeight="1">
      <c r="A233" s="5"/>
      <c r="B233" s="5"/>
      <c r="C233" s="5"/>
      <c r="D233" s="5"/>
      <c r="E233" s="5"/>
    </row>
    <row r="234" ht="15.75" customHeight="1">
      <c r="A234" s="5"/>
      <c r="B234" s="5"/>
      <c r="C234" s="5"/>
      <c r="D234" s="5"/>
      <c r="E234" s="5"/>
    </row>
    <row r="235" ht="15.75" customHeight="1">
      <c r="A235" s="5"/>
      <c r="B235" s="5"/>
      <c r="C235" s="5"/>
      <c r="D235" s="5"/>
      <c r="E235" s="5"/>
    </row>
    <row r="236" ht="15.75" customHeight="1">
      <c r="A236" s="5"/>
      <c r="B236" s="5"/>
      <c r="C236" s="5"/>
      <c r="D236" s="5"/>
      <c r="E236" s="5"/>
    </row>
    <row r="237" ht="15.75" customHeight="1">
      <c r="A237" s="5"/>
      <c r="B237" s="5"/>
      <c r="C237" s="5"/>
      <c r="D237" s="5"/>
      <c r="E237" s="5"/>
    </row>
    <row r="238" ht="15.75" customHeight="1">
      <c r="A238" s="5"/>
      <c r="B238" s="5"/>
      <c r="C238" s="5"/>
      <c r="D238" s="5"/>
      <c r="E238" s="5"/>
    </row>
    <row r="239" ht="15.75" customHeight="1">
      <c r="A239" s="5"/>
      <c r="B239" s="5"/>
      <c r="C239" s="5"/>
      <c r="D239" s="5"/>
      <c r="E239" s="5"/>
    </row>
    <row r="240" ht="15.75" customHeight="1">
      <c r="A240" s="5"/>
      <c r="B240" s="5"/>
      <c r="C240" s="5"/>
      <c r="D240" s="5"/>
      <c r="E240" s="5"/>
    </row>
    <row r="241" ht="15.75" customHeight="1">
      <c r="A241" s="5"/>
      <c r="B241" s="5"/>
      <c r="C241" s="5"/>
      <c r="D241" s="5"/>
      <c r="E241" s="5"/>
    </row>
    <row r="242" ht="15.75" customHeight="1">
      <c r="A242" s="5"/>
      <c r="B242" s="5"/>
      <c r="C242" s="5"/>
      <c r="D242" s="5"/>
      <c r="E242" s="5"/>
    </row>
    <row r="243" ht="15.75" customHeight="1">
      <c r="A243" s="5"/>
      <c r="B243" s="5"/>
      <c r="C243" s="5"/>
      <c r="D243" s="5"/>
      <c r="E243" s="5"/>
    </row>
    <row r="244" ht="15.75" customHeight="1">
      <c r="A244" s="5"/>
      <c r="B244" s="5"/>
      <c r="C244" s="5"/>
      <c r="D244" s="5"/>
      <c r="E244" s="5"/>
    </row>
    <row r="245" ht="15.75" customHeight="1">
      <c r="A245" s="5"/>
      <c r="B245" s="5"/>
      <c r="C245" s="5"/>
      <c r="D245" s="5"/>
      <c r="E245" s="5"/>
    </row>
    <row r="246" ht="15.75" customHeight="1">
      <c r="A246" s="5"/>
      <c r="B246" s="5"/>
      <c r="C246" s="5"/>
      <c r="D246" s="5"/>
      <c r="E246" s="5"/>
    </row>
    <row r="247" ht="15.75" customHeight="1">
      <c r="A247" s="5"/>
      <c r="B247" s="5"/>
      <c r="C247" s="5"/>
      <c r="D247" s="5"/>
      <c r="E247" s="5"/>
    </row>
    <row r="248" ht="15.75" customHeight="1">
      <c r="A248" s="5"/>
      <c r="B248" s="5"/>
      <c r="C248" s="5"/>
      <c r="D248" s="5"/>
      <c r="E248" s="5"/>
    </row>
    <row r="249" ht="15.75" customHeight="1">
      <c r="A249" s="5"/>
      <c r="B249" s="5"/>
      <c r="C249" s="5"/>
      <c r="D249" s="5"/>
      <c r="E249" s="5"/>
    </row>
    <row r="250" ht="15.75" customHeight="1">
      <c r="A250" s="5"/>
      <c r="B250" s="5"/>
      <c r="C250" s="5"/>
      <c r="D250" s="5"/>
      <c r="E250" s="5"/>
    </row>
    <row r="251" ht="15.75" customHeight="1">
      <c r="A251" s="5"/>
      <c r="B251" s="5"/>
      <c r="C251" s="5"/>
      <c r="D251" s="5"/>
      <c r="E251" s="5"/>
    </row>
    <row r="252" ht="15.75" customHeight="1">
      <c r="A252" s="5"/>
      <c r="B252" s="5"/>
      <c r="C252" s="5"/>
      <c r="D252" s="5"/>
      <c r="E252" s="5"/>
    </row>
    <row r="253" ht="15.75" customHeight="1">
      <c r="A253" s="5"/>
      <c r="B253" s="5"/>
      <c r="C253" s="5"/>
      <c r="D253" s="5"/>
      <c r="E253" s="5"/>
    </row>
    <row r="254" ht="15.75" customHeight="1">
      <c r="A254" s="5"/>
      <c r="B254" s="5"/>
      <c r="C254" s="5"/>
      <c r="D254" s="5"/>
      <c r="E254" s="5"/>
    </row>
    <row r="255" ht="15.75" customHeight="1">
      <c r="A255" s="5"/>
      <c r="B255" s="5"/>
      <c r="C255" s="5"/>
      <c r="D255" s="5"/>
      <c r="E255" s="5"/>
    </row>
    <row r="256" ht="15.75" customHeight="1">
      <c r="A256" s="5"/>
      <c r="B256" s="5"/>
      <c r="C256" s="5"/>
      <c r="D256" s="5"/>
      <c r="E256" s="5"/>
    </row>
    <row r="257" ht="15.75" customHeight="1">
      <c r="A257" s="5"/>
      <c r="B257" s="5"/>
      <c r="C257" s="5"/>
      <c r="D257" s="5"/>
      <c r="E257" s="5"/>
    </row>
    <row r="258" ht="15.75" customHeight="1">
      <c r="A258" s="5"/>
      <c r="B258" s="5"/>
      <c r="C258" s="5"/>
      <c r="D258" s="5"/>
      <c r="E258" s="5"/>
    </row>
    <row r="259" ht="15.75" customHeight="1">
      <c r="A259" s="5"/>
      <c r="B259" s="5"/>
      <c r="C259" s="5"/>
      <c r="D259" s="5"/>
      <c r="E259" s="5"/>
    </row>
    <row r="260" ht="15.75" customHeight="1">
      <c r="A260" s="5"/>
      <c r="B260" s="5"/>
      <c r="C260" s="5"/>
      <c r="D260" s="5"/>
      <c r="E260" s="5"/>
    </row>
    <row r="261" ht="15.75" customHeight="1">
      <c r="A261" s="5"/>
      <c r="B261" s="5"/>
      <c r="C261" s="5"/>
      <c r="D261" s="5"/>
      <c r="E261" s="5"/>
    </row>
    <row r="262" ht="15.75" customHeight="1">
      <c r="A262" s="5"/>
      <c r="B262" s="5"/>
      <c r="C262" s="5"/>
      <c r="D262" s="5"/>
      <c r="E262" s="5"/>
    </row>
    <row r="263" ht="15.75" customHeight="1">
      <c r="A263" s="5"/>
      <c r="B263" s="5"/>
      <c r="C263" s="5"/>
      <c r="D263" s="5"/>
      <c r="E263" s="5"/>
    </row>
    <row r="264" ht="15.75" customHeight="1">
      <c r="A264" s="5"/>
      <c r="B264" s="5"/>
      <c r="C264" s="5"/>
      <c r="D264" s="5"/>
      <c r="E264" s="5"/>
    </row>
    <row r="265" ht="15.75" customHeight="1">
      <c r="A265" s="5"/>
      <c r="B265" s="5"/>
      <c r="C265" s="5"/>
      <c r="D265" s="5"/>
      <c r="E265" s="5"/>
    </row>
    <row r="266" ht="15.75" customHeight="1">
      <c r="A266" s="5"/>
      <c r="B266" s="5"/>
      <c r="C266" s="5"/>
      <c r="D266" s="5"/>
      <c r="E266" s="5"/>
    </row>
    <row r="267" ht="15.75" customHeight="1">
      <c r="A267" s="5"/>
      <c r="B267" s="5"/>
      <c r="C267" s="5"/>
      <c r="D267" s="5"/>
      <c r="E267" s="5"/>
    </row>
    <row r="268" ht="15.75" customHeight="1">
      <c r="A268" s="5"/>
      <c r="B268" s="5"/>
      <c r="C268" s="5"/>
      <c r="D268" s="5"/>
      <c r="E268" s="5"/>
    </row>
    <row r="269" ht="15.75" customHeight="1">
      <c r="A269" s="5"/>
      <c r="B269" s="5"/>
      <c r="C269" s="5"/>
      <c r="D269" s="5"/>
      <c r="E269" s="5"/>
    </row>
    <row r="270" ht="15.75" customHeight="1">
      <c r="A270" s="5"/>
      <c r="B270" s="5"/>
      <c r="C270" s="5"/>
      <c r="D270" s="5"/>
      <c r="E270" s="5"/>
    </row>
    <row r="271" ht="15.75" customHeight="1">
      <c r="A271" s="5"/>
      <c r="B271" s="5"/>
      <c r="C271" s="5"/>
      <c r="D271" s="5"/>
      <c r="E271" s="5"/>
    </row>
    <row r="272" ht="15.75" customHeight="1">
      <c r="A272" s="5"/>
      <c r="B272" s="5"/>
      <c r="C272" s="5"/>
      <c r="D272" s="5"/>
      <c r="E272" s="5"/>
    </row>
    <row r="273" ht="15.75" customHeight="1">
      <c r="A273" s="5"/>
      <c r="B273" s="5"/>
      <c r="C273" s="5"/>
      <c r="D273" s="5"/>
      <c r="E273" s="5"/>
    </row>
    <row r="274" ht="15.75" customHeight="1">
      <c r="A274" s="5"/>
      <c r="B274" s="5"/>
      <c r="C274" s="5"/>
      <c r="D274" s="5"/>
      <c r="E274" s="5"/>
    </row>
    <row r="275" ht="15.75" customHeight="1">
      <c r="A275" s="5"/>
      <c r="B275" s="5"/>
      <c r="C275" s="5"/>
      <c r="D275" s="5"/>
      <c r="E275" s="5"/>
    </row>
    <row r="276" ht="15.75" customHeight="1">
      <c r="A276" s="5"/>
      <c r="B276" s="5"/>
      <c r="C276" s="5"/>
      <c r="D276" s="5"/>
      <c r="E276" s="5"/>
    </row>
    <row r="277" ht="15.75" customHeight="1">
      <c r="A277" s="5"/>
      <c r="B277" s="5"/>
      <c r="C277" s="5"/>
      <c r="D277" s="5"/>
      <c r="E277" s="5"/>
    </row>
    <row r="278" ht="15.75" customHeight="1">
      <c r="A278" s="5"/>
      <c r="B278" s="5"/>
      <c r="C278" s="5"/>
      <c r="D278" s="5"/>
      <c r="E278" s="5"/>
    </row>
    <row r="279" ht="15.75" customHeight="1">
      <c r="A279" s="5"/>
      <c r="B279" s="5"/>
      <c r="C279" s="5"/>
      <c r="D279" s="5"/>
      <c r="E279" s="5"/>
    </row>
    <row r="280" ht="15.75" customHeight="1">
      <c r="A280" s="5"/>
      <c r="B280" s="5"/>
      <c r="C280" s="5"/>
      <c r="D280" s="5"/>
      <c r="E280" s="5"/>
    </row>
    <row r="281" ht="15.75" customHeight="1">
      <c r="A281" s="5"/>
      <c r="B281" s="5"/>
      <c r="C281" s="5"/>
      <c r="D281" s="5"/>
      <c r="E281" s="5"/>
    </row>
    <row r="282" ht="15.75" customHeight="1">
      <c r="A282" s="5"/>
      <c r="B282" s="5"/>
      <c r="C282" s="5"/>
      <c r="D282" s="5"/>
      <c r="E282" s="5"/>
    </row>
    <row r="283" ht="15.75" customHeight="1">
      <c r="A283" s="5"/>
      <c r="B283" s="5"/>
      <c r="C283" s="5"/>
      <c r="D283" s="5"/>
      <c r="E283" s="5"/>
    </row>
    <row r="284" ht="15.75" customHeight="1">
      <c r="A284" s="5"/>
      <c r="B284" s="5"/>
      <c r="C284" s="5"/>
      <c r="D284" s="5"/>
      <c r="E284" s="5"/>
    </row>
    <row r="285" ht="15.75" customHeight="1">
      <c r="A285" s="5"/>
      <c r="B285" s="5"/>
      <c r="C285" s="5"/>
      <c r="D285" s="5"/>
      <c r="E285" s="5"/>
    </row>
    <row r="286" ht="15.75" customHeight="1">
      <c r="A286" s="5"/>
      <c r="B286" s="5"/>
      <c r="C286" s="5"/>
      <c r="D286" s="5"/>
      <c r="E286" s="5"/>
    </row>
    <row r="287" ht="15.75" customHeight="1">
      <c r="A287" s="5"/>
      <c r="B287" s="5"/>
      <c r="C287" s="5"/>
      <c r="D287" s="5"/>
      <c r="E287" s="5"/>
    </row>
    <row r="288" ht="15.75" customHeight="1">
      <c r="A288" s="5"/>
      <c r="B288" s="5"/>
      <c r="C288" s="5"/>
      <c r="D288" s="5"/>
      <c r="E288" s="5"/>
    </row>
    <row r="289" ht="15.75" customHeight="1">
      <c r="A289" s="5"/>
      <c r="B289" s="5"/>
      <c r="C289" s="5"/>
      <c r="D289" s="5"/>
      <c r="E289" s="5"/>
    </row>
    <row r="290" ht="15.75" customHeight="1">
      <c r="A290" s="5"/>
      <c r="B290" s="5"/>
      <c r="C290" s="5"/>
      <c r="D290" s="5"/>
      <c r="E290" s="5"/>
    </row>
    <row r="291" ht="15.75" customHeight="1">
      <c r="A291" s="5"/>
      <c r="B291" s="5"/>
      <c r="C291" s="5"/>
      <c r="D291" s="5"/>
      <c r="E291" s="5"/>
    </row>
    <row r="292" ht="15.75" customHeight="1">
      <c r="A292" s="5"/>
      <c r="B292" s="5"/>
      <c r="C292" s="5"/>
      <c r="D292" s="5"/>
      <c r="E292" s="5"/>
    </row>
    <row r="293" ht="15.75" customHeight="1">
      <c r="A293" s="5"/>
      <c r="B293" s="5"/>
      <c r="C293" s="5"/>
      <c r="D293" s="5"/>
      <c r="E293" s="5"/>
    </row>
    <row r="294" ht="15.75" customHeight="1">
      <c r="A294" s="5"/>
      <c r="B294" s="5"/>
      <c r="C294" s="5"/>
      <c r="D294" s="5"/>
      <c r="E294" s="5"/>
    </row>
    <row r="295" ht="15.75" customHeight="1">
      <c r="A295" s="5"/>
      <c r="B295" s="5"/>
      <c r="C295" s="5"/>
      <c r="D295" s="5"/>
      <c r="E295" s="5"/>
    </row>
    <row r="296" ht="15.75" customHeight="1">
      <c r="A296" s="5"/>
      <c r="B296" s="5"/>
      <c r="C296" s="5"/>
      <c r="D296" s="5"/>
      <c r="E296" s="5"/>
    </row>
    <row r="297" ht="15.75" customHeight="1">
      <c r="A297" s="5"/>
      <c r="B297" s="5"/>
      <c r="C297" s="5"/>
      <c r="D297" s="5"/>
      <c r="E297" s="5"/>
    </row>
    <row r="298" ht="15.75" customHeight="1">
      <c r="A298" s="5"/>
      <c r="B298" s="5"/>
      <c r="C298" s="5"/>
      <c r="D298" s="5"/>
      <c r="E298" s="5"/>
    </row>
    <row r="299" ht="15.75" customHeight="1">
      <c r="A299" s="5"/>
      <c r="B299" s="5"/>
      <c r="C299" s="5"/>
      <c r="D299" s="5"/>
      <c r="E299" s="5"/>
    </row>
    <row r="300" ht="15.75" customHeight="1">
      <c r="A300" s="5"/>
      <c r="B300" s="5"/>
      <c r="C300" s="5"/>
      <c r="D300" s="5"/>
      <c r="E300" s="5"/>
    </row>
    <row r="301" ht="15.75" customHeight="1">
      <c r="A301" s="5"/>
      <c r="B301" s="5"/>
      <c r="C301" s="5"/>
      <c r="D301" s="5"/>
      <c r="E301" s="5"/>
    </row>
    <row r="302" ht="15.75" customHeight="1">
      <c r="A302" s="5"/>
      <c r="B302" s="5"/>
      <c r="C302" s="5"/>
      <c r="D302" s="5"/>
      <c r="E302" s="5"/>
    </row>
    <row r="303" ht="15.75" customHeight="1">
      <c r="A303" s="5"/>
      <c r="B303" s="5"/>
      <c r="C303" s="5"/>
      <c r="D303" s="5"/>
      <c r="E303" s="5"/>
    </row>
    <row r="304" ht="15.75" customHeight="1">
      <c r="A304" s="5"/>
      <c r="B304" s="5"/>
      <c r="C304" s="5"/>
      <c r="D304" s="5"/>
      <c r="E304" s="5"/>
    </row>
    <row r="305" ht="15.75" customHeight="1">
      <c r="A305" s="5"/>
      <c r="B305" s="5"/>
      <c r="C305" s="5"/>
      <c r="D305" s="5"/>
      <c r="E305" s="5"/>
    </row>
    <row r="306" ht="15.75" customHeight="1">
      <c r="A306" s="5"/>
      <c r="B306" s="5"/>
      <c r="C306" s="5"/>
      <c r="D306" s="5"/>
      <c r="E306" s="5"/>
    </row>
    <row r="307" ht="15.75" customHeight="1">
      <c r="A307" s="5"/>
      <c r="B307" s="5"/>
      <c r="C307" s="5"/>
      <c r="D307" s="5"/>
      <c r="E307" s="5"/>
    </row>
    <row r="308" ht="15.75" customHeight="1">
      <c r="A308" s="5"/>
      <c r="B308" s="5"/>
      <c r="C308" s="5"/>
      <c r="D308" s="5"/>
      <c r="E308" s="5"/>
    </row>
    <row r="309" ht="15.75" customHeight="1">
      <c r="A309" s="5"/>
      <c r="B309" s="5"/>
      <c r="C309" s="5"/>
      <c r="D309" s="5"/>
      <c r="E309" s="5"/>
    </row>
    <row r="310" ht="15.75" customHeight="1">
      <c r="A310" s="5"/>
      <c r="B310" s="5"/>
      <c r="C310" s="5"/>
      <c r="D310" s="5"/>
      <c r="E310" s="5"/>
    </row>
    <row r="311" ht="15.75" customHeight="1">
      <c r="A311" s="5"/>
      <c r="B311" s="5"/>
      <c r="C311" s="5"/>
      <c r="D311" s="5"/>
      <c r="E311" s="5"/>
    </row>
    <row r="312" ht="15.75" customHeight="1">
      <c r="A312" s="5"/>
      <c r="B312" s="5"/>
      <c r="C312" s="5"/>
      <c r="D312" s="5"/>
      <c r="E312" s="5"/>
    </row>
    <row r="313" ht="15.75" customHeight="1">
      <c r="A313" s="5"/>
      <c r="B313" s="5"/>
      <c r="C313" s="5"/>
      <c r="D313" s="5"/>
      <c r="E313" s="5"/>
    </row>
    <row r="314" ht="15.75" customHeight="1">
      <c r="A314" s="5"/>
      <c r="B314" s="5"/>
      <c r="C314" s="5"/>
      <c r="D314" s="5"/>
      <c r="E314" s="5"/>
    </row>
    <row r="315" ht="15.75" customHeight="1">
      <c r="A315" s="5"/>
      <c r="B315" s="5"/>
      <c r="C315" s="5"/>
      <c r="D315" s="5"/>
      <c r="E315" s="5"/>
    </row>
    <row r="316" ht="15.75" customHeight="1">
      <c r="A316" s="5"/>
      <c r="B316" s="5"/>
      <c r="C316" s="5"/>
      <c r="D316" s="5"/>
      <c r="E316" s="5"/>
    </row>
    <row r="317" ht="15.75" customHeight="1">
      <c r="A317" s="5"/>
      <c r="B317" s="5"/>
      <c r="C317" s="5"/>
      <c r="D317" s="5"/>
      <c r="E317" s="5"/>
    </row>
    <row r="318" ht="15.75" customHeight="1">
      <c r="A318" s="5"/>
      <c r="B318" s="5"/>
      <c r="C318" s="5"/>
      <c r="D318" s="5"/>
      <c r="E318" s="5"/>
    </row>
    <row r="319" ht="15.75" customHeight="1">
      <c r="A319" s="5"/>
      <c r="B319" s="5"/>
      <c r="C319" s="5"/>
      <c r="D319" s="5"/>
      <c r="E319" s="5"/>
    </row>
    <row r="320" ht="15.75" customHeight="1">
      <c r="A320" s="5"/>
      <c r="B320" s="5"/>
      <c r="C320" s="5"/>
      <c r="D320" s="5"/>
      <c r="E320" s="5"/>
    </row>
    <row r="321" ht="15.75" customHeight="1">
      <c r="A321" s="5"/>
      <c r="B321" s="5"/>
      <c r="C321" s="5"/>
      <c r="D321" s="5"/>
      <c r="E321" s="5"/>
    </row>
    <row r="322" ht="15.75" customHeight="1">
      <c r="A322" s="5"/>
      <c r="B322" s="5"/>
      <c r="C322" s="5"/>
      <c r="D322" s="5"/>
      <c r="E322" s="5"/>
    </row>
    <row r="323" ht="15.75" customHeight="1">
      <c r="A323" s="5"/>
      <c r="B323" s="5"/>
      <c r="C323" s="5"/>
      <c r="D323" s="5"/>
      <c r="E323" s="5"/>
    </row>
    <row r="324" ht="15.75" customHeight="1">
      <c r="A324" s="5"/>
      <c r="B324" s="5"/>
      <c r="C324" s="5"/>
      <c r="D324" s="5"/>
      <c r="E324" s="5"/>
    </row>
    <row r="325" ht="15.75" customHeight="1">
      <c r="A325" s="5"/>
      <c r="B325" s="5"/>
      <c r="C325" s="5"/>
      <c r="D325" s="5"/>
      <c r="E325" s="5"/>
    </row>
    <row r="326" ht="15.75" customHeight="1">
      <c r="A326" s="5"/>
      <c r="B326" s="5"/>
      <c r="C326" s="5"/>
      <c r="D326" s="5"/>
      <c r="E326" s="5"/>
    </row>
    <row r="327" ht="15.75" customHeight="1">
      <c r="A327" s="5"/>
      <c r="B327" s="5"/>
      <c r="C327" s="5"/>
      <c r="D327" s="5"/>
      <c r="E327" s="5"/>
    </row>
    <row r="328" ht="15.75" customHeight="1">
      <c r="A328" s="5"/>
      <c r="B328" s="5"/>
      <c r="C328" s="5"/>
      <c r="D328" s="5"/>
      <c r="E328" s="5"/>
    </row>
    <row r="329" ht="15.75" customHeight="1">
      <c r="A329" s="5"/>
      <c r="B329" s="5"/>
      <c r="C329" s="5"/>
      <c r="D329" s="5"/>
      <c r="E329" s="5"/>
    </row>
    <row r="330" ht="15.75" customHeight="1">
      <c r="A330" s="5"/>
      <c r="B330" s="5"/>
      <c r="C330" s="5"/>
      <c r="D330" s="5"/>
      <c r="E330" s="5"/>
    </row>
    <row r="331" ht="15.75" customHeight="1">
      <c r="A331" s="5"/>
      <c r="B331" s="5"/>
      <c r="C331" s="5"/>
      <c r="D331" s="5"/>
      <c r="E331" s="5"/>
    </row>
    <row r="332" ht="15.75" customHeight="1">
      <c r="A332" s="5"/>
      <c r="B332" s="5"/>
      <c r="C332" s="5"/>
      <c r="D332" s="5"/>
      <c r="E332" s="5"/>
    </row>
    <row r="333" ht="15.75" customHeight="1">
      <c r="A333" s="5"/>
      <c r="B333" s="5"/>
      <c r="C333" s="5"/>
      <c r="D333" s="5"/>
      <c r="E333" s="5"/>
    </row>
    <row r="334" ht="15.75" customHeight="1">
      <c r="A334" s="5"/>
      <c r="B334" s="5"/>
      <c r="C334" s="5"/>
      <c r="D334" s="5"/>
      <c r="E334" s="5"/>
    </row>
    <row r="335" ht="15.75" customHeight="1">
      <c r="A335" s="5"/>
      <c r="B335" s="5"/>
      <c r="C335" s="5"/>
      <c r="D335" s="5"/>
      <c r="E335" s="5"/>
    </row>
    <row r="336" ht="15.75" customHeight="1">
      <c r="A336" s="5"/>
      <c r="B336" s="5"/>
      <c r="C336" s="5"/>
      <c r="D336" s="5"/>
      <c r="E336" s="5"/>
    </row>
    <row r="337" ht="15.75" customHeight="1">
      <c r="A337" s="5"/>
      <c r="B337" s="5"/>
      <c r="C337" s="5"/>
      <c r="D337" s="5"/>
      <c r="E337" s="5"/>
    </row>
    <row r="338" ht="15.75" customHeight="1">
      <c r="A338" s="5"/>
      <c r="B338" s="5"/>
      <c r="C338" s="5"/>
      <c r="D338" s="5"/>
      <c r="E338" s="5"/>
    </row>
    <row r="339" ht="15.75" customHeight="1">
      <c r="A339" s="5"/>
      <c r="B339" s="5"/>
      <c r="C339" s="5"/>
      <c r="D339" s="5"/>
      <c r="E339" s="5"/>
    </row>
    <row r="340" ht="15.75" customHeight="1">
      <c r="A340" s="5"/>
      <c r="B340" s="5"/>
      <c r="C340" s="5"/>
      <c r="D340" s="5"/>
      <c r="E340" s="5"/>
    </row>
    <row r="341" ht="15.75" customHeight="1">
      <c r="A341" s="5"/>
      <c r="B341" s="5"/>
      <c r="C341" s="5"/>
      <c r="D341" s="5"/>
      <c r="E341" s="5"/>
    </row>
    <row r="342" ht="15.75" customHeight="1">
      <c r="A342" s="5"/>
      <c r="B342" s="5"/>
      <c r="C342" s="5"/>
      <c r="D342" s="5"/>
      <c r="E342" s="5"/>
    </row>
    <row r="343" ht="15.75" customHeight="1">
      <c r="A343" s="5"/>
      <c r="B343" s="5"/>
      <c r="C343" s="5"/>
      <c r="D343" s="5"/>
      <c r="E343" s="5"/>
    </row>
    <row r="344" ht="15.75" customHeight="1">
      <c r="A344" s="5"/>
      <c r="B344" s="5"/>
      <c r="C344" s="5"/>
      <c r="D344" s="5"/>
      <c r="E344" s="5"/>
    </row>
    <row r="345" ht="15.75" customHeight="1">
      <c r="A345" s="5"/>
      <c r="B345" s="5"/>
      <c r="C345" s="5"/>
      <c r="D345" s="5"/>
      <c r="E345" s="5"/>
    </row>
    <row r="346" ht="15.75" customHeight="1">
      <c r="A346" s="5"/>
      <c r="B346" s="5"/>
      <c r="C346" s="5"/>
      <c r="D346" s="5"/>
      <c r="E346" s="5"/>
    </row>
    <row r="347" ht="15.75" customHeight="1">
      <c r="A347" s="5"/>
      <c r="B347" s="5"/>
      <c r="C347" s="5"/>
      <c r="D347" s="5"/>
      <c r="E347" s="5"/>
    </row>
    <row r="348" ht="15.75" customHeight="1">
      <c r="A348" s="5"/>
      <c r="B348" s="5"/>
      <c r="C348" s="5"/>
      <c r="D348" s="5"/>
      <c r="E348" s="5"/>
    </row>
    <row r="349" ht="15.75" customHeight="1">
      <c r="A349" s="5"/>
      <c r="B349" s="5"/>
      <c r="C349" s="5"/>
      <c r="D349" s="5"/>
      <c r="E349" s="5"/>
    </row>
    <row r="350" ht="15.75" customHeight="1">
      <c r="A350" s="5"/>
      <c r="B350" s="5"/>
      <c r="C350" s="5"/>
      <c r="D350" s="5"/>
      <c r="E350" s="5"/>
    </row>
    <row r="351" ht="15.75" customHeight="1">
      <c r="A351" s="5"/>
      <c r="B351" s="5"/>
      <c r="C351" s="5"/>
      <c r="D351" s="5"/>
      <c r="E351" s="5"/>
    </row>
    <row r="352" ht="15.75" customHeight="1">
      <c r="A352" s="5"/>
      <c r="B352" s="5"/>
      <c r="C352" s="5"/>
      <c r="D352" s="5"/>
      <c r="E352" s="5"/>
    </row>
    <row r="353" ht="15.75" customHeight="1">
      <c r="A353" s="5"/>
      <c r="B353" s="5"/>
      <c r="C353" s="5"/>
      <c r="D353" s="5"/>
      <c r="E353" s="5"/>
    </row>
    <row r="354" ht="15.75" customHeight="1">
      <c r="A354" s="5"/>
      <c r="B354" s="5"/>
      <c r="C354" s="5"/>
      <c r="D354" s="5"/>
      <c r="E354" s="5"/>
    </row>
    <row r="355" ht="15.75" customHeight="1">
      <c r="A355" s="5"/>
      <c r="B355" s="5"/>
      <c r="C355" s="5"/>
      <c r="D355" s="5"/>
      <c r="E355" s="5"/>
    </row>
    <row r="356" ht="15.75" customHeight="1">
      <c r="A356" s="5"/>
      <c r="B356" s="5"/>
      <c r="C356" s="5"/>
      <c r="D356" s="5"/>
      <c r="E356" s="5"/>
    </row>
    <row r="357" ht="15.75" customHeight="1">
      <c r="A357" s="5"/>
      <c r="B357" s="5"/>
      <c r="C357" s="5"/>
      <c r="D357" s="5"/>
      <c r="E357" s="5"/>
    </row>
    <row r="358" ht="15.75" customHeight="1">
      <c r="A358" s="5"/>
      <c r="B358" s="5"/>
      <c r="C358" s="5"/>
      <c r="D358" s="5"/>
      <c r="E358" s="5"/>
    </row>
    <row r="359" ht="15.75" customHeight="1">
      <c r="A359" s="5"/>
      <c r="B359" s="5"/>
      <c r="C359" s="5"/>
      <c r="D359" s="5"/>
      <c r="E359" s="5"/>
    </row>
    <row r="360" ht="15.75" customHeight="1">
      <c r="A360" s="5"/>
      <c r="B360" s="5"/>
      <c r="C360" s="5"/>
      <c r="D360" s="5"/>
      <c r="E360" s="5"/>
    </row>
    <row r="361" ht="15.75" customHeight="1">
      <c r="A361" s="5"/>
      <c r="B361" s="5"/>
      <c r="C361" s="5"/>
      <c r="D361" s="5"/>
      <c r="E361" s="5"/>
    </row>
    <row r="362" ht="15.75" customHeight="1">
      <c r="A362" s="5"/>
      <c r="B362" s="5"/>
      <c r="C362" s="5"/>
      <c r="D362" s="5"/>
      <c r="E362" s="5"/>
    </row>
    <row r="363" ht="15.75" customHeight="1">
      <c r="A363" s="5"/>
      <c r="B363" s="5"/>
      <c r="C363" s="5"/>
      <c r="D363" s="5"/>
      <c r="E363" s="5"/>
    </row>
    <row r="364" ht="15.75" customHeight="1">
      <c r="A364" s="5"/>
      <c r="B364" s="5"/>
      <c r="C364" s="5"/>
      <c r="D364" s="5"/>
      <c r="E364" s="5"/>
    </row>
    <row r="365" ht="15.75" customHeight="1">
      <c r="A365" s="5"/>
      <c r="B365" s="5"/>
      <c r="C365" s="5"/>
      <c r="D365" s="5"/>
      <c r="E365" s="5"/>
    </row>
    <row r="366" ht="15.75" customHeight="1">
      <c r="A366" s="5"/>
      <c r="B366" s="5"/>
      <c r="C366" s="5"/>
      <c r="D366" s="5"/>
      <c r="E366" s="5"/>
    </row>
    <row r="367" ht="15.75" customHeight="1">
      <c r="A367" s="5"/>
      <c r="B367" s="5"/>
      <c r="C367" s="5"/>
      <c r="D367" s="5"/>
      <c r="E367" s="5"/>
    </row>
    <row r="368" ht="15.75" customHeight="1">
      <c r="A368" s="5"/>
      <c r="B368" s="5"/>
      <c r="C368" s="5"/>
      <c r="D368" s="5"/>
      <c r="E368" s="5"/>
    </row>
    <row r="369" ht="15.75" customHeight="1">
      <c r="A369" s="5"/>
      <c r="B369" s="5"/>
      <c r="C369" s="5"/>
      <c r="D369" s="5"/>
      <c r="E369" s="5"/>
    </row>
    <row r="370" ht="15.75" customHeight="1">
      <c r="A370" s="5"/>
      <c r="B370" s="5"/>
      <c r="C370" s="5"/>
      <c r="D370" s="5"/>
      <c r="E370" s="5"/>
    </row>
    <row r="371" ht="15.75" customHeight="1">
      <c r="A371" s="5"/>
      <c r="B371" s="5"/>
      <c r="C371" s="5"/>
      <c r="D371" s="5"/>
      <c r="E371" s="5"/>
    </row>
    <row r="372" ht="15.75" customHeight="1">
      <c r="A372" s="5"/>
      <c r="B372" s="5"/>
      <c r="C372" s="5"/>
      <c r="D372" s="5"/>
      <c r="E372" s="5"/>
    </row>
    <row r="373" ht="15.75" customHeight="1">
      <c r="A373" s="5"/>
      <c r="B373" s="5"/>
      <c r="C373" s="5"/>
      <c r="D373" s="5"/>
      <c r="E373" s="5"/>
    </row>
    <row r="374" ht="15.75" customHeight="1">
      <c r="A374" s="5"/>
      <c r="B374" s="5"/>
      <c r="C374" s="5"/>
      <c r="D374" s="5"/>
      <c r="E374" s="5"/>
    </row>
    <row r="375" ht="15.75" customHeight="1">
      <c r="A375" s="5"/>
      <c r="B375" s="5"/>
      <c r="C375" s="5"/>
      <c r="D375" s="5"/>
      <c r="E375" s="5"/>
    </row>
    <row r="376" ht="15.75" customHeight="1">
      <c r="A376" s="5"/>
      <c r="B376" s="5"/>
      <c r="C376" s="5"/>
      <c r="D376" s="5"/>
      <c r="E376" s="5"/>
    </row>
    <row r="377" ht="15.75" customHeight="1">
      <c r="A377" s="5"/>
      <c r="B377" s="5"/>
      <c r="C377" s="5"/>
      <c r="D377" s="5"/>
      <c r="E377" s="5"/>
    </row>
    <row r="378" ht="15.75" customHeight="1">
      <c r="A378" s="5"/>
      <c r="B378" s="5"/>
      <c r="C378" s="5"/>
      <c r="D378" s="5"/>
      <c r="E378" s="5"/>
    </row>
    <row r="379" ht="15.75" customHeight="1">
      <c r="A379" s="5"/>
      <c r="B379" s="5"/>
      <c r="C379" s="5"/>
      <c r="D379" s="5"/>
      <c r="E379" s="5"/>
    </row>
    <row r="380" ht="15.75" customHeight="1">
      <c r="A380" s="5"/>
      <c r="B380" s="5"/>
      <c r="C380" s="5"/>
      <c r="D380" s="5"/>
      <c r="E380" s="5"/>
    </row>
    <row r="381" ht="15.75" customHeight="1">
      <c r="A381" s="5"/>
      <c r="B381" s="5"/>
      <c r="C381" s="5"/>
      <c r="D381" s="5"/>
      <c r="E381" s="5"/>
    </row>
    <row r="382" ht="15.75" customHeight="1">
      <c r="A382" s="5"/>
      <c r="B382" s="5"/>
      <c r="C382" s="5"/>
      <c r="D382" s="5"/>
      <c r="E382" s="5"/>
    </row>
    <row r="383" ht="15.75" customHeight="1">
      <c r="A383" s="5"/>
      <c r="B383" s="5"/>
      <c r="C383" s="5"/>
      <c r="D383" s="5"/>
      <c r="E383" s="5"/>
    </row>
    <row r="384" ht="15.75" customHeight="1">
      <c r="A384" s="5"/>
      <c r="B384" s="5"/>
      <c r="C384" s="5"/>
      <c r="D384" s="5"/>
      <c r="E384" s="5"/>
    </row>
    <row r="385" ht="15.75" customHeight="1">
      <c r="A385" s="5"/>
      <c r="B385" s="5"/>
      <c r="C385" s="5"/>
      <c r="D385" s="5"/>
      <c r="E385" s="5"/>
    </row>
    <row r="386" ht="15.75" customHeight="1">
      <c r="A386" s="5"/>
      <c r="B386" s="5"/>
      <c r="C386" s="5"/>
      <c r="D386" s="5"/>
      <c r="E386" s="5"/>
    </row>
    <row r="387" ht="15.75" customHeight="1">
      <c r="A387" s="5"/>
      <c r="B387" s="5"/>
      <c r="C387" s="5"/>
      <c r="D387" s="5"/>
      <c r="E387" s="5"/>
    </row>
    <row r="388" ht="15.75" customHeight="1">
      <c r="A388" s="5"/>
      <c r="B388" s="5"/>
      <c r="C388" s="5"/>
      <c r="D388" s="5"/>
      <c r="E388" s="5"/>
    </row>
    <row r="389" ht="15.75" customHeight="1">
      <c r="A389" s="5"/>
      <c r="B389" s="5"/>
      <c r="C389" s="5"/>
      <c r="D389" s="5"/>
      <c r="E389" s="5"/>
    </row>
    <row r="390" ht="15.75" customHeight="1">
      <c r="A390" s="5"/>
      <c r="B390" s="5"/>
      <c r="C390" s="5"/>
      <c r="D390" s="5"/>
      <c r="E390" s="5"/>
    </row>
    <row r="391" ht="15.75" customHeight="1">
      <c r="A391" s="5"/>
      <c r="B391" s="5"/>
      <c r="C391" s="5"/>
      <c r="D391" s="5"/>
      <c r="E391" s="5"/>
    </row>
    <row r="392" ht="15.75" customHeight="1">
      <c r="A392" s="5"/>
      <c r="B392" s="5"/>
      <c r="C392" s="5"/>
      <c r="D392" s="5"/>
      <c r="E392" s="5"/>
    </row>
    <row r="393" ht="15.75" customHeight="1">
      <c r="A393" s="5"/>
      <c r="B393" s="5"/>
      <c r="C393" s="5"/>
      <c r="D393" s="5"/>
      <c r="E393" s="5"/>
    </row>
    <row r="394" ht="15.75" customHeight="1">
      <c r="A394" s="5"/>
      <c r="B394" s="5"/>
      <c r="C394" s="5"/>
      <c r="D394" s="5"/>
      <c r="E394" s="5"/>
    </row>
    <row r="395" ht="15.75" customHeight="1">
      <c r="A395" s="5"/>
      <c r="B395" s="5"/>
      <c r="C395" s="5"/>
      <c r="D395" s="5"/>
      <c r="E395" s="5"/>
    </row>
    <row r="396" ht="15.75" customHeight="1">
      <c r="A396" s="5"/>
      <c r="B396" s="5"/>
      <c r="C396" s="5"/>
      <c r="D396" s="5"/>
      <c r="E396" s="5"/>
    </row>
    <row r="397" ht="15.75" customHeight="1">
      <c r="A397" s="5"/>
      <c r="B397" s="5"/>
      <c r="C397" s="5"/>
      <c r="D397" s="5"/>
      <c r="E397" s="5"/>
    </row>
    <row r="398" ht="15.75" customHeight="1">
      <c r="A398" s="5"/>
      <c r="B398" s="5"/>
      <c r="C398" s="5"/>
      <c r="D398" s="5"/>
      <c r="E398" s="5"/>
    </row>
    <row r="399" ht="15.75" customHeight="1">
      <c r="A399" s="5"/>
      <c r="B399" s="5"/>
      <c r="C399" s="5"/>
      <c r="D399" s="5"/>
      <c r="E399" s="5"/>
    </row>
    <row r="400" ht="15.75" customHeight="1">
      <c r="A400" s="5"/>
      <c r="B400" s="5"/>
      <c r="C400" s="5"/>
      <c r="D400" s="5"/>
      <c r="E400" s="5"/>
    </row>
    <row r="401" ht="15.75" customHeight="1">
      <c r="A401" s="5"/>
      <c r="B401" s="5"/>
      <c r="C401" s="5"/>
      <c r="D401" s="5"/>
      <c r="E401" s="5"/>
    </row>
    <row r="402" ht="15.75" customHeight="1">
      <c r="A402" s="5"/>
      <c r="B402" s="5"/>
      <c r="C402" s="5"/>
      <c r="D402" s="5"/>
      <c r="E402" s="5"/>
    </row>
    <row r="403" ht="15.75" customHeight="1">
      <c r="A403" s="5"/>
      <c r="B403" s="5"/>
      <c r="C403" s="5"/>
      <c r="D403" s="5"/>
      <c r="E403" s="5"/>
    </row>
    <row r="404" ht="15.75" customHeight="1">
      <c r="A404" s="5"/>
      <c r="B404" s="5"/>
      <c r="C404" s="5"/>
      <c r="D404" s="5"/>
      <c r="E404" s="5"/>
    </row>
    <row r="405" ht="15.75" customHeight="1">
      <c r="A405" s="5"/>
      <c r="B405" s="5"/>
      <c r="C405" s="5"/>
      <c r="D405" s="5"/>
      <c r="E405" s="5"/>
    </row>
    <row r="406" ht="15.75" customHeight="1">
      <c r="A406" s="5"/>
      <c r="B406" s="5"/>
      <c r="C406" s="5"/>
      <c r="D406" s="5"/>
      <c r="E406" s="5"/>
    </row>
    <row r="407" ht="15.75" customHeight="1">
      <c r="A407" s="5"/>
      <c r="B407" s="5"/>
      <c r="C407" s="5"/>
      <c r="D407" s="5"/>
      <c r="E407" s="5"/>
    </row>
    <row r="408" ht="15.75" customHeight="1">
      <c r="A408" s="5"/>
      <c r="B408" s="5"/>
      <c r="C408" s="5"/>
      <c r="D408" s="5"/>
      <c r="E408" s="5"/>
    </row>
    <row r="409" ht="15.75" customHeight="1">
      <c r="A409" s="5"/>
      <c r="B409" s="5"/>
      <c r="C409" s="5"/>
      <c r="D409" s="5"/>
      <c r="E409" s="5"/>
    </row>
    <row r="410" ht="15.75" customHeight="1">
      <c r="A410" s="5"/>
      <c r="B410" s="5"/>
      <c r="C410" s="5"/>
      <c r="D410" s="5"/>
      <c r="E410" s="5"/>
    </row>
    <row r="411" ht="15.75" customHeight="1">
      <c r="A411" s="5"/>
      <c r="B411" s="5"/>
      <c r="C411" s="5"/>
      <c r="D411" s="5"/>
      <c r="E411" s="5"/>
    </row>
    <row r="412" ht="15.75" customHeight="1">
      <c r="A412" s="5"/>
      <c r="B412" s="5"/>
      <c r="C412" s="5"/>
      <c r="D412" s="5"/>
      <c r="E412" s="5"/>
    </row>
    <row r="413" ht="15.75" customHeight="1">
      <c r="A413" s="5"/>
      <c r="B413" s="5"/>
      <c r="C413" s="5"/>
      <c r="D413" s="5"/>
      <c r="E413" s="5"/>
    </row>
    <row r="414" ht="15.75" customHeight="1">
      <c r="A414" s="5"/>
      <c r="B414" s="5"/>
      <c r="C414" s="5"/>
      <c r="D414" s="5"/>
      <c r="E414" s="5"/>
    </row>
    <row r="415" ht="15.75" customHeight="1">
      <c r="A415" s="5"/>
      <c r="B415" s="5"/>
      <c r="C415" s="5"/>
      <c r="D415" s="5"/>
      <c r="E415" s="5"/>
    </row>
    <row r="416" ht="15.75" customHeight="1">
      <c r="A416" s="5"/>
      <c r="B416" s="5"/>
      <c r="C416" s="5"/>
      <c r="D416" s="5"/>
      <c r="E416" s="5"/>
    </row>
    <row r="417" ht="15.75" customHeight="1">
      <c r="A417" s="5"/>
      <c r="B417" s="5"/>
      <c r="C417" s="5"/>
      <c r="D417" s="5"/>
      <c r="E417" s="5"/>
    </row>
    <row r="418" ht="15.75" customHeight="1">
      <c r="A418" s="5"/>
      <c r="B418" s="5"/>
      <c r="C418" s="5"/>
      <c r="D418" s="5"/>
      <c r="E418" s="5"/>
    </row>
    <row r="419" ht="15.75" customHeight="1">
      <c r="A419" s="5"/>
      <c r="B419" s="5"/>
      <c r="C419" s="5"/>
      <c r="D419" s="5"/>
      <c r="E419" s="5"/>
    </row>
    <row r="420" ht="15.75" customHeight="1">
      <c r="A420" s="5"/>
      <c r="B420" s="5"/>
      <c r="C420" s="5"/>
      <c r="D420" s="5"/>
      <c r="E420" s="5"/>
    </row>
    <row r="421" ht="15.75" customHeight="1">
      <c r="A421" s="5"/>
      <c r="B421" s="5"/>
      <c r="C421" s="5"/>
      <c r="D421" s="5"/>
      <c r="E421" s="5"/>
    </row>
    <row r="422" ht="15.75" customHeight="1">
      <c r="A422" s="5"/>
      <c r="B422" s="5"/>
      <c r="C422" s="5"/>
      <c r="D422" s="5"/>
      <c r="E422" s="5"/>
    </row>
    <row r="423" ht="15.75" customHeight="1">
      <c r="A423" s="5"/>
      <c r="B423" s="5"/>
      <c r="C423" s="5"/>
      <c r="D423" s="5"/>
      <c r="E423" s="5"/>
    </row>
    <row r="424" ht="15.75" customHeight="1">
      <c r="A424" s="5"/>
      <c r="B424" s="5"/>
      <c r="C424" s="5"/>
      <c r="D424" s="5"/>
      <c r="E424" s="5"/>
    </row>
    <row r="425" ht="15.75" customHeight="1">
      <c r="A425" s="5"/>
      <c r="B425" s="5"/>
      <c r="C425" s="5"/>
      <c r="D425" s="5"/>
      <c r="E425" s="5"/>
    </row>
    <row r="426" ht="15.75" customHeight="1">
      <c r="A426" s="5"/>
      <c r="B426" s="5"/>
      <c r="C426" s="5"/>
      <c r="D426" s="5"/>
      <c r="E426" s="5"/>
    </row>
    <row r="427" ht="15.75" customHeight="1">
      <c r="A427" s="5"/>
      <c r="B427" s="5"/>
      <c r="C427" s="5"/>
      <c r="D427" s="5"/>
      <c r="E427" s="5"/>
    </row>
    <row r="428" ht="15.75" customHeight="1">
      <c r="A428" s="5"/>
      <c r="B428" s="5"/>
      <c r="C428" s="5"/>
      <c r="D428" s="5"/>
      <c r="E428" s="5"/>
    </row>
    <row r="429" ht="15.75" customHeight="1">
      <c r="A429" s="5"/>
      <c r="B429" s="5"/>
      <c r="C429" s="5"/>
      <c r="D429" s="5"/>
      <c r="E429" s="5"/>
    </row>
    <row r="430" ht="15.75" customHeight="1">
      <c r="A430" s="5"/>
      <c r="B430" s="5"/>
      <c r="C430" s="5"/>
      <c r="D430" s="5"/>
      <c r="E430" s="5"/>
    </row>
    <row r="431" ht="15.75" customHeight="1">
      <c r="A431" s="5"/>
      <c r="B431" s="5"/>
      <c r="C431" s="5"/>
      <c r="D431" s="5"/>
      <c r="E431" s="5"/>
    </row>
    <row r="432" ht="15.75" customHeight="1">
      <c r="A432" s="5"/>
      <c r="B432" s="5"/>
      <c r="C432" s="5"/>
      <c r="D432" s="5"/>
      <c r="E432" s="5"/>
    </row>
    <row r="433" ht="15.75" customHeight="1">
      <c r="A433" s="5"/>
      <c r="B433" s="5"/>
      <c r="C433" s="5"/>
      <c r="D433" s="5"/>
      <c r="E433" s="5"/>
    </row>
    <row r="434" ht="15.75" customHeight="1">
      <c r="A434" s="5"/>
      <c r="B434" s="5"/>
      <c r="C434" s="5"/>
      <c r="D434" s="5"/>
      <c r="E434" s="5"/>
    </row>
    <row r="435" ht="15.75" customHeight="1">
      <c r="A435" s="5"/>
      <c r="B435" s="5"/>
      <c r="C435" s="5"/>
      <c r="D435" s="5"/>
      <c r="E435" s="5"/>
    </row>
    <row r="436" ht="15.75" customHeight="1">
      <c r="A436" s="5"/>
      <c r="B436" s="5"/>
      <c r="C436" s="5"/>
      <c r="D436" s="5"/>
      <c r="E436" s="5"/>
    </row>
    <row r="437" ht="15.75" customHeight="1">
      <c r="A437" s="5"/>
      <c r="B437" s="5"/>
      <c r="C437" s="5"/>
      <c r="D437" s="5"/>
      <c r="E437" s="5"/>
    </row>
    <row r="438" ht="15.75" customHeight="1">
      <c r="A438" s="5"/>
      <c r="B438" s="5"/>
      <c r="C438" s="5"/>
      <c r="D438" s="5"/>
      <c r="E438" s="5"/>
    </row>
    <row r="439" ht="15.75" customHeight="1">
      <c r="A439" s="5"/>
      <c r="B439" s="5"/>
      <c r="C439" s="5"/>
      <c r="D439" s="5"/>
      <c r="E439" s="5"/>
    </row>
    <row r="440" ht="15.75" customHeight="1">
      <c r="A440" s="5"/>
      <c r="B440" s="5"/>
      <c r="C440" s="5"/>
      <c r="D440" s="5"/>
      <c r="E440" s="5"/>
    </row>
    <row r="441" ht="15.75" customHeight="1">
      <c r="A441" s="5"/>
      <c r="B441" s="5"/>
      <c r="C441" s="5"/>
      <c r="D441" s="5"/>
      <c r="E441" s="5"/>
    </row>
    <row r="442" ht="15.75" customHeight="1">
      <c r="A442" s="5"/>
      <c r="B442" s="5"/>
      <c r="C442" s="5"/>
      <c r="D442" s="5"/>
      <c r="E442" s="5"/>
    </row>
    <row r="443" ht="15.75" customHeight="1">
      <c r="A443" s="5"/>
      <c r="B443" s="5"/>
      <c r="C443" s="5"/>
      <c r="D443" s="5"/>
      <c r="E443" s="5"/>
    </row>
    <row r="444" ht="15.75" customHeight="1">
      <c r="A444" s="5"/>
      <c r="B444" s="5"/>
      <c r="C444" s="5"/>
      <c r="D444" s="5"/>
      <c r="E444" s="5"/>
    </row>
    <row r="445" ht="15.75" customHeight="1">
      <c r="A445" s="5"/>
      <c r="B445" s="5"/>
      <c r="C445" s="5"/>
      <c r="D445" s="5"/>
      <c r="E445" s="5"/>
    </row>
    <row r="446" ht="15.75" customHeight="1">
      <c r="A446" s="5"/>
      <c r="B446" s="5"/>
      <c r="C446" s="5"/>
      <c r="D446" s="5"/>
      <c r="E446" s="5"/>
    </row>
    <row r="447" ht="15.75" customHeight="1">
      <c r="A447" s="5"/>
      <c r="B447" s="5"/>
      <c r="C447" s="5"/>
      <c r="D447" s="5"/>
      <c r="E447" s="5"/>
    </row>
    <row r="448" ht="15.75" customHeight="1">
      <c r="A448" s="5"/>
      <c r="B448" s="5"/>
      <c r="C448" s="5"/>
      <c r="D448" s="5"/>
      <c r="E448" s="5"/>
    </row>
    <row r="449" ht="15.75" customHeight="1">
      <c r="A449" s="5"/>
      <c r="B449" s="5"/>
      <c r="C449" s="5"/>
      <c r="D449" s="5"/>
      <c r="E449" s="5"/>
    </row>
    <row r="450" ht="15.75" customHeight="1">
      <c r="A450" s="5"/>
      <c r="B450" s="5"/>
      <c r="C450" s="5"/>
      <c r="D450" s="5"/>
      <c r="E450" s="5"/>
    </row>
    <row r="451" ht="15.75" customHeight="1">
      <c r="A451" s="5"/>
      <c r="B451" s="5"/>
      <c r="C451" s="5"/>
      <c r="D451" s="5"/>
      <c r="E451" s="5"/>
    </row>
    <row r="452" ht="15.75" customHeight="1">
      <c r="A452" s="5"/>
      <c r="B452" s="5"/>
      <c r="C452" s="5"/>
      <c r="D452" s="5"/>
      <c r="E452" s="5"/>
    </row>
    <row r="453" ht="15.75" customHeight="1">
      <c r="A453" s="5"/>
      <c r="B453" s="5"/>
      <c r="C453" s="5"/>
      <c r="D453" s="5"/>
      <c r="E453" s="5"/>
    </row>
    <row r="454" ht="15.75" customHeight="1">
      <c r="A454" s="5"/>
      <c r="B454" s="5"/>
      <c r="C454" s="5"/>
      <c r="D454" s="5"/>
      <c r="E454" s="5"/>
    </row>
    <row r="455" ht="15.75" customHeight="1">
      <c r="A455" s="5"/>
      <c r="B455" s="5"/>
      <c r="C455" s="5"/>
      <c r="D455" s="5"/>
      <c r="E455" s="5"/>
    </row>
    <row r="456" ht="15.75" customHeight="1">
      <c r="A456" s="5"/>
      <c r="B456" s="5"/>
      <c r="C456" s="5"/>
      <c r="D456" s="5"/>
      <c r="E456" s="5"/>
    </row>
    <row r="457" ht="15.75" customHeight="1">
      <c r="A457" s="5"/>
      <c r="B457" s="5"/>
      <c r="C457" s="5"/>
      <c r="D457" s="5"/>
      <c r="E457" s="5"/>
    </row>
    <row r="458" ht="15.75" customHeight="1">
      <c r="A458" s="5"/>
      <c r="B458" s="5"/>
      <c r="C458" s="5"/>
      <c r="D458" s="5"/>
      <c r="E458" s="5"/>
    </row>
    <row r="459" ht="15.75" customHeight="1">
      <c r="A459" s="5"/>
      <c r="B459" s="5"/>
      <c r="C459" s="5"/>
      <c r="D459" s="5"/>
      <c r="E459" s="5"/>
    </row>
    <row r="460" ht="15.75" customHeight="1">
      <c r="A460" s="5"/>
      <c r="B460" s="5"/>
      <c r="C460" s="5"/>
      <c r="D460" s="5"/>
      <c r="E460" s="5"/>
    </row>
    <row r="461" ht="15.75" customHeight="1">
      <c r="A461" s="5"/>
      <c r="B461" s="5"/>
      <c r="C461" s="5"/>
      <c r="D461" s="5"/>
      <c r="E461" s="5"/>
    </row>
    <row r="462" ht="15.75" customHeight="1">
      <c r="A462" s="5"/>
      <c r="B462" s="5"/>
      <c r="C462" s="5"/>
      <c r="D462" s="5"/>
      <c r="E462" s="5"/>
    </row>
    <row r="463" ht="15.75" customHeight="1">
      <c r="A463" s="5"/>
      <c r="B463" s="5"/>
      <c r="C463" s="5"/>
      <c r="D463" s="5"/>
      <c r="E463" s="5"/>
    </row>
    <row r="464" ht="15.75" customHeight="1">
      <c r="A464" s="5"/>
      <c r="B464" s="5"/>
      <c r="C464" s="5"/>
      <c r="D464" s="5"/>
      <c r="E464" s="5"/>
    </row>
    <row r="465" ht="15.75" customHeight="1">
      <c r="A465" s="5"/>
      <c r="B465" s="5"/>
      <c r="C465" s="5"/>
      <c r="D465" s="5"/>
      <c r="E465" s="5"/>
    </row>
    <row r="466" ht="15.75" customHeight="1">
      <c r="A466" s="5"/>
      <c r="B466" s="5"/>
      <c r="C466" s="5"/>
      <c r="D466" s="5"/>
      <c r="E466" s="5"/>
    </row>
    <row r="467" ht="15.75" customHeight="1">
      <c r="A467" s="5"/>
      <c r="B467" s="5"/>
      <c r="C467" s="5"/>
      <c r="D467" s="5"/>
      <c r="E467" s="5"/>
    </row>
    <row r="468" ht="15.75" customHeight="1">
      <c r="A468" s="5"/>
      <c r="B468" s="5"/>
      <c r="C468" s="5"/>
      <c r="D468" s="5"/>
      <c r="E468" s="5"/>
    </row>
    <row r="469" ht="15.75" customHeight="1">
      <c r="A469" s="5"/>
      <c r="B469" s="5"/>
      <c r="C469" s="5"/>
      <c r="D469" s="5"/>
      <c r="E469" s="5"/>
    </row>
    <row r="470" ht="15.75" customHeight="1">
      <c r="A470" s="5"/>
      <c r="B470" s="5"/>
      <c r="C470" s="5"/>
      <c r="D470" s="5"/>
      <c r="E470" s="5"/>
    </row>
    <row r="471" ht="15.75" customHeight="1">
      <c r="A471" s="5"/>
      <c r="B471" s="5"/>
      <c r="C471" s="5"/>
      <c r="D471" s="5"/>
      <c r="E471" s="5"/>
    </row>
    <row r="472" ht="15.75" customHeight="1">
      <c r="A472" s="5"/>
      <c r="B472" s="5"/>
      <c r="C472" s="5"/>
      <c r="D472" s="5"/>
      <c r="E472" s="5"/>
    </row>
    <row r="473" ht="15.75" customHeight="1">
      <c r="A473" s="5"/>
      <c r="B473" s="5"/>
      <c r="C473" s="5"/>
      <c r="D473" s="5"/>
      <c r="E473" s="5"/>
    </row>
    <row r="474" ht="15.75" customHeight="1">
      <c r="A474" s="5"/>
      <c r="B474" s="5"/>
      <c r="C474" s="5"/>
      <c r="D474" s="5"/>
      <c r="E474" s="5"/>
    </row>
    <row r="475" ht="15.75" customHeight="1">
      <c r="A475" s="5"/>
      <c r="B475" s="5"/>
      <c r="C475" s="5"/>
      <c r="D475" s="5"/>
      <c r="E475" s="5"/>
    </row>
    <row r="476" ht="15.75" customHeight="1">
      <c r="A476" s="5"/>
      <c r="B476" s="5"/>
      <c r="C476" s="5"/>
      <c r="D476" s="5"/>
      <c r="E476" s="5"/>
    </row>
    <row r="477" ht="15.75" customHeight="1">
      <c r="A477" s="5"/>
      <c r="B477" s="5"/>
      <c r="C477" s="5"/>
      <c r="D477" s="5"/>
      <c r="E477" s="5"/>
    </row>
    <row r="478" ht="15.75" customHeight="1">
      <c r="A478" s="5"/>
      <c r="B478" s="5"/>
      <c r="C478" s="5"/>
      <c r="D478" s="5"/>
      <c r="E478" s="5"/>
    </row>
    <row r="479" ht="15.75" customHeight="1">
      <c r="A479" s="5"/>
      <c r="B479" s="5"/>
      <c r="C479" s="5"/>
      <c r="D479" s="5"/>
      <c r="E479" s="5"/>
    </row>
    <row r="480" ht="15.75" customHeight="1">
      <c r="A480" s="5"/>
      <c r="B480" s="5"/>
      <c r="C480" s="5"/>
      <c r="D480" s="5"/>
      <c r="E480" s="5"/>
    </row>
    <row r="481" ht="15.75" customHeight="1">
      <c r="A481" s="5"/>
      <c r="B481" s="5"/>
      <c r="C481" s="5"/>
      <c r="D481" s="5"/>
      <c r="E481" s="5"/>
    </row>
    <row r="482" ht="15.75" customHeight="1">
      <c r="A482" s="5"/>
      <c r="B482" s="5"/>
      <c r="C482" s="5"/>
      <c r="D482" s="5"/>
      <c r="E482" s="5"/>
    </row>
    <row r="483" ht="15.75" customHeight="1">
      <c r="A483" s="5"/>
      <c r="B483" s="5"/>
      <c r="C483" s="5"/>
      <c r="D483" s="5"/>
      <c r="E483" s="5"/>
    </row>
    <row r="484" ht="15.75" customHeight="1">
      <c r="A484" s="5"/>
      <c r="B484" s="5"/>
      <c r="C484" s="5"/>
      <c r="D484" s="5"/>
      <c r="E484" s="5"/>
    </row>
    <row r="485" ht="15.75" customHeight="1">
      <c r="A485" s="5"/>
      <c r="B485" s="5"/>
      <c r="C485" s="5"/>
      <c r="D485" s="5"/>
      <c r="E485" s="5"/>
    </row>
    <row r="486" ht="15.75" customHeight="1">
      <c r="A486" s="5"/>
      <c r="B486" s="5"/>
      <c r="C486" s="5"/>
      <c r="D486" s="5"/>
      <c r="E486" s="5"/>
    </row>
    <row r="487" ht="15.75" customHeight="1">
      <c r="A487" s="5"/>
      <c r="B487" s="5"/>
      <c r="C487" s="5"/>
      <c r="D487" s="5"/>
      <c r="E487" s="5"/>
    </row>
    <row r="488" ht="15.75" customHeight="1">
      <c r="A488" s="5"/>
      <c r="B488" s="5"/>
      <c r="C488" s="5"/>
      <c r="D488" s="5"/>
      <c r="E488" s="5"/>
    </row>
    <row r="489" ht="15.75" customHeight="1">
      <c r="A489" s="5"/>
      <c r="B489" s="5"/>
      <c r="C489" s="5"/>
      <c r="D489" s="5"/>
      <c r="E489" s="5"/>
    </row>
    <row r="490" ht="15.75" customHeight="1">
      <c r="A490" s="5"/>
      <c r="B490" s="5"/>
      <c r="C490" s="5"/>
      <c r="D490" s="5"/>
      <c r="E490" s="5"/>
    </row>
    <row r="491" ht="15.75" customHeight="1">
      <c r="A491" s="5"/>
      <c r="B491" s="5"/>
      <c r="C491" s="5"/>
      <c r="D491" s="5"/>
      <c r="E491" s="5"/>
    </row>
    <row r="492" ht="15.75" customHeight="1">
      <c r="A492" s="5"/>
      <c r="B492" s="5"/>
      <c r="C492" s="5"/>
      <c r="D492" s="5"/>
      <c r="E492" s="5"/>
    </row>
    <row r="493" ht="15.75" customHeight="1">
      <c r="A493" s="5"/>
      <c r="B493" s="5"/>
      <c r="C493" s="5"/>
      <c r="D493" s="5"/>
      <c r="E493" s="5"/>
    </row>
    <row r="494" ht="15.75" customHeight="1">
      <c r="A494" s="5"/>
      <c r="B494" s="5"/>
      <c r="C494" s="5"/>
      <c r="D494" s="5"/>
      <c r="E494" s="5"/>
    </row>
    <row r="495" ht="15.75" customHeight="1">
      <c r="A495" s="5"/>
      <c r="B495" s="5"/>
      <c r="C495" s="5"/>
      <c r="D495" s="5"/>
      <c r="E495" s="5"/>
    </row>
    <row r="496" ht="15.75" customHeight="1">
      <c r="A496" s="5"/>
      <c r="B496" s="5"/>
      <c r="C496" s="5"/>
      <c r="D496" s="5"/>
      <c r="E496" s="5"/>
    </row>
    <row r="497" ht="15.75" customHeight="1">
      <c r="A497" s="5"/>
      <c r="B497" s="5"/>
      <c r="C497" s="5"/>
      <c r="D497" s="5"/>
      <c r="E497" s="5"/>
    </row>
    <row r="498" ht="15.75" customHeight="1">
      <c r="A498" s="5"/>
      <c r="B498" s="5"/>
      <c r="C498" s="5"/>
      <c r="D498" s="5"/>
      <c r="E498" s="5"/>
    </row>
    <row r="499" ht="15.75" customHeight="1">
      <c r="A499" s="5"/>
      <c r="B499" s="5"/>
      <c r="C499" s="5"/>
      <c r="D499" s="5"/>
      <c r="E499" s="5"/>
    </row>
    <row r="500" ht="15.75" customHeight="1">
      <c r="A500" s="5"/>
      <c r="B500" s="5"/>
      <c r="C500" s="5"/>
      <c r="D500" s="5"/>
      <c r="E500" s="5"/>
    </row>
    <row r="501" ht="15.75" customHeight="1">
      <c r="A501" s="5"/>
      <c r="B501" s="5"/>
      <c r="C501" s="5"/>
      <c r="D501" s="5"/>
      <c r="E501" s="5"/>
    </row>
    <row r="502" ht="15.75" customHeight="1">
      <c r="A502" s="5"/>
      <c r="B502" s="5"/>
      <c r="C502" s="5"/>
      <c r="D502" s="5"/>
      <c r="E502" s="5"/>
    </row>
    <row r="503" ht="15.75" customHeight="1">
      <c r="A503" s="5"/>
      <c r="B503" s="5"/>
      <c r="C503" s="5"/>
      <c r="D503" s="5"/>
      <c r="E503" s="5"/>
    </row>
    <row r="504" ht="15.75" customHeight="1">
      <c r="A504" s="5"/>
      <c r="B504" s="5"/>
      <c r="C504" s="5"/>
      <c r="D504" s="5"/>
      <c r="E504" s="5"/>
    </row>
    <row r="505" ht="15.75" customHeight="1">
      <c r="A505" s="5"/>
      <c r="B505" s="5"/>
      <c r="C505" s="5"/>
      <c r="D505" s="5"/>
      <c r="E505" s="5"/>
    </row>
    <row r="506" ht="15.75" customHeight="1">
      <c r="A506" s="5"/>
      <c r="B506" s="5"/>
      <c r="C506" s="5"/>
      <c r="D506" s="5"/>
      <c r="E506" s="5"/>
    </row>
    <row r="507" ht="15.75" customHeight="1">
      <c r="A507" s="5"/>
      <c r="B507" s="5"/>
      <c r="C507" s="5"/>
      <c r="D507" s="5"/>
      <c r="E507" s="5"/>
    </row>
    <row r="508" ht="15.75" customHeight="1">
      <c r="A508" s="5"/>
      <c r="B508" s="5"/>
      <c r="C508" s="5"/>
      <c r="D508" s="5"/>
      <c r="E508" s="5"/>
    </row>
    <row r="509" ht="15.75" customHeight="1">
      <c r="A509" s="5"/>
      <c r="B509" s="5"/>
      <c r="C509" s="5"/>
      <c r="D509" s="5"/>
      <c r="E509" s="5"/>
    </row>
    <row r="510" ht="15.75" customHeight="1">
      <c r="A510" s="5"/>
      <c r="B510" s="5"/>
      <c r="C510" s="5"/>
      <c r="D510" s="5"/>
      <c r="E510" s="5"/>
    </row>
    <row r="511" ht="15.75" customHeight="1">
      <c r="A511" s="5"/>
      <c r="B511" s="5"/>
      <c r="C511" s="5"/>
      <c r="D511" s="5"/>
      <c r="E511" s="5"/>
    </row>
    <row r="512" ht="15.75" customHeight="1">
      <c r="A512" s="5"/>
      <c r="B512" s="5"/>
      <c r="C512" s="5"/>
      <c r="D512" s="5"/>
      <c r="E512" s="5"/>
    </row>
    <row r="513" ht="15.75" customHeight="1">
      <c r="A513" s="5"/>
      <c r="B513" s="5"/>
      <c r="C513" s="5"/>
      <c r="D513" s="5"/>
      <c r="E513" s="5"/>
    </row>
    <row r="514" ht="15.75" customHeight="1">
      <c r="A514" s="5"/>
      <c r="B514" s="5"/>
      <c r="C514" s="5"/>
      <c r="D514" s="5"/>
      <c r="E514" s="5"/>
    </row>
    <row r="515" ht="15.75" customHeight="1">
      <c r="A515" s="5"/>
      <c r="B515" s="5"/>
      <c r="C515" s="5"/>
      <c r="D515" s="5"/>
      <c r="E515" s="5"/>
    </row>
    <row r="516" ht="15.75" customHeight="1">
      <c r="A516" s="5"/>
      <c r="B516" s="5"/>
      <c r="C516" s="5"/>
      <c r="D516" s="5"/>
      <c r="E516" s="5"/>
    </row>
    <row r="517" ht="15.75" customHeight="1">
      <c r="A517" s="5"/>
      <c r="B517" s="5"/>
      <c r="C517" s="5"/>
      <c r="D517" s="5"/>
      <c r="E517" s="5"/>
    </row>
    <row r="518" ht="15.75" customHeight="1">
      <c r="A518" s="5"/>
      <c r="B518" s="5"/>
      <c r="C518" s="5"/>
      <c r="D518" s="5"/>
      <c r="E518" s="5"/>
    </row>
    <row r="519" ht="15.75" customHeight="1">
      <c r="A519" s="5"/>
      <c r="B519" s="5"/>
      <c r="C519" s="5"/>
      <c r="D519" s="5"/>
      <c r="E519" s="5"/>
    </row>
    <row r="520" ht="15.75" customHeight="1">
      <c r="A520" s="5"/>
      <c r="B520" s="5"/>
      <c r="C520" s="5"/>
      <c r="D520" s="5"/>
      <c r="E520" s="5"/>
    </row>
    <row r="521" ht="15.75" customHeight="1">
      <c r="A521" s="5"/>
      <c r="B521" s="5"/>
      <c r="C521" s="5"/>
      <c r="D521" s="5"/>
      <c r="E521" s="5"/>
    </row>
    <row r="522" ht="15.75" customHeight="1">
      <c r="A522" s="5"/>
      <c r="B522" s="5"/>
      <c r="C522" s="5"/>
      <c r="D522" s="5"/>
      <c r="E522" s="5"/>
    </row>
    <row r="523" ht="15.75" customHeight="1">
      <c r="A523" s="5"/>
      <c r="B523" s="5"/>
      <c r="C523" s="5"/>
      <c r="D523" s="5"/>
      <c r="E523" s="5"/>
    </row>
    <row r="524" ht="15.75" customHeight="1">
      <c r="A524" s="5"/>
      <c r="B524" s="5"/>
      <c r="C524" s="5"/>
      <c r="D524" s="5"/>
      <c r="E524" s="5"/>
    </row>
    <row r="525" ht="15.75" customHeight="1">
      <c r="A525" s="5"/>
      <c r="B525" s="5"/>
      <c r="C525" s="5"/>
      <c r="D525" s="5"/>
      <c r="E525" s="5"/>
    </row>
    <row r="526" ht="15.75" customHeight="1">
      <c r="A526" s="5"/>
      <c r="B526" s="5"/>
      <c r="C526" s="5"/>
      <c r="D526" s="5"/>
      <c r="E526" s="5"/>
    </row>
    <row r="527" ht="15.75" customHeight="1">
      <c r="A527" s="5"/>
      <c r="B527" s="5"/>
      <c r="C527" s="5"/>
      <c r="D527" s="5"/>
      <c r="E527" s="5"/>
    </row>
    <row r="528" ht="15.75" customHeight="1">
      <c r="A528" s="5"/>
      <c r="B528" s="5"/>
      <c r="C528" s="5"/>
      <c r="D528" s="5"/>
      <c r="E528" s="5"/>
    </row>
    <row r="529" ht="15.75" customHeight="1">
      <c r="A529" s="5"/>
      <c r="B529" s="5"/>
      <c r="C529" s="5"/>
      <c r="D529" s="5"/>
      <c r="E529" s="5"/>
    </row>
    <row r="530" ht="15.75" customHeight="1">
      <c r="A530" s="5"/>
      <c r="B530" s="5"/>
      <c r="C530" s="5"/>
      <c r="D530" s="5"/>
      <c r="E530" s="5"/>
    </row>
    <row r="531" ht="15.75" customHeight="1">
      <c r="A531" s="5"/>
      <c r="B531" s="5"/>
      <c r="C531" s="5"/>
      <c r="D531" s="5"/>
      <c r="E531" s="5"/>
    </row>
    <row r="532" ht="15.75" customHeight="1">
      <c r="A532" s="5"/>
      <c r="B532" s="5"/>
      <c r="C532" s="5"/>
      <c r="D532" s="5"/>
      <c r="E532" s="5"/>
    </row>
    <row r="533" ht="15.75" customHeight="1">
      <c r="A533" s="5"/>
      <c r="B533" s="5"/>
      <c r="C533" s="5"/>
      <c r="D533" s="5"/>
      <c r="E533" s="5"/>
    </row>
    <row r="534" ht="15.75" customHeight="1">
      <c r="A534" s="5"/>
      <c r="B534" s="5"/>
      <c r="C534" s="5"/>
      <c r="D534" s="5"/>
      <c r="E534" s="5"/>
    </row>
    <row r="535" ht="15.75" customHeight="1">
      <c r="A535" s="5"/>
      <c r="B535" s="5"/>
      <c r="C535" s="5"/>
      <c r="D535" s="5"/>
      <c r="E535" s="5"/>
    </row>
    <row r="536" ht="15.75" customHeight="1">
      <c r="A536" s="5"/>
      <c r="B536" s="5"/>
      <c r="C536" s="5"/>
      <c r="D536" s="5"/>
      <c r="E536" s="5"/>
    </row>
    <row r="537" ht="15.75" customHeight="1">
      <c r="A537" s="5"/>
      <c r="B537" s="5"/>
      <c r="C537" s="5"/>
      <c r="D537" s="5"/>
      <c r="E537" s="5"/>
    </row>
    <row r="538" ht="15.75" customHeight="1">
      <c r="A538" s="5"/>
      <c r="B538" s="5"/>
      <c r="C538" s="5"/>
      <c r="D538" s="5"/>
      <c r="E538" s="5"/>
    </row>
    <row r="539" ht="15.75" customHeight="1">
      <c r="A539" s="5"/>
      <c r="B539" s="5"/>
      <c r="C539" s="5"/>
      <c r="D539" s="5"/>
      <c r="E539" s="5"/>
    </row>
    <row r="540" ht="15.75" customHeight="1">
      <c r="A540" s="5"/>
      <c r="B540" s="5"/>
      <c r="C540" s="5"/>
      <c r="D540" s="5"/>
      <c r="E540" s="5"/>
    </row>
    <row r="541" ht="15.75" customHeight="1">
      <c r="A541" s="5"/>
      <c r="B541" s="5"/>
      <c r="C541" s="5"/>
      <c r="D541" s="5"/>
      <c r="E541" s="5"/>
    </row>
    <row r="542" ht="15.75" customHeight="1">
      <c r="A542" s="5"/>
      <c r="B542" s="5"/>
      <c r="C542" s="5"/>
      <c r="D542" s="5"/>
      <c r="E542" s="5"/>
    </row>
    <row r="543" ht="15.75" customHeight="1">
      <c r="A543" s="5"/>
      <c r="B543" s="5"/>
      <c r="C543" s="5"/>
      <c r="D543" s="5"/>
      <c r="E543" s="5"/>
    </row>
    <row r="544" ht="15.75" customHeight="1">
      <c r="A544" s="5"/>
      <c r="B544" s="5"/>
      <c r="C544" s="5"/>
      <c r="D544" s="5"/>
      <c r="E544" s="5"/>
    </row>
    <row r="545" ht="15.75" customHeight="1">
      <c r="A545" s="5"/>
      <c r="B545" s="5"/>
      <c r="C545" s="5"/>
      <c r="D545" s="5"/>
      <c r="E545" s="5"/>
    </row>
    <row r="546" ht="15.75" customHeight="1">
      <c r="A546" s="5"/>
      <c r="B546" s="5"/>
      <c r="C546" s="5"/>
      <c r="D546" s="5"/>
      <c r="E546" s="5"/>
    </row>
    <row r="547" ht="15.75" customHeight="1">
      <c r="A547" s="5"/>
      <c r="B547" s="5"/>
      <c r="C547" s="5"/>
      <c r="D547" s="5"/>
      <c r="E547" s="5"/>
    </row>
    <row r="548" ht="15.75" customHeight="1">
      <c r="A548" s="5"/>
      <c r="B548" s="5"/>
      <c r="C548" s="5"/>
      <c r="D548" s="5"/>
      <c r="E548" s="5"/>
    </row>
    <row r="549" ht="15.75" customHeight="1">
      <c r="A549" s="5"/>
      <c r="B549" s="5"/>
      <c r="C549" s="5"/>
      <c r="D549" s="5"/>
      <c r="E549" s="5"/>
    </row>
    <row r="550" ht="15.75" customHeight="1">
      <c r="A550" s="5"/>
      <c r="B550" s="5"/>
      <c r="C550" s="5"/>
      <c r="D550" s="5"/>
      <c r="E550" s="5"/>
    </row>
    <row r="551" ht="15.75" customHeight="1">
      <c r="A551" s="5"/>
      <c r="B551" s="5"/>
      <c r="C551" s="5"/>
      <c r="D551" s="5"/>
      <c r="E551" s="5"/>
    </row>
    <row r="552" ht="15.75" customHeight="1">
      <c r="A552" s="5"/>
      <c r="B552" s="5"/>
      <c r="C552" s="5"/>
      <c r="D552" s="5"/>
      <c r="E552" s="5"/>
    </row>
    <row r="553" ht="15.75" customHeight="1">
      <c r="A553" s="5"/>
      <c r="B553" s="5"/>
      <c r="C553" s="5"/>
      <c r="D553" s="5"/>
      <c r="E553" s="5"/>
    </row>
    <row r="554" ht="15.75" customHeight="1">
      <c r="A554" s="5"/>
      <c r="B554" s="5"/>
      <c r="C554" s="5"/>
      <c r="D554" s="5"/>
      <c r="E554" s="5"/>
    </row>
    <row r="555" ht="15.75" customHeight="1">
      <c r="A555" s="5"/>
      <c r="B555" s="5"/>
      <c r="C555" s="5"/>
      <c r="D555" s="5"/>
      <c r="E555" s="5"/>
    </row>
    <row r="556" ht="15.75" customHeight="1">
      <c r="A556" s="5"/>
      <c r="B556" s="5"/>
      <c r="C556" s="5"/>
      <c r="D556" s="5"/>
      <c r="E556" s="5"/>
    </row>
    <row r="557" ht="15.75" customHeight="1">
      <c r="A557" s="5"/>
      <c r="B557" s="5"/>
      <c r="C557" s="5"/>
      <c r="D557" s="5"/>
      <c r="E557" s="5"/>
    </row>
    <row r="558" ht="15.75" customHeight="1">
      <c r="A558" s="5"/>
      <c r="B558" s="5"/>
      <c r="C558" s="5"/>
      <c r="D558" s="5"/>
      <c r="E558" s="5"/>
    </row>
    <row r="559" ht="15.75" customHeight="1">
      <c r="A559" s="5"/>
      <c r="B559" s="5"/>
      <c r="C559" s="5"/>
      <c r="D559" s="5"/>
      <c r="E559" s="5"/>
    </row>
    <row r="560" ht="15.75" customHeight="1">
      <c r="A560" s="5"/>
      <c r="B560" s="5"/>
      <c r="C560" s="5"/>
      <c r="D560" s="5"/>
      <c r="E560" s="5"/>
    </row>
    <row r="561" ht="15.75" customHeight="1">
      <c r="A561" s="5"/>
      <c r="B561" s="5"/>
      <c r="C561" s="5"/>
      <c r="D561" s="5"/>
      <c r="E561" s="5"/>
    </row>
    <row r="562" ht="15.75" customHeight="1">
      <c r="A562" s="5"/>
      <c r="B562" s="5"/>
      <c r="C562" s="5"/>
      <c r="D562" s="5"/>
      <c r="E562" s="5"/>
    </row>
    <row r="563" ht="15.75" customHeight="1">
      <c r="A563" s="5"/>
      <c r="B563" s="5"/>
      <c r="C563" s="5"/>
      <c r="D563" s="5"/>
      <c r="E563" s="5"/>
    </row>
    <row r="564" ht="15.75" customHeight="1">
      <c r="A564" s="5"/>
      <c r="B564" s="5"/>
      <c r="C564" s="5"/>
      <c r="D564" s="5"/>
      <c r="E564" s="5"/>
    </row>
    <row r="565" ht="15.75" customHeight="1">
      <c r="A565" s="5"/>
      <c r="B565" s="5"/>
      <c r="C565" s="5"/>
      <c r="D565" s="5"/>
      <c r="E565" s="5"/>
    </row>
    <row r="566" ht="15.75" customHeight="1">
      <c r="A566" s="5"/>
      <c r="B566" s="5"/>
      <c r="C566" s="5"/>
      <c r="D566" s="5"/>
      <c r="E566" s="5"/>
    </row>
    <row r="567" ht="15.75" customHeight="1">
      <c r="A567" s="5"/>
      <c r="B567" s="5"/>
      <c r="C567" s="5"/>
      <c r="D567" s="5"/>
      <c r="E567" s="5"/>
    </row>
    <row r="568" ht="15.75" customHeight="1">
      <c r="A568" s="5"/>
      <c r="B568" s="5"/>
      <c r="C568" s="5"/>
      <c r="D568" s="5"/>
      <c r="E568" s="5"/>
    </row>
    <row r="569" ht="15.75" customHeight="1">
      <c r="A569" s="5"/>
      <c r="B569" s="5"/>
      <c r="C569" s="5"/>
      <c r="D569" s="5"/>
      <c r="E569" s="5"/>
    </row>
    <row r="570" ht="15.75" customHeight="1">
      <c r="A570" s="5"/>
      <c r="B570" s="5"/>
      <c r="C570" s="5"/>
      <c r="D570" s="5"/>
      <c r="E570" s="5"/>
    </row>
    <row r="571" ht="15.75" customHeight="1">
      <c r="A571" s="5"/>
      <c r="B571" s="5"/>
      <c r="C571" s="5"/>
      <c r="D571" s="5"/>
      <c r="E571" s="5"/>
    </row>
    <row r="572" ht="15.75" customHeight="1">
      <c r="A572" s="5"/>
      <c r="B572" s="5"/>
      <c r="C572" s="5"/>
      <c r="D572" s="5"/>
      <c r="E572" s="5"/>
    </row>
    <row r="573" ht="15.75" customHeight="1">
      <c r="A573" s="5"/>
      <c r="B573" s="5"/>
      <c r="C573" s="5"/>
      <c r="D573" s="5"/>
      <c r="E573" s="5"/>
    </row>
    <row r="574" ht="15.75" customHeight="1">
      <c r="A574" s="5"/>
      <c r="B574" s="5"/>
      <c r="C574" s="5"/>
      <c r="D574" s="5"/>
      <c r="E574" s="5"/>
    </row>
    <row r="575" ht="15.75" customHeight="1">
      <c r="A575" s="5"/>
      <c r="B575" s="5"/>
      <c r="C575" s="5"/>
      <c r="D575" s="5"/>
      <c r="E575" s="5"/>
    </row>
    <row r="576" ht="15.75" customHeight="1">
      <c r="A576" s="5"/>
      <c r="B576" s="5"/>
      <c r="C576" s="5"/>
      <c r="D576" s="5"/>
      <c r="E576" s="5"/>
    </row>
    <row r="577" ht="15.75" customHeight="1">
      <c r="A577" s="5"/>
      <c r="B577" s="5"/>
      <c r="C577" s="5"/>
      <c r="D577" s="5"/>
      <c r="E577" s="5"/>
    </row>
    <row r="578" ht="15.75" customHeight="1">
      <c r="A578" s="5"/>
      <c r="B578" s="5"/>
      <c r="C578" s="5"/>
      <c r="D578" s="5"/>
      <c r="E578" s="5"/>
    </row>
    <row r="579" ht="15.75" customHeight="1">
      <c r="A579" s="5"/>
      <c r="B579" s="5"/>
      <c r="C579" s="5"/>
      <c r="D579" s="5"/>
      <c r="E579" s="5"/>
    </row>
    <row r="580" ht="15.75" customHeight="1">
      <c r="A580" s="5"/>
      <c r="B580" s="5"/>
      <c r="C580" s="5"/>
      <c r="D580" s="5"/>
      <c r="E580" s="5"/>
    </row>
    <row r="581" ht="15.75" customHeight="1">
      <c r="A581" s="5"/>
      <c r="B581" s="5"/>
      <c r="C581" s="5"/>
      <c r="D581" s="5"/>
      <c r="E581" s="5"/>
    </row>
    <row r="582" ht="15.75" customHeight="1">
      <c r="A582" s="5"/>
      <c r="B582" s="5"/>
      <c r="C582" s="5"/>
      <c r="D582" s="5"/>
      <c r="E582" s="5"/>
    </row>
    <row r="583" ht="15.75" customHeight="1">
      <c r="A583" s="5"/>
      <c r="B583" s="5"/>
      <c r="C583" s="5"/>
      <c r="D583" s="5"/>
      <c r="E583" s="5"/>
    </row>
    <row r="584" ht="15.75" customHeight="1">
      <c r="A584" s="5"/>
      <c r="B584" s="5"/>
      <c r="C584" s="5"/>
      <c r="D584" s="5"/>
      <c r="E584" s="5"/>
    </row>
    <row r="585" ht="15.75" customHeight="1">
      <c r="A585" s="5"/>
      <c r="B585" s="5"/>
      <c r="C585" s="5"/>
      <c r="D585" s="5"/>
      <c r="E585" s="5"/>
    </row>
    <row r="586" ht="15.75" customHeight="1">
      <c r="A586" s="5"/>
      <c r="B586" s="5"/>
      <c r="C586" s="5"/>
      <c r="D586" s="5"/>
      <c r="E586" s="5"/>
    </row>
    <row r="587" ht="15.75" customHeight="1">
      <c r="A587" s="5"/>
      <c r="B587" s="5"/>
      <c r="C587" s="5"/>
      <c r="D587" s="5"/>
      <c r="E587" s="5"/>
    </row>
    <row r="588" ht="15.75" customHeight="1">
      <c r="A588" s="5"/>
      <c r="B588" s="5"/>
      <c r="C588" s="5"/>
      <c r="D588" s="5"/>
      <c r="E588" s="5"/>
    </row>
    <row r="589" ht="15.75" customHeight="1">
      <c r="A589" s="5"/>
      <c r="B589" s="5"/>
      <c r="C589" s="5"/>
      <c r="D589" s="5"/>
      <c r="E589" s="5"/>
    </row>
    <row r="590" ht="15.75" customHeight="1">
      <c r="A590" s="5"/>
      <c r="B590" s="5"/>
      <c r="C590" s="5"/>
      <c r="D590" s="5"/>
      <c r="E590" s="5"/>
    </row>
    <row r="591" ht="15.75" customHeight="1">
      <c r="A591" s="5"/>
      <c r="B591" s="5"/>
      <c r="C591" s="5"/>
      <c r="D591" s="5"/>
      <c r="E591" s="5"/>
    </row>
    <row r="592" ht="15.75" customHeight="1">
      <c r="A592" s="5"/>
      <c r="B592" s="5"/>
      <c r="C592" s="5"/>
      <c r="D592" s="5"/>
      <c r="E592" s="5"/>
    </row>
    <row r="593" ht="15.75" customHeight="1">
      <c r="A593" s="5"/>
      <c r="B593" s="5"/>
      <c r="C593" s="5"/>
      <c r="D593" s="5"/>
      <c r="E593" s="5"/>
    </row>
    <row r="594" ht="15.75" customHeight="1">
      <c r="A594" s="5"/>
      <c r="B594" s="5"/>
      <c r="C594" s="5"/>
      <c r="D594" s="5"/>
      <c r="E594" s="5"/>
    </row>
    <row r="595" ht="15.75" customHeight="1">
      <c r="A595" s="5"/>
      <c r="B595" s="5"/>
      <c r="C595" s="5"/>
      <c r="D595" s="5"/>
      <c r="E595" s="5"/>
    </row>
    <row r="596" ht="15.75" customHeight="1">
      <c r="A596" s="5"/>
      <c r="B596" s="5"/>
      <c r="C596" s="5"/>
      <c r="D596" s="5"/>
      <c r="E596" s="5"/>
    </row>
    <row r="597" ht="15.75" customHeight="1">
      <c r="A597" s="5"/>
      <c r="B597" s="5"/>
      <c r="C597" s="5"/>
      <c r="D597" s="5"/>
      <c r="E597" s="5"/>
    </row>
    <row r="598" ht="15.75" customHeight="1">
      <c r="A598" s="5"/>
      <c r="B598" s="5"/>
      <c r="C598" s="5"/>
      <c r="D598" s="5"/>
      <c r="E598" s="5"/>
    </row>
    <row r="599" ht="15.75" customHeight="1">
      <c r="A599" s="5"/>
      <c r="B599" s="5"/>
      <c r="C599" s="5"/>
      <c r="D599" s="5"/>
      <c r="E599" s="5"/>
    </row>
    <row r="600" ht="15.75" customHeight="1">
      <c r="A600" s="5"/>
      <c r="B600" s="5"/>
      <c r="C600" s="5"/>
      <c r="D600" s="5"/>
      <c r="E600" s="5"/>
    </row>
    <row r="601" ht="15.75" customHeight="1">
      <c r="A601" s="5"/>
      <c r="B601" s="5"/>
      <c r="C601" s="5"/>
      <c r="D601" s="5"/>
      <c r="E601" s="5"/>
    </row>
    <row r="602" ht="15.75" customHeight="1">
      <c r="A602" s="5"/>
      <c r="B602" s="5"/>
      <c r="C602" s="5"/>
      <c r="D602" s="5"/>
      <c r="E602" s="5"/>
    </row>
    <row r="603" ht="15.75" customHeight="1">
      <c r="A603" s="5"/>
      <c r="B603" s="5"/>
      <c r="C603" s="5"/>
      <c r="D603" s="5"/>
      <c r="E603" s="5"/>
    </row>
    <row r="604" ht="15.75" customHeight="1">
      <c r="A604" s="5"/>
      <c r="B604" s="5"/>
      <c r="C604" s="5"/>
      <c r="D604" s="5"/>
      <c r="E604" s="5"/>
    </row>
    <row r="605" ht="15.75" customHeight="1">
      <c r="A605" s="5"/>
      <c r="B605" s="5"/>
      <c r="C605" s="5"/>
      <c r="D605" s="5"/>
      <c r="E605" s="5"/>
    </row>
    <row r="606" ht="15.75" customHeight="1">
      <c r="A606" s="5"/>
      <c r="B606" s="5"/>
      <c r="C606" s="5"/>
      <c r="D606" s="5"/>
      <c r="E606" s="5"/>
    </row>
    <row r="607" ht="15.75" customHeight="1">
      <c r="A607" s="5"/>
      <c r="B607" s="5"/>
      <c r="C607" s="5"/>
      <c r="D607" s="5"/>
      <c r="E607" s="5"/>
    </row>
    <row r="608" ht="15.75" customHeight="1">
      <c r="A608" s="5"/>
      <c r="B608" s="5"/>
      <c r="C608" s="5"/>
      <c r="D608" s="5"/>
      <c r="E608" s="5"/>
    </row>
    <row r="609" ht="15.75" customHeight="1">
      <c r="A609" s="5"/>
      <c r="B609" s="5"/>
      <c r="C609" s="5"/>
      <c r="D609" s="5"/>
      <c r="E609" s="5"/>
    </row>
    <row r="610" ht="15.75" customHeight="1">
      <c r="A610" s="5"/>
      <c r="B610" s="5"/>
      <c r="C610" s="5"/>
      <c r="D610" s="5"/>
      <c r="E610" s="5"/>
    </row>
    <row r="611" ht="15.75" customHeight="1">
      <c r="A611" s="5"/>
      <c r="B611" s="5"/>
      <c r="C611" s="5"/>
      <c r="D611" s="5"/>
      <c r="E611" s="5"/>
    </row>
    <row r="612" ht="15.75" customHeight="1">
      <c r="A612" s="5"/>
      <c r="B612" s="5"/>
      <c r="C612" s="5"/>
      <c r="D612" s="5"/>
      <c r="E612" s="5"/>
    </row>
    <row r="613" ht="15.75" customHeight="1">
      <c r="A613" s="5"/>
      <c r="B613" s="5"/>
      <c r="C613" s="5"/>
      <c r="D613" s="5"/>
      <c r="E613" s="5"/>
    </row>
    <row r="614" ht="15.75" customHeight="1">
      <c r="A614" s="5"/>
      <c r="B614" s="5"/>
      <c r="C614" s="5"/>
      <c r="D614" s="5"/>
      <c r="E614" s="5"/>
    </row>
    <row r="615" ht="15.75" customHeight="1">
      <c r="A615" s="5"/>
      <c r="B615" s="5"/>
      <c r="C615" s="5"/>
      <c r="D615" s="5"/>
      <c r="E615" s="5"/>
    </row>
    <row r="616" ht="15.75" customHeight="1">
      <c r="A616" s="5"/>
      <c r="B616" s="5"/>
      <c r="C616" s="5"/>
      <c r="D616" s="5"/>
      <c r="E616" s="5"/>
    </row>
    <row r="617" ht="15.75" customHeight="1">
      <c r="A617" s="5"/>
      <c r="B617" s="5"/>
      <c r="C617" s="5"/>
      <c r="D617" s="5"/>
      <c r="E617" s="5"/>
    </row>
    <row r="618" ht="15.75" customHeight="1">
      <c r="A618" s="5"/>
      <c r="B618" s="5"/>
      <c r="C618" s="5"/>
      <c r="D618" s="5"/>
      <c r="E618" s="5"/>
    </row>
    <row r="619" ht="15.75" customHeight="1">
      <c r="A619" s="5"/>
      <c r="B619" s="5"/>
      <c r="C619" s="5"/>
      <c r="D619" s="5"/>
      <c r="E619" s="5"/>
    </row>
    <row r="620" ht="15.75" customHeight="1">
      <c r="A620" s="5"/>
      <c r="B620" s="5"/>
      <c r="C620" s="5"/>
      <c r="D620" s="5"/>
      <c r="E620" s="5"/>
    </row>
    <row r="621" ht="15.75" customHeight="1">
      <c r="A621" s="5"/>
      <c r="B621" s="5"/>
      <c r="C621" s="5"/>
      <c r="D621" s="5"/>
      <c r="E621" s="5"/>
    </row>
    <row r="622" ht="15.75" customHeight="1">
      <c r="A622" s="5"/>
      <c r="B622" s="5"/>
      <c r="C622" s="5"/>
      <c r="D622" s="5"/>
      <c r="E622" s="5"/>
    </row>
    <row r="623" ht="15.75" customHeight="1">
      <c r="A623" s="5"/>
      <c r="B623" s="5"/>
      <c r="C623" s="5"/>
      <c r="D623" s="5"/>
      <c r="E623" s="5"/>
    </row>
    <row r="624" ht="15.75" customHeight="1">
      <c r="A624" s="5"/>
      <c r="B624" s="5"/>
      <c r="C624" s="5"/>
      <c r="D624" s="5"/>
      <c r="E624" s="5"/>
    </row>
    <row r="625" ht="15.75" customHeight="1">
      <c r="A625" s="5"/>
      <c r="B625" s="5"/>
      <c r="C625" s="5"/>
      <c r="D625" s="5"/>
      <c r="E625" s="5"/>
    </row>
    <row r="626" ht="15.75" customHeight="1">
      <c r="A626" s="5"/>
      <c r="B626" s="5"/>
      <c r="C626" s="5"/>
      <c r="D626" s="5"/>
      <c r="E626" s="5"/>
    </row>
    <row r="627" ht="15.75" customHeight="1">
      <c r="A627" s="5"/>
      <c r="B627" s="5"/>
      <c r="C627" s="5"/>
      <c r="D627" s="5"/>
      <c r="E627" s="5"/>
    </row>
    <row r="628" ht="15.75" customHeight="1">
      <c r="A628" s="5"/>
      <c r="B628" s="5"/>
      <c r="C628" s="5"/>
      <c r="D628" s="5"/>
      <c r="E628" s="5"/>
    </row>
    <row r="629" ht="15.75" customHeight="1">
      <c r="A629" s="5"/>
      <c r="B629" s="5"/>
      <c r="C629" s="5"/>
      <c r="D629" s="5"/>
      <c r="E629" s="5"/>
    </row>
    <row r="630" ht="15.75" customHeight="1">
      <c r="A630" s="5"/>
      <c r="B630" s="5"/>
      <c r="C630" s="5"/>
      <c r="D630" s="5"/>
      <c r="E630" s="5"/>
    </row>
    <row r="631" ht="15.75" customHeight="1">
      <c r="A631" s="5"/>
      <c r="B631" s="5"/>
      <c r="C631" s="5"/>
      <c r="D631" s="5"/>
      <c r="E631" s="5"/>
    </row>
    <row r="632" ht="15.75" customHeight="1">
      <c r="A632" s="5"/>
      <c r="B632" s="5"/>
      <c r="C632" s="5"/>
      <c r="D632" s="5"/>
      <c r="E632" s="5"/>
    </row>
    <row r="633" ht="15.75" customHeight="1">
      <c r="A633" s="5"/>
      <c r="B633" s="5"/>
      <c r="C633" s="5"/>
      <c r="D633" s="5"/>
      <c r="E633" s="5"/>
    </row>
    <row r="634" ht="15.75" customHeight="1">
      <c r="A634" s="5"/>
      <c r="B634" s="5"/>
      <c r="C634" s="5"/>
      <c r="D634" s="5"/>
      <c r="E634" s="5"/>
    </row>
    <row r="635" ht="15.75" customHeight="1">
      <c r="A635" s="5"/>
      <c r="B635" s="5"/>
      <c r="C635" s="5"/>
      <c r="D635" s="5"/>
      <c r="E635" s="5"/>
    </row>
    <row r="636" ht="15.75" customHeight="1">
      <c r="A636" s="5"/>
      <c r="B636" s="5"/>
      <c r="C636" s="5"/>
      <c r="D636" s="5"/>
      <c r="E636" s="5"/>
    </row>
    <row r="637" ht="15.75" customHeight="1">
      <c r="A637" s="5"/>
      <c r="B637" s="5"/>
      <c r="C637" s="5"/>
      <c r="D637" s="5"/>
      <c r="E637" s="5"/>
    </row>
    <row r="638" ht="15.75" customHeight="1">
      <c r="A638" s="5"/>
      <c r="B638" s="5"/>
      <c r="C638" s="5"/>
      <c r="D638" s="5"/>
      <c r="E638" s="5"/>
    </row>
    <row r="639" ht="15.75" customHeight="1">
      <c r="A639" s="5"/>
      <c r="B639" s="5"/>
      <c r="C639" s="5"/>
      <c r="D639" s="5"/>
      <c r="E639" s="5"/>
    </row>
    <row r="640" ht="15.75" customHeight="1">
      <c r="A640" s="5"/>
      <c r="B640" s="5"/>
      <c r="C640" s="5"/>
      <c r="D640" s="5"/>
      <c r="E640" s="5"/>
    </row>
    <row r="641" ht="15.75" customHeight="1">
      <c r="A641" s="5"/>
      <c r="B641" s="5"/>
      <c r="C641" s="5"/>
      <c r="D641" s="5"/>
      <c r="E641" s="5"/>
    </row>
    <row r="642" ht="15.75" customHeight="1">
      <c r="A642" s="5"/>
      <c r="B642" s="5"/>
      <c r="C642" s="5"/>
      <c r="D642" s="5"/>
      <c r="E642" s="5"/>
    </row>
    <row r="643" ht="15.75" customHeight="1">
      <c r="A643" s="5"/>
      <c r="B643" s="5"/>
      <c r="C643" s="5"/>
      <c r="D643" s="5"/>
      <c r="E643" s="5"/>
    </row>
    <row r="644" ht="15.75" customHeight="1">
      <c r="A644" s="5"/>
      <c r="B644" s="5"/>
      <c r="C644" s="5"/>
      <c r="D644" s="5"/>
      <c r="E644" s="5"/>
    </row>
    <row r="645" ht="15.75" customHeight="1">
      <c r="A645" s="5"/>
      <c r="B645" s="5"/>
      <c r="C645" s="5"/>
      <c r="D645" s="5"/>
      <c r="E645" s="5"/>
    </row>
    <row r="646" ht="15.75" customHeight="1">
      <c r="A646" s="5"/>
      <c r="B646" s="5"/>
      <c r="C646" s="5"/>
      <c r="D646" s="5"/>
      <c r="E646" s="5"/>
    </row>
    <row r="647" ht="15.75" customHeight="1">
      <c r="A647" s="5"/>
      <c r="B647" s="5"/>
      <c r="C647" s="5"/>
      <c r="D647" s="5"/>
      <c r="E647" s="5"/>
    </row>
    <row r="648" ht="15.75" customHeight="1">
      <c r="A648" s="5"/>
      <c r="B648" s="5"/>
      <c r="C648" s="5"/>
      <c r="D648" s="5"/>
      <c r="E648" s="5"/>
    </row>
    <row r="649" ht="15.75" customHeight="1">
      <c r="A649" s="5"/>
      <c r="B649" s="5"/>
      <c r="C649" s="5"/>
      <c r="D649" s="5"/>
      <c r="E649" s="5"/>
    </row>
    <row r="650" ht="15.75" customHeight="1">
      <c r="A650" s="5"/>
      <c r="B650" s="5"/>
      <c r="C650" s="5"/>
      <c r="D650" s="5"/>
      <c r="E650" s="5"/>
    </row>
    <row r="651" ht="15.75" customHeight="1">
      <c r="A651" s="5"/>
      <c r="B651" s="5"/>
      <c r="C651" s="5"/>
      <c r="D651" s="5"/>
      <c r="E651" s="5"/>
    </row>
    <row r="652" ht="15.75" customHeight="1">
      <c r="A652" s="5"/>
      <c r="B652" s="5"/>
      <c r="C652" s="5"/>
      <c r="D652" s="5"/>
      <c r="E652" s="5"/>
    </row>
    <row r="653" ht="15.75" customHeight="1">
      <c r="A653" s="5"/>
      <c r="B653" s="5"/>
      <c r="C653" s="5"/>
      <c r="D653" s="5"/>
      <c r="E653" s="5"/>
    </row>
    <row r="654" ht="15.75" customHeight="1">
      <c r="A654" s="5"/>
      <c r="B654" s="5"/>
      <c r="C654" s="5"/>
      <c r="D654" s="5"/>
      <c r="E654" s="5"/>
    </row>
    <row r="655" ht="15.75" customHeight="1">
      <c r="A655" s="5"/>
      <c r="B655" s="5"/>
      <c r="C655" s="5"/>
      <c r="D655" s="5"/>
      <c r="E655" s="5"/>
    </row>
    <row r="656" ht="15.75" customHeight="1">
      <c r="A656" s="5"/>
      <c r="B656" s="5"/>
      <c r="C656" s="5"/>
      <c r="D656" s="5"/>
      <c r="E656" s="5"/>
    </row>
    <row r="657" ht="15.75" customHeight="1">
      <c r="A657" s="5"/>
      <c r="B657" s="5"/>
      <c r="C657" s="5"/>
      <c r="D657" s="5"/>
      <c r="E657" s="5"/>
    </row>
    <row r="658" ht="15.75" customHeight="1">
      <c r="A658" s="5"/>
      <c r="B658" s="5"/>
      <c r="C658" s="5"/>
      <c r="D658" s="5"/>
      <c r="E658" s="5"/>
    </row>
    <row r="659" ht="15.75" customHeight="1">
      <c r="A659" s="5"/>
      <c r="B659" s="5"/>
      <c r="C659" s="5"/>
      <c r="D659" s="5"/>
      <c r="E659" s="5"/>
    </row>
    <row r="660" ht="15.75" customHeight="1">
      <c r="A660" s="5"/>
      <c r="B660" s="5"/>
      <c r="C660" s="5"/>
      <c r="D660" s="5"/>
      <c r="E660" s="5"/>
    </row>
    <row r="661" ht="15.75" customHeight="1">
      <c r="A661" s="5"/>
      <c r="B661" s="5"/>
      <c r="C661" s="5"/>
      <c r="D661" s="5"/>
      <c r="E661" s="5"/>
    </row>
    <row r="662" ht="15.75" customHeight="1">
      <c r="A662" s="5"/>
      <c r="B662" s="5"/>
      <c r="C662" s="5"/>
      <c r="D662" s="5"/>
      <c r="E662" s="5"/>
    </row>
    <row r="663" ht="15.75" customHeight="1">
      <c r="A663" s="5"/>
      <c r="B663" s="5"/>
      <c r="C663" s="5"/>
      <c r="D663" s="5"/>
      <c r="E663" s="5"/>
    </row>
    <row r="664" ht="15.75" customHeight="1">
      <c r="A664" s="5"/>
      <c r="B664" s="5"/>
      <c r="C664" s="5"/>
      <c r="D664" s="5"/>
      <c r="E664" s="5"/>
    </row>
    <row r="665" ht="15.75" customHeight="1">
      <c r="A665" s="5"/>
      <c r="B665" s="5"/>
      <c r="C665" s="5"/>
      <c r="D665" s="5"/>
      <c r="E665" s="5"/>
    </row>
    <row r="666" ht="15.75" customHeight="1">
      <c r="A666" s="5"/>
      <c r="B666" s="5"/>
      <c r="C666" s="5"/>
      <c r="D666" s="5"/>
      <c r="E666" s="5"/>
    </row>
    <row r="667" ht="15.75" customHeight="1">
      <c r="A667" s="5"/>
      <c r="B667" s="5"/>
      <c r="C667" s="5"/>
      <c r="D667" s="5"/>
      <c r="E667" s="5"/>
    </row>
    <row r="668" ht="15.75" customHeight="1">
      <c r="A668" s="5"/>
      <c r="B668" s="5"/>
      <c r="C668" s="5"/>
      <c r="D668" s="5"/>
      <c r="E668" s="5"/>
    </row>
    <row r="669" ht="15.75" customHeight="1">
      <c r="A669" s="5"/>
      <c r="B669" s="5"/>
      <c r="C669" s="5"/>
      <c r="D669" s="5"/>
      <c r="E669" s="5"/>
    </row>
    <row r="670" ht="15.75" customHeight="1">
      <c r="A670" s="5"/>
      <c r="B670" s="5"/>
      <c r="C670" s="5"/>
      <c r="D670" s="5"/>
      <c r="E670" s="5"/>
    </row>
    <row r="671" ht="15.75" customHeight="1">
      <c r="A671" s="5"/>
      <c r="B671" s="5"/>
      <c r="C671" s="5"/>
      <c r="D671" s="5"/>
      <c r="E671" s="5"/>
    </row>
    <row r="672" ht="15.75" customHeight="1">
      <c r="A672" s="5"/>
      <c r="B672" s="5"/>
      <c r="C672" s="5"/>
      <c r="D672" s="5"/>
      <c r="E672" s="5"/>
    </row>
    <row r="673" ht="15.75" customHeight="1">
      <c r="A673" s="5"/>
      <c r="B673" s="5"/>
      <c r="C673" s="5"/>
      <c r="D673" s="5"/>
      <c r="E673" s="5"/>
    </row>
    <row r="674" ht="15.75" customHeight="1">
      <c r="A674" s="5"/>
      <c r="B674" s="5"/>
      <c r="C674" s="5"/>
      <c r="D674" s="5"/>
      <c r="E674" s="5"/>
    </row>
    <row r="675" ht="15.75" customHeight="1">
      <c r="A675" s="5"/>
      <c r="B675" s="5"/>
      <c r="C675" s="5"/>
      <c r="D675" s="5"/>
      <c r="E675" s="5"/>
    </row>
    <row r="676" ht="15.75" customHeight="1">
      <c r="A676" s="5"/>
      <c r="B676" s="5"/>
      <c r="C676" s="5"/>
      <c r="D676" s="5"/>
      <c r="E676" s="5"/>
    </row>
    <row r="677" ht="15.75" customHeight="1">
      <c r="A677" s="5"/>
      <c r="B677" s="5"/>
      <c r="C677" s="5"/>
      <c r="D677" s="5"/>
      <c r="E677" s="5"/>
    </row>
    <row r="678" ht="15.75" customHeight="1">
      <c r="A678" s="5"/>
      <c r="B678" s="5"/>
      <c r="C678" s="5"/>
      <c r="D678" s="5"/>
      <c r="E678" s="5"/>
    </row>
    <row r="679" ht="15.75" customHeight="1">
      <c r="A679" s="5"/>
      <c r="B679" s="5"/>
      <c r="C679" s="5"/>
      <c r="D679" s="5"/>
      <c r="E679" s="5"/>
    </row>
    <row r="680" ht="15.75" customHeight="1">
      <c r="A680" s="5"/>
      <c r="B680" s="5"/>
      <c r="C680" s="5"/>
      <c r="D680" s="5"/>
      <c r="E680" s="5"/>
    </row>
    <row r="681" ht="15.75" customHeight="1">
      <c r="A681" s="5"/>
      <c r="B681" s="5"/>
      <c r="C681" s="5"/>
      <c r="D681" s="5"/>
      <c r="E681" s="5"/>
    </row>
    <row r="682" ht="15.75" customHeight="1">
      <c r="A682" s="5"/>
      <c r="B682" s="5"/>
      <c r="C682" s="5"/>
      <c r="D682" s="5"/>
      <c r="E682" s="5"/>
    </row>
    <row r="683" ht="15.75" customHeight="1">
      <c r="A683" s="5"/>
      <c r="B683" s="5"/>
      <c r="C683" s="5"/>
      <c r="D683" s="5"/>
      <c r="E683" s="5"/>
    </row>
    <row r="684" ht="15.75" customHeight="1">
      <c r="A684" s="5"/>
      <c r="B684" s="5"/>
      <c r="C684" s="5"/>
      <c r="D684" s="5"/>
      <c r="E684" s="5"/>
    </row>
    <row r="685" ht="15.75" customHeight="1">
      <c r="A685" s="5"/>
      <c r="B685" s="5"/>
      <c r="C685" s="5"/>
      <c r="D685" s="5"/>
      <c r="E685" s="5"/>
    </row>
    <row r="686" ht="15.75" customHeight="1">
      <c r="A686" s="5"/>
      <c r="B686" s="5"/>
      <c r="C686" s="5"/>
      <c r="D686" s="5"/>
      <c r="E686" s="5"/>
    </row>
    <row r="687" ht="15.75" customHeight="1">
      <c r="A687" s="5"/>
      <c r="B687" s="5"/>
      <c r="C687" s="5"/>
      <c r="D687" s="5"/>
      <c r="E687" s="5"/>
    </row>
    <row r="688" ht="15.75" customHeight="1">
      <c r="A688" s="5"/>
      <c r="B688" s="5"/>
      <c r="C688" s="5"/>
      <c r="D688" s="5"/>
      <c r="E688" s="5"/>
    </row>
    <row r="689" ht="15.75" customHeight="1">
      <c r="A689" s="5"/>
      <c r="B689" s="5"/>
      <c r="C689" s="5"/>
      <c r="D689" s="5"/>
      <c r="E689" s="5"/>
    </row>
    <row r="690" ht="15.75" customHeight="1">
      <c r="A690" s="5"/>
      <c r="B690" s="5"/>
      <c r="C690" s="5"/>
      <c r="D690" s="5"/>
      <c r="E690" s="5"/>
    </row>
    <row r="691" ht="15.75" customHeight="1">
      <c r="A691" s="5"/>
      <c r="B691" s="5"/>
      <c r="C691" s="5"/>
      <c r="D691" s="5"/>
      <c r="E691" s="5"/>
    </row>
    <row r="692" ht="15.75" customHeight="1">
      <c r="A692" s="5"/>
      <c r="B692" s="5"/>
      <c r="C692" s="5"/>
      <c r="D692" s="5"/>
      <c r="E692" s="5"/>
    </row>
    <row r="693" ht="15.75" customHeight="1">
      <c r="A693" s="5"/>
      <c r="B693" s="5"/>
      <c r="C693" s="5"/>
      <c r="D693" s="5"/>
      <c r="E693" s="5"/>
    </row>
    <row r="694" ht="15.75" customHeight="1">
      <c r="A694" s="5"/>
      <c r="B694" s="5"/>
      <c r="C694" s="5"/>
      <c r="D694" s="5"/>
      <c r="E694" s="5"/>
    </row>
    <row r="695" ht="15.75" customHeight="1">
      <c r="A695" s="5"/>
      <c r="B695" s="5"/>
      <c r="C695" s="5"/>
      <c r="D695" s="5"/>
      <c r="E695" s="5"/>
    </row>
    <row r="696" ht="15.75" customHeight="1">
      <c r="A696" s="5"/>
      <c r="B696" s="5"/>
      <c r="C696" s="5"/>
      <c r="D696" s="5"/>
      <c r="E696" s="5"/>
    </row>
    <row r="697" ht="15.75" customHeight="1">
      <c r="A697" s="5"/>
      <c r="B697" s="5"/>
      <c r="C697" s="5"/>
      <c r="D697" s="5"/>
      <c r="E697" s="5"/>
    </row>
    <row r="698" ht="15.75" customHeight="1">
      <c r="A698" s="5"/>
      <c r="B698" s="5"/>
      <c r="C698" s="5"/>
      <c r="D698" s="5"/>
      <c r="E698" s="5"/>
    </row>
    <row r="699" ht="15.75" customHeight="1">
      <c r="A699" s="5"/>
      <c r="B699" s="5"/>
      <c r="C699" s="5"/>
      <c r="D699" s="5"/>
      <c r="E699" s="5"/>
    </row>
    <row r="700" ht="15.75" customHeight="1">
      <c r="A700" s="5"/>
      <c r="B700" s="5"/>
      <c r="C700" s="5"/>
      <c r="D700" s="5"/>
      <c r="E700" s="5"/>
    </row>
    <row r="701" ht="15.75" customHeight="1">
      <c r="A701" s="5"/>
      <c r="B701" s="5"/>
      <c r="C701" s="5"/>
      <c r="D701" s="5"/>
      <c r="E701" s="5"/>
    </row>
    <row r="702" ht="15.75" customHeight="1">
      <c r="A702" s="5"/>
      <c r="B702" s="5"/>
      <c r="C702" s="5"/>
      <c r="D702" s="5"/>
      <c r="E702" s="5"/>
    </row>
    <row r="703" ht="15.75" customHeight="1">
      <c r="A703" s="5"/>
      <c r="B703" s="5"/>
      <c r="C703" s="5"/>
      <c r="D703" s="5"/>
      <c r="E703" s="5"/>
    </row>
    <row r="704" ht="15.75" customHeight="1">
      <c r="A704" s="5"/>
      <c r="B704" s="5"/>
      <c r="C704" s="5"/>
      <c r="D704" s="5"/>
      <c r="E704" s="5"/>
    </row>
    <row r="705" ht="15.75" customHeight="1">
      <c r="A705" s="5"/>
      <c r="B705" s="5"/>
      <c r="C705" s="5"/>
      <c r="D705" s="5"/>
      <c r="E705" s="5"/>
    </row>
    <row r="706" ht="15.75" customHeight="1">
      <c r="A706" s="5"/>
      <c r="B706" s="5"/>
      <c r="C706" s="5"/>
      <c r="D706" s="5"/>
      <c r="E706" s="5"/>
    </row>
    <row r="707" ht="15.75" customHeight="1">
      <c r="A707" s="5"/>
      <c r="B707" s="5"/>
      <c r="C707" s="5"/>
      <c r="D707" s="5"/>
      <c r="E707" s="5"/>
    </row>
    <row r="708" ht="15.75" customHeight="1">
      <c r="A708" s="5"/>
      <c r="B708" s="5"/>
      <c r="C708" s="5"/>
      <c r="D708" s="5"/>
      <c r="E708" s="5"/>
    </row>
    <row r="709" ht="15.75" customHeight="1">
      <c r="A709" s="5"/>
      <c r="B709" s="5"/>
      <c r="C709" s="5"/>
      <c r="D709" s="5"/>
      <c r="E709" s="5"/>
    </row>
    <row r="710" ht="15.75" customHeight="1">
      <c r="A710" s="5"/>
      <c r="B710" s="5"/>
      <c r="C710" s="5"/>
      <c r="D710" s="5"/>
      <c r="E710" s="5"/>
    </row>
    <row r="711" ht="15.75" customHeight="1">
      <c r="A711" s="5"/>
      <c r="B711" s="5"/>
      <c r="C711" s="5"/>
      <c r="D711" s="5"/>
      <c r="E711" s="5"/>
    </row>
    <row r="712" ht="15.75" customHeight="1">
      <c r="A712" s="5"/>
      <c r="B712" s="5"/>
      <c r="C712" s="5"/>
      <c r="D712" s="5"/>
      <c r="E712" s="5"/>
    </row>
    <row r="713" ht="15.75" customHeight="1">
      <c r="A713" s="5"/>
      <c r="B713" s="5"/>
      <c r="C713" s="5"/>
      <c r="D713" s="5"/>
      <c r="E713" s="5"/>
    </row>
    <row r="714" ht="15.75" customHeight="1">
      <c r="A714" s="5"/>
      <c r="B714" s="5"/>
      <c r="C714" s="5"/>
      <c r="D714" s="5"/>
      <c r="E714" s="5"/>
    </row>
    <row r="715" ht="15.75" customHeight="1">
      <c r="A715" s="5"/>
      <c r="B715" s="5"/>
      <c r="C715" s="5"/>
      <c r="D715" s="5"/>
      <c r="E715" s="5"/>
    </row>
    <row r="716" ht="15.75" customHeight="1">
      <c r="A716" s="5"/>
      <c r="B716" s="5"/>
      <c r="C716" s="5"/>
      <c r="D716" s="5"/>
      <c r="E716" s="5"/>
    </row>
    <row r="717" ht="15.75" customHeight="1">
      <c r="A717" s="5"/>
      <c r="B717" s="5"/>
      <c r="C717" s="5"/>
      <c r="D717" s="5"/>
      <c r="E717" s="5"/>
    </row>
    <row r="718" ht="15.75" customHeight="1">
      <c r="A718" s="5"/>
      <c r="B718" s="5"/>
      <c r="C718" s="5"/>
      <c r="D718" s="5"/>
      <c r="E718" s="5"/>
    </row>
    <row r="719" ht="15.75" customHeight="1">
      <c r="A719" s="5"/>
      <c r="B719" s="5"/>
      <c r="C719" s="5"/>
      <c r="D719" s="5"/>
      <c r="E719" s="5"/>
    </row>
    <row r="720" ht="15.75" customHeight="1">
      <c r="A720" s="5"/>
      <c r="B720" s="5"/>
      <c r="C720" s="5"/>
      <c r="D720" s="5"/>
      <c r="E720" s="5"/>
    </row>
    <row r="721" ht="15.75" customHeight="1">
      <c r="A721" s="5"/>
      <c r="B721" s="5"/>
      <c r="C721" s="5"/>
      <c r="D721" s="5"/>
      <c r="E721" s="5"/>
    </row>
    <row r="722" ht="15.75" customHeight="1">
      <c r="A722" s="5"/>
      <c r="B722" s="5"/>
      <c r="C722" s="5"/>
      <c r="D722" s="5"/>
      <c r="E722" s="5"/>
    </row>
    <row r="723" ht="15.75" customHeight="1">
      <c r="A723" s="5"/>
      <c r="B723" s="5"/>
      <c r="C723" s="5"/>
      <c r="D723" s="5"/>
      <c r="E723" s="5"/>
    </row>
    <row r="724" ht="15.75" customHeight="1">
      <c r="A724" s="5"/>
      <c r="B724" s="5"/>
      <c r="C724" s="5"/>
      <c r="D724" s="5"/>
      <c r="E724" s="5"/>
    </row>
    <row r="725" ht="15.75" customHeight="1">
      <c r="A725" s="5"/>
      <c r="B725" s="5"/>
      <c r="C725" s="5"/>
      <c r="D725" s="5"/>
      <c r="E725" s="5"/>
    </row>
    <row r="726" ht="15.75" customHeight="1">
      <c r="A726" s="5"/>
      <c r="B726" s="5"/>
      <c r="C726" s="5"/>
      <c r="D726" s="5"/>
      <c r="E726" s="5"/>
    </row>
    <row r="727" ht="15.75" customHeight="1">
      <c r="A727" s="5"/>
      <c r="B727" s="5"/>
      <c r="C727" s="5"/>
      <c r="D727" s="5"/>
      <c r="E727" s="5"/>
    </row>
    <row r="728" ht="15.75" customHeight="1">
      <c r="A728" s="5"/>
      <c r="B728" s="5"/>
      <c r="C728" s="5"/>
      <c r="D728" s="5"/>
      <c r="E728" s="5"/>
    </row>
    <row r="729" ht="15.75" customHeight="1">
      <c r="A729" s="5"/>
      <c r="B729" s="5"/>
      <c r="C729" s="5"/>
      <c r="D729" s="5"/>
      <c r="E729" s="5"/>
    </row>
    <row r="730" ht="15.75" customHeight="1">
      <c r="A730" s="5"/>
      <c r="B730" s="5"/>
      <c r="C730" s="5"/>
      <c r="D730" s="5"/>
      <c r="E730" s="5"/>
    </row>
    <row r="731" ht="15.75" customHeight="1">
      <c r="A731" s="5"/>
      <c r="B731" s="5"/>
      <c r="C731" s="5"/>
      <c r="D731" s="5"/>
      <c r="E731" s="5"/>
    </row>
    <row r="732" ht="15.75" customHeight="1">
      <c r="A732" s="5"/>
      <c r="B732" s="5"/>
      <c r="C732" s="5"/>
      <c r="D732" s="5"/>
      <c r="E732" s="5"/>
    </row>
    <row r="733" ht="15.75" customHeight="1">
      <c r="A733" s="5"/>
      <c r="B733" s="5"/>
      <c r="C733" s="5"/>
      <c r="D733" s="5"/>
      <c r="E733" s="5"/>
    </row>
    <row r="734" ht="15.75" customHeight="1">
      <c r="A734" s="5"/>
      <c r="B734" s="5"/>
      <c r="C734" s="5"/>
      <c r="D734" s="5"/>
      <c r="E734" s="5"/>
    </row>
    <row r="735" ht="15.75" customHeight="1">
      <c r="A735" s="5"/>
      <c r="B735" s="5"/>
      <c r="C735" s="5"/>
      <c r="D735" s="5"/>
      <c r="E735" s="5"/>
    </row>
    <row r="736" ht="15.75" customHeight="1">
      <c r="A736" s="5"/>
      <c r="B736" s="5"/>
      <c r="C736" s="5"/>
      <c r="D736" s="5"/>
      <c r="E736" s="5"/>
    </row>
    <row r="737" ht="15.75" customHeight="1">
      <c r="A737" s="5"/>
      <c r="B737" s="5"/>
      <c r="C737" s="5"/>
      <c r="D737" s="5"/>
      <c r="E737" s="5"/>
    </row>
    <row r="738" ht="15.75" customHeight="1">
      <c r="A738" s="5"/>
      <c r="B738" s="5"/>
      <c r="C738" s="5"/>
      <c r="D738" s="5"/>
      <c r="E738" s="5"/>
    </row>
    <row r="739" ht="15.75" customHeight="1">
      <c r="A739" s="5"/>
      <c r="B739" s="5"/>
      <c r="C739" s="5"/>
      <c r="D739" s="5"/>
      <c r="E739" s="5"/>
    </row>
    <row r="740" ht="15.75" customHeight="1">
      <c r="A740" s="5"/>
      <c r="B740" s="5"/>
      <c r="C740" s="5"/>
      <c r="D740" s="5"/>
      <c r="E740" s="5"/>
    </row>
    <row r="741" ht="15.75" customHeight="1">
      <c r="A741" s="5"/>
      <c r="B741" s="5"/>
      <c r="C741" s="5"/>
      <c r="D741" s="5"/>
      <c r="E741" s="5"/>
    </row>
    <row r="742" ht="15.75" customHeight="1">
      <c r="A742" s="5"/>
      <c r="B742" s="5"/>
      <c r="C742" s="5"/>
      <c r="D742" s="5"/>
      <c r="E742" s="5"/>
    </row>
    <row r="743" ht="15.75" customHeight="1">
      <c r="A743" s="5"/>
      <c r="B743" s="5"/>
      <c r="C743" s="5"/>
      <c r="D743" s="5"/>
      <c r="E743" s="5"/>
    </row>
    <row r="744" ht="15.75" customHeight="1">
      <c r="A744" s="5"/>
      <c r="B744" s="5"/>
      <c r="C744" s="5"/>
      <c r="D744" s="5"/>
      <c r="E744" s="5"/>
    </row>
    <row r="745" ht="15.75" customHeight="1">
      <c r="A745" s="5"/>
      <c r="B745" s="5"/>
      <c r="C745" s="5"/>
      <c r="D745" s="5"/>
      <c r="E745" s="5"/>
    </row>
    <row r="746" ht="15.75" customHeight="1">
      <c r="A746" s="5"/>
      <c r="B746" s="5"/>
      <c r="C746" s="5"/>
      <c r="D746" s="5"/>
      <c r="E746" s="5"/>
    </row>
    <row r="747" ht="15.75" customHeight="1">
      <c r="A747" s="5"/>
      <c r="B747" s="5"/>
      <c r="C747" s="5"/>
      <c r="D747" s="5"/>
      <c r="E747" s="5"/>
    </row>
    <row r="748" ht="15.75" customHeight="1">
      <c r="A748" s="5"/>
      <c r="B748" s="5"/>
      <c r="C748" s="5"/>
      <c r="D748" s="5"/>
      <c r="E748" s="5"/>
    </row>
    <row r="749" ht="15.75" customHeight="1">
      <c r="A749" s="5"/>
      <c r="B749" s="5"/>
      <c r="C749" s="5"/>
      <c r="D749" s="5"/>
      <c r="E749" s="5"/>
    </row>
    <row r="750" ht="15.75" customHeight="1">
      <c r="A750" s="5"/>
      <c r="B750" s="5"/>
      <c r="C750" s="5"/>
      <c r="D750" s="5"/>
      <c r="E750" s="5"/>
    </row>
    <row r="751" ht="15.75" customHeight="1">
      <c r="A751" s="5"/>
      <c r="B751" s="5"/>
      <c r="C751" s="5"/>
      <c r="D751" s="5"/>
      <c r="E751" s="5"/>
    </row>
    <row r="752" ht="15.75" customHeight="1">
      <c r="A752" s="5"/>
      <c r="B752" s="5"/>
      <c r="C752" s="5"/>
      <c r="D752" s="5"/>
      <c r="E752" s="5"/>
    </row>
    <row r="753" ht="15.75" customHeight="1">
      <c r="A753" s="5"/>
      <c r="B753" s="5"/>
      <c r="C753" s="5"/>
      <c r="D753" s="5"/>
      <c r="E753" s="5"/>
    </row>
    <row r="754" ht="15.75" customHeight="1">
      <c r="A754" s="5"/>
      <c r="B754" s="5"/>
      <c r="C754" s="5"/>
      <c r="D754" s="5"/>
      <c r="E754" s="5"/>
    </row>
    <row r="755" ht="15.75" customHeight="1">
      <c r="A755" s="5"/>
      <c r="B755" s="5"/>
      <c r="C755" s="5"/>
      <c r="D755" s="5"/>
      <c r="E755" s="5"/>
    </row>
    <row r="756" ht="15.75" customHeight="1">
      <c r="A756" s="5"/>
      <c r="B756" s="5"/>
      <c r="C756" s="5"/>
      <c r="D756" s="5"/>
      <c r="E756" s="5"/>
    </row>
    <row r="757" ht="15.75" customHeight="1">
      <c r="A757" s="5"/>
      <c r="B757" s="5"/>
      <c r="C757" s="5"/>
      <c r="D757" s="5"/>
      <c r="E757" s="5"/>
    </row>
    <row r="758" ht="15.75" customHeight="1">
      <c r="A758" s="5"/>
      <c r="B758" s="5"/>
      <c r="C758" s="5"/>
      <c r="D758" s="5"/>
      <c r="E758" s="5"/>
    </row>
    <row r="759" ht="15.75" customHeight="1">
      <c r="A759" s="5"/>
      <c r="B759" s="5"/>
      <c r="C759" s="5"/>
      <c r="D759" s="5"/>
      <c r="E759" s="5"/>
    </row>
    <row r="760" ht="15.75" customHeight="1">
      <c r="A760" s="5"/>
      <c r="B760" s="5"/>
      <c r="C760" s="5"/>
      <c r="D760" s="5"/>
      <c r="E760" s="5"/>
    </row>
    <row r="761" ht="15.75" customHeight="1">
      <c r="A761" s="5"/>
      <c r="B761" s="5"/>
      <c r="C761" s="5"/>
      <c r="D761" s="5"/>
      <c r="E761" s="5"/>
    </row>
    <row r="762" ht="15.75" customHeight="1">
      <c r="A762" s="5"/>
      <c r="B762" s="5"/>
      <c r="C762" s="5"/>
      <c r="D762" s="5"/>
      <c r="E762" s="5"/>
    </row>
    <row r="763" ht="15.75" customHeight="1">
      <c r="A763" s="5"/>
      <c r="B763" s="5"/>
      <c r="C763" s="5"/>
      <c r="D763" s="5"/>
      <c r="E763" s="5"/>
    </row>
    <row r="764" ht="15.75" customHeight="1">
      <c r="A764" s="5"/>
      <c r="B764" s="5"/>
      <c r="C764" s="5"/>
      <c r="D764" s="5"/>
      <c r="E764" s="5"/>
    </row>
    <row r="765" ht="15.75" customHeight="1">
      <c r="A765" s="5"/>
      <c r="B765" s="5"/>
      <c r="C765" s="5"/>
      <c r="D765" s="5"/>
      <c r="E765" s="5"/>
    </row>
    <row r="766" ht="15.75" customHeight="1">
      <c r="A766" s="5"/>
      <c r="B766" s="5"/>
      <c r="C766" s="5"/>
      <c r="D766" s="5"/>
      <c r="E766" s="5"/>
    </row>
    <row r="767" ht="15.75" customHeight="1">
      <c r="A767" s="5"/>
      <c r="B767" s="5"/>
      <c r="C767" s="5"/>
      <c r="D767" s="5"/>
      <c r="E767" s="5"/>
    </row>
    <row r="768" ht="15.75" customHeight="1">
      <c r="A768" s="5"/>
      <c r="B768" s="5"/>
      <c r="C768" s="5"/>
      <c r="D768" s="5"/>
      <c r="E768" s="5"/>
    </row>
    <row r="769" ht="15.75" customHeight="1">
      <c r="A769" s="5"/>
      <c r="B769" s="5"/>
      <c r="C769" s="5"/>
      <c r="D769" s="5"/>
      <c r="E769" s="5"/>
    </row>
    <row r="770" ht="15.75" customHeight="1">
      <c r="A770" s="5"/>
      <c r="B770" s="5"/>
      <c r="C770" s="5"/>
      <c r="D770" s="5"/>
      <c r="E770" s="5"/>
    </row>
    <row r="771" ht="15.75" customHeight="1">
      <c r="A771" s="5"/>
      <c r="B771" s="5"/>
      <c r="C771" s="5"/>
      <c r="D771" s="5"/>
      <c r="E771" s="5"/>
    </row>
    <row r="772" ht="15.75" customHeight="1">
      <c r="A772" s="5"/>
      <c r="B772" s="5"/>
      <c r="C772" s="5"/>
      <c r="D772" s="5"/>
      <c r="E772" s="5"/>
    </row>
    <row r="773" ht="15.75" customHeight="1">
      <c r="A773" s="5"/>
      <c r="B773" s="5"/>
      <c r="C773" s="5"/>
      <c r="D773" s="5"/>
      <c r="E773" s="5"/>
    </row>
    <row r="774" ht="15.75" customHeight="1">
      <c r="A774" s="5"/>
      <c r="B774" s="5"/>
      <c r="C774" s="5"/>
      <c r="D774" s="5"/>
      <c r="E774" s="5"/>
    </row>
    <row r="775" ht="15.75" customHeight="1">
      <c r="A775" s="5"/>
      <c r="B775" s="5"/>
      <c r="C775" s="5"/>
      <c r="D775" s="5"/>
      <c r="E775" s="5"/>
    </row>
    <row r="776" ht="15.75" customHeight="1">
      <c r="A776" s="5"/>
      <c r="B776" s="5"/>
      <c r="C776" s="5"/>
      <c r="D776" s="5"/>
      <c r="E776" s="5"/>
    </row>
    <row r="777" ht="15.75" customHeight="1">
      <c r="A777" s="5"/>
      <c r="B777" s="5"/>
      <c r="C777" s="5"/>
      <c r="D777" s="5"/>
      <c r="E777" s="5"/>
    </row>
    <row r="778" ht="15.75" customHeight="1">
      <c r="A778" s="5"/>
      <c r="B778" s="5"/>
      <c r="C778" s="5"/>
      <c r="D778" s="5"/>
      <c r="E778" s="5"/>
    </row>
    <row r="779" ht="15.75" customHeight="1">
      <c r="A779" s="5"/>
      <c r="B779" s="5"/>
      <c r="C779" s="5"/>
      <c r="D779" s="5"/>
      <c r="E779" s="5"/>
    </row>
    <row r="780" ht="15.75" customHeight="1">
      <c r="A780" s="5"/>
      <c r="B780" s="5"/>
      <c r="C780" s="5"/>
      <c r="D780" s="5"/>
      <c r="E780" s="5"/>
    </row>
    <row r="781" ht="15.75" customHeight="1">
      <c r="A781" s="5"/>
      <c r="B781" s="5"/>
      <c r="C781" s="5"/>
      <c r="D781" s="5"/>
      <c r="E781" s="5"/>
    </row>
    <row r="782" ht="15.75" customHeight="1">
      <c r="A782" s="5"/>
      <c r="B782" s="5"/>
      <c r="C782" s="5"/>
      <c r="D782" s="5"/>
      <c r="E782" s="5"/>
    </row>
    <row r="783" ht="15.75" customHeight="1">
      <c r="A783" s="5"/>
      <c r="B783" s="5"/>
      <c r="C783" s="5"/>
      <c r="D783" s="5"/>
      <c r="E783" s="5"/>
    </row>
    <row r="784" ht="15.75" customHeight="1">
      <c r="A784" s="5"/>
      <c r="B784" s="5"/>
      <c r="C784" s="5"/>
      <c r="D784" s="5"/>
      <c r="E784" s="5"/>
    </row>
    <row r="785" ht="15.75" customHeight="1">
      <c r="A785" s="5"/>
      <c r="B785" s="5"/>
      <c r="C785" s="5"/>
      <c r="D785" s="5"/>
      <c r="E785" s="5"/>
    </row>
    <row r="786" ht="15.75" customHeight="1">
      <c r="A786" s="5"/>
      <c r="B786" s="5"/>
      <c r="C786" s="5"/>
      <c r="D786" s="5"/>
      <c r="E786" s="5"/>
    </row>
    <row r="787" ht="15.75" customHeight="1">
      <c r="A787" s="5"/>
      <c r="B787" s="5"/>
      <c r="C787" s="5"/>
      <c r="D787" s="5"/>
      <c r="E787" s="5"/>
    </row>
    <row r="788" ht="15.75" customHeight="1">
      <c r="A788" s="5"/>
      <c r="B788" s="5"/>
      <c r="C788" s="5"/>
      <c r="D788" s="5"/>
      <c r="E788" s="5"/>
    </row>
    <row r="789" ht="15.75" customHeight="1">
      <c r="A789" s="5"/>
      <c r="B789" s="5"/>
      <c r="C789" s="5"/>
      <c r="D789" s="5"/>
      <c r="E789" s="5"/>
    </row>
    <row r="790" ht="15.75" customHeight="1">
      <c r="A790" s="5"/>
      <c r="B790" s="5"/>
      <c r="C790" s="5"/>
      <c r="D790" s="5"/>
      <c r="E790" s="5"/>
    </row>
    <row r="791" ht="15.75" customHeight="1">
      <c r="A791" s="5"/>
      <c r="B791" s="5"/>
      <c r="C791" s="5"/>
      <c r="D791" s="5"/>
      <c r="E791" s="5"/>
    </row>
    <row r="792" ht="15.75" customHeight="1">
      <c r="A792" s="5"/>
      <c r="B792" s="5"/>
      <c r="C792" s="5"/>
      <c r="D792" s="5"/>
      <c r="E792" s="5"/>
    </row>
    <row r="793" ht="15.75" customHeight="1">
      <c r="A793" s="5"/>
      <c r="B793" s="5"/>
      <c r="C793" s="5"/>
      <c r="D793" s="5"/>
      <c r="E793" s="5"/>
    </row>
    <row r="794" ht="15.75" customHeight="1">
      <c r="A794" s="5"/>
      <c r="B794" s="5"/>
      <c r="C794" s="5"/>
      <c r="D794" s="5"/>
      <c r="E794" s="5"/>
    </row>
    <row r="795" ht="15.75" customHeight="1">
      <c r="A795" s="5"/>
      <c r="B795" s="5"/>
      <c r="C795" s="5"/>
      <c r="D795" s="5"/>
      <c r="E795" s="5"/>
    </row>
    <row r="796" ht="15.75" customHeight="1">
      <c r="A796" s="5"/>
      <c r="B796" s="5"/>
      <c r="C796" s="5"/>
      <c r="D796" s="5"/>
      <c r="E796" s="5"/>
    </row>
    <row r="797" ht="15.75" customHeight="1">
      <c r="A797" s="5"/>
      <c r="B797" s="5"/>
      <c r="C797" s="5"/>
      <c r="D797" s="5"/>
      <c r="E797" s="5"/>
    </row>
    <row r="798" ht="15.75" customHeight="1">
      <c r="A798" s="5"/>
      <c r="B798" s="5"/>
      <c r="C798" s="5"/>
      <c r="D798" s="5"/>
      <c r="E798" s="5"/>
    </row>
    <row r="799" ht="15.75" customHeight="1">
      <c r="A799" s="5"/>
      <c r="B799" s="5"/>
      <c r="C799" s="5"/>
      <c r="D799" s="5"/>
      <c r="E799" s="5"/>
    </row>
    <row r="800" ht="15.75" customHeight="1">
      <c r="A800" s="5"/>
      <c r="B800" s="5"/>
      <c r="C800" s="5"/>
      <c r="D800" s="5"/>
      <c r="E800" s="5"/>
    </row>
    <row r="801" ht="15.75" customHeight="1">
      <c r="A801" s="5"/>
      <c r="B801" s="5"/>
      <c r="C801" s="5"/>
      <c r="D801" s="5"/>
      <c r="E801" s="5"/>
    </row>
    <row r="802" ht="15.75" customHeight="1">
      <c r="A802" s="5"/>
      <c r="B802" s="5"/>
      <c r="C802" s="5"/>
      <c r="D802" s="5"/>
      <c r="E802" s="5"/>
    </row>
    <row r="803" ht="15.75" customHeight="1">
      <c r="A803" s="5"/>
      <c r="B803" s="5"/>
      <c r="C803" s="5"/>
      <c r="D803" s="5"/>
      <c r="E803" s="5"/>
    </row>
    <row r="804" ht="15.75" customHeight="1">
      <c r="A804" s="5"/>
      <c r="B804" s="5"/>
      <c r="C804" s="5"/>
      <c r="D804" s="5"/>
      <c r="E804" s="5"/>
    </row>
    <row r="805" ht="15.75" customHeight="1">
      <c r="A805" s="5"/>
      <c r="B805" s="5"/>
      <c r="C805" s="5"/>
      <c r="D805" s="5"/>
      <c r="E805" s="5"/>
    </row>
    <row r="806" ht="15.75" customHeight="1">
      <c r="A806" s="5"/>
      <c r="B806" s="5"/>
      <c r="C806" s="5"/>
      <c r="D806" s="5"/>
      <c r="E806" s="5"/>
    </row>
    <row r="807" ht="15.75" customHeight="1">
      <c r="A807" s="5"/>
      <c r="B807" s="5"/>
      <c r="C807" s="5"/>
      <c r="D807" s="5"/>
      <c r="E807" s="5"/>
    </row>
    <row r="808" ht="15.75" customHeight="1">
      <c r="A808" s="5"/>
      <c r="B808" s="5"/>
      <c r="C808" s="5"/>
      <c r="D808" s="5"/>
      <c r="E808" s="5"/>
    </row>
    <row r="809" ht="15.75" customHeight="1">
      <c r="A809" s="5"/>
      <c r="B809" s="5"/>
      <c r="C809" s="5"/>
      <c r="D809" s="5"/>
      <c r="E809" s="5"/>
    </row>
    <row r="810" ht="15.75" customHeight="1">
      <c r="A810" s="5"/>
      <c r="B810" s="5"/>
      <c r="C810" s="5"/>
      <c r="D810" s="5"/>
      <c r="E810" s="5"/>
    </row>
    <row r="811" ht="15.75" customHeight="1">
      <c r="A811" s="5"/>
      <c r="B811" s="5"/>
      <c r="C811" s="5"/>
      <c r="D811" s="5"/>
      <c r="E811" s="5"/>
    </row>
    <row r="812" ht="15.75" customHeight="1">
      <c r="A812" s="5"/>
      <c r="B812" s="5"/>
      <c r="C812" s="5"/>
      <c r="D812" s="5"/>
      <c r="E812" s="5"/>
    </row>
    <row r="813" ht="15.75" customHeight="1">
      <c r="A813" s="5"/>
      <c r="B813" s="5"/>
      <c r="C813" s="5"/>
      <c r="D813" s="5"/>
      <c r="E813" s="5"/>
    </row>
    <row r="814" ht="15.75" customHeight="1">
      <c r="A814" s="5"/>
      <c r="B814" s="5"/>
      <c r="C814" s="5"/>
      <c r="D814" s="5"/>
      <c r="E814" s="5"/>
    </row>
    <row r="815" ht="15.75" customHeight="1">
      <c r="A815" s="5"/>
      <c r="B815" s="5"/>
      <c r="C815" s="5"/>
      <c r="D815" s="5"/>
      <c r="E815" s="5"/>
    </row>
    <row r="816" ht="15.75" customHeight="1">
      <c r="A816" s="5"/>
      <c r="B816" s="5"/>
      <c r="C816" s="5"/>
      <c r="D816" s="5"/>
      <c r="E816" s="5"/>
    </row>
    <row r="817" ht="15.75" customHeight="1">
      <c r="A817" s="5"/>
      <c r="B817" s="5"/>
      <c r="C817" s="5"/>
      <c r="D817" s="5"/>
      <c r="E817" s="5"/>
    </row>
    <row r="818" ht="15.75" customHeight="1">
      <c r="A818" s="5"/>
      <c r="B818" s="5"/>
      <c r="C818" s="5"/>
      <c r="D818" s="5"/>
      <c r="E818" s="5"/>
    </row>
    <row r="819" ht="15.75" customHeight="1">
      <c r="A819" s="5"/>
      <c r="B819" s="5"/>
      <c r="C819" s="5"/>
      <c r="D819" s="5"/>
      <c r="E819" s="5"/>
    </row>
    <row r="820" ht="15.75" customHeight="1">
      <c r="A820" s="5"/>
      <c r="B820" s="5"/>
      <c r="C820" s="5"/>
      <c r="D820" s="5"/>
      <c r="E820" s="5"/>
    </row>
    <row r="821" ht="15.75" customHeight="1">
      <c r="A821" s="5"/>
      <c r="B821" s="5"/>
      <c r="C821" s="5"/>
      <c r="D821" s="5"/>
      <c r="E821" s="5"/>
    </row>
    <row r="822" ht="15.75" customHeight="1">
      <c r="A822" s="5"/>
      <c r="B822" s="5"/>
      <c r="C822" s="5"/>
      <c r="D822" s="5"/>
      <c r="E822" s="5"/>
    </row>
    <row r="823" ht="15.75" customHeight="1">
      <c r="A823" s="5"/>
      <c r="B823" s="5"/>
      <c r="C823" s="5"/>
      <c r="D823" s="5"/>
      <c r="E823" s="5"/>
    </row>
    <row r="824" ht="15.75" customHeight="1">
      <c r="A824" s="5"/>
      <c r="B824" s="5"/>
      <c r="C824" s="5"/>
      <c r="D824" s="5"/>
      <c r="E824" s="5"/>
    </row>
    <row r="825" ht="15.75" customHeight="1">
      <c r="A825" s="5"/>
      <c r="B825" s="5"/>
      <c r="C825" s="5"/>
      <c r="D825" s="5"/>
      <c r="E825" s="5"/>
    </row>
    <row r="826" ht="15.75" customHeight="1">
      <c r="A826" s="5"/>
      <c r="B826" s="5"/>
      <c r="C826" s="5"/>
      <c r="D826" s="5"/>
      <c r="E826" s="5"/>
    </row>
    <row r="827" ht="15.75" customHeight="1">
      <c r="A827" s="5"/>
      <c r="B827" s="5"/>
      <c r="C827" s="5"/>
      <c r="D827" s="5"/>
      <c r="E827" s="5"/>
    </row>
    <row r="828" ht="15.75" customHeight="1">
      <c r="A828" s="5"/>
      <c r="B828" s="5"/>
      <c r="C828" s="5"/>
      <c r="D828" s="5"/>
      <c r="E828" s="5"/>
    </row>
    <row r="829" ht="15.75" customHeight="1">
      <c r="A829" s="5"/>
      <c r="B829" s="5"/>
      <c r="C829" s="5"/>
      <c r="D829" s="5"/>
      <c r="E829" s="5"/>
    </row>
    <row r="830" ht="15.75" customHeight="1">
      <c r="A830" s="5"/>
      <c r="B830" s="5"/>
      <c r="C830" s="5"/>
      <c r="D830" s="5"/>
      <c r="E830" s="5"/>
    </row>
    <row r="831" ht="15.75" customHeight="1">
      <c r="A831" s="5"/>
      <c r="B831" s="5"/>
      <c r="C831" s="5"/>
      <c r="D831" s="5"/>
      <c r="E831" s="5"/>
    </row>
    <row r="832" ht="15.75" customHeight="1">
      <c r="A832" s="5"/>
      <c r="B832" s="5"/>
      <c r="C832" s="5"/>
      <c r="D832" s="5"/>
      <c r="E832" s="5"/>
    </row>
    <row r="833" ht="15.75" customHeight="1">
      <c r="A833" s="5"/>
      <c r="B833" s="5"/>
      <c r="C833" s="5"/>
      <c r="D833" s="5"/>
      <c r="E833" s="5"/>
    </row>
    <row r="834" ht="15.75" customHeight="1">
      <c r="A834" s="5"/>
      <c r="B834" s="5"/>
      <c r="C834" s="5"/>
      <c r="D834" s="5"/>
      <c r="E834" s="5"/>
    </row>
    <row r="835" ht="15.75" customHeight="1">
      <c r="A835" s="5"/>
      <c r="B835" s="5"/>
      <c r="C835" s="5"/>
      <c r="D835" s="5"/>
      <c r="E835" s="5"/>
    </row>
    <row r="836" ht="15.75" customHeight="1">
      <c r="A836" s="5"/>
      <c r="B836" s="5"/>
      <c r="C836" s="5"/>
      <c r="D836" s="5"/>
      <c r="E836" s="5"/>
    </row>
    <row r="837" ht="15.75" customHeight="1">
      <c r="A837" s="5"/>
      <c r="B837" s="5"/>
      <c r="C837" s="5"/>
      <c r="D837" s="5"/>
      <c r="E837" s="5"/>
    </row>
    <row r="838" ht="15.75" customHeight="1">
      <c r="A838" s="5"/>
      <c r="B838" s="5"/>
      <c r="C838" s="5"/>
      <c r="D838" s="5"/>
      <c r="E838" s="5"/>
    </row>
    <row r="839" ht="15.75" customHeight="1">
      <c r="A839" s="5"/>
      <c r="B839" s="5"/>
      <c r="C839" s="5"/>
      <c r="D839" s="5"/>
      <c r="E839" s="5"/>
    </row>
    <row r="840" ht="15.75" customHeight="1">
      <c r="A840" s="5"/>
      <c r="B840" s="5"/>
      <c r="C840" s="5"/>
      <c r="D840" s="5"/>
      <c r="E840" s="5"/>
    </row>
    <row r="841" ht="15.75" customHeight="1">
      <c r="A841" s="5"/>
      <c r="B841" s="5"/>
      <c r="C841" s="5"/>
      <c r="D841" s="5"/>
      <c r="E841" s="5"/>
    </row>
    <row r="842" ht="15.75" customHeight="1">
      <c r="A842" s="5"/>
      <c r="B842" s="5"/>
      <c r="C842" s="5"/>
      <c r="D842" s="5"/>
      <c r="E842" s="5"/>
    </row>
    <row r="843" ht="15.75" customHeight="1">
      <c r="A843" s="5"/>
      <c r="B843" s="5"/>
      <c r="C843" s="5"/>
      <c r="D843" s="5"/>
      <c r="E843" s="5"/>
    </row>
    <row r="844" ht="15.75" customHeight="1">
      <c r="A844" s="5"/>
      <c r="B844" s="5"/>
      <c r="C844" s="5"/>
      <c r="D844" s="5"/>
      <c r="E844" s="5"/>
    </row>
    <row r="845" ht="15.75" customHeight="1">
      <c r="A845" s="5"/>
      <c r="B845" s="5"/>
      <c r="C845" s="5"/>
      <c r="D845" s="5"/>
      <c r="E845" s="5"/>
    </row>
    <row r="846" ht="15.75" customHeight="1">
      <c r="A846" s="5"/>
      <c r="B846" s="5"/>
      <c r="C846" s="5"/>
      <c r="D846" s="5"/>
      <c r="E846" s="5"/>
    </row>
    <row r="847" ht="15.75" customHeight="1">
      <c r="A847" s="5"/>
      <c r="B847" s="5"/>
      <c r="C847" s="5"/>
      <c r="D847" s="5"/>
      <c r="E847" s="5"/>
    </row>
    <row r="848" ht="15.75" customHeight="1">
      <c r="A848" s="5"/>
      <c r="B848" s="5"/>
      <c r="C848" s="5"/>
      <c r="D848" s="5"/>
      <c r="E848" s="5"/>
    </row>
    <row r="849" ht="15.75" customHeight="1">
      <c r="A849" s="5"/>
      <c r="B849" s="5"/>
      <c r="C849" s="5"/>
      <c r="D849" s="5"/>
      <c r="E849" s="5"/>
    </row>
    <row r="850" ht="15.75" customHeight="1">
      <c r="A850" s="5"/>
      <c r="B850" s="5"/>
      <c r="C850" s="5"/>
      <c r="D850" s="5"/>
      <c r="E850" s="5"/>
    </row>
    <row r="851" ht="15.75" customHeight="1">
      <c r="A851" s="5"/>
      <c r="B851" s="5"/>
      <c r="C851" s="5"/>
      <c r="D851" s="5"/>
      <c r="E851" s="5"/>
    </row>
    <row r="852" ht="15.75" customHeight="1">
      <c r="A852" s="5"/>
      <c r="B852" s="5"/>
      <c r="C852" s="5"/>
      <c r="D852" s="5"/>
      <c r="E852" s="5"/>
    </row>
    <row r="853" ht="15.75" customHeight="1">
      <c r="A853" s="5"/>
      <c r="B853" s="5"/>
      <c r="C853" s="5"/>
      <c r="D853" s="5"/>
      <c r="E853" s="5"/>
    </row>
    <row r="854" ht="15.75" customHeight="1">
      <c r="A854" s="5"/>
      <c r="B854" s="5"/>
      <c r="C854" s="5"/>
      <c r="D854" s="5"/>
      <c r="E854" s="5"/>
    </row>
    <row r="855" ht="15.75" customHeight="1">
      <c r="A855" s="5"/>
      <c r="B855" s="5"/>
      <c r="C855" s="5"/>
      <c r="D855" s="5"/>
      <c r="E855" s="5"/>
    </row>
    <row r="856" ht="15.75" customHeight="1">
      <c r="A856" s="5"/>
      <c r="B856" s="5"/>
      <c r="C856" s="5"/>
      <c r="D856" s="5"/>
      <c r="E856" s="5"/>
    </row>
    <row r="857" ht="15.75" customHeight="1">
      <c r="A857" s="5"/>
      <c r="B857" s="5"/>
      <c r="C857" s="5"/>
      <c r="D857" s="5"/>
      <c r="E857" s="5"/>
    </row>
    <row r="858" ht="15.75" customHeight="1">
      <c r="A858" s="5"/>
      <c r="B858" s="5"/>
      <c r="C858" s="5"/>
      <c r="D858" s="5"/>
      <c r="E858" s="5"/>
    </row>
    <row r="859" ht="15.75" customHeight="1">
      <c r="A859" s="5"/>
      <c r="B859" s="5"/>
      <c r="C859" s="5"/>
      <c r="D859" s="5"/>
      <c r="E859" s="5"/>
    </row>
    <row r="860" ht="15.75" customHeight="1">
      <c r="A860" s="5"/>
      <c r="B860" s="5"/>
      <c r="C860" s="5"/>
      <c r="D860" s="5"/>
      <c r="E860" s="5"/>
    </row>
    <row r="861" ht="15.75" customHeight="1">
      <c r="A861" s="5"/>
      <c r="B861" s="5"/>
      <c r="C861" s="5"/>
      <c r="D861" s="5"/>
      <c r="E861" s="5"/>
    </row>
    <row r="862" ht="15.75" customHeight="1">
      <c r="A862" s="5"/>
      <c r="B862" s="5"/>
      <c r="C862" s="5"/>
      <c r="D862" s="5"/>
      <c r="E862" s="5"/>
    </row>
    <row r="863" ht="15.75" customHeight="1">
      <c r="A863" s="5"/>
      <c r="B863" s="5"/>
      <c r="C863" s="5"/>
      <c r="D863" s="5"/>
      <c r="E863" s="5"/>
    </row>
    <row r="864" ht="15.75" customHeight="1">
      <c r="A864" s="5"/>
      <c r="B864" s="5"/>
      <c r="C864" s="5"/>
      <c r="D864" s="5"/>
      <c r="E864" s="5"/>
    </row>
    <row r="865" ht="15.75" customHeight="1">
      <c r="A865" s="5"/>
      <c r="B865" s="5"/>
      <c r="C865" s="5"/>
      <c r="D865" s="5"/>
      <c r="E865" s="5"/>
    </row>
    <row r="866" ht="15.75" customHeight="1">
      <c r="A866" s="5"/>
      <c r="B866" s="5"/>
      <c r="C866" s="5"/>
      <c r="D866" s="5"/>
      <c r="E866" s="5"/>
    </row>
    <row r="867" ht="15.75" customHeight="1">
      <c r="A867" s="5"/>
      <c r="B867" s="5"/>
      <c r="C867" s="5"/>
      <c r="D867" s="5"/>
      <c r="E867" s="5"/>
    </row>
    <row r="868" ht="15.75" customHeight="1">
      <c r="A868" s="5"/>
      <c r="B868" s="5"/>
      <c r="C868" s="5"/>
      <c r="D868" s="5"/>
      <c r="E868" s="5"/>
    </row>
    <row r="869" ht="15.75" customHeight="1">
      <c r="A869" s="5"/>
      <c r="B869" s="5"/>
      <c r="C869" s="5"/>
      <c r="D869" s="5"/>
      <c r="E869" s="5"/>
    </row>
    <row r="870" ht="15.75" customHeight="1">
      <c r="A870" s="5"/>
      <c r="B870" s="5"/>
      <c r="C870" s="5"/>
      <c r="D870" s="5"/>
      <c r="E870" s="5"/>
    </row>
    <row r="871" ht="15.75" customHeight="1">
      <c r="A871" s="5"/>
      <c r="B871" s="5"/>
      <c r="C871" s="5"/>
      <c r="D871" s="5"/>
      <c r="E871" s="5"/>
    </row>
    <row r="872" ht="15.75" customHeight="1">
      <c r="A872" s="5"/>
      <c r="B872" s="5"/>
      <c r="C872" s="5"/>
      <c r="D872" s="5"/>
      <c r="E872" s="5"/>
    </row>
    <row r="873" ht="15.75" customHeight="1">
      <c r="A873" s="5"/>
      <c r="B873" s="5"/>
      <c r="C873" s="5"/>
      <c r="D873" s="5"/>
      <c r="E873" s="5"/>
    </row>
    <row r="874" ht="15.75" customHeight="1">
      <c r="A874" s="5"/>
      <c r="B874" s="5"/>
      <c r="C874" s="5"/>
      <c r="D874" s="5"/>
      <c r="E874" s="5"/>
    </row>
    <row r="875" ht="15.75" customHeight="1">
      <c r="A875" s="5"/>
      <c r="B875" s="5"/>
      <c r="C875" s="5"/>
      <c r="D875" s="5"/>
      <c r="E875" s="5"/>
    </row>
    <row r="876" ht="15.75" customHeight="1">
      <c r="A876" s="5"/>
      <c r="B876" s="5"/>
      <c r="C876" s="5"/>
      <c r="D876" s="5"/>
      <c r="E876" s="5"/>
    </row>
    <row r="877" ht="15.75" customHeight="1">
      <c r="A877" s="5"/>
      <c r="B877" s="5"/>
      <c r="C877" s="5"/>
      <c r="D877" s="5"/>
      <c r="E877" s="5"/>
    </row>
    <row r="878" ht="15.75" customHeight="1">
      <c r="A878" s="5"/>
      <c r="B878" s="5"/>
      <c r="C878" s="5"/>
      <c r="D878" s="5"/>
      <c r="E878" s="5"/>
    </row>
    <row r="879" ht="15.75" customHeight="1">
      <c r="A879" s="5"/>
      <c r="B879" s="5"/>
      <c r="C879" s="5"/>
      <c r="D879" s="5"/>
      <c r="E879" s="5"/>
    </row>
    <row r="880" ht="15.75" customHeight="1">
      <c r="A880" s="5"/>
      <c r="B880" s="5"/>
      <c r="C880" s="5"/>
      <c r="D880" s="5"/>
      <c r="E880" s="5"/>
    </row>
    <row r="881" ht="15.75" customHeight="1">
      <c r="A881" s="5"/>
      <c r="B881" s="5"/>
      <c r="C881" s="5"/>
      <c r="D881" s="5"/>
      <c r="E881" s="5"/>
    </row>
    <row r="882" ht="15.75" customHeight="1">
      <c r="A882" s="5"/>
      <c r="B882" s="5"/>
      <c r="C882" s="5"/>
      <c r="D882" s="5"/>
      <c r="E882" s="5"/>
    </row>
    <row r="883" ht="15.75" customHeight="1">
      <c r="A883" s="5"/>
      <c r="B883" s="5"/>
      <c r="C883" s="5"/>
      <c r="D883" s="5"/>
      <c r="E883" s="5"/>
    </row>
    <row r="884" ht="15.75" customHeight="1">
      <c r="A884" s="5"/>
      <c r="B884" s="5"/>
      <c r="C884" s="5"/>
      <c r="D884" s="5"/>
      <c r="E884" s="5"/>
    </row>
    <row r="885" ht="15.75" customHeight="1">
      <c r="A885" s="5"/>
      <c r="B885" s="5"/>
      <c r="C885" s="5"/>
      <c r="D885" s="5"/>
      <c r="E885" s="5"/>
    </row>
    <row r="886" ht="15.75" customHeight="1">
      <c r="A886" s="5"/>
      <c r="B886" s="5"/>
      <c r="C886" s="5"/>
      <c r="D886" s="5"/>
      <c r="E886" s="5"/>
    </row>
    <row r="887" ht="15.75" customHeight="1">
      <c r="A887" s="5"/>
      <c r="B887" s="5"/>
      <c r="C887" s="5"/>
      <c r="D887" s="5"/>
      <c r="E887" s="5"/>
    </row>
    <row r="888" ht="15.75" customHeight="1">
      <c r="A888" s="5"/>
      <c r="B888" s="5"/>
      <c r="C888" s="5"/>
      <c r="D888" s="5"/>
      <c r="E888" s="5"/>
    </row>
    <row r="889" ht="15.75" customHeight="1">
      <c r="A889" s="5"/>
      <c r="B889" s="5"/>
      <c r="C889" s="5"/>
      <c r="D889" s="5"/>
      <c r="E889" s="5"/>
    </row>
    <row r="890" ht="15.75" customHeight="1">
      <c r="A890" s="5"/>
      <c r="B890" s="5"/>
      <c r="C890" s="5"/>
      <c r="D890" s="5"/>
      <c r="E890" s="5"/>
    </row>
    <row r="891" ht="15.75" customHeight="1">
      <c r="A891" s="5"/>
      <c r="B891" s="5"/>
      <c r="C891" s="5"/>
      <c r="D891" s="5"/>
      <c r="E891" s="5"/>
    </row>
    <row r="892" ht="15.75" customHeight="1">
      <c r="A892" s="5"/>
      <c r="B892" s="5"/>
      <c r="C892" s="5"/>
      <c r="D892" s="5"/>
      <c r="E892" s="5"/>
    </row>
    <row r="893" ht="15.75" customHeight="1">
      <c r="A893" s="5"/>
      <c r="B893" s="5"/>
      <c r="C893" s="5"/>
      <c r="D893" s="5"/>
      <c r="E893" s="5"/>
    </row>
    <row r="894" ht="15.75" customHeight="1">
      <c r="A894" s="5"/>
      <c r="B894" s="5"/>
      <c r="C894" s="5"/>
      <c r="D894" s="5"/>
      <c r="E894" s="5"/>
    </row>
    <row r="895" ht="15.75" customHeight="1">
      <c r="A895" s="5"/>
      <c r="B895" s="5"/>
      <c r="C895" s="5"/>
      <c r="D895" s="5"/>
      <c r="E895" s="5"/>
    </row>
    <row r="896" ht="15.75" customHeight="1">
      <c r="A896" s="5"/>
      <c r="B896" s="5"/>
      <c r="C896" s="5"/>
      <c r="D896" s="5"/>
      <c r="E896" s="5"/>
    </row>
    <row r="897" ht="15.75" customHeight="1">
      <c r="A897" s="5"/>
      <c r="B897" s="5"/>
      <c r="C897" s="5"/>
      <c r="D897" s="5"/>
      <c r="E897" s="5"/>
    </row>
    <row r="898" ht="15.75" customHeight="1">
      <c r="A898" s="5"/>
      <c r="B898" s="5"/>
      <c r="C898" s="5"/>
      <c r="D898" s="5"/>
      <c r="E898" s="5"/>
    </row>
    <row r="899" ht="15.75" customHeight="1">
      <c r="A899" s="5"/>
      <c r="B899" s="5"/>
      <c r="C899" s="5"/>
      <c r="D899" s="5"/>
      <c r="E899" s="5"/>
    </row>
    <row r="900" ht="15.75" customHeight="1">
      <c r="A900" s="5"/>
      <c r="B900" s="5"/>
      <c r="C900" s="5"/>
      <c r="D900" s="5"/>
      <c r="E900" s="5"/>
    </row>
    <row r="901" ht="15.75" customHeight="1">
      <c r="A901" s="5"/>
      <c r="B901" s="5"/>
      <c r="C901" s="5"/>
      <c r="D901" s="5"/>
      <c r="E901" s="5"/>
    </row>
    <row r="902" ht="15.75" customHeight="1">
      <c r="A902" s="5"/>
      <c r="B902" s="5"/>
      <c r="C902" s="5"/>
      <c r="D902" s="5"/>
      <c r="E902" s="5"/>
    </row>
    <row r="903" ht="15.75" customHeight="1">
      <c r="A903" s="5"/>
      <c r="B903" s="5"/>
      <c r="C903" s="5"/>
      <c r="D903" s="5"/>
      <c r="E903" s="5"/>
    </row>
    <row r="904" ht="15.75" customHeight="1">
      <c r="A904" s="5"/>
      <c r="B904" s="5"/>
      <c r="C904" s="5"/>
      <c r="D904" s="5"/>
      <c r="E904" s="5"/>
    </row>
    <row r="905" ht="15.75" customHeight="1">
      <c r="A905" s="5"/>
      <c r="B905" s="5"/>
      <c r="C905" s="5"/>
      <c r="D905" s="5"/>
      <c r="E905" s="5"/>
    </row>
    <row r="906" ht="15.75" customHeight="1">
      <c r="A906" s="5"/>
      <c r="B906" s="5"/>
      <c r="C906" s="5"/>
      <c r="D906" s="5"/>
      <c r="E906" s="5"/>
    </row>
    <row r="907" ht="15.75" customHeight="1">
      <c r="A907" s="5"/>
      <c r="B907" s="5"/>
      <c r="C907" s="5"/>
      <c r="D907" s="5"/>
      <c r="E907" s="5"/>
    </row>
    <row r="908" ht="15.75" customHeight="1">
      <c r="A908" s="5"/>
      <c r="B908" s="5"/>
      <c r="C908" s="5"/>
      <c r="D908" s="5"/>
      <c r="E908" s="5"/>
    </row>
    <row r="909" ht="15.75" customHeight="1">
      <c r="A909" s="5"/>
      <c r="B909" s="5"/>
      <c r="C909" s="5"/>
      <c r="D909" s="5"/>
      <c r="E909" s="5"/>
    </row>
    <row r="910" ht="15.75" customHeight="1">
      <c r="A910" s="5"/>
      <c r="B910" s="5"/>
      <c r="C910" s="5"/>
      <c r="D910" s="5"/>
      <c r="E910" s="5"/>
    </row>
    <row r="911" ht="15.75" customHeight="1">
      <c r="A911" s="5"/>
      <c r="B911" s="5"/>
      <c r="C911" s="5"/>
      <c r="D911" s="5"/>
      <c r="E911" s="5"/>
    </row>
    <row r="912" ht="15.75" customHeight="1">
      <c r="A912" s="5"/>
      <c r="B912" s="5"/>
      <c r="C912" s="5"/>
      <c r="D912" s="5"/>
      <c r="E912" s="5"/>
    </row>
    <row r="913" ht="15.75" customHeight="1">
      <c r="A913" s="5"/>
      <c r="B913" s="5"/>
      <c r="C913" s="5"/>
      <c r="D913" s="5"/>
      <c r="E913" s="5"/>
    </row>
    <row r="914" ht="15.75" customHeight="1">
      <c r="A914" s="5"/>
      <c r="B914" s="5"/>
      <c r="C914" s="5"/>
      <c r="D914" s="5"/>
      <c r="E914" s="5"/>
    </row>
    <row r="915" ht="15.75" customHeight="1">
      <c r="A915" s="5"/>
      <c r="B915" s="5"/>
      <c r="C915" s="5"/>
      <c r="D915" s="5"/>
      <c r="E915" s="5"/>
    </row>
    <row r="916" ht="15.75" customHeight="1">
      <c r="A916" s="5"/>
      <c r="B916" s="5"/>
      <c r="C916" s="5"/>
      <c r="D916" s="5"/>
      <c r="E916" s="5"/>
    </row>
    <row r="917" ht="15.75" customHeight="1">
      <c r="A917" s="5"/>
      <c r="B917" s="5"/>
      <c r="C917" s="5"/>
      <c r="D917" s="5"/>
      <c r="E917" s="5"/>
    </row>
    <row r="918" ht="15.75" customHeight="1">
      <c r="A918" s="5"/>
      <c r="B918" s="5"/>
      <c r="C918" s="5"/>
      <c r="D918" s="5"/>
      <c r="E918" s="5"/>
    </row>
    <row r="919" ht="15.75" customHeight="1">
      <c r="A919" s="5"/>
      <c r="B919" s="5"/>
      <c r="C919" s="5"/>
      <c r="D919" s="5"/>
      <c r="E919" s="5"/>
    </row>
    <row r="920" ht="15.75" customHeight="1">
      <c r="A920" s="5"/>
      <c r="B920" s="5"/>
      <c r="C920" s="5"/>
      <c r="D920" s="5"/>
      <c r="E920" s="5"/>
    </row>
    <row r="921" ht="15.75" customHeight="1">
      <c r="A921" s="5"/>
      <c r="B921" s="5"/>
      <c r="C921" s="5"/>
      <c r="D921" s="5"/>
      <c r="E921" s="5"/>
    </row>
    <row r="922" ht="15.75" customHeight="1">
      <c r="A922" s="5"/>
      <c r="B922" s="5"/>
      <c r="C922" s="5"/>
      <c r="D922" s="5"/>
      <c r="E922" s="5"/>
    </row>
    <row r="923" ht="15.75" customHeight="1">
      <c r="A923" s="5"/>
      <c r="B923" s="5"/>
      <c r="C923" s="5"/>
      <c r="D923" s="5"/>
      <c r="E923" s="5"/>
    </row>
    <row r="924" ht="15.75" customHeight="1">
      <c r="A924" s="5"/>
      <c r="B924" s="5"/>
      <c r="C924" s="5"/>
      <c r="D924" s="5"/>
      <c r="E924" s="5"/>
    </row>
    <row r="925" ht="15.75" customHeight="1">
      <c r="A925" s="5"/>
      <c r="B925" s="5"/>
      <c r="C925" s="5"/>
      <c r="D925" s="5"/>
      <c r="E925" s="5"/>
    </row>
    <row r="926" ht="15.75" customHeight="1">
      <c r="A926" s="5"/>
      <c r="B926" s="5"/>
      <c r="C926" s="5"/>
      <c r="D926" s="5"/>
      <c r="E926" s="5"/>
    </row>
    <row r="927" ht="15.75" customHeight="1">
      <c r="A927" s="5"/>
      <c r="B927" s="5"/>
      <c r="C927" s="5"/>
      <c r="D927" s="5"/>
      <c r="E927" s="5"/>
    </row>
    <row r="928" ht="15.75" customHeight="1">
      <c r="A928" s="5"/>
      <c r="B928" s="5"/>
      <c r="C928" s="5"/>
      <c r="D928" s="5"/>
      <c r="E928" s="5"/>
    </row>
    <row r="929" ht="15.75" customHeight="1">
      <c r="A929" s="5"/>
      <c r="B929" s="5"/>
      <c r="C929" s="5"/>
      <c r="D929" s="5"/>
      <c r="E929" s="5"/>
    </row>
    <row r="930" ht="15.75" customHeight="1">
      <c r="A930" s="5"/>
      <c r="B930" s="5"/>
      <c r="C930" s="5"/>
      <c r="D930" s="5"/>
      <c r="E930" s="5"/>
    </row>
    <row r="931" ht="15.75" customHeight="1">
      <c r="A931" s="5"/>
      <c r="B931" s="5"/>
      <c r="C931" s="5"/>
      <c r="D931" s="5"/>
      <c r="E931" s="5"/>
    </row>
    <row r="932" ht="15.75" customHeight="1">
      <c r="A932" s="5"/>
      <c r="B932" s="5"/>
      <c r="C932" s="5"/>
      <c r="D932" s="5"/>
      <c r="E932" s="5"/>
    </row>
    <row r="933" ht="15.75" customHeight="1">
      <c r="A933" s="5"/>
      <c r="B933" s="5"/>
      <c r="C933" s="5"/>
      <c r="D933" s="5"/>
      <c r="E933" s="5"/>
    </row>
    <row r="934" ht="15.75" customHeight="1">
      <c r="A934" s="5"/>
      <c r="B934" s="5"/>
      <c r="C934" s="5"/>
      <c r="D934" s="5"/>
      <c r="E934" s="5"/>
    </row>
    <row r="935" ht="15.75" customHeight="1">
      <c r="A935" s="5"/>
      <c r="B935" s="5"/>
      <c r="C935" s="5"/>
      <c r="D935" s="5"/>
      <c r="E935" s="5"/>
    </row>
    <row r="936" ht="15.75" customHeight="1">
      <c r="A936" s="5"/>
      <c r="B936" s="5"/>
      <c r="C936" s="5"/>
      <c r="D936" s="5"/>
      <c r="E936" s="5"/>
    </row>
    <row r="937" ht="15.75" customHeight="1">
      <c r="A937" s="5"/>
      <c r="B937" s="5"/>
      <c r="C937" s="5"/>
      <c r="D937" s="5"/>
      <c r="E937" s="5"/>
    </row>
    <row r="938" ht="15.75" customHeight="1">
      <c r="A938" s="5"/>
      <c r="B938" s="5"/>
      <c r="C938" s="5"/>
      <c r="D938" s="5"/>
      <c r="E938" s="5"/>
    </row>
    <row r="939" ht="15.75" customHeight="1">
      <c r="A939" s="5"/>
      <c r="B939" s="5"/>
      <c r="C939" s="5"/>
      <c r="D939" s="5"/>
      <c r="E939" s="5"/>
    </row>
    <row r="940" ht="15.75" customHeight="1">
      <c r="A940" s="5"/>
      <c r="B940" s="5"/>
      <c r="C940" s="5"/>
      <c r="D940" s="5"/>
      <c r="E940" s="5"/>
    </row>
    <row r="941" ht="15.75" customHeight="1">
      <c r="A941" s="5"/>
      <c r="B941" s="5"/>
      <c r="C941" s="5"/>
      <c r="D941" s="5"/>
      <c r="E941" s="5"/>
    </row>
    <row r="942" ht="15.75" customHeight="1">
      <c r="A942" s="5"/>
      <c r="B942" s="5"/>
      <c r="C942" s="5"/>
      <c r="D942" s="5"/>
      <c r="E942" s="5"/>
    </row>
    <row r="943" ht="15.75" customHeight="1">
      <c r="A943" s="5"/>
      <c r="B943" s="5"/>
      <c r="C943" s="5"/>
      <c r="D943" s="5"/>
      <c r="E943" s="5"/>
    </row>
    <row r="944" ht="15.75" customHeight="1">
      <c r="A944" s="5"/>
      <c r="B944" s="5"/>
      <c r="C944" s="5"/>
      <c r="D944" s="5"/>
      <c r="E944" s="5"/>
    </row>
    <row r="945" ht="15.75" customHeight="1">
      <c r="A945" s="5"/>
      <c r="B945" s="5"/>
      <c r="C945" s="5"/>
      <c r="D945" s="5"/>
      <c r="E945" s="5"/>
    </row>
    <row r="946" ht="15.75" customHeight="1">
      <c r="A946" s="5"/>
      <c r="B946" s="5"/>
      <c r="C946" s="5"/>
      <c r="D946" s="5"/>
      <c r="E946" s="5"/>
    </row>
    <row r="947" ht="15.75" customHeight="1">
      <c r="A947" s="5"/>
      <c r="B947" s="5"/>
      <c r="C947" s="5"/>
      <c r="D947" s="5"/>
      <c r="E947" s="5"/>
    </row>
    <row r="948" ht="15.75" customHeight="1">
      <c r="A948" s="5"/>
      <c r="B948" s="5"/>
      <c r="C948" s="5"/>
      <c r="D948" s="5"/>
      <c r="E948" s="5"/>
    </row>
    <row r="949" ht="15.75" customHeight="1">
      <c r="A949" s="5"/>
      <c r="B949" s="5"/>
      <c r="C949" s="5"/>
      <c r="D949" s="5"/>
      <c r="E949" s="5"/>
    </row>
    <row r="950" ht="15.75" customHeight="1">
      <c r="A950" s="5"/>
      <c r="B950" s="5"/>
      <c r="C950" s="5"/>
      <c r="D950" s="5"/>
      <c r="E950" s="5"/>
    </row>
    <row r="951" ht="15.75" customHeight="1">
      <c r="A951" s="5"/>
      <c r="B951" s="5"/>
      <c r="C951" s="5"/>
      <c r="D951" s="5"/>
      <c r="E951" s="5"/>
    </row>
    <row r="952" ht="15.75" customHeight="1">
      <c r="A952" s="5"/>
      <c r="B952" s="5"/>
      <c r="C952" s="5"/>
      <c r="D952" s="5"/>
      <c r="E952" s="5"/>
    </row>
    <row r="953" ht="15.75" customHeight="1">
      <c r="A953" s="5"/>
      <c r="B953" s="5"/>
      <c r="C953" s="5"/>
      <c r="D953" s="5"/>
      <c r="E953" s="5"/>
    </row>
    <row r="954" ht="15.75" customHeight="1">
      <c r="A954" s="5"/>
      <c r="B954" s="5"/>
      <c r="C954" s="5"/>
      <c r="D954" s="5"/>
      <c r="E954" s="5"/>
    </row>
    <row r="955" ht="15.75" customHeight="1">
      <c r="A955" s="5"/>
      <c r="B955" s="5"/>
      <c r="C955" s="5"/>
      <c r="D955" s="5"/>
      <c r="E955" s="5"/>
    </row>
    <row r="956" ht="15.75" customHeight="1">
      <c r="A956" s="5"/>
      <c r="B956" s="5"/>
      <c r="C956" s="5"/>
      <c r="D956" s="5"/>
      <c r="E956" s="5"/>
    </row>
    <row r="957" ht="15.75" customHeight="1">
      <c r="A957" s="5"/>
      <c r="B957" s="5"/>
      <c r="C957" s="5"/>
      <c r="D957" s="5"/>
      <c r="E957" s="5"/>
    </row>
    <row r="958" ht="15.75" customHeight="1">
      <c r="A958" s="5"/>
      <c r="B958" s="5"/>
      <c r="C958" s="5"/>
      <c r="D958" s="5"/>
      <c r="E958" s="5"/>
    </row>
    <row r="959" ht="15.75" customHeight="1">
      <c r="A959" s="5"/>
      <c r="B959" s="5"/>
      <c r="C959" s="5"/>
      <c r="D959" s="5"/>
      <c r="E959" s="5"/>
    </row>
    <row r="960" ht="15.75" customHeight="1">
      <c r="A960" s="5"/>
      <c r="B960" s="5"/>
      <c r="C960" s="5"/>
      <c r="D960" s="5"/>
      <c r="E960" s="5"/>
    </row>
    <row r="961" ht="15.75" customHeight="1">
      <c r="A961" s="5"/>
      <c r="B961" s="5"/>
      <c r="C961" s="5"/>
      <c r="D961" s="5"/>
      <c r="E961" s="5"/>
    </row>
    <row r="962" ht="15.75" customHeight="1">
      <c r="A962" s="5"/>
      <c r="B962" s="5"/>
      <c r="C962" s="5"/>
      <c r="D962" s="5"/>
      <c r="E962" s="5"/>
    </row>
    <row r="963" ht="15.75" customHeight="1">
      <c r="A963" s="5"/>
      <c r="B963" s="5"/>
      <c r="C963" s="5"/>
      <c r="D963" s="5"/>
      <c r="E963" s="5"/>
    </row>
    <row r="964" ht="15.75" customHeight="1">
      <c r="A964" s="5"/>
      <c r="B964" s="5"/>
      <c r="C964" s="5"/>
      <c r="D964" s="5"/>
      <c r="E964" s="5"/>
    </row>
    <row r="965" ht="15.75" customHeight="1">
      <c r="A965" s="5"/>
      <c r="B965" s="5"/>
      <c r="C965" s="5"/>
      <c r="D965" s="5"/>
      <c r="E965" s="5"/>
    </row>
    <row r="966" ht="15.75" customHeight="1">
      <c r="A966" s="5"/>
      <c r="B966" s="5"/>
      <c r="C966" s="5"/>
      <c r="D966" s="5"/>
      <c r="E966" s="5"/>
    </row>
    <row r="967" ht="15.75" customHeight="1">
      <c r="A967" s="5"/>
      <c r="B967" s="5"/>
      <c r="C967" s="5"/>
      <c r="D967" s="5"/>
      <c r="E967" s="5"/>
    </row>
    <row r="968" ht="15.75" customHeight="1">
      <c r="A968" s="5"/>
      <c r="B968" s="5"/>
      <c r="C968" s="5"/>
      <c r="D968" s="5"/>
      <c r="E968" s="5"/>
    </row>
    <row r="969" ht="15.75" customHeight="1">
      <c r="A969" s="5"/>
      <c r="B969" s="5"/>
      <c r="C969" s="5"/>
      <c r="D969" s="5"/>
      <c r="E969" s="5"/>
    </row>
    <row r="970" ht="15.75" customHeight="1">
      <c r="A970" s="5"/>
      <c r="B970" s="5"/>
      <c r="C970" s="5"/>
      <c r="D970" s="5"/>
      <c r="E970" s="5"/>
    </row>
    <row r="971" ht="15.75" customHeight="1">
      <c r="A971" s="5"/>
      <c r="B971" s="5"/>
      <c r="C971" s="5"/>
      <c r="D971" s="5"/>
      <c r="E971" s="5"/>
    </row>
    <row r="972" ht="15.75" customHeight="1">
      <c r="A972" s="5"/>
      <c r="B972" s="5"/>
      <c r="C972" s="5"/>
      <c r="D972" s="5"/>
      <c r="E972" s="5"/>
    </row>
    <row r="973" ht="15.75" customHeight="1">
      <c r="A973" s="5"/>
      <c r="B973" s="5"/>
      <c r="C973" s="5"/>
      <c r="D973" s="5"/>
      <c r="E973" s="5"/>
    </row>
    <row r="974" ht="15.75" customHeight="1">
      <c r="A974" s="5"/>
      <c r="B974" s="5"/>
      <c r="C974" s="5"/>
      <c r="D974" s="5"/>
      <c r="E974" s="5"/>
    </row>
    <row r="975" ht="15.75" customHeight="1">
      <c r="A975" s="5"/>
      <c r="B975" s="5"/>
      <c r="C975" s="5"/>
      <c r="D975" s="5"/>
      <c r="E975" s="5"/>
    </row>
    <row r="976" ht="15.75" customHeight="1">
      <c r="A976" s="5"/>
      <c r="B976" s="5"/>
      <c r="C976" s="5"/>
      <c r="D976" s="5"/>
      <c r="E976" s="5"/>
    </row>
    <row r="977" ht="15.75" customHeight="1">
      <c r="A977" s="5"/>
      <c r="B977" s="5"/>
      <c r="C977" s="5"/>
      <c r="D977" s="5"/>
      <c r="E977" s="5"/>
    </row>
    <row r="978" ht="15.75" customHeight="1">
      <c r="A978" s="5"/>
      <c r="B978" s="5"/>
      <c r="C978" s="5"/>
      <c r="D978" s="5"/>
      <c r="E978" s="5"/>
    </row>
    <row r="979" ht="15.75" customHeight="1">
      <c r="A979" s="5"/>
      <c r="B979" s="5"/>
      <c r="C979" s="5"/>
      <c r="D979" s="5"/>
      <c r="E979" s="5"/>
    </row>
    <row r="980" ht="15.75" customHeight="1">
      <c r="A980" s="5"/>
      <c r="B980" s="5"/>
      <c r="C980" s="5"/>
      <c r="D980" s="5"/>
      <c r="E980" s="5"/>
    </row>
    <row r="981" ht="15.75" customHeight="1">
      <c r="A981" s="5"/>
      <c r="B981" s="5"/>
      <c r="C981" s="5"/>
      <c r="D981" s="5"/>
      <c r="E981" s="5"/>
    </row>
    <row r="982" ht="15.75" customHeight="1">
      <c r="A982" s="5"/>
      <c r="B982" s="5"/>
      <c r="C982" s="5"/>
      <c r="D982" s="5"/>
      <c r="E982" s="5"/>
    </row>
    <row r="983" ht="15.75" customHeight="1">
      <c r="A983" s="5"/>
      <c r="B983" s="5"/>
      <c r="C983" s="5"/>
      <c r="D983" s="5"/>
      <c r="E983" s="5"/>
    </row>
    <row r="984" ht="15.75" customHeight="1">
      <c r="A984" s="5"/>
      <c r="B984" s="5"/>
      <c r="C984" s="5"/>
      <c r="D984" s="5"/>
      <c r="E984" s="5"/>
    </row>
    <row r="985" ht="15.75" customHeight="1">
      <c r="A985" s="5"/>
      <c r="B985" s="5"/>
      <c r="C985" s="5"/>
      <c r="D985" s="5"/>
      <c r="E985" s="5"/>
    </row>
    <row r="986" ht="15.75" customHeight="1">
      <c r="A986" s="5"/>
      <c r="B986" s="5"/>
      <c r="C986" s="5"/>
      <c r="D986" s="5"/>
      <c r="E986" s="5"/>
    </row>
    <row r="987" ht="15.75" customHeight="1">
      <c r="A987" s="5"/>
      <c r="B987" s="5"/>
      <c r="C987" s="5"/>
      <c r="D987" s="5"/>
      <c r="E987" s="5"/>
    </row>
    <row r="988" ht="15.75" customHeight="1">
      <c r="A988" s="5"/>
      <c r="B988" s="5"/>
      <c r="C988" s="5"/>
      <c r="D988" s="5"/>
      <c r="E988" s="5"/>
    </row>
    <row r="989" ht="15.75" customHeight="1">
      <c r="A989" s="5"/>
      <c r="B989" s="5"/>
      <c r="C989" s="5"/>
      <c r="D989" s="5"/>
      <c r="E989" s="5"/>
    </row>
    <row r="990" ht="15.75" customHeight="1">
      <c r="A990" s="5"/>
      <c r="B990" s="5"/>
      <c r="C990" s="5"/>
      <c r="D990" s="5"/>
      <c r="E990" s="5"/>
    </row>
    <row r="991" ht="15.75" customHeight="1">
      <c r="A991" s="5"/>
      <c r="B991" s="5"/>
      <c r="C991" s="5"/>
      <c r="D991" s="5"/>
      <c r="E991" s="5"/>
    </row>
    <row r="992" ht="15.75" customHeight="1">
      <c r="A992" s="5"/>
      <c r="B992" s="5"/>
      <c r="C992" s="5"/>
      <c r="D992" s="5"/>
      <c r="E992" s="5"/>
    </row>
    <row r="993" ht="15.75" customHeight="1">
      <c r="A993" s="5"/>
      <c r="B993" s="5"/>
      <c r="C993" s="5"/>
      <c r="D993" s="5"/>
      <c r="E993" s="5"/>
    </row>
    <row r="994" ht="15.75" customHeight="1">
      <c r="A994" s="5"/>
      <c r="B994" s="5"/>
      <c r="C994" s="5"/>
      <c r="D994" s="5"/>
      <c r="E994" s="5"/>
    </row>
    <row r="995" ht="15.75" customHeight="1">
      <c r="A995" s="5"/>
      <c r="B995" s="5"/>
      <c r="C995" s="5"/>
      <c r="D995" s="5"/>
      <c r="E995" s="5"/>
    </row>
    <row r="996" ht="15.75" customHeight="1">
      <c r="A996" s="5"/>
      <c r="B996" s="5"/>
      <c r="C996" s="5"/>
      <c r="D996" s="5"/>
      <c r="E996" s="5"/>
    </row>
    <row r="997" ht="15.75" customHeight="1">
      <c r="A997" s="5"/>
      <c r="B997" s="5"/>
      <c r="C997" s="5"/>
      <c r="D997" s="5"/>
      <c r="E997" s="5"/>
    </row>
    <row r="998" ht="15.75" customHeight="1">
      <c r="A998" s="5"/>
      <c r="B998" s="5"/>
      <c r="C998" s="5"/>
      <c r="D998" s="5"/>
      <c r="E998" s="5"/>
    </row>
    <row r="999" ht="15.75" customHeight="1">
      <c r="A999" s="5"/>
      <c r="B999" s="5"/>
      <c r="C999" s="5"/>
      <c r="D999" s="5"/>
      <c r="E999" s="5"/>
    </row>
    <row r="1000" ht="15.75" customHeight="1">
      <c r="A1000" s="5"/>
      <c r="B1000" s="5"/>
      <c r="C1000" s="5"/>
      <c r="D1000" s="5"/>
      <c r="E1000" s="5"/>
    </row>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5"/>
    <col customWidth="1" min="2" max="2" width="18.75"/>
    <col customWidth="1" min="3" max="3" width="24.88"/>
    <col customWidth="1" min="4" max="4" width="38.0"/>
    <col customWidth="1" min="5" max="5" width="13.88"/>
    <col customWidth="1" min="6" max="6" width="12.63"/>
  </cols>
  <sheetData>
    <row r="1" ht="15.75" customHeight="1">
      <c r="A1" s="33" t="s">
        <v>583</v>
      </c>
      <c r="B1" s="32" t="s">
        <v>584</v>
      </c>
      <c r="C1" s="32" t="s">
        <v>555</v>
      </c>
      <c r="D1" s="32" t="s">
        <v>556</v>
      </c>
      <c r="E1" s="39" t="s">
        <v>585</v>
      </c>
      <c r="F1" s="35"/>
      <c r="G1" s="35"/>
      <c r="H1" s="35"/>
      <c r="I1" s="35"/>
      <c r="J1" s="35"/>
      <c r="K1" s="35"/>
      <c r="L1" s="35"/>
      <c r="M1" s="35"/>
      <c r="N1" s="35"/>
      <c r="O1" s="35"/>
      <c r="P1" s="35"/>
      <c r="Q1" s="35"/>
      <c r="R1" s="35"/>
      <c r="S1" s="35"/>
      <c r="T1" s="35"/>
      <c r="U1" s="35"/>
      <c r="V1" s="35"/>
      <c r="W1" s="35"/>
      <c r="X1" s="35"/>
      <c r="Y1" s="35"/>
      <c r="Z1" s="35"/>
    </row>
    <row r="2" ht="15.75" customHeight="1">
      <c r="A2" s="40" t="s">
        <v>586</v>
      </c>
      <c r="B2" s="36" t="s">
        <v>587</v>
      </c>
      <c r="C2" s="36" t="s">
        <v>107</v>
      </c>
      <c r="D2" s="36" t="s">
        <v>560</v>
      </c>
      <c r="E2" s="41">
        <v>0.3</v>
      </c>
      <c r="F2" s="5"/>
      <c r="G2" s="5"/>
      <c r="H2" s="5"/>
      <c r="I2" s="5"/>
      <c r="J2" s="5"/>
      <c r="K2" s="5"/>
      <c r="L2" s="5"/>
      <c r="M2" s="5"/>
      <c r="N2" s="5"/>
      <c r="O2" s="5"/>
      <c r="P2" s="5"/>
      <c r="Q2" s="5"/>
      <c r="R2" s="5"/>
      <c r="S2" s="5"/>
      <c r="T2" s="5"/>
      <c r="U2" s="5"/>
      <c r="V2" s="5"/>
      <c r="W2" s="5"/>
      <c r="X2" s="5"/>
      <c r="Y2" s="5"/>
      <c r="Z2" s="5"/>
    </row>
    <row r="3" ht="15.75" customHeight="1">
      <c r="A3" s="40" t="s">
        <v>586</v>
      </c>
      <c r="B3" s="36" t="s">
        <v>587</v>
      </c>
      <c r="C3" s="36" t="s">
        <v>117</v>
      </c>
      <c r="D3" s="36" t="s">
        <v>562</v>
      </c>
      <c r="E3" s="41">
        <v>0.8</v>
      </c>
      <c r="F3" s="5"/>
      <c r="G3" s="5"/>
      <c r="H3" s="5"/>
      <c r="I3" s="5"/>
      <c r="J3" s="5"/>
      <c r="K3" s="5"/>
      <c r="L3" s="5"/>
      <c r="M3" s="5"/>
      <c r="N3" s="5"/>
      <c r="O3" s="5"/>
      <c r="P3" s="5"/>
      <c r="Q3" s="5"/>
      <c r="R3" s="5"/>
      <c r="S3" s="5"/>
      <c r="T3" s="5"/>
      <c r="U3" s="5"/>
      <c r="V3" s="5"/>
      <c r="W3" s="5"/>
      <c r="X3" s="5"/>
      <c r="Y3" s="5"/>
      <c r="Z3" s="5"/>
    </row>
    <row r="4" ht="15.75" customHeight="1">
      <c r="A4" s="40" t="s">
        <v>586</v>
      </c>
      <c r="B4" s="36" t="s">
        <v>587</v>
      </c>
      <c r="C4" s="36" t="s">
        <v>120</v>
      </c>
      <c r="D4" s="36" t="s">
        <v>563</v>
      </c>
      <c r="E4" s="41">
        <v>0.45</v>
      </c>
      <c r="F4" s="5"/>
      <c r="G4" s="5"/>
      <c r="H4" s="5"/>
      <c r="I4" s="5"/>
      <c r="J4" s="5"/>
      <c r="K4" s="5"/>
      <c r="L4" s="5"/>
      <c r="M4" s="5"/>
      <c r="N4" s="5"/>
      <c r="O4" s="5"/>
      <c r="P4" s="5"/>
      <c r="Q4" s="5"/>
      <c r="R4" s="5"/>
      <c r="S4" s="5"/>
      <c r="T4" s="5"/>
      <c r="U4" s="5"/>
      <c r="V4" s="5"/>
      <c r="W4" s="5"/>
      <c r="X4" s="5"/>
      <c r="Y4" s="5"/>
      <c r="Z4" s="5"/>
    </row>
    <row r="5" ht="15.75" customHeight="1">
      <c r="A5" s="40" t="s">
        <v>586</v>
      </c>
      <c r="B5" s="36" t="s">
        <v>587</v>
      </c>
      <c r="C5" s="36" t="s">
        <v>129</v>
      </c>
      <c r="D5" s="36" t="s">
        <v>564</v>
      </c>
      <c r="E5" s="41">
        <v>0.85</v>
      </c>
      <c r="F5" s="5"/>
      <c r="G5" s="5"/>
      <c r="H5" s="5"/>
      <c r="I5" s="5"/>
      <c r="J5" s="5"/>
      <c r="K5" s="5"/>
      <c r="L5" s="5"/>
      <c r="M5" s="5"/>
      <c r="N5" s="5"/>
      <c r="O5" s="5"/>
      <c r="P5" s="5"/>
      <c r="Q5" s="5"/>
      <c r="R5" s="5"/>
      <c r="S5" s="5"/>
      <c r="T5" s="5"/>
      <c r="U5" s="5"/>
      <c r="V5" s="5"/>
      <c r="W5" s="5"/>
      <c r="X5" s="5"/>
      <c r="Y5" s="5"/>
      <c r="Z5" s="5"/>
    </row>
    <row r="6" ht="15.75" customHeight="1">
      <c r="A6" s="40" t="s">
        <v>586</v>
      </c>
      <c r="B6" s="36" t="s">
        <v>587</v>
      </c>
      <c r="C6" s="36" t="s">
        <v>136</v>
      </c>
      <c r="D6" s="36" t="s">
        <v>565</v>
      </c>
      <c r="E6" s="41">
        <v>0.4</v>
      </c>
      <c r="F6" s="5"/>
      <c r="G6" s="5"/>
      <c r="H6" s="5"/>
      <c r="I6" s="5"/>
      <c r="J6" s="5"/>
      <c r="K6" s="5"/>
      <c r="L6" s="5"/>
      <c r="M6" s="5"/>
      <c r="N6" s="5"/>
      <c r="O6" s="5"/>
      <c r="P6" s="5"/>
      <c r="Q6" s="5"/>
      <c r="R6" s="5"/>
      <c r="S6" s="5"/>
      <c r="T6" s="5"/>
      <c r="U6" s="5"/>
      <c r="V6" s="5"/>
      <c r="W6" s="5"/>
      <c r="X6" s="5"/>
      <c r="Y6" s="5"/>
      <c r="Z6" s="5"/>
    </row>
    <row r="7" ht="15.75" customHeight="1">
      <c r="A7" s="40" t="s">
        <v>586</v>
      </c>
      <c r="B7" s="36" t="s">
        <v>587</v>
      </c>
      <c r="C7" s="36" t="s">
        <v>139</v>
      </c>
      <c r="D7" s="36" t="s">
        <v>566</v>
      </c>
      <c r="E7" s="41">
        <v>0.25</v>
      </c>
      <c r="F7" s="5"/>
      <c r="G7" s="5"/>
      <c r="H7" s="5"/>
      <c r="I7" s="5"/>
      <c r="J7" s="5"/>
      <c r="K7" s="5"/>
      <c r="L7" s="5"/>
      <c r="M7" s="5"/>
      <c r="N7" s="5"/>
      <c r="O7" s="5"/>
      <c r="P7" s="5"/>
      <c r="Q7" s="5"/>
      <c r="R7" s="5"/>
      <c r="S7" s="5"/>
      <c r="T7" s="5"/>
      <c r="U7" s="5"/>
      <c r="V7" s="5"/>
      <c r="W7" s="5"/>
      <c r="X7" s="5"/>
      <c r="Y7" s="5"/>
      <c r="Z7" s="5"/>
    </row>
    <row r="8" ht="15.75" customHeight="1">
      <c r="A8" s="40" t="s">
        <v>586</v>
      </c>
      <c r="B8" s="36" t="s">
        <v>587</v>
      </c>
      <c r="C8" s="36" t="s">
        <v>149</v>
      </c>
      <c r="D8" s="36" t="s">
        <v>567</v>
      </c>
      <c r="E8" s="41">
        <v>0.2</v>
      </c>
      <c r="F8" s="5"/>
      <c r="G8" s="5"/>
      <c r="H8" s="5"/>
      <c r="I8" s="5"/>
      <c r="J8" s="5"/>
      <c r="K8" s="5"/>
      <c r="L8" s="5"/>
      <c r="M8" s="5"/>
      <c r="N8" s="5"/>
      <c r="O8" s="5"/>
      <c r="P8" s="5"/>
      <c r="Q8" s="5"/>
      <c r="R8" s="5"/>
      <c r="S8" s="5"/>
      <c r="T8" s="5"/>
      <c r="U8" s="5"/>
      <c r="V8" s="5"/>
      <c r="W8" s="5"/>
      <c r="X8" s="5"/>
      <c r="Y8" s="5"/>
      <c r="Z8" s="5"/>
    </row>
    <row r="9" ht="15.75" customHeight="1">
      <c r="A9" s="40" t="s">
        <v>586</v>
      </c>
      <c r="B9" s="36" t="s">
        <v>587</v>
      </c>
      <c r="C9" s="36" t="s">
        <v>146</v>
      </c>
      <c r="D9" s="36" t="s">
        <v>568</v>
      </c>
      <c r="E9" s="41">
        <v>0.55</v>
      </c>
      <c r="F9" s="5"/>
      <c r="G9" s="5"/>
      <c r="H9" s="5"/>
      <c r="I9" s="5"/>
      <c r="J9" s="5"/>
      <c r="K9" s="5"/>
      <c r="L9" s="5"/>
      <c r="M9" s="5"/>
      <c r="N9" s="5"/>
      <c r="O9" s="5"/>
      <c r="P9" s="5"/>
      <c r="Q9" s="5"/>
      <c r="R9" s="5"/>
      <c r="S9" s="5"/>
      <c r="T9" s="5"/>
      <c r="U9" s="5"/>
      <c r="V9" s="5"/>
      <c r="W9" s="5"/>
      <c r="X9" s="5"/>
      <c r="Y9" s="5"/>
      <c r="Z9" s="5"/>
    </row>
    <row r="10" ht="15.75" customHeight="1">
      <c r="A10" s="40" t="s">
        <v>586</v>
      </c>
      <c r="B10" s="36" t="s">
        <v>587</v>
      </c>
      <c r="C10" s="36" t="s">
        <v>143</v>
      </c>
      <c r="D10" s="36" t="s">
        <v>569</v>
      </c>
      <c r="E10" s="41">
        <v>0.2</v>
      </c>
      <c r="F10" s="5"/>
      <c r="G10" s="5"/>
      <c r="H10" s="5"/>
      <c r="I10" s="5"/>
      <c r="J10" s="5"/>
      <c r="K10" s="5"/>
      <c r="L10" s="5"/>
      <c r="M10" s="5"/>
      <c r="N10" s="5"/>
      <c r="O10" s="5"/>
      <c r="P10" s="5"/>
      <c r="Q10" s="5"/>
      <c r="R10" s="5"/>
      <c r="S10" s="5"/>
      <c r="T10" s="5"/>
      <c r="U10" s="5"/>
      <c r="V10" s="5"/>
      <c r="W10" s="5"/>
      <c r="X10" s="5"/>
      <c r="Y10" s="5"/>
      <c r="Z10" s="5"/>
    </row>
    <row r="11" ht="15.75" customHeight="1">
      <c r="A11" s="40" t="s">
        <v>586</v>
      </c>
      <c r="B11" s="36" t="s">
        <v>587</v>
      </c>
      <c r="C11" s="36" t="s">
        <v>185</v>
      </c>
      <c r="D11" s="36" t="s">
        <v>571</v>
      </c>
      <c r="E11" s="41">
        <v>0.3</v>
      </c>
      <c r="F11" s="5"/>
      <c r="G11" s="5"/>
      <c r="H11" s="5"/>
      <c r="I11" s="5"/>
      <c r="J11" s="5"/>
      <c r="K11" s="5"/>
      <c r="L11" s="5"/>
      <c r="M11" s="5"/>
      <c r="N11" s="5"/>
      <c r="O11" s="5"/>
      <c r="P11" s="5"/>
      <c r="Q11" s="5"/>
      <c r="R11" s="5"/>
      <c r="S11" s="5"/>
      <c r="T11" s="5"/>
      <c r="U11" s="5"/>
      <c r="V11" s="5"/>
      <c r="W11" s="5"/>
      <c r="X11" s="5"/>
      <c r="Y11" s="5"/>
      <c r="Z11" s="5"/>
    </row>
    <row r="12" ht="15.75" customHeight="1">
      <c r="A12" s="40" t="s">
        <v>586</v>
      </c>
      <c r="B12" s="36" t="s">
        <v>587</v>
      </c>
      <c r="C12" s="36" t="s">
        <v>179</v>
      </c>
      <c r="D12" s="36" t="s">
        <v>572</v>
      </c>
      <c r="E12" s="41">
        <v>0.45</v>
      </c>
      <c r="F12" s="5"/>
      <c r="G12" s="5"/>
      <c r="H12" s="5"/>
      <c r="I12" s="5"/>
      <c r="J12" s="5"/>
      <c r="K12" s="5"/>
      <c r="L12" s="5"/>
      <c r="M12" s="5"/>
      <c r="N12" s="5"/>
      <c r="O12" s="5"/>
      <c r="P12" s="5"/>
      <c r="Q12" s="5"/>
      <c r="R12" s="5"/>
      <c r="S12" s="5"/>
      <c r="T12" s="5"/>
      <c r="U12" s="5"/>
      <c r="V12" s="5"/>
      <c r="W12" s="5"/>
      <c r="X12" s="5"/>
      <c r="Y12" s="5"/>
      <c r="Z12" s="5"/>
    </row>
    <row r="13" ht="15.75" customHeight="1">
      <c r="A13" s="40" t="s">
        <v>586</v>
      </c>
      <c r="B13" s="36" t="s">
        <v>587</v>
      </c>
      <c r="C13" s="36" t="s">
        <v>182</v>
      </c>
      <c r="D13" s="36" t="s">
        <v>573</v>
      </c>
      <c r="E13" s="41">
        <v>0.55</v>
      </c>
      <c r="F13" s="5"/>
      <c r="G13" s="5"/>
      <c r="H13" s="5"/>
      <c r="I13" s="5"/>
      <c r="J13" s="5"/>
      <c r="K13" s="5"/>
      <c r="L13" s="5"/>
      <c r="M13" s="5"/>
      <c r="N13" s="5"/>
      <c r="O13" s="5"/>
      <c r="P13" s="5"/>
      <c r="Q13" s="5"/>
      <c r="R13" s="5"/>
      <c r="S13" s="5"/>
      <c r="T13" s="5"/>
      <c r="U13" s="5"/>
      <c r="V13" s="5"/>
      <c r="W13" s="5"/>
      <c r="X13" s="5"/>
      <c r="Y13" s="5"/>
      <c r="Z13" s="5"/>
    </row>
    <row r="14" ht="15.75" customHeight="1">
      <c r="A14" s="40" t="s">
        <v>586</v>
      </c>
      <c r="B14" s="36" t="s">
        <v>587</v>
      </c>
      <c r="C14" s="36" t="s">
        <v>190</v>
      </c>
      <c r="D14" s="36" t="s">
        <v>574</v>
      </c>
      <c r="E14" s="41">
        <v>0.2</v>
      </c>
      <c r="F14" s="5"/>
      <c r="G14" s="5"/>
      <c r="H14" s="5"/>
      <c r="I14" s="5"/>
      <c r="J14" s="5"/>
      <c r="K14" s="5"/>
      <c r="L14" s="5"/>
      <c r="M14" s="5"/>
      <c r="N14" s="5"/>
      <c r="O14" s="5"/>
      <c r="P14" s="5"/>
      <c r="Q14" s="5"/>
      <c r="R14" s="5"/>
      <c r="S14" s="5"/>
      <c r="T14" s="5"/>
      <c r="U14" s="5"/>
      <c r="V14" s="5"/>
      <c r="W14" s="5"/>
      <c r="X14" s="5"/>
      <c r="Y14" s="5"/>
      <c r="Z14" s="5"/>
    </row>
    <row r="15" ht="15.75" customHeight="1">
      <c r="A15" s="40" t="s">
        <v>586</v>
      </c>
      <c r="B15" s="36" t="s">
        <v>587</v>
      </c>
      <c r="C15" s="36" t="s">
        <v>196</v>
      </c>
      <c r="D15" s="36" t="s">
        <v>575</v>
      </c>
      <c r="E15" s="41">
        <v>0.5</v>
      </c>
      <c r="F15" s="5"/>
      <c r="G15" s="5"/>
      <c r="H15" s="5"/>
      <c r="I15" s="5"/>
      <c r="J15" s="5"/>
      <c r="K15" s="5"/>
      <c r="L15" s="5"/>
      <c r="M15" s="5"/>
      <c r="N15" s="5"/>
      <c r="O15" s="5"/>
      <c r="P15" s="5"/>
      <c r="Q15" s="5"/>
      <c r="R15" s="5"/>
      <c r="S15" s="5"/>
      <c r="T15" s="5"/>
      <c r="U15" s="5"/>
      <c r="V15" s="5"/>
      <c r="W15" s="5"/>
      <c r="X15" s="5"/>
      <c r="Y15" s="5"/>
      <c r="Z15" s="5"/>
    </row>
    <row r="16" ht="15.75" customHeight="1">
      <c r="A16" s="40" t="s">
        <v>586</v>
      </c>
      <c r="B16" s="36" t="s">
        <v>587</v>
      </c>
      <c r="C16" s="36" t="s">
        <v>157</v>
      </c>
      <c r="D16" s="36" t="s">
        <v>576</v>
      </c>
      <c r="E16" s="41">
        <v>0.75</v>
      </c>
      <c r="F16" s="5"/>
      <c r="G16" s="5"/>
      <c r="H16" s="5"/>
      <c r="I16" s="5"/>
      <c r="J16" s="5"/>
      <c r="K16" s="5"/>
      <c r="L16" s="5"/>
      <c r="M16" s="5"/>
      <c r="N16" s="5"/>
      <c r="O16" s="5"/>
      <c r="P16" s="5"/>
      <c r="Q16" s="5"/>
      <c r="R16" s="5"/>
      <c r="S16" s="5"/>
      <c r="T16" s="5"/>
      <c r="U16" s="5"/>
      <c r="V16" s="5"/>
      <c r="W16" s="5"/>
      <c r="X16" s="5"/>
      <c r="Y16" s="5"/>
      <c r="Z16" s="5"/>
    </row>
    <row r="17" ht="15.75" customHeight="1">
      <c r="A17" s="40" t="s">
        <v>586</v>
      </c>
      <c r="B17" s="36" t="s">
        <v>587</v>
      </c>
      <c r="C17" s="36" t="s">
        <v>165</v>
      </c>
      <c r="D17" s="36" t="s">
        <v>577</v>
      </c>
      <c r="E17" s="41">
        <v>0.65</v>
      </c>
      <c r="F17" s="5"/>
      <c r="G17" s="5"/>
      <c r="H17" s="5"/>
      <c r="I17" s="5"/>
      <c r="J17" s="5"/>
      <c r="K17" s="5"/>
      <c r="L17" s="5"/>
      <c r="M17" s="5"/>
      <c r="N17" s="5"/>
      <c r="O17" s="5"/>
      <c r="P17" s="5"/>
      <c r="Q17" s="5"/>
      <c r="R17" s="5"/>
      <c r="S17" s="5"/>
      <c r="T17" s="5"/>
      <c r="U17" s="5"/>
      <c r="V17" s="5"/>
      <c r="W17" s="5"/>
      <c r="X17" s="5"/>
      <c r="Y17" s="5"/>
      <c r="Z17" s="5"/>
    </row>
    <row r="18" ht="15.75" customHeight="1">
      <c r="A18" s="40" t="s">
        <v>586</v>
      </c>
      <c r="B18" s="36" t="s">
        <v>587</v>
      </c>
      <c r="C18" s="36" t="s">
        <v>168</v>
      </c>
      <c r="D18" s="36" t="s">
        <v>578</v>
      </c>
      <c r="E18" s="41">
        <v>0.45</v>
      </c>
      <c r="F18" s="5"/>
      <c r="G18" s="5"/>
      <c r="H18" s="5"/>
      <c r="I18" s="5"/>
      <c r="J18" s="5"/>
      <c r="K18" s="5"/>
      <c r="L18" s="5"/>
      <c r="M18" s="5"/>
      <c r="N18" s="5"/>
      <c r="O18" s="5"/>
      <c r="P18" s="5"/>
      <c r="Q18" s="5"/>
      <c r="R18" s="5"/>
      <c r="S18" s="5"/>
      <c r="T18" s="5"/>
      <c r="U18" s="5"/>
      <c r="V18" s="5"/>
      <c r="W18" s="5"/>
      <c r="X18" s="5"/>
      <c r="Y18" s="5"/>
      <c r="Z18" s="5"/>
    </row>
    <row r="19" ht="15.75" customHeight="1">
      <c r="A19" s="40" t="s">
        <v>586</v>
      </c>
      <c r="B19" s="36" t="s">
        <v>587</v>
      </c>
      <c r="C19" s="36" t="s">
        <v>171</v>
      </c>
      <c r="D19" s="36" t="s">
        <v>579</v>
      </c>
      <c r="E19" s="41">
        <v>0.2</v>
      </c>
      <c r="F19" s="5"/>
      <c r="G19" s="5"/>
      <c r="H19" s="5"/>
      <c r="I19" s="5"/>
      <c r="J19" s="5"/>
      <c r="K19" s="5"/>
      <c r="L19" s="5"/>
      <c r="M19" s="5"/>
      <c r="N19" s="5"/>
      <c r="O19" s="5"/>
      <c r="P19" s="5"/>
      <c r="Q19" s="5"/>
      <c r="R19" s="5"/>
      <c r="S19" s="5"/>
      <c r="T19" s="5"/>
      <c r="U19" s="5"/>
      <c r="V19" s="5"/>
      <c r="W19" s="5"/>
      <c r="X19" s="5"/>
      <c r="Y19" s="5"/>
      <c r="Z19" s="5"/>
    </row>
    <row r="20" ht="15.75" customHeight="1">
      <c r="A20" s="40" t="s">
        <v>586</v>
      </c>
      <c r="B20" s="36" t="s">
        <v>587</v>
      </c>
      <c r="C20" s="36" t="s">
        <v>174</v>
      </c>
      <c r="D20" s="36" t="s">
        <v>580</v>
      </c>
      <c r="E20" s="41">
        <v>0.1</v>
      </c>
      <c r="F20" s="5"/>
      <c r="G20" s="5"/>
      <c r="H20" s="5"/>
      <c r="I20" s="5"/>
      <c r="J20" s="5"/>
      <c r="K20" s="5"/>
      <c r="L20" s="5"/>
      <c r="M20" s="5"/>
      <c r="N20" s="5"/>
      <c r="O20" s="5"/>
      <c r="P20" s="5"/>
      <c r="Q20" s="5"/>
      <c r="R20" s="5"/>
      <c r="S20" s="5"/>
      <c r="T20" s="5"/>
      <c r="U20" s="5"/>
      <c r="V20" s="5"/>
      <c r="W20" s="5"/>
      <c r="X20" s="5"/>
      <c r="Y20" s="5"/>
      <c r="Z20" s="5"/>
    </row>
    <row r="21" ht="15.75" customHeight="1">
      <c r="A21" s="40" t="s">
        <v>586</v>
      </c>
      <c r="B21" s="36" t="s">
        <v>587</v>
      </c>
      <c r="C21" s="36" t="s">
        <v>162</v>
      </c>
      <c r="D21" s="36" t="s">
        <v>581</v>
      </c>
      <c r="E21" s="41">
        <v>0.75</v>
      </c>
      <c r="F21" s="5"/>
      <c r="G21" s="5"/>
      <c r="H21" s="5"/>
      <c r="I21" s="5"/>
      <c r="J21" s="5"/>
      <c r="K21" s="5"/>
      <c r="L21" s="5"/>
      <c r="M21" s="5"/>
      <c r="N21" s="5"/>
      <c r="O21" s="5"/>
      <c r="P21" s="5"/>
      <c r="Q21" s="5"/>
      <c r="R21" s="5"/>
      <c r="S21" s="5"/>
      <c r="T21" s="5"/>
      <c r="U21" s="5"/>
      <c r="V21" s="5"/>
      <c r="W21" s="5"/>
      <c r="X21" s="5"/>
      <c r="Y21" s="5"/>
      <c r="Z21" s="5"/>
    </row>
    <row r="22" ht="15.75" customHeight="1">
      <c r="A22" s="40" t="s">
        <v>586</v>
      </c>
      <c r="B22" s="36" t="s">
        <v>587</v>
      </c>
      <c r="C22" s="36" t="s">
        <v>193</v>
      </c>
      <c r="D22" s="36" t="s">
        <v>582</v>
      </c>
      <c r="E22" s="41">
        <v>0.7</v>
      </c>
      <c r="F22" s="5"/>
      <c r="G22" s="5"/>
      <c r="H22" s="5"/>
      <c r="I22" s="5"/>
      <c r="J22" s="5"/>
      <c r="K22" s="5"/>
      <c r="L22" s="5"/>
      <c r="M22" s="5"/>
      <c r="N22" s="5"/>
      <c r="O22" s="5"/>
      <c r="P22" s="5"/>
      <c r="Q22" s="5"/>
      <c r="R22" s="5"/>
      <c r="S22" s="5"/>
      <c r="T22" s="5"/>
      <c r="U22" s="5"/>
      <c r="V22" s="5"/>
      <c r="W22" s="5"/>
      <c r="X22" s="5"/>
      <c r="Y22" s="5"/>
      <c r="Z22" s="5"/>
    </row>
    <row r="23" ht="15.75" customHeight="1">
      <c r="A23" s="40" t="s">
        <v>588</v>
      </c>
      <c r="B23" s="36" t="s">
        <v>589</v>
      </c>
      <c r="C23" s="36" t="s">
        <v>107</v>
      </c>
      <c r="D23" s="36" t="s">
        <v>560</v>
      </c>
      <c r="E23" s="41">
        <v>0.83</v>
      </c>
      <c r="F23" s="5"/>
      <c r="G23" s="5"/>
      <c r="H23" s="5"/>
      <c r="I23" s="5"/>
      <c r="J23" s="5"/>
      <c r="K23" s="5"/>
      <c r="L23" s="5"/>
      <c r="M23" s="5"/>
      <c r="N23" s="5"/>
      <c r="O23" s="5"/>
      <c r="P23" s="5"/>
      <c r="Q23" s="5"/>
      <c r="R23" s="5"/>
      <c r="S23" s="5"/>
      <c r="T23" s="5"/>
      <c r="U23" s="5"/>
      <c r="V23" s="5"/>
      <c r="W23" s="5"/>
      <c r="X23" s="5"/>
      <c r="Y23" s="5"/>
      <c r="Z23" s="5"/>
    </row>
    <row r="24" ht="15.75" customHeight="1">
      <c r="A24" s="40" t="s">
        <v>588</v>
      </c>
      <c r="B24" s="36" t="s">
        <v>589</v>
      </c>
      <c r="C24" s="36" t="s">
        <v>117</v>
      </c>
      <c r="D24" s="36" t="s">
        <v>562</v>
      </c>
      <c r="E24" s="41">
        <v>0.26</v>
      </c>
      <c r="F24" s="5"/>
      <c r="G24" s="5"/>
      <c r="H24" s="5"/>
      <c r="I24" s="5"/>
      <c r="J24" s="5"/>
      <c r="K24" s="5"/>
      <c r="L24" s="5"/>
      <c r="M24" s="5"/>
      <c r="N24" s="5"/>
      <c r="O24" s="5"/>
      <c r="P24" s="5"/>
      <c r="Q24" s="5"/>
      <c r="R24" s="5"/>
      <c r="S24" s="5"/>
      <c r="T24" s="5"/>
      <c r="U24" s="5"/>
      <c r="V24" s="5"/>
      <c r="W24" s="5"/>
      <c r="X24" s="5"/>
      <c r="Y24" s="5"/>
      <c r="Z24" s="5"/>
    </row>
    <row r="25" ht="15.75" customHeight="1">
      <c r="A25" s="40" t="s">
        <v>588</v>
      </c>
      <c r="B25" s="36" t="s">
        <v>589</v>
      </c>
      <c r="C25" s="36" t="s">
        <v>120</v>
      </c>
      <c r="D25" s="36" t="s">
        <v>563</v>
      </c>
      <c r="E25" s="41">
        <v>0.17</v>
      </c>
      <c r="F25" s="5"/>
      <c r="G25" s="5"/>
      <c r="H25" s="5"/>
      <c r="I25" s="5"/>
      <c r="J25" s="5"/>
      <c r="K25" s="5"/>
      <c r="L25" s="5"/>
      <c r="M25" s="5"/>
      <c r="N25" s="5"/>
      <c r="O25" s="5"/>
      <c r="P25" s="5"/>
      <c r="Q25" s="5"/>
      <c r="R25" s="5"/>
      <c r="S25" s="5"/>
      <c r="T25" s="5"/>
      <c r="U25" s="5"/>
      <c r="V25" s="5"/>
      <c r="W25" s="5"/>
      <c r="X25" s="5"/>
      <c r="Y25" s="5"/>
      <c r="Z25" s="5"/>
    </row>
    <row r="26" ht="15.75" customHeight="1">
      <c r="A26" s="40" t="s">
        <v>588</v>
      </c>
      <c r="B26" s="36" t="s">
        <v>589</v>
      </c>
      <c r="C26" s="36" t="s">
        <v>129</v>
      </c>
      <c r="D26" s="36" t="s">
        <v>564</v>
      </c>
      <c r="E26" s="41">
        <v>0.37</v>
      </c>
      <c r="F26" s="5"/>
      <c r="G26" s="5"/>
      <c r="H26" s="5"/>
      <c r="I26" s="5"/>
      <c r="J26" s="5"/>
      <c r="K26" s="5"/>
      <c r="L26" s="5"/>
      <c r="M26" s="5"/>
      <c r="N26" s="5"/>
      <c r="O26" s="5"/>
      <c r="P26" s="5"/>
      <c r="Q26" s="5"/>
      <c r="R26" s="5"/>
      <c r="S26" s="5"/>
      <c r="T26" s="5"/>
      <c r="U26" s="5"/>
      <c r="V26" s="5"/>
      <c r="W26" s="5"/>
      <c r="X26" s="5"/>
      <c r="Y26" s="5"/>
      <c r="Z26" s="5"/>
    </row>
    <row r="27" ht="15.75" customHeight="1">
      <c r="A27" s="40" t="s">
        <v>588</v>
      </c>
      <c r="B27" s="36" t="s">
        <v>589</v>
      </c>
      <c r="C27" s="36" t="s">
        <v>136</v>
      </c>
      <c r="D27" s="36" t="s">
        <v>565</v>
      </c>
      <c r="E27" s="41">
        <v>0.84</v>
      </c>
      <c r="F27" s="5"/>
      <c r="G27" s="5"/>
      <c r="H27" s="5"/>
      <c r="I27" s="5"/>
      <c r="J27" s="5"/>
      <c r="K27" s="5"/>
      <c r="L27" s="5"/>
      <c r="M27" s="5"/>
      <c r="N27" s="5"/>
      <c r="O27" s="5"/>
      <c r="P27" s="5"/>
      <c r="Q27" s="5"/>
      <c r="R27" s="5"/>
      <c r="S27" s="5"/>
      <c r="T27" s="5"/>
      <c r="U27" s="5"/>
      <c r="V27" s="5"/>
      <c r="W27" s="5"/>
      <c r="X27" s="5"/>
      <c r="Y27" s="5"/>
      <c r="Z27" s="5"/>
    </row>
    <row r="28" ht="15.75" customHeight="1">
      <c r="A28" s="40" t="s">
        <v>588</v>
      </c>
      <c r="B28" s="36" t="s">
        <v>589</v>
      </c>
      <c r="C28" s="36" t="s">
        <v>139</v>
      </c>
      <c r="D28" s="36" t="s">
        <v>566</v>
      </c>
      <c r="E28" s="41">
        <v>0.79</v>
      </c>
      <c r="F28" s="5"/>
      <c r="G28" s="5"/>
      <c r="H28" s="5"/>
      <c r="I28" s="5"/>
      <c r="J28" s="5"/>
      <c r="K28" s="5"/>
      <c r="L28" s="5"/>
      <c r="M28" s="5"/>
      <c r="N28" s="5"/>
      <c r="O28" s="5"/>
      <c r="P28" s="5"/>
      <c r="Q28" s="5"/>
      <c r="R28" s="5"/>
      <c r="S28" s="5"/>
      <c r="T28" s="5"/>
      <c r="U28" s="5"/>
      <c r="V28" s="5"/>
      <c r="W28" s="5"/>
      <c r="X28" s="5"/>
      <c r="Y28" s="5"/>
      <c r="Z28" s="5"/>
    </row>
    <row r="29" ht="15.75" customHeight="1">
      <c r="A29" s="40" t="s">
        <v>588</v>
      </c>
      <c r="B29" s="36" t="s">
        <v>589</v>
      </c>
      <c r="C29" s="36" t="s">
        <v>149</v>
      </c>
      <c r="D29" s="36" t="s">
        <v>567</v>
      </c>
      <c r="E29" s="41">
        <v>0.6</v>
      </c>
      <c r="F29" s="5"/>
      <c r="G29" s="5"/>
      <c r="H29" s="5"/>
      <c r="I29" s="5"/>
      <c r="J29" s="5"/>
      <c r="K29" s="5"/>
      <c r="L29" s="5"/>
      <c r="M29" s="5"/>
      <c r="N29" s="5"/>
      <c r="O29" s="5"/>
      <c r="P29" s="5"/>
      <c r="Q29" s="5"/>
      <c r="R29" s="5"/>
      <c r="S29" s="5"/>
      <c r="T29" s="5"/>
      <c r="U29" s="5"/>
      <c r="V29" s="5"/>
      <c r="W29" s="5"/>
      <c r="X29" s="5"/>
      <c r="Y29" s="5"/>
      <c r="Z29" s="5"/>
    </row>
    <row r="30" ht="15.75" customHeight="1">
      <c r="A30" s="40" t="s">
        <v>588</v>
      </c>
      <c r="B30" s="36" t="s">
        <v>589</v>
      </c>
      <c r="C30" s="36" t="s">
        <v>146</v>
      </c>
      <c r="D30" s="36" t="s">
        <v>568</v>
      </c>
      <c r="E30" s="41">
        <v>0.1</v>
      </c>
      <c r="F30" s="5"/>
      <c r="G30" s="5"/>
      <c r="H30" s="5"/>
      <c r="I30" s="5"/>
      <c r="J30" s="5"/>
      <c r="K30" s="5"/>
      <c r="L30" s="5"/>
      <c r="M30" s="5"/>
      <c r="N30" s="5"/>
      <c r="O30" s="5"/>
      <c r="P30" s="5"/>
      <c r="Q30" s="5"/>
      <c r="R30" s="5"/>
      <c r="S30" s="5"/>
      <c r="T30" s="5"/>
      <c r="U30" s="5"/>
      <c r="V30" s="5"/>
      <c r="W30" s="5"/>
      <c r="X30" s="5"/>
      <c r="Y30" s="5"/>
      <c r="Z30" s="5"/>
    </row>
    <row r="31" ht="15.75" customHeight="1">
      <c r="A31" s="40" t="s">
        <v>588</v>
      </c>
      <c r="B31" s="36" t="s">
        <v>589</v>
      </c>
      <c r="C31" s="36" t="s">
        <v>143</v>
      </c>
      <c r="D31" s="36" t="s">
        <v>569</v>
      </c>
      <c r="E31" s="41">
        <v>0.69</v>
      </c>
      <c r="F31" s="5"/>
      <c r="G31" s="5"/>
      <c r="H31" s="5"/>
      <c r="I31" s="5"/>
      <c r="J31" s="5"/>
      <c r="K31" s="5"/>
      <c r="L31" s="5"/>
      <c r="M31" s="5"/>
      <c r="N31" s="5"/>
      <c r="O31" s="5"/>
      <c r="P31" s="5"/>
      <c r="Q31" s="5"/>
      <c r="R31" s="5"/>
      <c r="S31" s="5"/>
      <c r="T31" s="5"/>
      <c r="U31" s="5"/>
      <c r="V31" s="5"/>
      <c r="W31" s="5"/>
      <c r="X31" s="5"/>
      <c r="Y31" s="5"/>
      <c r="Z31" s="5"/>
    </row>
    <row r="32" ht="15.75" customHeight="1">
      <c r="A32" s="40" t="s">
        <v>588</v>
      </c>
      <c r="B32" s="36" t="s">
        <v>589</v>
      </c>
      <c r="C32" s="36" t="s">
        <v>185</v>
      </c>
      <c r="D32" s="36" t="s">
        <v>571</v>
      </c>
      <c r="E32" s="41">
        <v>0.48</v>
      </c>
      <c r="F32" s="5"/>
      <c r="G32" s="5"/>
      <c r="H32" s="5"/>
      <c r="I32" s="5"/>
      <c r="J32" s="5"/>
      <c r="K32" s="5"/>
      <c r="L32" s="5"/>
      <c r="M32" s="5"/>
      <c r="N32" s="5"/>
      <c r="O32" s="5"/>
      <c r="P32" s="5"/>
      <c r="Q32" s="5"/>
      <c r="R32" s="5"/>
      <c r="S32" s="5"/>
      <c r="T32" s="5"/>
      <c r="U32" s="5"/>
      <c r="V32" s="5"/>
      <c r="W32" s="5"/>
      <c r="X32" s="5"/>
      <c r="Y32" s="5"/>
      <c r="Z32" s="5"/>
    </row>
    <row r="33" ht="15.75" customHeight="1">
      <c r="A33" s="40" t="s">
        <v>588</v>
      </c>
      <c r="B33" s="36" t="s">
        <v>589</v>
      </c>
      <c r="C33" s="36" t="s">
        <v>179</v>
      </c>
      <c r="D33" s="36" t="s">
        <v>572</v>
      </c>
      <c r="E33" s="41">
        <v>0.75</v>
      </c>
      <c r="F33" s="5"/>
      <c r="G33" s="5"/>
      <c r="H33" s="5"/>
      <c r="I33" s="5"/>
      <c r="J33" s="5"/>
      <c r="K33" s="5"/>
      <c r="L33" s="5"/>
      <c r="M33" s="5"/>
      <c r="N33" s="5"/>
      <c r="O33" s="5"/>
      <c r="P33" s="5"/>
      <c r="Q33" s="5"/>
      <c r="R33" s="5"/>
      <c r="S33" s="5"/>
      <c r="T33" s="5"/>
      <c r="U33" s="5"/>
      <c r="V33" s="5"/>
      <c r="W33" s="5"/>
      <c r="X33" s="5"/>
      <c r="Y33" s="5"/>
      <c r="Z33" s="5"/>
    </row>
    <row r="34" ht="15.75" customHeight="1">
      <c r="A34" s="40" t="s">
        <v>588</v>
      </c>
      <c r="B34" s="36" t="s">
        <v>589</v>
      </c>
      <c r="C34" s="36" t="s">
        <v>182</v>
      </c>
      <c r="D34" s="36" t="s">
        <v>573</v>
      </c>
      <c r="E34" s="41">
        <v>0.61</v>
      </c>
      <c r="F34" s="5"/>
      <c r="G34" s="5"/>
      <c r="H34" s="5"/>
      <c r="I34" s="5"/>
      <c r="J34" s="5"/>
      <c r="K34" s="5"/>
      <c r="L34" s="5"/>
      <c r="M34" s="5"/>
      <c r="N34" s="5"/>
      <c r="O34" s="5"/>
      <c r="P34" s="5"/>
      <c r="Q34" s="5"/>
      <c r="R34" s="5"/>
      <c r="S34" s="5"/>
      <c r="T34" s="5"/>
      <c r="U34" s="5"/>
      <c r="V34" s="5"/>
      <c r="W34" s="5"/>
      <c r="X34" s="5"/>
      <c r="Y34" s="5"/>
      <c r="Z34" s="5"/>
    </row>
    <row r="35" ht="15.75" customHeight="1">
      <c r="A35" s="40" t="s">
        <v>588</v>
      </c>
      <c r="B35" s="36" t="s">
        <v>589</v>
      </c>
      <c r="C35" s="36" t="s">
        <v>190</v>
      </c>
      <c r="D35" s="36" t="s">
        <v>574</v>
      </c>
      <c r="E35" s="41">
        <v>0.23</v>
      </c>
      <c r="F35" s="5"/>
      <c r="G35" s="5"/>
      <c r="H35" s="5"/>
      <c r="I35" s="5"/>
      <c r="J35" s="5"/>
      <c r="K35" s="5"/>
      <c r="L35" s="5"/>
      <c r="M35" s="5"/>
      <c r="N35" s="5"/>
      <c r="O35" s="5"/>
      <c r="P35" s="5"/>
      <c r="Q35" s="5"/>
      <c r="R35" s="5"/>
      <c r="S35" s="5"/>
      <c r="T35" s="5"/>
      <c r="U35" s="5"/>
      <c r="V35" s="5"/>
      <c r="W35" s="5"/>
      <c r="X35" s="5"/>
      <c r="Y35" s="5"/>
      <c r="Z35" s="5"/>
    </row>
    <row r="36" ht="15.75" customHeight="1">
      <c r="A36" s="40" t="s">
        <v>588</v>
      </c>
      <c r="B36" s="36" t="s">
        <v>589</v>
      </c>
      <c r="C36" s="36" t="s">
        <v>196</v>
      </c>
      <c r="D36" s="36" t="s">
        <v>575</v>
      </c>
      <c r="E36" s="41">
        <v>0.15</v>
      </c>
      <c r="F36" s="5"/>
      <c r="G36" s="5"/>
      <c r="H36" s="5"/>
      <c r="I36" s="5"/>
      <c r="J36" s="5"/>
      <c r="K36" s="5"/>
      <c r="L36" s="5"/>
      <c r="M36" s="5"/>
      <c r="N36" s="5"/>
      <c r="O36" s="5"/>
      <c r="P36" s="5"/>
      <c r="Q36" s="5"/>
      <c r="R36" s="5"/>
      <c r="S36" s="5"/>
      <c r="T36" s="5"/>
      <c r="U36" s="5"/>
      <c r="V36" s="5"/>
      <c r="W36" s="5"/>
      <c r="X36" s="5"/>
      <c r="Y36" s="5"/>
      <c r="Z36" s="5"/>
    </row>
    <row r="37" ht="15.75" customHeight="1">
      <c r="A37" s="40" t="s">
        <v>588</v>
      </c>
      <c r="B37" s="36" t="s">
        <v>589</v>
      </c>
      <c r="C37" s="36" t="s">
        <v>157</v>
      </c>
      <c r="D37" s="36" t="s">
        <v>576</v>
      </c>
      <c r="E37" s="41">
        <v>0.55</v>
      </c>
      <c r="F37" s="5"/>
      <c r="G37" s="5"/>
      <c r="H37" s="5"/>
      <c r="I37" s="5"/>
      <c r="J37" s="5"/>
      <c r="K37" s="5"/>
      <c r="L37" s="5"/>
      <c r="M37" s="5"/>
      <c r="N37" s="5"/>
      <c r="O37" s="5"/>
      <c r="P37" s="5"/>
      <c r="Q37" s="5"/>
      <c r="R37" s="5"/>
      <c r="S37" s="5"/>
      <c r="T37" s="5"/>
      <c r="U37" s="5"/>
      <c r="V37" s="5"/>
      <c r="W37" s="5"/>
      <c r="X37" s="5"/>
      <c r="Y37" s="5"/>
      <c r="Z37" s="5"/>
    </row>
    <row r="38" ht="15.75" customHeight="1">
      <c r="A38" s="40" t="s">
        <v>588</v>
      </c>
      <c r="B38" s="36" t="s">
        <v>589</v>
      </c>
      <c r="C38" s="36" t="s">
        <v>165</v>
      </c>
      <c r="D38" s="36" t="s">
        <v>577</v>
      </c>
      <c r="E38" s="41">
        <v>0.23</v>
      </c>
      <c r="F38" s="5"/>
      <c r="G38" s="5"/>
      <c r="H38" s="5"/>
      <c r="I38" s="5"/>
      <c r="J38" s="5"/>
      <c r="K38" s="5"/>
      <c r="L38" s="5"/>
      <c r="M38" s="5"/>
      <c r="N38" s="5"/>
      <c r="O38" s="5"/>
      <c r="P38" s="5"/>
      <c r="Q38" s="5"/>
      <c r="R38" s="5"/>
      <c r="S38" s="5"/>
      <c r="T38" s="5"/>
      <c r="U38" s="5"/>
      <c r="V38" s="5"/>
      <c r="W38" s="5"/>
      <c r="X38" s="5"/>
      <c r="Y38" s="5"/>
      <c r="Z38" s="5"/>
    </row>
    <row r="39" ht="15.75" customHeight="1">
      <c r="A39" s="40" t="s">
        <v>588</v>
      </c>
      <c r="B39" s="36" t="s">
        <v>589</v>
      </c>
      <c r="C39" s="36" t="s">
        <v>168</v>
      </c>
      <c r="D39" s="36" t="s">
        <v>578</v>
      </c>
      <c r="E39" s="41">
        <v>0.2</v>
      </c>
      <c r="F39" s="5"/>
      <c r="G39" s="5"/>
      <c r="H39" s="5"/>
      <c r="I39" s="5"/>
      <c r="J39" s="5"/>
      <c r="K39" s="5"/>
      <c r="L39" s="5"/>
      <c r="M39" s="5"/>
      <c r="N39" s="5"/>
      <c r="O39" s="5"/>
      <c r="P39" s="5"/>
      <c r="Q39" s="5"/>
      <c r="R39" s="5"/>
      <c r="S39" s="5"/>
      <c r="T39" s="5"/>
      <c r="U39" s="5"/>
      <c r="V39" s="5"/>
      <c r="W39" s="5"/>
      <c r="X39" s="5"/>
      <c r="Y39" s="5"/>
      <c r="Z39" s="5"/>
    </row>
    <row r="40" ht="15.75" customHeight="1">
      <c r="A40" s="40" t="s">
        <v>588</v>
      </c>
      <c r="B40" s="36" t="s">
        <v>589</v>
      </c>
      <c r="C40" s="36" t="s">
        <v>171</v>
      </c>
      <c r="D40" s="36" t="s">
        <v>579</v>
      </c>
      <c r="E40" s="41">
        <v>0.47</v>
      </c>
      <c r="F40" s="5"/>
      <c r="G40" s="5"/>
      <c r="H40" s="5"/>
      <c r="I40" s="5"/>
      <c r="J40" s="5"/>
      <c r="K40" s="5"/>
      <c r="L40" s="5"/>
      <c r="M40" s="5"/>
      <c r="N40" s="5"/>
      <c r="O40" s="5"/>
      <c r="P40" s="5"/>
      <c r="Q40" s="5"/>
      <c r="R40" s="5"/>
      <c r="S40" s="5"/>
      <c r="T40" s="5"/>
      <c r="U40" s="5"/>
      <c r="V40" s="5"/>
      <c r="W40" s="5"/>
      <c r="X40" s="5"/>
      <c r="Y40" s="5"/>
      <c r="Z40" s="5"/>
    </row>
    <row r="41" ht="15.75" customHeight="1">
      <c r="A41" s="40" t="s">
        <v>588</v>
      </c>
      <c r="B41" s="36" t="s">
        <v>589</v>
      </c>
      <c r="C41" s="36" t="s">
        <v>174</v>
      </c>
      <c r="D41" s="36" t="s">
        <v>580</v>
      </c>
      <c r="E41" s="41">
        <v>0.23</v>
      </c>
      <c r="F41" s="5"/>
      <c r="G41" s="5"/>
      <c r="H41" s="5"/>
      <c r="I41" s="5"/>
      <c r="J41" s="5"/>
      <c r="K41" s="5"/>
      <c r="L41" s="5"/>
      <c r="M41" s="5"/>
      <c r="N41" s="5"/>
      <c r="O41" s="5"/>
      <c r="P41" s="5"/>
      <c r="Q41" s="5"/>
      <c r="R41" s="5"/>
      <c r="S41" s="5"/>
      <c r="T41" s="5"/>
      <c r="U41" s="5"/>
      <c r="V41" s="5"/>
      <c r="W41" s="5"/>
      <c r="X41" s="5"/>
      <c r="Y41" s="5"/>
      <c r="Z41" s="5"/>
    </row>
    <row r="42" ht="15.75" customHeight="1">
      <c r="A42" s="40" t="s">
        <v>588</v>
      </c>
      <c r="B42" s="36" t="s">
        <v>589</v>
      </c>
      <c r="C42" s="36" t="s">
        <v>162</v>
      </c>
      <c r="D42" s="36" t="s">
        <v>581</v>
      </c>
      <c r="E42" s="41">
        <v>0.35</v>
      </c>
      <c r="F42" s="5"/>
      <c r="G42" s="5"/>
      <c r="H42" s="5"/>
      <c r="I42" s="5"/>
      <c r="J42" s="5"/>
      <c r="K42" s="5"/>
      <c r="L42" s="5"/>
      <c r="M42" s="5"/>
      <c r="N42" s="5"/>
      <c r="O42" s="5"/>
      <c r="P42" s="5"/>
      <c r="Q42" s="5"/>
      <c r="R42" s="5"/>
      <c r="S42" s="5"/>
      <c r="T42" s="5"/>
      <c r="U42" s="5"/>
      <c r="V42" s="5"/>
      <c r="W42" s="5"/>
      <c r="X42" s="5"/>
      <c r="Y42" s="5"/>
      <c r="Z42" s="5"/>
    </row>
    <row r="43" ht="15.75" customHeight="1">
      <c r="A43" s="40" t="s">
        <v>588</v>
      </c>
      <c r="B43" s="36" t="s">
        <v>589</v>
      </c>
      <c r="C43" s="36" t="s">
        <v>193</v>
      </c>
      <c r="D43" s="36" t="s">
        <v>582</v>
      </c>
      <c r="E43" s="41">
        <v>0.3</v>
      </c>
      <c r="F43" s="5"/>
      <c r="G43" s="5"/>
      <c r="H43" s="5"/>
      <c r="I43" s="5"/>
      <c r="J43" s="5"/>
      <c r="K43" s="5"/>
      <c r="L43" s="5"/>
      <c r="M43" s="5"/>
      <c r="N43" s="5"/>
      <c r="O43" s="5"/>
      <c r="P43" s="5"/>
      <c r="Q43" s="5"/>
      <c r="R43" s="5"/>
      <c r="S43" s="5"/>
      <c r="T43" s="5"/>
      <c r="U43" s="5"/>
      <c r="V43" s="5"/>
      <c r="W43" s="5"/>
      <c r="X43" s="5"/>
      <c r="Y43" s="5"/>
      <c r="Z43" s="5"/>
    </row>
    <row r="44" ht="15.75" customHeight="1">
      <c r="A44" s="40" t="s">
        <v>590</v>
      </c>
      <c r="B44" s="36" t="s">
        <v>591</v>
      </c>
      <c r="C44" s="36" t="s">
        <v>107</v>
      </c>
      <c r="D44" s="36" t="s">
        <v>560</v>
      </c>
      <c r="E44" s="41">
        <v>0.27</v>
      </c>
      <c r="F44" s="5"/>
      <c r="G44" s="5"/>
      <c r="H44" s="5"/>
      <c r="I44" s="5"/>
      <c r="J44" s="5"/>
      <c r="K44" s="5"/>
      <c r="L44" s="5"/>
      <c r="M44" s="5"/>
      <c r="N44" s="5"/>
      <c r="O44" s="5"/>
      <c r="P44" s="5"/>
      <c r="Q44" s="5"/>
      <c r="R44" s="5"/>
      <c r="S44" s="5"/>
      <c r="T44" s="5"/>
      <c r="U44" s="5"/>
      <c r="V44" s="5"/>
      <c r="W44" s="5"/>
      <c r="X44" s="5"/>
      <c r="Y44" s="5"/>
      <c r="Z44" s="5"/>
    </row>
    <row r="45" ht="15.75" customHeight="1">
      <c r="A45" s="40" t="s">
        <v>590</v>
      </c>
      <c r="B45" s="36" t="s">
        <v>591</v>
      </c>
      <c r="C45" s="36" t="s">
        <v>117</v>
      </c>
      <c r="D45" s="36" t="s">
        <v>562</v>
      </c>
      <c r="E45" s="41">
        <v>0.8</v>
      </c>
      <c r="F45" s="5"/>
      <c r="G45" s="5"/>
      <c r="H45" s="5"/>
      <c r="I45" s="5"/>
      <c r="J45" s="5"/>
      <c r="K45" s="5"/>
      <c r="L45" s="5"/>
      <c r="M45" s="5"/>
      <c r="N45" s="5"/>
      <c r="O45" s="5"/>
      <c r="P45" s="5"/>
      <c r="Q45" s="5"/>
      <c r="R45" s="5"/>
      <c r="S45" s="5"/>
      <c r="T45" s="5"/>
      <c r="U45" s="5"/>
      <c r="V45" s="5"/>
      <c r="W45" s="5"/>
      <c r="X45" s="5"/>
      <c r="Y45" s="5"/>
      <c r="Z45" s="5"/>
    </row>
    <row r="46" ht="15.75" customHeight="1">
      <c r="A46" s="40" t="s">
        <v>590</v>
      </c>
      <c r="B46" s="36" t="s">
        <v>591</v>
      </c>
      <c r="C46" s="36" t="s">
        <v>120</v>
      </c>
      <c r="D46" s="36" t="s">
        <v>563</v>
      </c>
      <c r="E46" s="41">
        <v>0.42</v>
      </c>
      <c r="F46" s="5"/>
      <c r="G46" s="5"/>
      <c r="H46" s="5"/>
      <c r="I46" s="5"/>
      <c r="J46" s="5"/>
      <c r="K46" s="5"/>
      <c r="L46" s="5"/>
      <c r="M46" s="5"/>
      <c r="N46" s="5"/>
      <c r="O46" s="5"/>
      <c r="P46" s="5"/>
      <c r="Q46" s="5"/>
      <c r="R46" s="5"/>
      <c r="S46" s="5"/>
      <c r="T46" s="5"/>
      <c r="U46" s="5"/>
      <c r="V46" s="5"/>
      <c r="W46" s="5"/>
      <c r="X46" s="5"/>
      <c r="Y46" s="5"/>
      <c r="Z46" s="5"/>
    </row>
    <row r="47" ht="15.75" customHeight="1">
      <c r="A47" s="40" t="s">
        <v>590</v>
      </c>
      <c r="B47" s="36" t="s">
        <v>591</v>
      </c>
      <c r="C47" s="36" t="s">
        <v>129</v>
      </c>
      <c r="D47" s="36" t="s">
        <v>564</v>
      </c>
      <c r="E47" s="41">
        <v>0.81</v>
      </c>
      <c r="F47" s="5"/>
      <c r="G47" s="5"/>
      <c r="H47" s="5"/>
      <c r="I47" s="5"/>
      <c r="J47" s="5"/>
      <c r="K47" s="5"/>
      <c r="L47" s="5"/>
      <c r="M47" s="5"/>
      <c r="N47" s="5"/>
      <c r="O47" s="5"/>
      <c r="P47" s="5"/>
      <c r="Q47" s="5"/>
      <c r="R47" s="5"/>
      <c r="S47" s="5"/>
      <c r="T47" s="5"/>
      <c r="U47" s="5"/>
      <c r="V47" s="5"/>
      <c r="W47" s="5"/>
      <c r="X47" s="5"/>
      <c r="Y47" s="5"/>
      <c r="Z47" s="5"/>
    </row>
    <row r="48" ht="15.75" customHeight="1">
      <c r="A48" s="40" t="s">
        <v>590</v>
      </c>
      <c r="B48" s="36" t="s">
        <v>591</v>
      </c>
      <c r="C48" s="36" t="s">
        <v>136</v>
      </c>
      <c r="D48" s="36" t="s">
        <v>565</v>
      </c>
      <c r="E48" s="41">
        <v>0.37</v>
      </c>
      <c r="F48" s="5"/>
      <c r="G48" s="5"/>
      <c r="H48" s="5"/>
      <c r="I48" s="5"/>
      <c r="J48" s="5"/>
      <c r="K48" s="5"/>
      <c r="L48" s="5"/>
      <c r="M48" s="5"/>
      <c r="N48" s="5"/>
      <c r="O48" s="5"/>
      <c r="P48" s="5"/>
      <c r="Q48" s="5"/>
      <c r="R48" s="5"/>
      <c r="S48" s="5"/>
      <c r="T48" s="5"/>
      <c r="U48" s="5"/>
      <c r="V48" s="5"/>
      <c r="W48" s="5"/>
      <c r="X48" s="5"/>
      <c r="Y48" s="5"/>
      <c r="Z48" s="5"/>
    </row>
    <row r="49" ht="15.75" customHeight="1">
      <c r="A49" s="40" t="s">
        <v>590</v>
      </c>
      <c r="B49" s="36" t="s">
        <v>591</v>
      </c>
      <c r="C49" s="36" t="s">
        <v>139</v>
      </c>
      <c r="D49" s="36" t="s">
        <v>566</v>
      </c>
      <c r="E49" s="41">
        <v>0.22</v>
      </c>
      <c r="F49" s="5"/>
      <c r="G49" s="5"/>
      <c r="H49" s="5"/>
      <c r="I49" s="5"/>
      <c r="J49" s="5"/>
      <c r="K49" s="5"/>
      <c r="L49" s="5"/>
      <c r="M49" s="5"/>
      <c r="N49" s="5"/>
      <c r="O49" s="5"/>
      <c r="P49" s="5"/>
      <c r="Q49" s="5"/>
      <c r="R49" s="5"/>
      <c r="S49" s="5"/>
      <c r="T49" s="5"/>
      <c r="U49" s="5"/>
      <c r="V49" s="5"/>
      <c r="W49" s="5"/>
      <c r="X49" s="5"/>
      <c r="Y49" s="5"/>
      <c r="Z49" s="5"/>
    </row>
    <row r="50" ht="15.75" customHeight="1">
      <c r="A50" s="40" t="s">
        <v>590</v>
      </c>
      <c r="B50" s="36" t="s">
        <v>591</v>
      </c>
      <c r="C50" s="36" t="s">
        <v>149</v>
      </c>
      <c r="D50" s="36" t="s">
        <v>567</v>
      </c>
      <c r="E50" s="41">
        <v>0.2</v>
      </c>
      <c r="F50" s="5"/>
      <c r="G50" s="5"/>
      <c r="H50" s="5"/>
      <c r="I50" s="5"/>
      <c r="J50" s="5"/>
      <c r="K50" s="5"/>
      <c r="L50" s="5"/>
      <c r="M50" s="5"/>
      <c r="N50" s="5"/>
      <c r="O50" s="5"/>
      <c r="P50" s="5"/>
      <c r="Q50" s="5"/>
      <c r="R50" s="5"/>
      <c r="S50" s="5"/>
      <c r="T50" s="5"/>
      <c r="U50" s="5"/>
      <c r="V50" s="5"/>
      <c r="W50" s="5"/>
      <c r="X50" s="5"/>
      <c r="Y50" s="5"/>
      <c r="Z50" s="5"/>
    </row>
    <row r="51" ht="15.75" customHeight="1">
      <c r="A51" s="40" t="s">
        <v>590</v>
      </c>
      <c r="B51" s="36" t="s">
        <v>591</v>
      </c>
      <c r="C51" s="36" t="s">
        <v>146</v>
      </c>
      <c r="D51" s="36" t="s">
        <v>568</v>
      </c>
      <c r="E51" s="41">
        <v>0.41</v>
      </c>
      <c r="F51" s="5"/>
      <c r="G51" s="5"/>
      <c r="H51" s="5"/>
      <c r="I51" s="5"/>
      <c r="J51" s="5"/>
      <c r="K51" s="5"/>
      <c r="L51" s="5"/>
      <c r="M51" s="5"/>
      <c r="N51" s="5"/>
      <c r="O51" s="5"/>
      <c r="P51" s="5"/>
      <c r="Q51" s="5"/>
      <c r="R51" s="5"/>
      <c r="S51" s="5"/>
      <c r="T51" s="5"/>
      <c r="U51" s="5"/>
      <c r="V51" s="5"/>
      <c r="W51" s="5"/>
      <c r="X51" s="5"/>
      <c r="Y51" s="5"/>
      <c r="Z51" s="5"/>
    </row>
    <row r="52" ht="15.75" customHeight="1">
      <c r="A52" s="40" t="s">
        <v>590</v>
      </c>
      <c r="B52" s="36" t="s">
        <v>591</v>
      </c>
      <c r="C52" s="36" t="s">
        <v>143</v>
      </c>
      <c r="D52" s="36" t="s">
        <v>569</v>
      </c>
      <c r="E52" s="41">
        <v>0.17</v>
      </c>
      <c r="F52" s="5"/>
      <c r="G52" s="5"/>
      <c r="H52" s="5"/>
      <c r="I52" s="5"/>
      <c r="J52" s="5"/>
      <c r="K52" s="5"/>
      <c r="L52" s="5"/>
      <c r="M52" s="5"/>
      <c r="N52" s="5"/>
      <c r="O52" s="5"/>
      <c r="P52" s="5"/>
      <c r="Q52" s="5"/>
      <c r="R52" s="5"/>
      <c r="S52" s="5"/>
      <c r="T52" s="5"/>
      <c r="U52" s="5"/>
      <c r="V52" s="5"/>
      <c r="W52" s="5"/>
      <c r="X52" s="5"/>
      <c r="Y52" s="5"/>
      <c r="Z52" s="5"/>
    </row>
    <row r="53" ht="15.75" customHeight="1">
      <c r="A53" s="40" t="s">
        <v>590</v>
      </c>
      <c r="B53" s="36" t="s">
        <v>591</v>
      </c>
      <c r="C53" s="36" t="s">
        <v>185</v>
      </c>
      <c r="D53" s="36" t="s">
        <v>571</v>
      </c>
      <c r="E53" s="41">
        <v>0.32</v>
      </c>
      <c r="F53" s="5"/>
      <c r="G53" s="5"/>
      <c r="H53" s="5"/>
      <c r="I53" s="5"/>
      <c r="J53" s="5"/>
      <c r="K53" s="5"/>
      <c r="L53" s="5"/>
      <c r="M53" s="5"/>
      <c r="N53" s="5"/>
      <c r="O53" s="5"/>
      <c r="P53" s="5"/>
      <c r="Q53" s="5"/>
      <c r="R53" s="5"/>
      <c r="S53" s="5"/>
      <c r="T53" s="5"/>
      <c r="U53" s="5"/>
      <c r="V53" s="5"/>
      <c r="W53" s="5"/>
      <c r="X53" s="5"/>
      <c r="Y53" s="5"/>
      <c r="Z53" s="5"/>
    </row>
    <row r="54" ht="15.75" customHeight="1">
      <c r="A54" s="40" t="s">
        <v>590</v>
      </c>
      <c r="B54" s="36" t="s">
        <v>591</v>
      </c>
      <c r="C54" s="36" t="s">
        <v>179</v>
      </c>
      <c r="D54" s="36" t="s">
        <v>572</v>
      </c>
      <c r="E54" s="41">
        <v>0.43</v>
      </c>
      <c r="F54" s="5"/>
      <c r="G54" s="5"/>
      <c r="H54" s="5"/>
      <c r="I54" s="5"/>
      <c r="J54" s="5"/>
      <c r="K54" s="5"/>
      <c r="L54" s="5"/>
      <c r="M54" s="5"/>
      <c r="N54" s="5"/>
      <c r="O54" s="5"/>
      <c r="P54" s="5"/>
      <c r="Q54" s="5"/>
      <c r="R54" s="5"/>
      <c r="S54" s="5"/>
      <c r="T54" s="5"/>
      <c r="U54" s="5"/>
      <c r="V54" s="5"/>
      <c r="W54" s="5"/>
      <c r="X54" s="5"/>
      <c r="Y54" s="5"/>
      <c r="Z54" s="5"/>
    </row>
    <row r="55" ht="15.75" customHeight="1">
      <c r="A55" s="40" t="s">
        <v>590</v>
      </c>
      <c r="B55" s="36" t="s">
        <v>591</v>
      </c>
      <c r="C55" s="36" t="s">
        <v>182</v>
      </c>
      <c r="D55" s="36" t="s">
        <v>573</v>
      </c>
      <c r="E55" s="41">
        <v>0.45</v>
      </c>
      <c r="F55" s="5"/>
      <c r="G55" s="5"/>
      <c r="H55" s="5"/>
      <c r="I55" s="5"/>
      <c r="J55" s="5"/>
      <c r="K55" s="5"/>
      <c r="L55" s="5"/>
      <c r="M55" s="5"/>
      <c r="N55" s="5"/>
      <c r="O55" s="5"/>
      <c r="P55" s="5"/>
      <c r="Q55" s="5"/>
      <c r="R55" s="5"/>
      <c r="S55" s="5"/>
      <c r="T55" s="5"/>
      <c r="U55" s="5"/>
      <c r="V55" s="5"/>
      <c r="W55" s="5"/>
      <c r="X55" s="5"/>
      <c r="Y55" s="5"/>
      <c r="Z55" s="5"/>
    </row>
    <row r="56" ht="15.75" customHeight="1">
      <c r="A56" s="40" t="s">
        <v>590</v>
      </c>
      <c r="B56" s="36" t="s">
        <v>591</v>
      </c>
      <c r="C56" s="36" t="s">
        <v>190</v>
      </c>
      <c r="D56" s="36" t="s">
        <v>574</v>
      </c>
      <c r="E56" s="41">
        <v>0.2</v>
      </c>
      <c r="F56" s="5"/>
      <c r="G56" s="5"/>
      <c r="H56" s="5"/>
      <c r="I56" s="5"/>
      <c r="J56" s="5"/>
      <c r="K56" s="5"/>
      <c r="L56" s="5"/>
      <c r="M56" s="5"/>
      <c r="N56" s="5"/>
      <c r="O56" s="5"/>
      <c r="P56" s="5"/>
      <c r="Q56" s="5"/>
      <c r="R56" s="5"/>
      <c r="S56" s="5"/>
      <c r="T56" s="5"/>
      <c r="U56" s="5"/>
      <c r="V56" s="5"/>
      <c r="W56" s="5"/>
      <c r="X56" s="5"/>
      <c r="Y56" s="5"/>
      <c r="Z56" s="5"/>
    </row>
    <row r="57" ht="15.75" customHeight="1">
      <c r="A57" s="40" t="s">
        <v>590</v>
      </c>
      <c r="B57" s="36" t="s">
        <v>591</v>
      </c>
      <c r="C57" s="36" t="s">
        <v>196</v>
      </c>
      <c r="D57" s="36" t="s">
        <v>575</v>
      </c>
      <c r="E57" s="41">
        <v>0.83</v>
      </c>
      <c r="F57" s="5"/>
      <c r="G57" s="5"/>
      <c r="H57" s="5"/>
      <c r="I57" s="5"/>
      <c r="J57" s="5"/>
      <c r="K57" s="5"/>
      <c r="L57" s="5"/>
      <c r="M57" s="5"/>
      <c r="N57" s="5"/>
      <c r="O57" s="5"/>
      <c r="P57" s="5"/>
      <c r="Q57" s="5"/>
      <c r="R57" s="5"/>
      <c r="S57" s="5"/>
      <c r="T57" s="5"/>
      <c r="U57" s="5"/>
      <c r="V57" s="5"/>
      <c r="W57" s="5"/>
      <c r="X57" s="5"/>
      <c r="Y57" s="5"/>
      <c r="Z57" s="5"/>
    </row>
    <row r="58" ht="15.75" customHeight="1">
      <c r="A58" s="40" t="s">
        <v>590</v>
      </c>
      <c r="B58" s="36" t="s">
        <v>591</v>
      </c>
      <c r="C58" s="36" t="s">
        <v>157</v>
      </c>
      <c r="D58" s="36" t="s">
        <v>576</v>
      </c>
      <c r="E58" s="41">
        <v>0.58</v>
      </c>
      <c r="F58" s="5"/>
      <c r="G58" s="5"/>
      <c r="H58" s="5"/>
      <c r="I58" s="5"/>
      <c r="J58" s="5"/>
      <c r="K58" s="5"/>
      <c r="L58" s="5"/>
      <c r="M58" s="5"/>
      <c r="N58" s="5"/>
      <c r="O58" s="5"/>
      <c r="P58" s="5"/>
      <c r="Q58" s="5"/>
      <c r="R58" s="5"/>
      <c r="S58" s="5"/>
      <c r="T58" s="5"/>
      <c r="U58" s="5"/>
      <c r="V58" s="5"/>
      <c r="W58" s="5"/>
      <c r="X58" s="5"/>
      <c r="Y58" s="5"/>
      <c r="Z58" s="5"/>
    </row>
    <row r="59" ht="15.75" customHeight="1">
      <c r="A59" s="40" t="s">
        <v>590</v>
      </c>
      <c r="B59" s="36" t="s">
        <v>591</v>
      </c>
      <c r="C59" s="36" t="s">
        <v>165</v>
      </c>
      <c r="D59" s="36" t="s">
        <v>577</v>
      </c>
      <c r="E59" s="41">
        <v>0.73</v>
      </c>
      <c r="F59" s="5"/>
      <c r="G59" s="5"/>
      <c r="H59" s="5"/>
      <c r="I59" s="5"/>
      <c r="J59" s="5"/>
      <c r="K59" s="5"/>
      <c r="L59" s="5"/>
      <c r="M59" s="5"/>
      <c r="N59" s="5"/>
      <c r="O59" s="5"/>
      <c r="P59" s="5"/>
      <c r="Q59" s="5"/>
      <c r="R59" s="5"/>
      <c r="S59" s="5"/>
      <c r="T59" s="5"/>
      <c r="U59" s="5"/>
      <c r="V59" s="5"/>
      <c r="W59" s="5"/>
      <c r="X59" s="5"/>
      <c r="Y59" s="5"/>
      <c r="Z59" s="5"/>
    </row>
    <row r="60" ht="15.75" customHeight="1">
      <c r="A60" s="40" t="s">
        <v>590</v>
      </c>
      <c r="B60" s="36" t="s">
        <v>591</v>
      </c>
      <c r="C60" s="36" t="s">
        <v>168</v>
      </c>
      <c r="D60" s="36" t="s">
        <v>578</v>
      </c>
      <c r="E60" s="41">
        <v>0.39</v>
      </c>
      <c r="F60" s="5"/>
      <c r="G60" s="5"/>
      <c r="H60" s="5"/>
      <c r="I60" s="5"/>
      <c r="J60" s="5"/>
      <c r="K60" s="5"/>
      <c r="L60" s="5"/>
      <c r="M60" s="5"/>
      <c r="N60" s="5"/>
      <c r="O60" s="5"/>
      <c r="P60" s="5"/>
      <c r="Q60" s="5"/>
      <c r="R60" s="5"/>
      <c r="S60" s="5"/>
      <c r="T60" s="5"/>
      <c r="U60" s="5"/>
      <c r="V60" s="5"/>
      <c r="W60" s="5"/>
      <c r="X60" s="5"/>
      <c r="Y60" s="5"/>
      <c r="Z60" s="5"/>
    </row>
    <row r="61" ht="15.75" customHeight="1">
      <c r="A61" s="40" t="s">
        <v>590</v>
      </c>
      <c r="B61" s="36" t="s">
        <v>591</v>
      </c>
      <c r="C61" s="36" t="s">
        <v>171</v>
      </c>
      <c r="D61" s="36" t="s">
        <v>579</v>
      </c>
      <c r="E61" s="41">
        <v>0.2</v>
      </c>
      <c r="F61" s="5"/>
      <c r="G61" s="5"/>
      <c r="H61" s="5"/>
      <c r="I61" s="5"/>
      <c r="J61" s="5"/>
      <c r="K61" s="5"/>
      <c r="L61" s="5"/>
      <c r="M61" s="5"/>
      <c r="N61" s="5"/>
      <c r="O61" s="5"/>
      <c r="P61" s="5"/>
      <c r="Q61" s="5"/>
      <c r="R61" s="5"/>
      <c r="S61" s="5"/>
      <c r="T61" s="5"/>
      <c r="U61" s="5"/>
      <c r="V61" s="5"/>
      <c r="W61" s="5"/>
      <c r="X61" s="5"/>
      <c r="Y61" s="5"/>
      <c r="Z61" s="5"/>
    </row>
    <row r="62" ht="15.75" customHeight="1">
      <c r="A62" s="40" t="s">
        <v>590</v>
      </c>
      <c r="B62" s="36" t="s">
        <v>591</v>
      </c>
      <c r="C62" s="36" t="s">
        <v>174</v>
      </c>
      <c r="D62" s="36" t="s">
        <v>580</v>
      </c>
      <c r="E62" s="41">
        <v>0.07</v>
      </c>
      <c r="F62" s="5"/>
      <c r="G62" s="5"/>
      <c r="H62" s="5"/>
      <c r="I62" s="5"/>
      <c r="J62" s="5"/>
      <c r="K62" s="5"/>
      <c r="L62" s="5"/>
      <c r="M62" s="5"/>
      <c r="N62" s="5"/>
      <c r="O62" s="5"/>
      <c r="P62" s="5"/>
      <c r="Q62" s="5"/>
      <c r="R62" s="5"/>
      <c r="S62" s="5"/>
      <c r="T62" s="5"/>
      <c r="U62" s="5"/>
      <c r="V62" s="5"/>
      <c r="W62" s="5"/>
      <c r="X62" s="5"/>
      <c r="Y62" s="5"/>
      <c r="Z62" s="5"/>
    </row>
    <row r="63" ht="15.75" customHeight="1">
      <c r="A63" s="40" t="s">
        <v>590</v>
      </c>
      <c r="B63" s="36" t="s">
        <v>591</v>
      </c>
      <c r="C63" s="36" t="s">
        <v>162</v>
      </c>
      <c r="D63" s="36" t="s">
        <v>581</v>
      </c>
      <c r="E63" s="41">
        <v>0.88</v>
      </c>
      <c r="F63" s="5"/>
      <c r="G63" s="5"/>
      <c r="H63" s="5"/>
      <c r="I63" s="5"/>
      <c r="J63" s="5"/>
      <c r="K63" s="5"/>
      <c r="L63" s="5"/>
      <c r="M63" s="5"/>
      <c r="N63" s="5"/>
      <c r="O63" s="5"/>
      <c r="P63" s="5"/>
      <c r="Q63" s="5"/>
      <c r="R63" s="5"/>
      <c r="S63" s="5"/>
      <c r="T63" s="5"/>
      <c r="U63" s="5"/>
      <c r="V63" s="5"/>
      <c r="W63" s="5"/>
      <c r="X63" s="5"/>
      <c r="Y63" s="5"/>
      <c r="Z63" s="5"/>
    </row>
    <row r="64" ht="15.75" customHeight="1">
      <c r="A64" s="40" t="s">
        <v>590</v>
      </c>
      <c r="B64" s="36" t="s">
        <v>591</v>
      </c>
      <c r="C64" s="36" t="s">
        <v>193</v>
      </c>
      <c r="D64" s="36" t="s">
        <v>582</v>
      </c>
      <c r="E64" s="41">
        <v>0.92</v>
      </c>
      <c r="F64" s="5"/>
      <c r="G64" s="5"/>
      <c r="H64" s="5"/>
      <c r="I64" s="5"/>
      <c r="J64" s="5"/>
      <c r="K64" s="5"/>
      <c r="L64" s="5"/>
      <c r="M64" s="5"/>
      <c r="N64" s="5"/>
      <c r="O64" s="5"/>
      <c r="P64" s="5"/>
      <c r="Q64" s="5"/>
      <c r="R64" s="5"/>
      <c r="S64" s="5"/>
      <c r="T64" s="5"/>
      <c r="U64" s="5"/>
      <c r="V64" s="5"/>
      <c r="W64" s="5"/>
      <c r="X64" s="5"/>
      <c r="Y64" s="5"/>
      <c r="Z64" s="5"/>
    </row>
    <row r="65" ht="15.75" customHeight="1">
      <c r="A65" s="40" t="s">
        <v>592</v>
      </c>
      <c r="B65" s="36" t="s">
        <v>593</v>
      </c>
      <c r="C65" s="36" t="s">
        <v>107</v>
      </c>
      <c r="D65" s="36" t="s">
        <v>560</v>
      </c>
      <c r="E65" s="41">
        <v>0.7</v>
      </c>
      <c r="F65" s="5"/>
      <c r="G65" s="5"/>
      <c r="H65" s="5"/>
      <c r="I65" s="5"/>
      <c r="J65" s="5"/>
      <c r="K65" s="5"/>
      <c r="L65" s="5"/>
      <c r="M65" s="5"/>
      <c r="N65" s="5"/>
      <c r="O65" s="5"/>
      <c r="P65" s="5"/>
      <c r="Q65" s="5"/>
      <c r="R65" s="5"/>
      <c r="S65" s="5"/>
      <c r="T65" s="5"/>
      <c r="U65" s="5"/>
      <c r="V65" s="5"/>
      <c r="W65" s="5"/>
      <c r="X65" s="5"/>
      <c r="Y65" s="5"/>
      <c r="Z65" s="5"/>
    </row>
    <row r="66" ht="15.75" customHeight="1">
      <c r="A66" s="40" t="s">
        <v>592</v>
      </c>
      <c r="B66" s="36" t="s">
        <v>593</v>
      </c>
      <c r="C66" s="36" t="s">
        <v>117</v>
      </c>
      <c r="D66" s="36" t="s">
        <v>562</v>
      </c>
      <c r="E66" s="41">
        <v>0.35</v>
      </c>
      <c r="F66" s="5"/>
      <c r="G66" s="5"/>
      <c r="H66" s="5"/>
      <c r="I66" s="5"/>
      <c r="J66" s="5"/>
      <c r="K66" s="5"/>
      <c r="L66" s="5"/>
      <c r="M66" s="5"/>
      <c r="N66" s="5"/>
      <c r="O66" s="5"/>
      <c r="P66" s="5"/>
      <c r="Q66" s="5"/>
      <c r="R66" s="5"/>
      <c r="S66" s="5"/>
      <c r="T66" s="5"/>
      <c r="U66" s="5"/>
      <c r="V66" s="5"/>
      <c r="W66" s="5"/>
      <c r="X66" s="5"/>
      <c r="Y66" s="5"/>
      <c r="Z66" s="5"/>
    </row>
    <row r="67" ht="15.75" customHeight="1">
      <c r="A67" s="40" t="s">
        <v>592</v>
      </c>
      <c r="B67" s="36" t="s">
        <v>593</v>
      </c>
      <c r="C67" s="36" t="s">
        <v>120</v>
      </c>
      <c r="D67" s="36" t="s">
        <v>563</v>
      </c>
      <c r="E67" s="41">
        <v>0.25</v>
      </c>
      <c r="F67" s="5"/>
      <c r="G67" s="5"/>
      <c r="H67" s="5"/>
      <c r="I67" s="5"/>
      <c r="J67" s="5"/>
      <c r="K67" s="5"/>
      <c r="L67" s="5"/>
      <c r="M67" s="5"/>
      <c r="N67" s="5"/>
      <c r="O67" s="5"/>
      <c r="P67" s="5"/>
      <c r="Q67" s="5"/>
      <c r="R67" s="5"/>
      <c r="S67" s="5"/>
      <c r="T67" s="5"/>
      <c r="U67" s="5"/>
      <c r="V67" s="5"/>
      <c r="W67" s="5"/>
      <c r="X67" s="5"/>
      <c r="Y67" s="5"/>
      <c r="Z67" s="5"/>
    </row>
    <row r="68" ht="15.75" customHeight="1">
      <c r="A68" s="40" t="s">
        <v>592</v>
      </c>
      <c r="B68" s="36" t="s">
        <v>593</v>
      </c>
      <c r="C68" s="36" t="s">
        <v>129</v>
      </c>
      <c r="D68" s="36" t="s">
        <v>564</v>
      </c>
      <c r="E68" s="41">
        <v>0.35</v>
      </c>
      <c r="F68" s="5"/>
      <c r="G68" s="5"/>
      <c r="H68" s="5"/>
      <c r="I68" s="5"/>
      <c r="J68" s="5"/>
      <c r="K68" s="5"/>
      <c r="L68" s="5"/>
      <c r="M68" s="5"/>
      <c r="N68" s="5"/>
      <c r="O68" s="5"/>
      <c r="P68" s="5"/>
      <c r="Q68" s="5"/>
      <c r="R68" s="5"/>
      <c r="S68" s="5"/>
      <c r="T68" s="5"/>
      <c r="U68" s="5"/>
      <c r="V68" s="5"/>
      <c r="W68" s="5"/>
      <c r="X68" s="5"/>
      <c r="Y68" s="5"/>
      <c r="Z68" s="5"/>
    </row>
    <row r="69" ht="15.75" customHeight="1">
      <c r="A69" s="40" t="s">
        <v>592</v>
      </c>
      <c r="B69" s="36" t="s">
        <v>593</v>
      </c>
      <c r="C69" s="36" t="s">
        <v>136</v>
      </c>
      <c r="D69" s="36" t="s">
        <v>565</v>
      </c>
      <c r="E69" s="41">
        <v>0.8</v>
      </c>
      <c r="F69" s="5"/>
      <c r="G69" s="5"/>
      <c r="H69" s="5"/>
      <c r="I69" s="5"/>
      <c r="J69" s="5"/>
      <c r="K69" s="5"/>
      <c r="L69" s="5"/>
      <c r="M69" s="5"/>
      <c r="N69" s="5"/>
      <c r="O69" s="5"/>
      <c r="P69" s="5"/>
      <c r="Q69" s="5"/>
      <c r="R69" s="5"/>
      <c r="S69" s="5"/>
      <c r="T69" s="5"/>
      <c r="U69" s="5"/>
      <c r="V69" s="5"/>
      <c r="W69" s="5"/>
      <c r="X69" s="5"/>
      <c r="Y69" s="5"/>
      <c r="Z69" s="5"/>
    </row>
    <row r="70" ht="15.75" customHeight="1">
      <c r="A70" s="40" t="s">
        <v>592</v>
      </c>
      <c r="B70" s="36" t="s">
        <v>593</v>
      </c>
      <c r="C70" s="36" t="s">
        <v>139</v>
      </c>
      <c r="D70" s="36" t="s">
        <v>566</v>
      </c>
      <c r="E70" s="41">
        <v>0.6</v>
      </c>
      <c r="F70" s="5"/>
      <c r="G70" s="5"/>
      <c r="H70" s="5"/>
      <c r="I70" s="5"/>
      <c r="J70" s="5"/>
      <c r="K70" s="5"/>
      <c r="L70" s="5"/>
      <c r="M70" s="5"/>
      <c r="N70" s="5"/>
      <c r="O70" s="5"/>
      <c r="P70" s="5"/>
      <c r="Q70" s="5"/>
      <c r="R70" s="5"/>
      <c r="S70" s="5"/>
      <c r="T70" s="5"/>
      <c r="U70" s="5"/>
      <c r="V70" s="5"/>
      <c r="W70" s="5"/>
      <c r="X70" s="5"/>
      <c r="Y70" s="5"/>
      <c r="Z70" s="5"/>
    </row>
    <row r="71" ht="15.75" customHeight="1">
      <c r="A71" s="40" t="s">
        <v>592</v>
      </c>
      <c r="B71" s="36" t="s">
        <v>593</v>
      </c>
      <c r="C71" s="36" t="s">
        <v>149</v>
      </c>
      <c r="D71" s="36" t="s">
        <v>567</v>
      </c>
      <c r="E71" s="41">
        <v>0.55</v>
      </c>
      <c r="F71" s="5"/>
      <c r="G71" s="5"/>
      <c r="H71" s="5"/>
      <c r="I71" s="5"/>
      <c r="J71" s="5"/>
      <c r="K71" s="5"/>
      <c r="L71" s="5"/>
      <c r="M71" s="5"/>
      <c r="N71" s="5"/>
      <c r="O71" s="5"/>
      <c r="P71" s="5"/>
      <c r="Q71" s="5"/>
      <c r="R71" s="5"/>
      <c r="S71" s="5"/>
      <c r="T71" s="5"/>
      <c r="U71" s="5"/>
      <c r="V71" s="5"/>
      <c r="W71" s="5"/>
      <c r="X71" s="5"/>
      <c r="Y71" s="5"/>
      <c r="Z71" s="5"/>
    </row>
    <row r="72" ht="15.75" customHeight="1">
      <c r="A72" s="40" t="s">
        <v>592</v>
      </c>
      <c r="B72" s="36" t="s">
        <v>593</v>
      </c>
      <c r="C72" s="36" t="s">
        <v>146</v>
      </c>
      <c r="D72" s="36" t="s">
        <v>568</v>
      </c>
      <c r="E72" s="41">
        <v>0.15</v>
      </c>
      <c r="F72" s="5"/>
      <c r="G72" s="5"/>
      <c r="H72" s="5"/>
      <c r="I72" s="5"/>
      <c r="J72" s="5"/>
      <c r="K72" s="5"/>
      <c r="L72" s="5"/>
      <c r="M72" s="5"/>
      <c r="N72" s="5"/>
      <c r="O72" s="5"/>
      <c r="P72" s="5"/>
      <c r="Q72" s="5"/>
      <c r="R72" s="5"/>
      <c r="S72" s="5"/>
      <c r="T72" s="5"/>
      <c r="U72" s="5"/>
      <c r="V72" s="5"/>
      <c r="W72" s="5"/>
      <c r="X72" s="5"/>
      <c r="Y72" s="5"/>
      <c r="Z72" s="5"/>
    </row>
    <row r="73" ht="15.75" customHeight="1">
      <c r="A73" s="40" t="s">
        <v>592</v>
      </c>
      <c r="B73" s="36" t="s">
        <v>593</v>
      </c>
      <c r="C73" s="36" t="s">
        <v>143</v>
      </c>
      <c r="D73" s="36" t="s">
        <v>569</v>
      </c>
      <c r="E73" s="41">
        <v>0.7</v>
      </c>
      <c r="F73" s="5"/>
      <c r="G73" s="5"/>
      <c r="H73" s="5"/>
      <c r="I73" s="5"/>
      <c r="J73" s="5"/>
      <c r="K73" s="5"/>
      <c r="L73" s="5"/>
      <c r="M73" s="5"/>
      <c r="N73" s="5"/>
      <c r="O73" s="5"/>
      <c r="P73" s="5"/>
      <c r="Q73" s="5"/>
      <c r="R73" s="5"/>
      <c r="S73" s="5"/>
      <c r="T73" s="5"/>
      <c r="U73" s="5"/>
      <c r="V73" s="5"/>
      <c r="W73" s="5"/>
      <c r="X73" s="5"/>
      <c r="Y73" s="5"/>
      <c r="Z73" s="5"/>
    </row>
    <row r="74" ht="15.75" customHeight="1">
      <c r="A74" s="40" t="s">
        <v>592</v>
      </c>
      <c r="B74" s="36" t="s">
        <v>593</v>
      </c>
      <c r="C74" s="36" t="s">
        <v>185</v>
      </c>
      <c r="D74" s="36" t="s">
        <v>571</v>
      </c>
      <c r="E74" s="41">
        <v>0.9</v>
      </c>
      <c r="F74" s="5"/>
      <c r="G74" s="5"/>
      <c r="H74" s="5"/>
      <c r="I74" s="5"/>
      <c r="J74" s="5"/>
      <c r="K74" s="5"/>
      <c r="L74" s="5"/>
      <c r="M74" s="5"/>
      <c r="N74" s="5"/>
      <c r="O74" s="5"/>
      <c r="P74" s="5"/>
      <c r="Q74" s="5"/>
      <c r="R74" s="5"/>
      <c r="S74" s="5"/>
      <c r="T74" s="5"/>
      <c r="U74" s="5"/>
      <c r="V74" s="5"/>
      <c r="W74" s="5"/>
      <c r="X74" s="5"/>
      <c r="Y74" s="5"/>
      <c r="Z74" s="5"/>
    </row>
    <row r="75" ht="15.75" customHeight="1">
      <c r="A75" s="40" t="s">
        <v>592</v>
      </c>
      <c r="B75" s="36" t="s">
        <v>593</v>
      </c>
      <c r="C75" s="36" t="s">
        <v>179</v>
      </c>
      <c r="D75" s="36" t="s">
        <v>572</v>
      </c>
      <c r="E75" s="41">
        <v>0.85</v>
      </c>
      <c r="F75" s="5"/>
      <c r="G75" s="5"/>
      <c r="H75" s="5"/>
      <c r="I75" s="5"/>
      <c r="J75" s="5"/>
      <c r="K75" s="5"/>
      <c r="L75" s="5"/>
      <c r="M75" s="5"/>
      <c r="N75" s="5"/>
      <c r="O75" s="5"/>
      <c r="P75" s="5"/>
      <c r="Q75" s="5"/>
      <c r="R75" s="5"/>
      <c r="S75" s="5"/>
      <c r="T75" s="5"/>
      <c r="U75" s="5"/>
      <c r="V75" s="5"/>
      <c r="W75" s="5"/>
      <c r="X75" s="5"/>
      <c r="Y75" s="5"/>
      <c r="Z75" s="5"/>
    </row>
    <row r="76" ht="15.75" customHeight="1">
      <c r="A76" s="40" t="s">
        <v>592</v>
      </c>
      <c r="B76" s="36" t="s">
        <v>593</v>
      </c>
      <c r="C76" s="36" t="s">
        <v>182</v>
      </c>
      <c r="D76" s="36" t="s">
        <v>573</v>
      </c>
      <c r="E76" s="41">
        <v>0.55</v>
      </c>
      <c r="F76" s="5"/>
      <c r="G76" s="5"/>
      <c r="H76" s="5"/>
      <c r="I76" s="5"/>
      <c r="J76" s="5"/>
      <c r="K76" s="5"/>
      <c r="L76" s="5"/>
      <c r="M76" s="5"/>
      <c r="N76" s="5"/>
      <c r="O76" s="5"/>
      <c r="P76" s="5"/>
      <c r="Q76" s="5"/>
      <c r="R76" s="5"/>
      <c r="S76" s="5"/>
      <c r="T76" s="5"/>
      <c r="U76" s="5"/>
      <c r="V76" s="5"/>
      <c r="W76" s="5"/>
      <c r="X76" s="5"/>
      <c r="Y76" s="5"/>
      <c r="Z76" s="5"/>
    </row>
    <row r="77" ht="15.75" customHeight="1">
      <c r="A77" s="40" t="s">
        <v>592</v>
      </c>
      <c r="B77" s="36" t="s">
        <v>593</v>
      </c>
      <c r="C77" s="36" t="s">
        <v>190</v>
      </c>
      <c r="D77" s="36" t="s">
        <v>574</v>
      </c>
      <c r="E77" s="41">
        <v>0.3</v>
      </c>
      <c r="F77" s="5"/>
      <c r="G77" s="5"/>
      <c r="H77" s="5"/>
      <c r="I77" s="5"/>
      <c r="J77" s="5"/>
      <c r="K77" s="5"/>
      <c r="L77" s="5"/>
      <c r="M77" s="5"/>
      <c r="N77" s="5"/>
      <c r="O77" s="5"/>
      <c r="P77" s="5"/>
      <c r="Q77" s="5"/>
      <c r="R77" s="5"/>
      <c r="S77" s="5"/>
      <c r="T77" s="5"/>
      <c r="U77" s="5"/>
      <c r="V77" s="5"/>
      <c r="W77" s="5"/>
      <c r="X77" s="5"/>
      <c r="Y77" s="5"/>
      <c r="Z77" s="5"/>
    </row>
    <row r="78" ht="15.75" customHeight="1">
      <c r="A78" s="40" t="s">
        <v>592</v>
      </c>
      <c r="B78" s="36" t="s">
        <v>593</v>
      </c>
      <c r="C78" s="36" t="s">
        <v>196</v>
      </c>
      <c r="D78" s="36" t="s">
        <v>575</v>
      </c>
      <c r="E78" s="41">
        <v>0.15</v>
      </c>
      <c r="F78" s="5"/>
      <c r="G78" s="5"/>
      <c r="H78" s="5"/>
      <c r="I78" s="5"/>
      <c r="J78" s="5"/>
      <c r="K78" s="5"/>
      <c r="L78" s="5"/>
      <c r="M78" s="5"/>
      <c r="N78" s="5"/>
      <c r="O78" s="5"/>
      <c r="P78" s="5"/>
      <c r="Q78" s="5"/>
      <c r="R78" s="5"/>
      <c r="S78" s="5"/>
      <c r="T78" s="5"/>
      <c r="U78" s="5"/>
      <c r="V78" s="5"/>
      <c r="W78" s="5"/>
      <c r="X78" s="5"/>
      <c r="Y78" s="5"/>
      <c r="Z78" s="5"/>
    </row>
    <row r="79" ht="15.75" customHeight="1">
      <c r="A79" s="40" t="s">
        <v>592</v>
      </c>
      <c r="B79" s="36" t="s">
        <v>593</v>
      </c>
      <c r="C79" s="36" t="s">
        <v>157</v>
      </c>
      <c r="D79" s="36" t="s">
        <v>576</v>
      </c>
      <c r="E79" s="41">
        <v>0.45</v>
      </c>
      <c r="F79" s="5"/>
      <c r="G79" s="5"/>
      <c r="H79" s="5"/>
      <c r="I79" s="5"/>
      <c r="J79" s="5"/>
      <c r="K79" s="5"/>
      <c r="L79" s="5"/>
      <c r="M79" s="5"/>
      <c r="N79" s="5"/>
      <c r="O79" s="5"/>
      <c r="P79" s="5"/>
      <c r="Q79" s="5"/>
      <c r="R79" s="5"/>
      <c r="S79" s="5"/>
      <c r="T79" s="5"/>
      <c r="U79" s="5"/>
      <c r="V79" s="5"/>
      <c r="W79" s="5"/>
      <c r="X79" s="5"/>
      <c r="Y79" s="5"/>
      <c r="Z79" s="5"/>
    </row>
    <row r="80" ht="15.75" customHeight="1">
      <c r="A80" s="40" t="s">
        <v>592</v>
      </c>
      <c r="B80" s="36" t="s">
        <v>593</v>
      </c>
      <c r="C80" s="36" t="s">
        <v>165</v>
      </c>
      <c r="D80" s="36" t="s">
        <v>577</v>
      </c>
      <c r="E80" s="41">
        <v>0.2</v>
      </c>
      <c r="F80" s="5"/>
      <c r="G80" s="5"/>
      <c r="H80" s="5"/>
      <c r="I80" s="5"/>
      <c r="J80" s="5"/>
      <c r="K80" s="5"/>
      <c r="L80" s="5"/>
      <c r="M80" s="5"/>
      <c r="N80" s="5"/>
      <c r="O80" s="5"/>
      <c r="P80" s="5"/>
      <c r="Q80" s="5"/>
      <c r="R80" s="5"/>
      <c r="S80" s="5"/>
      <c r="T80" s="5"/>
      <c r="U80" s="5"/>
      <c r="V80" s="5"/>
      <c r="W80" s="5"/>
      <c r="X80" s="5"/>
      <c r="Y80" s="5"/>
      <c r="Z80" s="5"/>
    </row>
    <row r="81" ht="15.75" customHeight="1">
      <c r="A81" s="40" t="s">
        <v>592</v>
      </c>
      <c r="B81" s="36" t="s">
        <v>593</v>
      </c>
      <c r="C81" s="36" t="s">
        <v>168</v>
      </c>
      <c r="D81" s="36" t="s">
        <v>578</v>
      </c>
      <c r="E81" s="41">
        <v>0.25</v>
      </c>
      <c r="F81" s="5"/>
      <c r="G81" s="5"/>
      <c r="H81" s="5"/>
      <c r="I81" s="5"/>
      <c r="J81" s="5"/>
      <c r="K81" s="5"/>
      <c r="L81" s="5"/>
      <c r="M81" s="5"/>
      <c r="N81" s="5"/>
      <c r="O81" s="5"/>
      <c r="P81" s="5"/>
      <c r="Q81" s="5"/>
      <c r="R81" s="5"/>
      <c r="S81" s="5"/>
      <c r="T81" s="5"/>
      <c r="U81" s="5"/>
      <c r="V81" s="5"/>
      <c r="W81" s="5"/>
      <c r="X81" s="5"/>
      <c r="Y81" s="5"/>
      <c r="Z81" s="5"/>
    </row>
    <row r="82" ht="15.75" customHeight="1">
      <c r="A82" s="40" t="s">
        <v>592</v>
      </c>
      <c r="B82" s="36" t="s">
        <v>593</v>
      </c>
      <c r="C82" s="36" t="s">
        <v>171</v>
      </c>
      <c r="D82" s="36" t="s">
        <v>579</v>
      </c>
      <c r="E82" s="41">
        <v>0.45</v>
      </c>
      <c r="F82" s="5"/>
      <c r="G82" s="5"/>
      <c r="H82" s="5"/>
      <c r="I82" s="5"/>
      <c r="J82" s="5"/>
      <c r="K82" s="5"/>
      <c r="L82" s="5"/>
      <c r="M82" s="5"/>
      <c r="N82" s="5"/>
      <c r="O82" s="5"/>
      <c r="P82" s="5"/>
      <c r="Q82" s="5"/>
      <c r="R82" s="5"/>
      <c r="S82" s="5"/>
      <c r="T82" s="5"/>
      <c r="U82" s="5"/>
      <c r="V82" s="5"/>
      <c r="W82" s="5"/>
      <c r="X82" s="5"/>
      <c r="Y82" s="5"/>
      <c r="Z82" s="5"/>
    </row>
    <row r="83" ht="15.75" customHeight="1">
      <c r="A83" s="40" t="s">
        <v>592</v>
      </c>
      <c r="B83" s="36" t="s">
        <v>593</v>
      </c>
      <c r="C83" s="36" t="s">
        <v>174</v>
      </c>
      <c r="D83" s="36" t="s">
        <v>580</v>
      </c>
      <c r="E83" s="41">
        <v>0.3</v>
      </c>
      <c r="F83" s="5"/>
      <c r="G83" s="5"/>
      <c r="H83" s="5"/>
      <c r="I83" s="5"/>
      <c r="J83" s="5"/>
      <c r="K83" s="5"/>
      <c r="L83" s="5"/>
      <c r="M83" s="5"/>
      <c r="N83" s="5"/>
      <c r="O83" s="5"/>
      <c r="P83" s="5"/>
      <c r="Q83" s="5"/>
      <c r="R83" s="5"/>
      <c r="S83" s="5"/>
      <c r="T83" s="5"/>
      <c r="U83" s="5"/>
      <c r="V83" s="5"/>
      <c r="W83" s="5"/>
      <c r="X83" s="5"/>
      <c r="Y83" s="5"/>
      <c r="Z83" s="5"/>
    </row>
    <row r="84" ht="15.75" customHeight="1">
      <c r="A84" s="40" t="s">
        <v>592</v>
      </c>
      <c r="B84" s="36" t="s">
        <v>593</v>
      </c>
      <c r="C84" s="36" t="s">
        <v>162</v>
      </c>
      <c r="D84" s="36" t="s">
        <v>581</v>
      </c>
      <c r="E84" s="41">
        <v>0.45</v>
      </c>
      <c r="F84" s="5"/>
      <c r="G84" s="5"/>
      <c r="H84" s="5"/>
      <c r="I84" s="5"/>
      <c r="J84" s="5"/>
      <c r="K84" s="5"/>
      <c r="L84" s="5"/>
      <c r="M84" s="5"/>
      <c r="N84" s="5"/>
      <c r="O84" s="5"/>
      <c r="P84" s="5"/>
      <c r="Q84" s="5"/>
      <c r="R84" s="5"/>
      <c r="S84" s="5"/>
      <c r="T84" s="5"/>
      <c r="U84" s="5"/>
      <c r="V84" s="5"/>
      <c r="W84" s="5"/>
      <c r="X84" s="5"/>
      <c r="Y84" s="5"/>
      <c r="Z84" s="5"/>
    </row>
    <row r="85" ht="15.75" customHeight="1">
      <c r="A85" s="40" t="s">
        <v>592</v>
      </c>
      <c r="B85" s="36" t="s">
        <v>593</v>
      </c>
      <c r="C85" s="36" t="s">
        <v>193</v>
      </c>
      <c r="D85" s="36" t="s">
        <v>582</v>
      </c>
      <c r="E85" s="41">
        <v>0.18</v>
      </c>
      <c r="F85" s="5"/>
      <c r="G85" s="5"/>
      <c r="H85" s="5"/>
      <c r="I85" s="5"/>
      <c r="J85" s="5"/>
      <c r="K85" s="5"/>
      <c r="L85" s="5"/>
      <c r="M85" s="5"/>
      <c r="N85" s="5"/>
      <c r="O85" s="5"/>
      <c r="P85" s="5"/>
      <c r="Q85" s="5"/>
      <c r="R85" s="5"/>
      <c r="S85" s="5"/>
      <c r="T85" s="5"/>
      <c r="U85" s="5"/>
      <c r="V85" s="5"/>
      <c r="W85" s="5"/>
      <c r="X85" s="5"/>
      <c r="Y85" s="5"/>
      <c r="Z85" s="5"/>
    </row>
    <row r="86" ht="15.75" customHeight="1">
      <c r="A86" s="40" t="s">
        <v>594</v>
      </c>
      <c r="B86" s="36" t="s">
        <v>595</v>
      </c>
      <c r="C86" s="36" t="s">
        <v>107</v>
      </c>
      <c r="D86" s="36" t="s">
        <v>560</v>
      </c>
      <c r="E86" s="41">
        <v>0.85</v>
      </c>
      <c r="F86" s="5"/>
      <c r="G86" s="5"/>
      <c r="H86" s="5"/>
      <c r="I86" s="5"/>
      <c r="J86" s="5"/>
      <c r="K86" s="5"/>
      <c r="L86" s="5"/>
      <c r="M86" s="5"/>
      <c r="N86" s="5"/>
      <c r="O86" s="5"/>
      <c r="P86" s="5"/>
      <c r="Q86" s="5"/>
      <c r="R86" s="5"/>
      <c r="S86" s="5"/>
      <c r="T86" s="5"/>
      <c r="U86" s="5"/>
      <c r="V86" s="5"/>
      <c r="W86" s="5"/>
      <c r="X86" s="5"/>
      <c r="Y86" s="5"/>
      <c r="Z86" s="5"/>
    </row>
    <row r="87" ht="15.75" customHeight="1">
      <c r="A87" s="40" t="s">
        <v>594</v>
      </c>
      <c r="B87" s="36" t="s">
        <v>595</v>
      </c>
      <c r="C87" s="36" t="s">
        <v>117</v>
      </c>
      <c r="D87" s="36" t="s">
        <v>562</v>
      </c>
      <c r="E87" s="41">
        <v>0.25</v>
      </c>
      <c r="F87" s="5"/>
      <c r="G87" s="5"/>
      <c r="H87" s="5"/>
      <c r="I87" s="5"/>
      <c r="J87" s="5"/>
      <c r="K87" s="5"/>
      <c r="L87" s="5"/>
      <c r="M87" s="5"/>
      <c r="N87" s="5"/>
      <c r="O87" s="5"/>
      <c r="P87" s="5"/>
      <c r="Q87" s="5"/>
      <c r="R87" s="5"/>
      <c r="S87" s="5"/>
      <c r="T87" s="5"/>
      <c r="U87" s="5"/>
      <c r="V87" s="5"/>
      <c r="W87" s="5"/>
      <c r="X87" s="5"/>
      <c r="Y87" s="5"/>
      <c r="Z87" s="5"/>
    </row>
    <row r="88" ht="15.75" customHeight="1">
      <c r="A88" s="40" t="s">
        <v>594</v>
      </c>
      <c r="B88" s="36" t="s">
        <v>595</v>
      </c>
      <c r="C88" s="36" t="s">
        <v>120</v>
      </c>
      <c r="D88" s="36" t="s">
        <v>563</v>
      </c>
      <c r="E88" s="41">
        <v>0.25</v>
      </c>
      <c r="F88" s="5"/>
      <c r="G88" s="5"/>
      <c r="H88" s="5"/>
      <c r="I88" s="5"/>
      <c r="J88" s="5"/>
      <c r="K88" s="5"/>
      <c r="L88" s="5"/>
      <c r="M88" s="5"/>
      <c r="N88" s="5"/>
      <c r="O88" s="5"/>
      <c r="P88" s="5"/>
      <c r="Q88" s="5"/>
      <c r="R88" s="5"/>
      <c r="S88" s="5"/>
      <c r="T88" s="5"/>
      <c r="U88" s="5"/>
      <c r="V88" s="5"/>
      <c r="W88" s="5"/>
      <c r="X88" s="5"/>
      <c r="Y88" s="5"/>
      <c r="Z88" s="5"/>
    </row>
    <row r="89" ht="15.75" customHeight="1">
      <c r="A89" s="40" t="s">
        <v>594</v>
      </c>
      <c r="B89" s="36" t="s">
        <v>595</v>
      </c>
      <c r="C89" s="36" t="s">
        <v>129</v>
      </c>
      <c r="D89" s="36" t="s">
        <v>564</v>
      </c>
      <c r="E89" s="41">
        <v>0.4</v>
      </c>
      <c r="F89" s="5"/>
      <c r="G89" s="5"/>
      <c r="H89" s="5"/>
      <c r="I89" s="5"/>
      <c r="J89" s="5"/>
      <c r="K89" s="5"/>
      <c r="L89" s="5"/>
      <c r="M89" s="5"/>
      <c r="N89" s="5"/>
      <c r="O89" s="5"/>
      <c r="P89" s="5"/>
      <c r="Q89" s="5"/>
      <c r="R89" s="5"/>
      <c r="S89" s="5"/>
      <c r="T89" s="5"/>
      <c r="U89" s="5"/>
      <c r="V89" s="5"/>
      <c r="W89" s="5"/>
      <c r="X89" s="5"/>
      <c r="Y89" s="5"/>
      <c r="Z89" s="5"/>
    </row>
    <row r="90" ht="15.75" customHeight="1">
      <c r="A90" s="40" t="s">
        <v>594</v>
      </c>
      <c r="B90" s="36" t="s">
        <v>595</v>
      </c>
      <c r="C90" s="36" t="s">
        <v>136</v>
      </c>
      <c r="D90" s="36" t="s">
        <v>565</v>
      </c>
      <c r="E90" s="41">
        <v>0.9</v>
      </c>
      <c r="F90" s="5"/>
      <c r="G90" s="5"/>
      <c r="H90" s="5"/>
      <c r="I90" s="5"/>
      <c r="J90" s="5"/>
      <c r="K90" s="5"/>
      <c r="L90" s="5"/>
      <c r="M90" s="5"/>
      <c r="N90" s="5"/>
      <c r="O90" s="5"/>
      <c r="P90" s="5"/>
      <c r="Q90" s="5"/>
      <c r="R90" s="5"/>
      <c r="S90" s="5"/>
      <c r="T90" s="5"/>
      <c r="U90" s="5"/>
      <c r="V90" s="5"/>
      <c r="W90" s="5"/>
      <c r="X90" s="5"/>
      <c r="Y90" s="5"/>
      <c r="Z90" s="5"/>
    </row>
    <row r="91" ht="15.75" customHeight="1">
      <c r="A91" s="40" t="s">
        <v>594</v>
      </c>
      <c r="B91" s="36" t="s">
        <v>595</v>
      </c>
      <c r="C91" s="36" t="s">
        <v>139</v>
      </c>
      <c r="D91" s="36" t="s">
        <v>566</v>
      </c>
      <c r="E91" s="41">
        <v>0.7</v>
      </c>
      <c r="F91" s="5"/>
      <c r="G91" s="5"/>
      <c r="H91" s="5"/>
      <c r="I91" s="5"/>
      <c r="J91" s="5"/>
      <c r="K91" s="5"/>
      <c r="L91" s="5"/>
      <c r="M91" s="5"/>
      <c r="N91" s="5"/>
      <c r="O91" s="5"/>
      <c r="P91" s="5"/>
      <c r="Q91" s="5"/>
      <c r="R91" s="5"/>
      <c r="S91" s="5"/>
      <c r="T91" s="5"/>
      <c r="U91" s="5"/>
      <c r="V91" s="5"/>
      <c r="W91" s="5"/>
      <c r="X91" s="5"/>
      <c r="Y91" s="5"/>
      <c r="Z91" s="5"/>
    </row>
    <row r="92" ht="15.75" customHeight="1">
      <c r="A92" s="40" t="s">
        <v>594</v>
      </c>
      <c r="B92" s="36" t="s">
        <v>595</v>
      </c>
      <c r="C92" s="36" t="s">
        <v>149</v>
      </c>
      <c r="D92" s="36" t="s">
        <v>567</v>
      </c>
      <c r="E92" s="41">
        <v>0.9</v>
      </c>
      <c r="F92" s="5"/>
      <c r="G92" s="5"/>
      <c r="H92" s="5"/>
      <c r="I92" s="5"/>
      <c r="J92" s="5"/>
      <c r="K92" s="5"/>
      <c r="L92" s="5"/>
      <c r="M92" s="5"/>
      <c r="N92" s="5"/>
      <c r="O92" s="5"/>
      <c r="P92" s="5"/>
      <c r="Q92" s="5"/>
      <c r="R92" s="5"/>
      <c r="S92" s="5"/>
      <c r="T92" s="5"/>
      <c r="U92" s="5"/>
      <c r="V92" s="5"/>
      <c r="W92" s="5"/>
      <c r="X92" s="5"/>
      <c r="Y92" s="5"/>
      <c r="Z92" s="5"/>
    </row>
    <row r="93" ht="15.75" customHeight="1">
      <c r="A93" s="40" t="s">
        <v>594</v>
      </c>
      <c r="B93" s="36" t="s">
        <v>595</v>
      </c>
      <c r="C93" s="36" t="s">
        <v>146</v>
      </c>
      <c r="D93" s="36" t="s">
        <v>568</v>
      </c>
      <c r="E93" s="41">
        <v>0.2</v>
      </c>
      <c r="F93" s="5"/>
      <c r="G93" s="5"/>
      <c r="H93" s="5"/>
      <c r="I93" s="5"/>
      <c r="J93" s="5"/>
      <c r="K93" s="5"/>
      <c r="L93" s="5"/>
      <c r="M93" s="5"/>
      <c r="N93" s="5"/>
      <c r="O93" s="5"/>
      <c r="P93" s="5"/>
      <c r="Q93" s="5"/>
      <c r="R93" s="5"/>
      <c r="S93" s="5"/>
      <c r="T93" s="5"/>
      <c r="U93" s="5"/>
      <c r="V93" s="5"/>
      <c r="W93" s="5"/>
      <c r="X93" s="5"/>
      <c r="Y93" s="5"/>
      <c r="Z93" s="5"/>
    </row>
    <row r="94" ht="15.75" customHeight="1">
      <c r="A94" s="40" t="s">
        <v>594</v>
      </c>
      <c r="B94" s="36" t="s">
        <v>595</v>
      </c>
      <c r="C94" s="36" t="s">
        <v>143</v>
      </c>
      <c r="D94" s="36" t="s">
        <v>569</v>
      </c>
      <c r="E94" s="41">
        <v>0.9</v>
      </c>
      <c r="F94" s="5"/>
      <c r="G94" s="5"/>
      <c r="H94" s="5"/>
      <c r="I94" s="5"/>
      <c r="J94" s="5"/>
      <c r="K94" s="5"/>
      <c r="L94" s="5"/>
      <c r="M94" s="5"/>
      <c r="N94" s="5"/>
      <c r="O94" s="5"/>
      <c r="P94" s="5"/>
      <c r="Q94" s="5"/>
      <c r="R94" s="5"/>
      <c r="S94" s="5"/>
      <c r="T94" s="5"/>
      <c r="U94" s="5"/>
      <c r="V94" s="5"/>
      <c r="W94" s="5"/>
      <c r="X94" s="5"/>
      <c r="Y94" s="5"/>
      <c r="Z94" s="5"/>
    </row>
    <row r="95" ht="15.75" customHeight="1">
      <c r="A95" s="40" t="s">
        <v>594</v>
      </c>
      <c r="B95" s="36" t="s">
        <v>595</v>
      </c>
      <c r="C95" s="36" t="s">
        <v>185</v>
      </c>
      <c r="D95" s="36" t="s">
        <v>571</v>
      </c>
      <c r="E95" s="41">
        <v>0.45</v>
      </c>
      <c r="F95" s="5"/>
      <c r="G95" s="5"/>
      <c r="H95" s="5"/>
      <c r="I95" s="5"/>
      <c r="J95" s="5"/>
      <c r="K95" s="5"/>
      <c r="L95" s="5"/>
      <c r="M95" s="5"/>
      <c r="N95" s="5"/>
      <c r="O95" s="5"/>
      <c r="P95" s="5"/>
      <c r="Q95" s="5"/>
      <c r="R95" s="5"/>
      <c r="S95" s="5"/>
      <c r="T95" s="5"/>
      <c r="U95" s="5"/>
      <c r="V95" s="5"/>
      <c r="W95" s="5"/>
      <c r="X95" s="5"/>
      <c r="Y95" s="5"/>
      <c r="Z95" s="5"/>
    </row>
    <row r="96" ht="15.75" customHeight="1">
      <c r="A96" s="40" t="s">
        <v>594</v>
      </c>
      <c r="B96" s="36" t="s">
        <v>595</v>
      </c>
      <c r="C96" s="36" t="s">
        <v>179</v>
      </c>
      <c r="D96" s="36" t="s">
        <v>572</v>
      </c>
      <c r="E96" s="41">
        <v>0.8</v>
      </c>
      <c r="F96" s="5"/>
      <c r="G96" s="5"/>
      <c r="H96" s="5"/>
      <c r="I96" s="5"/>
      <c r="J96" s="5"/>
      <c r="K96" s="5"/>
      <c r="L96" s="5"/>
      <c r="M96" s="5"/>
      <c r="N96" s="5"/>
      <c r="O96" s="5"/>
      <c r="P96" s="5"/>
      <c r="Q96" s="5"/>
      <c r="R96" s="5"/>
      <c r="S96" s="5"/>
      <c r="T96" s="5"/>
      <c r="U96" s="5"/>
      <c r="V96" s="5"/>
      <c r="W96" s="5"/>
      <c r="X96" s="5"/>
      <c r="Y96" s="5"/>
      <c r="Z96" s="5"/>
    </row>
    <row r="97" ht="15.75" customHeight="1">
      <c r="A97" s="40" t="s">
        <v>594</v>
      </c>
      <c r="B97" s="36" t="s">
        <v>595</v>
      </c>
      <c r="C97" s="36" t="s">
        <v>182</v>
      </c>
      <c r="D97" s="36" t="s">
        <v>573</v>
      </c>
      <c r="E97" s="41">
        <v>0.85</v>
      </c>
      <c r="F97" s="5"/>
      <c r="G97" s="5"/>
      <c r="H97" s="5"/>
      <c r="I97" s="5"/>
      <c r="J97" s="5"/>
      <c r="K97" s="5"/>
      <c r="L97" s="5"/>
      <c r="M97" s="5"/>
      <c r="N97" s="5"/>
      <c r="O97" s="5"/>
      <c r="P97" s="5"/>
      <c r="Q97" s="5"/>
      <c r="R97" s="5"/>
      <c r="S97" s="5"/>
      <c r="T97" s="5"/>
      <c r="U97" s="5"/>
      <c r="V97" s="5"/>
      <c r="W97" s="5"/>
      <c r="X97" s="5"/>
      <c r="Y97" s="5"/>
      <c r="Z97" s="5"/>
    </row>
    <row r="98" ht="15.75" customHeight="1">
      <c r="A98" s="40" t="s">
        <v>594</v>
      </c>
      <c r="B98" s="36" t="s">
        <v>595</v>
      </c>
      <c r="C98" s="36" t="s">
        <v>190</v>
      </c>
      <c r="D98" s="36" t="s">
        <v>574</v>
      </c>
      <c r="E98" s="41">
        <v>0.55</v>
      </c>
      <c r="F98" s="5"/>
      <c r="G98" s="5"/>
      <c r="H98" s="5"/>
      <c r="I98" s="5"/>
      <c r="J98" s="5"/>
      <c r="K98" s="5"/>
      <c r="L98" s="5"/>
      <c r="M98" s="5"/>
      <c r="N98" s="5"/>
      <c r="O98" s="5"/>
      <c r="P98" s="5"/>
      <c r="Q98" s="5"/>
      <c r="R98" s="5"/>
      <c r="S98" s="5"/>
      <c r="T98" s="5"/>
      <c r="U98" s="5"/>
      <c r="V98" s="5"/>
      <c r="W98" s="5"/>
      <c r="X98" s="5"/>
      <c r="Y98" s="5"/>
      <c r="Z98" s="5"/>
    </row>
    <row r="99" ht="15.75" customHeight="1">
      <c r="A99" s="40" t="s">
        <v>594</v>
      </c>
      <c r="B99" s="36" t="s">
        <v>595</v>
      </c>
      <c r="C99" s="36" t="s">
        <v>196</v>
      </c>
      <c r="D99" s="36" t="s">
        <v>575</v>
      </c>
      <c r="E99" s="41">
        <v>0.15</v>
      </c>
      <c r="F99" s="5"/>
      <c r="G99" s="5"/>
      <c r="H99" s="5"/>
      <c r="I99" s="5"/>
      <c r="J99" s="5"/>
      <c r="K99" s="5"/>
      <c r="L99" s="5"/>
      <c r="M99" s="5"/>
      <c r="N99" s="5"/>
      <c r="O99" s="5"/>
      <c r="P99" s="5"/>
      <c r="Q99" s="5"/>
      <c r="R99" s="5"/>
      <c r="S99" s="5"/>
      <c r="T99" s="5"/>
      <c r="U99" s="5"/>
      <c r="V99" s="5"/>
      <c r="W99" s="5"/>
      <c r="X99" s="5"/>
      <c r="Y99" s="5"/>
      <c r="Z99" s="5"/>
    </row>
    <row r="100" ht="15.75" customHeight="1">
      <c r="A100" s="40" t="s">
        <v>594</v>
      </c>
      <c r="B100" s="36" t="s">
        <v>595</v>
      </c>
      <c r="C100" s="36" t="s">
        <v>157</v>
      </c>
      <c r="D100" s="36" t="s">
        <v>576</v>
      </c>
      <c r="E100" s="41">
        <v>0.4</v>
      </c>
      <c r="F100" s="5"/>
      <c r="G100" s="5"/>
      <c r="H100" s="5"/>
      <c r="I100" s="5"/>
      <c r="J100" s="5"/>
      <c r="K100" s="5"/>
      <c r="L100" s="5"/>
      <c r="M100" s="5"/>
      <c r="N100" s="5"/>
      <c r="O100" s="5"/>
      <c r="P100" s="5"/>
      <c r="Q100" s="5"/>
      <c r="R100" s="5"/>
      <c r="S100" s="5"/>
      <c r="T100" s="5"/>
      <c r="U100" s="5"/>
      <c r="V100" s="5"/>
      <c r="W100" s="5"/>
      <c r="X100" s="5"/>
      <c r="Y100" s="5"/>
      <c r="Z100" s="5"/>
    </row>
    <row r="101" ht="15.75" customHeight="1">
      <c r="A101" s="40" t="s">
        <v>594</v>
      </c>
      <c r="B101" s="36" t="s">
        <v>595</v>
      </c>
      <c r="C101" s="36" t="s">
        <v>165</v>
      </c>
      <c r="D101" s="36" t="s">
        <v>577</v>
      </c>
      <c r="E101" s="41">
        <v>0.2</v>
      </c>
      <c r="F101" s="5"/>
      <c r="G101" s="5"/>
      <c r="H101" s="5"/>
      <c r="I101" s="5"/>
      <c r="J101" s="5"/>
      <c r="K101" s="5"/>
      <c r="L101" s="5"/>
      <c r="M101" s="5"/>
      <c r="N101" s="5"/>
      <c r="O101" s="5"/>
      <c r="P101" s="5"/>
      <c r="Q101" s="5"/>
      <c r="R101" s="5"/>
      <c r="S101" s="5"/>
      <c r="T101" s="5"/>
      <c r="U101" s="5"/>
      <c r="V101" s="5"/>
      <c r="W101" s="5"/>
      <c r="X101" s="5"/>
      <c r="Y101" s="5"/>
      <c r="Z101" s="5"/>
    </row>
    <row r="102" ht="15.75" customHeight="1">
      <c r="A102" s="40" t="s">
        <v>594</v>
      </c>
      <c r="B102" s="36" t="s">
        <v>595</v>
      </c>
      <c r="C102" s="36" t="s">
        <v>168</v>
      </c>
      <c r="D102" s="36" t="s">
        <v>578</v>
      </c>
      <c r="E102" s="41">
        <v>0.2</v>
      </c>
      <c r="F102" s="5"/>
      <c r="G102" s="5"/>
      <c r="H102" s="5"/>
      <c r="I102" s="5"/>
      <c r="J102" s="5"/>
      <c r="K102" s="5"/>
      <c r="L102" s="5"/>
      <c r="M102" s="5"/>
      <c r="N102" s="5"/>
      <c r="O102" s="5"/>
      <c r="P102" s="5"/>
      <c r="Q102" s="5"/>
      <c r="R102" s="5"/>
      <c r="S102" s="5"/>
      <c r="T102" s="5"/>
      <c r="U102" s="5"/>
      <c r="V102" s="5"/>
      <c r="W102" s="5"/>
      <c r="X102" s="5"/>
      <c r="Y102" s="5"/>
      <c r="Z102" s="5"/>
    </row>
    <row r="103" ht="15.75" customHeight="1">
      <c r="A103" s="40" t="s">
        <v>594</v>
      </c>
      <c r="B103" s="36" t="s">
        <v>595</v>
      </c>
      <c r="C103" s="36" t="s">
        <v>171</v>
      </c>
      <c r="D103" s="36" t="s">
        <v>579</v>
      </c>
      <c r="E103" s="41">
        <v>0.6</v>
      </c>
      <c r="F103" s="5"/>
      <c r="G103" s="5"/>
      <c r="H103" s="5"/>
      <c r="I103" s="5"/>
      <c r="J103" s="5"/>
      <c r="K103" s="5"/>
      <c r="L103" s="5"/>
      <c r="M103" s="5"/>
      <c r="N103" s="5"/>
      <c r="O103" s="5"/>
      <c r="P103" s="5"/>
      <c r="Q103" s="5"/>
      <c r="R103" s="5"/>
      <c r="S103" s="5"/>
      <c r="T103" s="5"/>
      <c r="U103" s="5"/>
      <c r="V103" s="5"/>
      <c r="W103" s="5"/>
      <c r="X103" s="5"/>
      <c r="Y103" s="5"/>
      <c r="Z103" s="5"/>
    </row>
    <row r="104" ht="15.75" customHeight="1">
      <c r="A104" s="40" t="s">
        <v>594</v>
      </c>
      <c r="B104" s="36" t="s">
        <v>595</v>
      </c>
      <c r="C104" s="36" t="s">
        <v>174</v>
      </c>
      <c r="D104" s="36" t="s">
        <v>580</v>
      </c>
      <c r="E104" s="41">
        <v>0.25</v>
      </c>
      <c r="F104" s="5"/>
      <c r="G104" s="5"/>
      <c r="H104" s="5"/>
      <c r="I104" s="5"/>
      <c r="J104" s="5"/>
      <c r="K104" s="5"/>
      <c r="L104" s="5"/>
      <c r="M104" s="5"/>
      <c r="N104" s="5"/>
      <c r="O104" s="5"/>
      <c r="P104" s="5"/>
      <c r="Q104" s="5"/>
      <c r="R104" s="5"/>
      <c r="S104" s="5"/>
      <c r="T104" s="5"/>
      <c r="U104" s="5"/>
      <c r="V104" s="5"/>
      <c r="W104" s="5"/>
      <c r="X104" s="5"/>
      <c r="Y104" s="5"/>
      <c r="Z104" s="5"/>
    </row>
    <row r="105" ht="15.75" customHeight="1">
      <c r="A105" s="40" t="s">
        <v>594</v>
      </c>
      <c r="B105" s="36" t="s">
        <v>595</v>
      </c>
      <c r="C105" s="36" t="s">
        <v>162</v>
      </c>
      <c r="D105" s="36" t="s">
        <v>581</v>
      </c>
      <c r="E105" s="41">
        <v>0.2</v>
      </c>
      <c r="F105" s="5"/>
      <c r="G105" s="5"/>
      <c r="H105" s="5"/>
      <c r="I105" s="5"/>
      <c r="J105" s="5"/>
      <c r="K105" s="5"/>
      <c r="L105" s="5"/>
      <c r="M105" s="5"/>
      <c r="N105" s="5"/>
      <c r="O105" s="5"/>
      <c r="P105" s="5"/>
      <c r="Q105" s="5"/>
      <c r="R105" s="5"/>
      <c r="S105" s="5"/>
      <c r="T105" s="5"/>
      <c r="U105" s="5"/>
      <c r="V105" s="5"/>
      <c r="W105" s="5"/>
      <c r="X105" s="5"/>
      <c r="Y105" s="5"/>
      <c r="Z105" s="5"/>
    </row>
    <row r="106" ht="15.75" customHeight="1">
      <c r="A106" s="40" t="s">
        <v>594</v>
      </c>
      <c r="B106" s="36" t="s">
        <v>595</v>
      </c>
      <c r="C106" s="36" t="s">
        <v>193</v>
      </c>
      <c r="D106" s="36" t="s">
        <v>582</v>
      </c>
      <c r="E106" s="41">
        <v>0.25</v>
      </c>
      <c r="F106" s="5"/>
      <c r="G106" s="5"/>
      <c r="H106" s="5"/>
      <c r="I106" s="5"/>
      <c r="J106" s="5"/>
      <c r="K106" s="5"/>
      <c r="L106" s="5"/>
      <c r="M106" s="5"/>
      <c r="N106" s="5"/>
      <c r="O106" s="5"/>
      <c r="P106" s="5"/>
      <c r="Q106" s="5"/>
      <c r="R106" s="5"/>
      <c r="S106" s="5"/>
      <c r="T106" s="5"/>
      <c r="U106" s="5"/>
      <c r="V106" s="5"/>
      <c r="W106" s="5"/>
      <c r="X106" s="5"/>
      <c r="Y106" s="5"/>
      <c r="Z106" s="5"/>
    </row>
    <row r="107" ht="15.75" customHeight="1">
      <c r="A107" s="40" t="s">
        <v>596</v>
      </c>
      <c r="B107" s="36" t="s">
        <v>597</v>
      </c>
      <c r="C107" s="36" t="s">
        <v>107</v>
      </c>
      <c r="D107" s="36" t="s">
        <v>560</v>
      </c>
      <c r="E107" s="41">
        <v>0.55</v>
      </c>
      <c r="F107" s="5"/>
      <c r="G107" s="5"/>
      <c r="H107" s="5"/>
      <c r="I107" s="5"/>
      <c r="J107" s="5"/>
      <c r="K107" s="5"/>
      <c r="L107" s="5"/>
      <c r="M107" s="5"/>
      <c r="N107" s="5"/>
      <c r="O107" s="5"/>
      <c r="P107" s="5"/>
      <c r="Q107" s="5"/>
      <c r="R107" s="5"/>
      <c r="S107" s="5"/>
      <c r="T107" s="5"/>
      <c r="U107" s="5"/>
      <c r="V107" s="5"/>
      <c r="W107" s="5"/>
      <c r="X107" s="5"/>
      <c r="Y107" s="5"/>
      <c r="Z107" s="5"/>
    </row>
    <row r="108" ht="15.75" customHeight="1">
      <c r="A108" s="40" t="s">
        <v>596</v>
      </c>
      <c r="B108" s="36" t="s">
        <v>597</v>
      </c>
      <c r="C108" s="36" t="s">
        <v>117</v>
      </c>
      <c r="D108" s="36" t="s">
        <v>562</v>
      </c>
      <c r="E108" s="41">
        <v>0.55</v>
      </c>
      <c r="F108" s="5"/>
      <c r="G108" s="5"/>
      <c r="H108" s="5"/>
      <c r="I108" s="5"/>
      <c r="J108" s="5"/>
      <c r="K108" s="5"/>
      <c r="L108" s="5"/>
      <c r="M108" s="5"/>
      <c r="N108" s="5"/>
      <c r="O108" s="5"/>
      <c r="P108" s="5"/>
      <c r="Q108" s="5"/>
      <c r="R108" s="5"/>
      <c r="S108" s="5"/>
      <c r="T108" s="5"/>
      <c r="U108" s="5"/>
      <c r="V108" s="5"/>
      <c r="W108" s="5"/>
      <c r="X108" s="5"/>
      <c r="Y108" s="5"/>
      <c r="Z108" s="5"/>
    </row>
    <row r="109" ht="15.75" customHeight="1">
      <c r="A109" s="40" t="s">
        <v>596</v>
      </c>
      <c r="B109" s="36" t="s">
        <v>597</v>
      </c>
      <c r="C109" s="36" t="s">
        <v>120</v>
      </c>
      <c r="D109" s="36" t="s">
        <v>563</v>
      </c>
      <c r="E109" s="41">
        <v>0.55</v>
      </c>
      <c r="F109" s="5"/>
      <c r="G109" s="5"/>
      <c r="H109" s="5"/>
      <c r="I109" s="5"/>
      <c r="J109" s="5"/>
      <c r="K109" s="5"/>
      <c r="L109" s="5"/>
      <c r="M109" s="5"/>
      <c r="N109" s="5"/>
      <c r="O109" s="5"/>
      <c r="P109" s="5"/>
      <c r="Q109" s="5"/>
      <c r="R109" s="5"/>
      <c r="S109" s="5"/>
      <c r="T109" s="5"/>
      <c r="U109" s="5"/>
      <c r="V109" s="5"/>
      <c r="W109" s="5"/>
      <c r="X109" s="5"/>
      <c r="Y109" s="5"/>
      <c r="Z109" s="5"/>
    </row>
    <row r="110" ht="15.75" customHeight="1">
      <c r="A110" s="40" t="s">
        <v>596</v>
      </c>
      <c r="B110" s="36" t="s">
        <v>597</v>
      </c>
      <c r="C110" s="36" t="s">
        <v>129</v>
      </c>
      <c r="D110" s="36" t="s">
        <v>564</v>
      </c>
      <c r="E110" s="41">
        <v>0.55</v>
      </c>
      <c r="F110" s="5"/>
      <c r="G110" s="5"/>
      <c r="H110" s="5"/>
      <c r="I110" s="5"/>
      <c r="J110" s="5"/>
      <c r="K110" s="5"/>
      <c r="L110" s="5"/>
      <c r="M110" s="5"/>
      <c r="N110" s="5"/>
      <c r="O110" s="5"/>
      <c r="P110" s="5"/>
      <c r="Q110" s="5"/>
      <c r="R110" s="5"/>
      <c r="S110" s="5"/>
      <c r="T110" s="5"/>
      <c r="U110" s="5"/>
      <c r="V110" s="5"/>
      <c r="W110" s="5"/>
      <c r="X110" s="5"/>
      <c r="Y110" s="5"/>
      <c r="Z110" s="5"/>
    </row>
    <row r="111" ht="15.75" customHeight="1">
      <c r="A111" s="40" t="s">
        <v>596</v>
      </c>
      <c r="B111" s="36" t="s">
        <v>597</v>
      </c>
      <c r="C111" s="36" t="s">
        <v>136</v>
      </c>
      <c r="D111" s="36" t="s">
        <v>565</v>
      </c>
      <c r="E111" s="41">
        <v>0.55</v>
      </c>
      <c r="F111" s="5"/>
      <c r="G111" s="5"/>
      <c r="H111" s="5"/>
      <c r="I111" s="5"/>
      <c r="J111" s="5"/>
      <c r="K111" s="5"/>
      <c r="L111" s="5"/>
      <c r="M111" s="5"/>
      <c r="N111" s="5"/>
      <c r="O111" s="5"/>
      <c r="P111" s="5"/>
      <c r="Q111" s="5"/>
      <c r="R111" s="5"/>
      <c r="S111" s="5"/>
      <c r="T111" s="5"/>
      <c r="U111" s="5"/>
      <c r="V111" s="5"/>
      <c r="W111" s="5"/>
      <c r="X111" s="5"/>
      <c r="Y111" s="5"/>
      <c r="Z111" s="5"/>
    </row>
    <row r="112" ht="15.75" customHeight="1">
      <c r="A112" s="40" t="s">
        <v>596</v>
      </c>
      <c r="B112" s="36" t="s">
        <v>597</v>
      </c>
      <c r="C112" s="36" t="s">
        <v>139</v>
      </c>
      <c r="D112" s="36" t="s">
        <v>566</v>
      </c>
      <c r="E112" s="41">
        <v>0.45</v>
      </c>
      <c r="F112" s="5"/>
      <c r="G112" s="5"/>
      <c r="H112" s="5"/>
      <c r="I112" s="5"/>
      <c r="J112" s="5"/>
      <c r="K112" s="5"/>
      <c r="L112" s="5"/>
      <c r="M112" s="5"/>
      <c r="N112" s="5"/>
      <c r="O112" s="5"/>
      <c r="P112" s="5"/>
      <c r="Q112" s="5"/>
      <c r="R112" s="5"/>
      <c r="S112" s="5"/>
      <c r="T112" s="5"/>
      <c r="U112" s="5"/>
      <c r="V112" s="5"/>
      <c r="W112" s="5"/>
      <c r="X112" s="5"/>
      <c r="Y112" s="5"/>
      <c r="Z112" s="5"/>
    </row>
    <row r="113" ht="15.75" customHeight="1">
      <c r="A113" s="40" t="s">
        <v>596</v>
      </c>
      <c r="B113" s="36" t="s">
        <v>597</v>
      </c>
      <c r="C113" s="36" t="s">
        <v>149</v>
      </c>
      <c r="D113" s="36" t="s">
        <v>567</v>
      </c>
      <c r="E113" s="41">
        <v>0.35</v>
      </c>
      <c r="F113" s="5"/>
      <c r="G113" s="5"/>
      <c r="H113" s="5"/>
      <c r="I113" s="5"/>
      <c r="J113" s="5"/>
      <c r="K113" s="5"/>
      <c r="L113" s="5"/>
      <c r="M113" s="5"/>
      <c r="N113" s="5"/>
      <c r="O113" s="5"/>
      <c r="P113" s="5"/>
      <c r="Q113" s="5"/>
      <c r="R113" s="5"/>
      <c r="S113" s="5"/>
      <c r="T113" s="5"/>
      <c r="U113" s="5"/>
      <c r="V113" s="5"/>
      <c r="W113" s="5"/>
      <c r="X113" s="5"/>
      <c r="Y113" s="5"/>
      <c r="Z113" s="5"/>
    </row>
    <row r="114" ht="15.75" customHeight="1">
      <c r="A114" s="40" t="s">
        <v>596</v>
      </c>
      <c r="B114" s="36" t="s">
        <v>597</v>
      </c>
      <c r="C114" s="36" t="s">
        <v>146</v>
      </c>
      <c r="D114" s="36" t="s">
        <v>568</v>
      </c>
      <c r="E114" s="41">
        <v>0.25</v>
      </c>
      <c r="F114" s="5"/>
      <c r="G114" s="5"/>
      <c r="H114" s="5"/>
      <c r="I114" s="5"/>
      <c r="J114" s="5"/>
      <c r="K114" s="5"/>
      <c r="L114" s="5"/>
      <c r="M114" s="5"/>
      <c r="N114" s="5"/>
      <c r="O114" s="5"/>
      <c r="P114" s="5"/>
      <c r="Q114" s="5"/>
      <c r="R114" s="5"/>
      <c r="S114" s="5"/>
      <c r="T114" s="5"/>
      <c r="U114" s="5"/>
      <c r="V114" s="5"/>
      <c r="W114" s="5"/>
      <c r="X114" s="5"/>
      <c r="Y114" s="5"/>
      <c r="Z114" s="5"/>
    </row>
    <row r="115" ht="15.75" customHeight="1">
      <c r="A115" s="40" t="s">
        <v>596</v>
      </c>
      <c r="B115" s="36" t="s">
        <v>597</v>
      </c>
      <c r="C115" s="36" t="s">
        <v>143</v>
      </c>
      <c r="D115" s="36" t="s">
        <v>569</v>
      </c>
      <c r="E115" s="41">
        <v>0.45</v>
      </c>
      <c r="F115" s="5"/>
      <c r="G115" s="5"/>
      <c r="H115" s="5"/>
      <c r="I115" s="5"/>
      <c r="J115" s="5"/>
      <c r="K115" s="5"/>
      <c r="L115" s="5"/>
      <c r="M115" s="5"/>
      <c r="N115" s="5"/>
      <c r="O115" s="5"/>
      <c r="P115" s="5"/>
      <c r="Q115" s="5"/>
      <c r="R115" s="5"/>
      <c r="S115" s="5"/>
      <c r="T115" s="5"/>
      <c r="U115" s="5"/>
      <c r="V115" s="5"/>
      <c r="W115" s="5"/>
      <c r="X115" s="5"/>
      <c r="Y115" s="5"/>
      <c r="Z115" s="5"/>
    </row>
    <row r="116" ht="15.75" customHeight="1">
      <c r="A116" s="40" t="s">
        <v>596</v>
      </c>
      <c r="B116" s="36" t="s">
        <v>597</v>
      </c>
      <c r="C116" s="36" t="s">
        <v>185</v>
      </c>
      <c r="D116" s="36" t="s">
        <v>571</v>
      </c>
      <c r="E116" s="41">
        <v>0.4</v>
      </c>
      <c r="F116" s="5"/>
      <c r="G116" s="5"/>
      <c r="H116" s="5"/>
      <c r="I116" s="5"/>
      <c r="J116" s="5"/>
      <c r="K116" s="5"/>
      <c r="L116" s="5"/>
      <c r="M116" s="5"/>
      <c r="N116" s="5"/>
      <c r="O116" s="5"/>
      <c r="P116" s="5"/>
      <c r="Q116" s="5"/>
      <c r="R116" s="5"/>
      <c r="S116" s="5"/>
      <c r="T116" s="5"/>
      <c r="U116" s="5"/>
      <c r="V116" s="5"/>
      <c r="W116" s="5"/>
      <c r="X116" s="5"/>
      <c r="Y116" s="5"/>
      <c r="Z116" s="5"/>
    </row>
    <row r="117" ht="15.75" customHeight="1">
      <c r="A117" s="40" t="s">
        <v>596</v>
      </c>
      <c r="B117" s="36" t="s">
        <v>597</v>
      </c>
      <c r="C117" s="36" t="s">
        <v>179</v>
      </c>
      <c r="D117" s="36" t="s">
        <v>572</v>
      </c>
      <c r="E117" s="41">
        <v>0.55</v>
      </c>
      <c r="F117" s="5"/>
      <c r="G117" s="5"/>
      <c r="H117" s="5"/>
      <c r="I117" s="5"/>
      <c r="J117" s="5"/>
      <c r="K117" s="5"/>
      <c r="L117" s="5"/>
      <c r="M117" s="5"/>
      <c r="N117" s="5"/>
      <c r="O117" s="5"/>
      <c r="P117" s="5"/>
      <c r="Q117" s="5"/>
      <c r="R117" s="5"/>
      <c r="S117" s="5"/>
      <c r="T117" s="5"/>
      <c r="U117" s="5"/>
      <c r="V117" s="5"/>
      <c r="W117" s="5"/>
      <c r="X117" s="5"/>
      <c r="Y117" s="5"/>
      <c r="Z117" s="5"/>
    </row>
    <row r="118" ht="15.75" customHeight="1">
      <c r="A118" s="40" t="s">
        <v>596</v>
      </c>
      <c r="B118" s="36" t="s">
        <v>597</v>
      </c>
      <c r="C118" s="36" t="s">
        <v>182</v>
      </c>
      <c r="D118" s="36" t="s">
        <v>573</v>
      </c>
      <c r="E118" s="41">
        <v>0.55</v>
      </c>
      <c r="F118" s="5"/>
      <c r="G118" s="5"/>
      <c r="H118" s="5"/>
      <c r="I118" s="5"/>
      <c r="J118" s="5"/>
      <c r="K118" s="5"/>
      <c r="L118" s="5"/>
      <c r="M118" s="5"/>
      <c r="N118" s="5"/>
      <c r="O118" s="5"/>
      <c r="P118" s="5"/>
      <c r="Q118" s="5"/>
      <c r="R118" s="5"/>
      <c r="S118" s="5"/>
      <c r="T118" s="5"/>
      <c r="U118" s="5"/>
      <c r="V118" s="5"/>
      <c r="W118" s="5"/>
      <c r="X118" s="5"/>
      <c r="Y118" s="5"/>
      <c r="Z118" s="5"/>
    </row>
    <row r="119" ht="15.75" customHeight="1">
      <c r="A119" s="40" t="s">
        <v>596</v>
      </c>
      <c r="B119" s="36" t="s">
        <v>597</v>
      </c>
      <c r="C119" s="36" t="s">
        <v>190</v>
      </c>
      <c r="D119" s="36" t="s">
        <v>574</v>
      </c>
      <c r="E119" s="41">
        <v>0.3</v>
      </c>
      <c r="F119" s="5"/>
      <c r="G119" s="5"/>
      <c r="H119" s="5"/>
      <c r="I119" s="5"/>
      <c r="J119" s="5"/>
      <c r="K119" s="5"/>
      <c r="L119" s="5"/>
      <c r="M119" s="5"/>
      <c r="N119" s="5"/>
      <c r="O119" s="5"/>
      <c r="P119" s="5"/>
      <c r="Q119" s="5"/>
      <c r="R119" s="5"/>
      <c r="S119" s="5"/>
      <c r="T119" s="5"/>
      <c r="U119" s="5"/>
      <c r="V119" s="5"/>
      <c r="W119" s="5"/>
      <c r="X119" s="5"/>
      <c r="Y119" s="5"/>
      <c r="Z119" s="5"/>
    </row>
    <row r="120" ht="15.75" customHeight="1">
      <c r="A120" s="40" t="s">
        <v>596</v>
      </c>
      <c r="B120" s="36" t="s">
        <v>597</v>
      </c>
      <c r="C120" s="36" t="s">
        <v>196</v>
      </c>
      <c r="D120" s="36" t="s">
        <v>575</v>
      </c>
      <c r="E120" s="41">
        <v>0.25</v>
      </c>
      <c r="F120" s="5"/>
      <c r="G120" s="5"/>
      <c r="H120" s="5"/>
      <c r="I120" s="5"/>
      <c r="J120" s="5"/>
      <c r="K120" s="5"/>
      <c r="L120" s="5"/>
      <c r="M120" s="5"/>
      <c r="N120" s="5"/>
      <c r="O120" s="5"/>
      <c r="P120" s="5"/>
      <c r="Q120" s="5"/>
      <c r="R120" s="5"/>
      <c r="S120" s="5"/>
      <c r="T120" s="5"/>
      <c r="U120" s="5"/>
      <c r="V120" s="5"/>
      <c r="W120" s="5"/>
      <c r="X120" s="5"/>
      <c r="Y120" s="5"/>
      <c r="Z120" s="5"/>
    </row>
    <row r="121" ht="15.75" customHeight="1">
      <c r="A121" s="40" t="s">
        <v>596</v>
      </c>
      <c r="B121" s="36" t="s">
        <v>597</v>
      </c>
      <c r="C121" s="36" t="s">
        <v>157</v>
      </c>
      <c r="D121" s="36" t="s">
        <v>576</v>
      </c>
      <c r="E121" s="41">
        <v>0.7</v>
      </c>
      <c r="F121" s="5"/>
      <c r="G121" s="5"/>
      <c r="H121" s="5"/>
      <c r="I121" s="5"/>
      <c r="J121" s="5"/>
      <c r="K121" s="5"/>
      <c r="L121" s="5"/>
      <c r="M121" s="5"/>
      <c r="N121" s="5"/>
      <c r="O121" s="5"/>
      <c r="P121" s="5"/>
      <c r="Q121" s="5"/>
      <c r="R121" s="5"/>
      <c r="S121" s="5"/>
      <c r="T121" s="5"/>
      <c r="U121" s="5"/>
      <c r="V121" s="5"/>
      <c r="W121" s="5"/>
      <c r="X121" s="5"/>
      <c r="Y121" s="5"/>
      <c r="Z121" s="5"/>
    </row>
    <row r="122" ht="15.75" customHeight="1">
      <c r="A122" s="40" t="s">
        <v>596</v>
      </c>
      <c r="B122" s="36" t="s">
        <v>597</v>
      </c>
      <c r="C122" s="36" t="s">
        <v>165</v>
      </c>
      <c r="D122" s="36" t="s">
        <v>577</v>
      </c>
      <c r="E122" s="41">
        <v>0.35</v>
      </c>
      <c r="F122" s="5"/>
      <c r="G122" s="5"/>
      <c r="H122" s="5"/>
      <c r="I122" s="5"/>
      <c r="J122" s="5"/>
      <c r="K122" s="5"/>
      <c r="L122" s="5"/>
      <c r="M122" s="5"/>
      <c r="N122" s="5"/>
      <c r="O122" s="5"/>
      <c r="P122" s="5"/>
      <c r="Q122" s="5"/>
      <c r="R122" s="5"/>
      <c r="S122" s="5"/>
      <c r="T122" s="5"/>
      <c r="U122" s="5"/>
      <c r="V122" s="5"/>
      <c r="W122" s="5"/>
      <c r="X122" s="5"/>
      <c r="Y122" s="5"/>
      <c r="Z122" s="5"/>
    </row>
    <row r="123" ht="15.75" customHeight="1">
      <c r="A123" s="40" t="s">
        <v>596</v>
      </c>
      <c r="B123" s="36" t="s">
        <v>597</v>
      </c>
      <c r="C123" s="36" t="s">
        <v>168</v>
      </c>
      <c r="D123" s="36" t="s">
        <v>578</v>
      </c>
      <c r="E123" s="41">
        <v>0.35</v>
      </c>
      <c r="F123" s="5"/>
      <c r="G123" s="5"/>
      <c r="H123" s="5"/>
      <c r="I123" s="5"/>
      <c r="J123" s="5"/>
      <c r="K123" s="5"/>
      <c r="L123" s="5"/>
      <c r="M123" s="5"/>
      <c r="N123" s="5"/>
      <c r="O123" s="5"/>
      <c r="P123" s="5"/>
      <c r="Q123" s="5"/>
      <c r="R123" s="5"/>
      <c r="S123" s="5"/>
      <c r="T123" s="5"/>
      <c r="U123" s="5"/>
      <c r="V123" s="5"/>
      <c r="W123" s="5"/>
      <c r="X123" s="5"/>
      <c r="Y123" s="5"/>
      <c r="Z123" s="5"/>
    </row>
    <row r="124" ht="15.75" customHeight="1">
      <c r="A124" s="40" t="s">
        <v>596</v>
      </c>
      <c r="B124" s="36" t="s">
        <v>597</v>
      </c>
      <c r="C124" s="36" t="s">
        <v>171</v>
      </c>
      <c r="D124" s="36" t="s">
        <v>579</v>
      </c>
      <c r="E124" s="41">
        <v>0.3</v>
      </c>
      <c r="F124" s="5"/>
      <c r="G124" s="5"/>
      <c r="H124" s="5"/>
      <c r="I124" s="5"/>
      <c r="J124" s="5"/>
      <c r="K124" s="5"/>
      <c r="L124" s="5"/>
      <c r="M124" s="5"/>
      <c r="N124" s="5"/>
      <c r="O124" s="5"/>
      <c r="P124" s="5"/>
      <c r="Q124" s="5"/>
      <c r="R124" s="5"/>
      <c r="S124" s="5"/>
      <c r="T124" s="5"/>
      <c r="U124" s="5"/>
      <c r="V124" s="5"/>
      <c r="W124" s="5"/>
      <c r="X124" s="5"/>
      <c r="Y124" s="5"/>
      <c r="Z124" s="5"/>
    </row>
    <row r="125" ht="15.75" customHeight="1">
      <c r="A125" s="40" t="s">
        <v>596</v>
      </c>
      <c r="B125" s="36" t="s">
        <v>597</v>
      </c>
      <c r="C125" s="36" t="s">
        <v>174</v>
      </c>
      <c r="D125" s="36" t="s">
        <v>580</v>
      </c>
      <c r="E125" s="41">
        <v>0.1</v>
      </c>
      <c r="F125" s="5"/>
      <c r="G125" s="5"/>
      <c r="H125" s="5"/>
      <c r="I125" s="5"/>
      <c r="J125" s="5"/>
      <c r="K125" s="5"/>
      <c r="L125" s="5"/>
      <c r="M125" s="5"/>
      <c r="N125" s="5"/>
      <c r="O125" s="5"/>
      <c r="P125" s="5"/>
      <c r="Q125" s="5"/>
      <c r="R125" s="5"/>
      <c r="S125" s="5"/>
      <c r="T125" s="5"/>
      <c r="U125" s="5"/>
      <c r="V125" s="5"/>
      <c r="W125" s="5"/>
      <c r="X125" s="5"/>
      <c r="Y125" s="5"/>
      <c r="Z125" s="5"/>
    </row>
    <row r="126" ht="15.75" customHeight="1">
      <c r="A126" s="40" t="s">
        <v>596</v>
      </c>
      <c r="B126" s="36" t="s">
        <v>597</v>
      </c>
      <c r="C126" s="36" t="s">
        <v>162</v>
      </c>
      <c r="D126" s="36" t="s">
        <v>581</v>
      </c>
      <c r="E126" s="41">
        <v>0.5</v>
      </c>
      <c r="F126" s="5"/>
      <c r="G126" s="5"/>
      <c r="H126" s="5"/>
      <c r="I126" s="5"/>
      <c r="J126" s="5"/>
      <c r="K126" s="5"/>
      <c r="L126" s="5"/>
      <c r="M126" s="5"/>
      <c r="N126" s="5"/>
      <c r="O126" s="5"/>
      <c r="P126" s="5"/>
      <c r="Q126" s="5"/>
      <c r="R126" s="5"/>
      <c r="S126" s="5"/>
      <c r="T126" s="5"/>
      <c r="U126" s="5"/>
      <c r="V126" s="5"/>
      <c r="W126" s="5"/>
      <c r="X126" s="5"/>
      <c r="Y126" s="5"/>
      <c r="Z126" s="5"/>
    </row>
    <row r="127" ht="15.75" customHeight="1">
      <c r="A127" s="40" t="s">
        <v>596</v>
      </c>
      <c r="B127" s="36" t="s">
        <v>597</v>
      </c>
      <c r="C127" s="36" t="s">
        <v>193</v>
      </c>
      <c r="D127" s="36" t="s">
        <v>582</v>
      </c>
      <c r="E127" s="41">
        <v>0.45</v>
      </c>
      <c r="F127" s="5"/>
      <c r="G127" s="5"/>
      <c r="H127" s="5"/>
      <c r="I127" s="5"/>
      <c r="J127" s="5"/>
      <c r="K127" s="5"/>
      <c r="L127" s="5"/>
      <c r="M127" s="5"/>
      <c r="N127" s="5"/>
      <c r="O127" s="5"/>
      <c r="P127" s="5"/>
      <c r="Q127" s="5"/>
      <c r="R127" s="5"/>
      <c r="S127" s="5"/>
      <c r="T127" s="5"/>
      <c r="U127" s="5"/>
      <c r="V127" s="5"/>
      <c r="W127" s="5"/>
      <c r="X127" s="5"/>
      <c r="Y127" s="5"/>
      <c r="Z127" s="5"/>
    </row>
    <row r="128" ht="15.75" customHeight="1">
      <c r="A128" s="40" t="s">
        <v>598</v>
      </c>
      <c r="B128" s="36" t="s">
        <v>599</v>
      </c>
      <c r="C128" s="36" t="s">
        <v>107</v>
      </c>
      <c r="D128" s="36" t="s">
        <v>560</v>
      </c>
      <c r="E128" s="41">
        <v>0.25</v>
      </c>
      <c r="F128" s="5"/>
      <c r="G128" s="5"/>
      <c r="H128" s="5"/>
      <c r="I128" s="5"/>
      <c r="J128" s="5"/>
      <c r="K128" s="5"/>
      <c r="L128" s="5"/>
      <c r="M128" s="5"/>
      <c r="N128" s="5"/>
      <c r="O128" s="5"/>
      <c r="P128" s="5"/>
      <c r="Q128" s="5"/>
      <c r="R128" s="5"/>
      <c r="S128" s="5"/>
      <c r="T128" s="5"/>
      <c r="U128" s="5"/>
      <c r="V128" s="5"/>
      <c r="W128" s="5"/>
      <c r="X128" s="5"/>
      <c r="Y128" s="5"/>
      <c r="Z128" s="5"/>
    </row>
    <row r="129" ht="15.75" customHeight="1">
      <c r="A129" s="40" t="s">
        <v>598</v>
      </c>
      <c r="B129" s="36" t="s">
        <v>599</v>
      </c>
      <c r="C129" s="36" t="s">
        <v>117</v>
      </c>
      <c r="D129" s="36" t="s">
        <v>562</v>
      </c>
      <c r="E129" s="41">
        <v>0.85</v>
      </c>
      <c r="F129" s="5"/>
      <c r="G129" s="5"/>
      <c r="H129" s="5"/>
      <c r="I129" s="5"/>
      <c r="J129" s="5"/>
      <c r="K129" s="5"/>
      <c r="L129" s="5"/>
      <c r="M129" s="5"/>
      <c r="N129" s="5"/>
      <c r="O129" s="5"/>
      <c r="P129" s="5"/>
      <c r="Q129" s="5"/>
      <c r="R129" s="5"/>
      <c r="S129" s="5"/>
      <c r="T129" s="5"/>
      <c r="U129" s="5"/>
      <c r="V129" s="5"/>
      <c r="W129" s="5"/>
      <c r="X129" s="5"/>
      <c r="Y129" s="5"/>
      <c r="Z129" s="5"/>
    </row>
    <row r="130" ht="15.75" customHeight="1">
      <c r="A130" s="40" t="s">
        <v>598</v>
      </c>
      <c r="B130" s="36" t="s">
        <v>599</v>
      </c>
      <c r="C130" s="36" t="s">
        <v>120</v>
      </c>
      <c r="D130" s="36" t="s">
        <v>563</v>
      </c>
      <c r="E130" s="41">
        <v>0.4</v>
      </c>
      <c r="F130" s="5"/>
      <c r="G130" s="5"/>
      <c r="H130" s="5"/>
      <c r="I130" s="5"/>
      <c r="J130" s="5"/>
      <c r="K130" s="5"/>
      <c r="L130" s="5"/>
      <c r="M130" s="5"/>
      <c r="N130" s="5"/>
      <c r="O130" s="5"/>
      <c r="P130" s="5"/>
      <c r="Q130" s="5"/>
      <c r="R130" s="5"/>
      <c r="S130" s="5"/>
      <c r="T130" s="5"/>
      <c r="U130" s="5"/>
      <c r="V130" s="5"/>
      <c r="W130" s="5"/>
      <c r="X130" s="5"/>
      <c r="Y130" s="5"/>
      <c r="Z130" s="5"/>
    </row>
    <row r="131" ht="15.75" customHeight="1">
      <c r="A131" s="40" t="s">
        <v>598</v>
      </c>
      <c r="B131" s="36" t="s">
        <v>599</v>
      </c>
      <c r="C131" s="36" t="s">
        <v>129</v>
      </c>
      <c r="D131" s="36" t="s">
        <v>564</v>
      </c>
      <c r="E131" s="41">
        <v>0.9</v>
      </c>
      <c r="F131" s="5"/>
      <c r="G131" s="5"/>
      <c r="H131" s="5"/>
      <c r="I131" s="5"/>
      <c r="J131" s="5"/>
      <c r="K131" s="5"/>
      <c r="L131" s="5"/>
      <c r="M131" s="5"/>
      <c r="N131" s="5"/>
      <c r="O131" s="5"/>
      <c r="P131" s="5"/>
      <c r="Q131" s="5"/>
      <c r="R131" s="5"/>
      <c r="S131" s="5"/>
      <c r="T131" s="5"/>
      <c r="U131" s="5"/>
      <c r="V131" s="5"/>
      <c r="W131" s="5"/>
      <c r="X131" s="5"/>
      <c r="Y131" s="5"/>
      <c r="Z131" s="5"/>
    </row>
    <row r="132" ht="15.75" customHeight="1">
      <c r="A132" s="40" t="s">
        <v>598</v>
      </c>
      <c r="B132" s="36" t="s">
        <v>599</v>
      </c>
      <c r="C132" s="36" t="s">
        <v>136</v>
      </c>
      <c r="D132" s="36" t="s">
        <v>565</v>
      </c>
      <c r="E132" s="41">
        <v>0.3</v>
      </c>
      <c r="F132" s="5"/>
      <c r="G132" s="5"/>
      <c r="H132" s="5"/>
      <c r="I132" s="5"/>
      <c r="J132" s="5"/>
      <c r="K132" s="5"/>
      <c r="L132" s="5"/>
      <c r="M132" s="5"/>
      <c r="N132" s="5"/>
      <c r="O132" s="5"/>
      <c r="P132" s="5"/>
      <c r="Q132" s="5"/>
      <c r="R132" s="5"/>
      <c r="S132" s="5"/>
      <c r="T132" s="5"/>
      <c r="U132" s="5"/>
      <c r="V132" s="5"/>
      <c r="W132" s="5"/>
      <c r="X132" s="5"/>
      <c r="Y132" s="5"/>
      <c r="Z132" s="5"/>
    </row>
    <row r="133" ht="15.75" customHeight="1">
      <c r="A133" s="40" t="s">
        <v>598</v>
      </c>
      <c r="B133" s="36" t="s">
        <v>599</v>
      </c>
      <c r="C133" s="36" t="s">
        <v>139</v>
      </c>
      <c r="D133" s="36" t="s">
        <v>566</v>
      </c>
      <c r="E133" s="41">
        <v>0.2</v>
      </c>
      <c r="F133" s="5"/>
      <c r="G133" s="5"/>
      <c r="H133" s="5"/>
      <c r="I133" s="5"/>
      <c r="J133" s="5"/>
      <c r="K133" s="5"/>
      <c r="L133" s="5"/>
      <c r="M133" s="5"/>
      <c r="N133" s="5"/>
      <c r="O133" s="5"/>
      <c r="P133" s="5"/>
      <c r="Q133" s="5"/>
      <c r="R133" s="5"/>
      <c r="S133" s="5"/>
      <c r="T133" s="5"/>
      <c r="U133" s="5"/>
      <c r="V133" s="5"/>
      <c r="W133" s="5"/>
      <c r="X133" s="5"/>
      <c r="Y133" s="5"/>
      <c r="Z133" s="5"/>
    </row>
    <row r="134" ht="15.75" customHeight="1">
      <c r="A134" s="40" t="s">
        <v>598</v>
      </c>
      <c r="B134" s="36" t="s">
        <v>599</v>
      </c>
      <c r="C134" s="36" t="s">
        <v>149</v>
      </c>
      <c r="D134" s="36" t="s">
        <v>567</v>
      </c>
      <c r="E134" s="41">
        <v>0.2</v>
      </c>
      <c r="F134" s="5"/>
      <c r="G134" s="5"/>
      <c r="H134" s="5"/>
      <c r="I134" s="5"/>
      <c r="J134" s="5"/>
      <c r="K134" s="5"/>
      <c r="L134" s="5"/>
      <c r="M134" s="5"/>
      <c r="N134" s="5"/>
      <c r="O134" s="5"/>
      <c r="P134" s="5"/>
      <c r="Q134" s="5"/>
      <c r="R134" s="5"/>
      <c r="S134" s="5"/>
      <c r="T134" s="5"/>
      <c r="U134" s="5"/>
      <c r="V134" s="5"/>
      <c r="W134" s="5"/>
      <c r="X134" s="5"/>
      <c r="Y134" s="5"/>
      <c r="Z134" s="5"/>
    </row>
    <row r="135" ht="15.75" customHeight="1">
      <c r="A135" s="40" t="s">
        <v>598</v>
      </c>
      <c r="B135" s="36" t="s">
        <v>599</v>
      </c>
      <c r="C135" s="36" t="s">
        <v>146</v>
      </c>
      <c r="D135" s="36" t="s">
        <v>568</v>
      </c>
      <c r="E135" s="41">
        <v>0.95</v>
      </c>
      <c r="F135" s="5"/>
      <c r="G135" s="5"/>
      <c r="H135" s="5"/>
      <c r="I135" s="5"/>
      <c r="J135" s="5"/>
      <c r="K135" s="5"/>
      <c r="L135" s="5"/>
      <c r="M135" s="5"/>
      <c r="N135" s="5"/>
      <c r="O135" s="5"/>
      <c r="P135" s="5"/>
      <c r="Q135" s="5"/>
      <c r="R135" s="5"/>
      <c r="S135" s="5"/>
      <c r="T135" s="5"/>
      <c r="U135" s="5"/>
      <c r="V135" s="5"/>
      <c r="W135" s="5"/>
      <c r="X135" s="5"/>
      <c r="Y135" s="5"/>
      <c r="Z135" s="5"/>
    </row>
    <row r="136" ht="15.75" customHeight="1">
      <c r="A136" s="40" t="s">
        <v>598</v>
      </c>
      <c r="B136" s="36" t="s">
        <v>599</v>
      </c>
      <c r="C136" s="36" t="s">
        <v>143</v>
      </c>
      <c r="D136" s="36" t="s">
        <v>569</v>
      </c>
      <c r="E136" s="41">
        <v>0.15</v>
      </c>
      <c r="F136" s="5"/>
      <c r="G136" s="5"/>
      <c r="H136" s="5"/>
      <c r="I136" s="5"/>
      <c r="J136" s="5"/>
      <c r="K136" s="5"/>
      <c r="L136" s="5"/>
      <c r="M136" s="5"/>
      <c r="N136" s="5"/>
      <c r="O136" s="5"/>
      <c r="P136" s="5"/>
      <c r="Q136" s="5"/>
      <c r="R136" s="5"/>
      <c r="S136" s="5"/>
      <c r="T136" s="5"/>
      <c r="U136" s="5"/>
      <c r="V136" s="5"/>
      <c r="W136" s="5"/>
      <c r="X136" s="5"/>
      <c r="Y136" s="5"/>
      <c r="Z136" s="5"/>
    </row>
    <row r="137" ht="15.75" customHeight="1">
      <c r="A137" s="40" t="s">
        <v>598</v>
      </c>
      <c r="B137" s="36" t="s">
        <v>599</v>
      </c>
      <c r="C137" s="36" t="s">
        <v>185</v>
      </c>
      <c r="D137" s="36" t="s">
        <v>571</v>
      </c>
      <c r="E137" s="41">
        <v>0.25</v>
      </c>
      <c r="F137" s="5"/>
      <c r="G137" s="5"/>
      <c r="H137" s="5"/>
      <c r="I137" s="5"/>
      <c r="J137" s="5"/>
      <c r="K137" s="5"/>
      <c r="L137" s="5"/>
      <c r="M137" s="5"/>
      <c r="N137" s="5"/>
      <c r="O137" s="5"/>
      <c r="P137" s="5"/>
      <c r="Q137" s="5"/>
      <c r="R137" s="5"/>
      <c r="S137" s="5"/>
      <c r="T137" s="5"/>
      <c r="U137" s="5"/>
      <c r="V137" s="5"/>
      <c r="W137" s="5"/>
      <c r="X137" s="5"/>
      <c r="Y137" s="5"/>
      <c r="Z137" s="5"/>
    </row>
    <row r="138" ht="15.75" customHeight="1">
      <c r="A138" s="40" t="s">
        <v>598</v>
      </c>
      <c r="B138" s="36" t="s">
        <v>599</v>
      </c>
      <c r="C138" s="36" t="s">
        <v>179</v>
      </c>
      <c r="D138" s="36" t="s">
        <v>572</v>
      </c>
      <c r="E138" s="41">
        <v>0.4</v>
      </c>
      <c r="F138" s="5"/>
      <c r="G138" s="5"/>
      <c r="H138" s="5"/>
      <c r="I138" s="5"/>
      <c r="J138" s="5"/>
      <c r="K138" s="5"/>
      <c r="L138" s="5"/>
      <c r="M138" s="5"/>
      <c r="N138" s="5"/>
      <c r="O138" s="5"/>
      <c r="P138" s="5"/>
      <c r="Q138" s="5"/>
      <c r="R138" s="5"/>
      <c r="S138" s="5"/>
      <c r="T138" s="5"/>
      <c r="U138" s="5"/>
      <c r="V138" s="5"/>
      <c r="W138" s="5"/>
      <c r="X138" s="5"/>
      <c r="Y138" s="5"/>
      <c r="Z138" s="5"/>
    </row>
    <row r="139" ht="15.75" customHeight="1">
      <c r="A139" s="40" t="s">
        <v>598</v>
      </c>
      <c r="B139" s="36" t="s">
        <v>599</v>
      </c>
      <c r="C139" s="36" t="s">
        <v>182</v>
      </c>
      <c r="D139" s="36" t="s">
        <v>573</v>
      </c>
      <c r="E139" s="41">
        <v>0.55</v>
      </c>
      <c r="F139" s="5"/>
      <c r="G139" s="5"/>
      <c r="H139" s="5"/>
      <c r="I139" s="5"/>
      <c r="J139" s="5"/>
      <c r="K139" s="5"/>
      <c r="L139" s="5"/>
      <c r="M139" s="5"/>
      <c r="N139" s="5"/>
      <c r="O139" s="5"/>
      <c r="P139" s="5"/>
      <c r="Q139" s="5"/>
      <c r="R139" s="5"/>
      <c r="S139" s="5"/>
      <c r="T139" s="5"/>
      <c r="U139" s="5"/>
      <c r="V139" s="5"/>
      <c r="W139" s="5"/>
      <c r="X139" s="5"/>
      <c r="Y139" s="5"/>
      <c r="Z139" s="5"/>
    </row>
    <row r="140" ht="15.75" customHeight="1">
      <c r="A140" s="40" t="s">
        <v>598</v>
      </c>
      <c r="B140" s="36" t="s">
        <v>599</v>
      </c>
      <c r="C140" s="36" t="s">
        <v>190</v>
      </c>
      <c r="D140" s="36" t="s">
        <v>574</v>
      </c>
      <c r="E140" s="41">
        <v>0.25</v>
      </c>
      <c r="F140" s="5"/>
      <c r="G140" s="5"/>
      <c r="H140" s="5"/>
      <c r="I140" s="5"/>
      <c r="J140" s="5"/>
      <c r="K140" s="5"/>
      <c r="L140" s="5"/>
      <c r="M140" s="5"/>
      <c r="N140" s="5"/>
      <c r="O140" s="5"/>
      <c r="P140" s="5"/>
      <c r="Q140" s="5"/>
      <c r="R140" s="5"/>
      <c r="S140" s="5"/>
      <c r="T140" s="5"/>
      <c r="U140" s="5"/>
      <c r="V140" s="5"/>
      <c r="W140" s="5"/>
      <c r="X140" s="5"/>
      <c r="Y140" s="5"/>
      <c r="Z140" s="5"/>
    </row>
    <row r="141" ht="15.75" customHeight="1">
      <c r="A141" s="40" t="s">
        <v>598</v>
      </c>
      <c r="B141" s="36" t="s">
        <v>599</v>
      </c>
      <c r="C141" s="36" t="s">
        <v>196</v>
      </c>
      <c r="D141" s="36" t="s">
        <v>575</v>
      </c>
      <c r="E141" s="41">
        <v>0.5</v>
      </c>
      <c r="F141" s="5"/>
      <c r="G141" s="5"/>
      <c r="H141" s="5"/>
      <c r="I141" s="5"/>
      <c r="J141" s="5"/>
      <c r="K141" s="5"/>
      <c r="L141" s="5"/>
      <c r="M141" s="5"/>
      <c r="N141" s="5"/>
      <c r="O141" s="5"/>
      <c r="P141" s="5"/>
      <c r="Q141" s="5"/>
      <c r="R141" s="5"/>
      <c r="S141" s="5"/>
      <c r="T141" s="5"/>
      <c r="U141" s="5"/>
      <c r="V141" s="5"/>
      <c r="W141" s="5"/>
      <c r="X141" s="5"/>
      <c r="Y141" s="5"/>
      <c r="Z141" s="5"/>
    </row>
    <row r="142" ht="15.75" customHeight="1">
      <c r="A142" s="40" t="s">
        <v>598</v>
      </c>
      <c r="B142" s="36" t="s">
        <v>599</v>
      </c>
      <c r="C142" s="36" t="s">
        <v>157</v>
      </c>
      <c r="D142" s="36" t="s">
        <v>576</v>
      </c>
      <c r="E142" s="41">
        <v>0.75</v>
      </c>
      <c r="F142" s="5"/>
      <c r="G142" s="5"/>
      <c r="H142" s="5"/>
      <c r="I142" s="5"/>
      <c r="J142" s="5"/>
      <c r="K142" s="5"/>
      <c r="L142" s="5"/>
      <c r="M142" s="5"/>
      <c r="N142" s="5"/>
      <c r="O142" s="5"/>
      <c r="P142" s="5"/>
      <c r="Q142" s="5"/>
      <c r="R142" s="5"/>
      <c r="S142" s="5"/>
      <c r="T142" s="5"/>
      <c r="U142" s="5"/>
      <c r="V142" s="5"/>
      <c r="W142" s="5"/>
      <c r="X142" s="5"/>
      <c r="Y142" s="5"/>
      <c r="Z142" s="5"/>
    </row>
    <row r="143" ht="15.75" customHeight="1">
      <c r="A143" s="40" t="s">
        <v>598</v>
      </c>
      <c r="B143" s="36" t="s">
        <v>599</v>
      </c>
      <c r="C143" s="36" t="s">
        <v>165</v>
      </c>
      <c r="D143" s="36" t="s">
        <v>577</v>
      </c>
      <c r="E143" s="41">
        <v>0.6</v>
      </c>
      <c r="F143" s="5"/>
      <c r="G143" s="5"/>
      <c r="H143" s="5"/>
      <c r="I143" s="5"/>
      <c r="J143" s="5"/>
      <c r="K143" s="5"/>
      <c r="L143" s="5"/>
      <c r="M143" s="5"/>
      <c r="N143" s="5"/>
      <c r="O143" s="5"/>
      <c r="P143" s="5"/>
      <c r="Q143" s="5"/>
      <c r="R143" s="5"/>
      <c r="S143" s="5"/>
      <c r="T143" s="5"/>
      <c r="U143" s="5"/>
      <c r="V143" s="5"/>
      <c r="W143" s="5"/>
      <c r="X143" s="5"/>
      <c r="Y143" s="5"/>
      <c r="Z143" s="5"/>
    </row>
    <row r="144" ht="15.75" customHeight="1">
      <c r="A144" s="40" t="s">
        <v>598</v>
      </c>
      <c r="B144" s="36" t="s">
        <v>599</v>
      </c>
      <c r="C144" s="36" t="s">
        <v>168</v>
      </c>
      <c r="D144" s="36" t="s">
        <v>578</v>
      </c>
      <c r="E144" s="41">
        <v>0.4</v>
      </c>
      <c r="F144" s="5"/>
      <c r="G144" s="5"/>
      <c r="H144" s="5"/>
      <c r="I144" s="5"/>
      <c r="J144" s="5"/>
      <c r="K144" s="5"/>
      <c r="L144" s="5"/>
      <c r="M144" s="5"/>
      <c r="N144" s="5"/>
      <c r="O144" s="5"/>
      <c r="P144" s="5"/>
      <c r="Q144" s="5"/>
      <c r="R144" s="5"/>
      <c r="S144" s="5"/>
      <c r="T144" s="5"/>
      <c r="U144" s="5"/>
      <c r="V144" s="5"/>
      <c r="W144" s="5"/>
      <c r="X144" s="5"/>
      <c r="Y144" s="5"/>
      <c r="Z144" s="5"/>
    </row>
    <row r="145" ht="15.75" customHeight="1">
      <c r="A145" s="40" t="s">
        <v>598</v>
      </c>
      <c r="B145" s="36" t="s">
        <v>599</v>
      </c>
      <c r="C145" s="36" t="s">
        <v>171</v>
      </c>
      <c r="D145" s="36" t="s">
        <v>579</v>
      </c>
      <c r="E145" s="41">
        <v>0.2</v>
      </c>
      <c r="F145" s="5"/>
      <c r="G145" s="5"/>
      <c r="H145" s="5"/>
      <c r="I145" s="5"/>
      <c r="J145" s="5"/>
      <c r="K145" s="5"/>
      <c r="L145" s="5"/>
      <c r="M145" s="5"/>
      <c r="N145" s="5"/>
      <c r="O145" s="5"/>
      <c r="P145" s="5"/>
      <c r="Q145" s="5"/>
      <c r="R145" s="5"/>
      <c r="S145" s="5"/>
      <c r="T145" s="5"/>
      <c r="U145" s="5"/>
      <c r="V145" s="5"/>
      <c r="W145" s="5"/>
      <c r="X145" s="5"/>
      <c r="Y145" s="5"/>
      <c r="Z145" s="5"/>
    </row>
    <row r="146" ht="15.75" customHeight="1">
      <c r="A146" s="40" t="s">
        <v>598</v>
      </c>
      <c r="B146" s="36" t="s">
        <v>599</v>
      </c>
      <c r="C146" s="36" t="s">
        <v>174</v>
      </c>
      <c r="D146" s="36" t="s">
        <v>580</v>
      </c>
      <c r="E146" s="41">
        <v>0.05</v>
      </c>
      <c r="F146" s="5"/>
      <c r="G146" s="5"/>
      <c r="H146" s="5"/>
      <c r="I146" s="5"/>
      <c r="J146" s="5"/>
      <c r="K146" s="5"/>
      <c r="L146" s="5"/>
      <c r="M146" s="5"/>
      <c r="N146" s="5"/>
      <c r="O146" s="5"/>
      <c r="P146" s="5"/>
      <c r="Q146" s="5"/>
      <c r="R146" s="5"/>
      <c r="S146" s="5"/>
      <c r="T146" s="5"/>
      <c r="U146" s="5"/>
      <c r="V146" s="5"/>
      <c r="W146" s="5"/>
      <c r="X146" s="5"/>
      <c r="Y146" s="5"/>
      <c r="Z146" s="5"/>
    </row>
    <row r="147" ht="15.75" customHeight="1">
      <c r="A147" s="40" t="s">
        <v>598</v>
      </c>
      <c r="B147" s="36" t="s">
        <v>599</v>
      </c>
      <c r="C147" s="36" t="s">
        <v>162</v>
      </c>
      <c r="D147" s="36" t="s">
        <v>581</v>
      </c>
      <c r="E147" s="41">
        <v>0.68</v>
      </c>
      <c r="F147" s="5"/>
      <c r="G147" s="5"/>
      <c r="H147" s="5"/>
      <c r="I147" s="5"/>
      <c r="J147" s="5"/>
      <c r="K147" s="5"/>
      <c r="L147" s="5"/>
      <c r="M147" s="5"/>
      <c r="N147" s="5"/>
      <c r="O147" s="5"/>
      <c r="P147" s="5"/>
      <c r="Q147" s="5"/>
      <c r="R147" s="5"/>
      <c r="S147" s="5"/>
      <c r="T147" s="5"/>
      <c r="U147" s="5"/>
      <c r="V147" s="5"/>
      <c r="W147" s="5"/>
      <c r="X147" s="5"/>
      <c r="Y147" s="5"/>
      <c r="Z147" s="5"/>
    </row>
    <row r="148" ht="15.75" customHeight="1">
      <c r="A148" s="40" t="s">
        <v>598</v>
      </c>
      <c r="B148" s="36" t="s">
        <v>599</v>
      </c>
      <c r="C148" s="36" t="s">
        <v>193</v>
      </c>
      <c r="D148" s="36" t="s">
        <v>582</v>
      </c>
      <c r="E148" s="41">
        <v>0.62</v>
      </c>
      <c r="F148" s="5"/>
      <c r="G148" s="5"/>
      <c r="H148" s="5"/>
      <c r="I148" s="5"/>
      <c r="J148" s="5"/>
      <c r="K148" s="5"/>
      <c r="L148" s="5"/>
      <c r="M148" s="5"/>
      <c r="N148" s="5"/>
      <c r="O148" s="5"/>
      <c r="P148" s="5"/>
      <c r="Q148" s="5"/>
      <c r="R148" s="5"/>
      <c r="S148" s="5"/>
      <c r="T148" s="5"/>
      <c r="U148" s="5"/>
      <c r="V148" s="5"/>
      <c r="W148" s="5"/>
      <c r="X148" s="5"/>
      <c r="Y148" s="5"/>
      <c r="Z148" s="5"/>
    </row>
    <row r="149" ht="15.75" customHeight="1">
      <c r="A149" s="40" t="s">
        <v>600</v>
      </c>
      <c r="B149" s="36" t="s">
        <v>601</v>
      </c>
      <c r="C149" s="36" t="s">
        <v>107</v>
      </c>
      <c r="D149" s="36" t="s">
        <v>560</v>
      </c>
      <c r="E149" s="41">
        <v>0.15</v>
      </c>
      <c r="F149" s="5"/>
      <c r="G149" s="5"/>
      <c r="H149" s="5"/>
      <c r="I149" s="5"/>
      <c r="J149" s="5"/>
      <c r="K149" s="5"/>
      <c r="L149" s="5"/>
      <c r="M149" s="5"/>
      <c r="N149" s="5"/>
      <c r="O149" s="5"/>
      <c r="P149" s="5"/>
      <c r="Q149" s="5"/>
      <c r="R149" s="5"/>
      <c r="S149" s="5"/>
      <c r="T149" s="5"/>
      <c r="U149" s="5"/>
      <c r="V149" s="5"/>
      <c r="W149" s="5"/>
      <c r="X149" s="5"/>
      <c r="Y149" s="5"/>
      <c r="Z149" s="5"/>
    </row>
    <row r="150" ht="15.75" customHeight="1">
      <c r="A150" s="40" t="s">
        <v>600</v>
      </c>
      <c r="B150" s="36" t="s">
        <v>601</v>
      </c>
      <c r="C150" s="36" t="s">
        <v>117</v>
      </c>
      <c r="D150" s="36" t="s">
        <v>562</v>
      </c>
      <c r="E150" s="41">
        <v>0.6</v>
      </c>
      <c r="F150" s="5"/>
      <c r="G150" s="5"/>
      <c r="H150" s="5"/>
      <c r="I150" s="5"/>
      <c r="J150" s="5"/>
      <c r="K150" s="5"/>
      <c r="L150" s="5"/>
      <c r="M150" s="5"/>
      <c r="N150" s="5"/>
      <c r="O150" s="5"/>
      <c r="P150" s="5"/>
      <c r="Q150" s="5"/>
      <c r="R150" s="5"/>
      <c r="S150" s="5"/>
      <c r="T150" s="5"/>
      <c r="U150" s="5"/>
      <c r="V150" s="5"/>
      <c r="W150" s="5"/>
      <c r="X150" s="5"/>
      <c r="Y150" s="5"/>
      <c r="Z150" s="5"/>
    </row>
    <row r="151" ht="15.75" customHeight="1">
      <c r="A151" s="40" t="s">
        <v>600</v>
      </c>
      <c r="B151" s="36" t="s">
        <v>601</v>
      </c>
      <c r="C151" s="36" t="s">
        <v>120</v>
      </c>
      <c r="D151" s="36" t="s">
        <v>563</v>
      </c>
      <c r="E151" s="41">
        <v>0.65</v>
      </c>
      <c r="F151" s="5"/>
      <c r="G151" s="5"/>
      <c r="H151" s="5"/>
      <c r="I151" s="5"/>
      <c r="J151" s="5"/>
      <c r="K151" s="5"/>
      <c r="L151" s="5"/>
      <c r="M151" s="5"/>
      <c r="N151" s="5"/>
      <c r="O151" s="5"/>
      <c r="P151" s="5"/>
      <c r="Q151" s="5"/>
      <c r="R151" s="5"/>
      <c r="S151" s="5"/>
      <c r="T151" s="5"/>
      <c r="U151" s="5"/>
      <c r="V151" s="5"/>
      <c r="W151" s="5"/>
      <c r="X151" s="5"/>
      <c r="Y151" s="5"/>
      <c r="Z151" s="5"/>
    </row>
    <row r="152" ht="15.75" customHeight="1">
      <c r="A152" s="40" t="s">
        <v>600</v>
      </c>
      <c r="B152" s="36" t="s">
        <v>601</v>
      </c>
      <c r="C152" s="36" t="s">
        <v>129</v>
      </c>
      <c r="D152" s="36" t="s">
        <v>564</v>
      </c>
      <c r="E152" s="41">
        <v>0.55</v>
      </c>
      <c r="F152" s="5"/>
      <c r="G152" s="5"/>
      <c r="H152" s="5"/>
      <c r="I152" s="5"/>
      <c r="J152" s="5"/>
      <c r="K152" s="5"/>
      <c r="L152" s="5"/>
      <c r="M152" s="5"/>
      <c r="N152" s="5"/>
      <c r="O152" s="5"/>
      <c r="P152" s="5"/>
      <c r="Q152" s="5"/>
      <c r="R152" s="5"/>
      <c r="S152" s="5"/>
      <c r="T152" s="5"/>
      <c r="U152" s="5"/>
      <c r="V152" s="5"/>
      <c r="W152" s="5"/>
      <c r="X152" s="5"/>
      <c r="Y152" s="5"/>
      <c r="Z152" s="5"/>
    </row>
    <row r="153" ht="15.75" customHeight="1">
      <c r="A153" s="40" t="s">
        <v>600</v>
      </c>
      <c r="B153" s="36" t="s">
        <v>601</v>
      </c>
      <c r="C153" s="36" t="s">
        <v>136</v>
      </c>
      <c r="D153" s="36" t="s">
        <v>565</v>
      </c>
      <c r="E153" s="41">
        <v>0.15</v>
      </c>
      <c r="F153" s="5"/>
      <c r="G153" s="5"/>
      <c r="H153" s="5"/>
      <c r="I153" s="5"/>
      <c r="J153" s="5"/>
      <c r="K153" s="5"/>
      <c r="L153" s="5"/>
      <c r="M153" s="5"/>
      <c r="N153" s="5"/>
      <c r="O153" s="5"/>
      <c r="P153" s="5"/>
      <c r="Q153" s="5"/>
      <c r="R153" s="5"/>
      <c r="S153" s="5"/>
      <c r="T153" s="5"/>
      <c r="U153" s="5"/>
      <c r="V153" s="5"/>
      <c r="W153" s="5"/>
      <c r="X153" s="5"/>
      <c r="Y153" s="5"/>
      <c r="Z153" s="5"/>
    </row>
    <row r="154" ht="15.75" customHeight="1">
      <c r="A154" s="40" t="s">
        <v>600</v>
      </c>
      <c r="B154" s="36" t="s">
        <v>601</v>
      </c>
      <c r="C154" s="36" t="s">
        <v>139</v>
      </c>
      <c r="D154" s="36" t="s">
        <v>566</v>
      </c>
      <c r="E154" s="41">
        <v>0.15</v>
      </c>
      <c r="F154" s="5"/>
      <c r="G154" s="5"/>
      <c r="H154" s="5"/>
      <c r="I154" s="5"/>
      <c r="J154" s="5"/>
      <c r="K154" s="5"/>
      <c r="L154" s="5"/>
      <c r="M154" s="5"/>
      <c r="N154" s="5"/>
      <c r="O154" s="5"/>
      <c r="P154" s="5"/>
      <c r="Q154" s="5"/>
      <c r="R154" s="5"/>
      <c r="S154" s="5"/>
      <c r="T154" s="5"/>
      <c r="U154" s="5"/>
      <c r="V154" s="5"/>
      <c r="W154" s="5"/>
      <c r="X154" s="5"/>
      <c r="Y154" s="5"/>
      <c r="Z154" s="5"/>
    </row>
    <row r="155" ht="15.75" customHeight="1">
      <c r="A155" s="40" t="s">
        <v>600</v>
      </c>
      <c r="B155" s="36" t="s">
        <v>601</v>
      </c>
      <c r="C155" s="36" t="s">
        <v>149</v>
      </c>
      <c r="D155" s="36" t="s">
        <v>567</v>
      </c>
      <c r="E155" s="41">
        <v>0.1</v>
      </c>
      <c r="F155" s="5"/>
      <c r="G155" s="5"/>
      <c r="H155" s="5"/>
      <c r="I155" s="5"/>
      <c r="J155" s="5"/>
      <c r="K155" s="5"/>
      <c r="L155" s="5"/>
      <c r="M155" s="5"/>
      <c r="N155" s="5"/>
      <c r="O155" s="5"/>
      <c r="P155" s="5"/>
      <c r="Q155" s="5"/>
      <c r="R155" s="5"/>
      <c r="S155" s="5"/>
      <c r="T155" s="5"/>
      <c r="U155" s="5"/>
      <c r="V155" s="5"/>
      <c r="W155" s="5"/>
      <c r="X155" s="5"/>
      <c r="Y155" s="5"/>
      <c r="Z155" s="5"/>
    </row>
    <row r="156" ht="15.75" customHeight="1">
      <c r="A156" s="40" t="s">
        <v>600</v>
      </c>
      <c r="B156" s="36" t="s">
        <v>601</v>
      </c>
      <c r="C156" s="36" t="s">
        <v>146</v>
      </c>
      <c r="D156" s="36" t="s">
        <v>568</v>
      </c>
      <c r="E156" s="41">
        <v>0.2</v>
      </c>
      <c r="F156" s="5"/>
      <c r="G156" s="5"/>
      <c r="H156" s="5"/>
      <c r="I156" s="5"/>
      <c r="J156" s="5"/>
      <c r="K156" s="5"/>
      <c r="L156" s="5"/>
      <c r="M156" s="5"/>
      <c r="N156" s="5"/>
      <c r="O156" s="5"/>
      <c r="P156" s="5"/>
      <c r="Q156" s="5"/>
      <c r="R156" s="5"/>
      <c r="S156" s="5"/>
      <c r="T156" s="5"/>
      <c r="U156" s="5"/>
      <c r="V156" s="5"/>
      <c r="W156" s="5"/>
      <c r="X156" s="5"/>
      <c r="Y156" s="5"/>
      <c r="Z156" s="5"/>
    </row>
    <row r="157" ht="15.75" customHeight="1">
      <c r="A157" s="40" t="s">
        <v>600</v>
      </c>
      <c r="B157" s="36" t="s">
        <v>601</v>
      </c>
      <c r="C157" s="36" t="s">
        <v>143</v>
      </c>
      <c r="D157" s="36" t="s">
        <v>569</v>
      </c>
      <c r="E157" s="41">
        <v>0.05</v>
      </c>
      <c r="F157" s="5"/>
      <c r="G157" s="5"/>
      <c r="H157" s="5"/>
      <c r="I157" s="5"/>
      <c r="J157" s="5"/>
      <c r="K157" s="5"/>
      <c r="L157" s="5"/>
      <c r="M157" s="5"/>
      <c r="N157" s="5"/>
      <c r="O157" s="5"/>
      <c r="P157" s="5"/>
      <c r="Q157" s="5"/>
      <c r="R157" s="5"/>
      <c r="S157" s="5"/>
      <c r="T157" s="5"/>
      <c r="U157" s="5"/>
      <c r="V157" s="5"/>
      <c r="W157" s="5"/>
      <c r="X157" s="5"/>
      <c r="Y157" s="5"/>
      <c r="Z157" s="5"/>
    </row>
    <row r="158" ht="15.75" customHeight="1">
      <c r="A158" s="40" t="s">
        <v>600</v>
      </c>
      <c r="B158" s="36" t="s">
        <v>601</v>
      </c>
      <c r="C158" s="36" t="s">
        <v>185</v>
      </c>
      <c r="D158" s="36" t="s">
        <v>571</v>
      </c>
      <c r="E158" s="41">
        <v>0.2</v>
      </c>
      <c r="F158" s="5"/>
      <c r="G158" s="5"/>
      <c r="H158" s="5"/>
      <c r="I158" s="5"/>
      <c r="J158" s="5"/>
      <c r="K158" s="5"/>
      <c r="L158" s="5"/>
      <c r="M158" s="5"/>
      <c r="N158" s="5"/>
      <c r="O158" s="5"/>
      <c r="P158" s="5"/>
      <c r="Q158" s="5"/>
      <c r="R158" s="5"/>
      <c r="S158" s="5"/>
      <c r="T158" s="5"/>
      <c r="U158" s="5"/>
      <c r="V158" s="5"/>
      <c r="W158" s="5"/>
      <c r="X158" s="5"/>
      <c r="Y158" s="5"/>
      <c r="Z158" s="5"/>
    </row>
    <row r="159" ht="15.75" customHeight="1">
      <c r="A159" s="40" t="s">
        <v>600</v>
      </c>
      <c r="B159" s="36" t="s">
        <v>601</v>
      </c>
      <c r="C159" s="36" t="s">
        <v>179</v>
      </c>
      <c r="D159" s="36" t="s">
        <v>572</v>
      </c>
      <c r="E159" s="41">
        <v>0.25</v>
      </c>
      <c r="F159" s="5"/>
      <c r="G159" s="5"/>
      <c r="H159" s="5"/>
      <c r="I159" s="5"/>
      <c r="J159" s="5"/>
      <c r="K159" s="5"/>
      <c r="L159" s="5"/>
      <c r="M159" s="5"/>
      <c r="N159" s="5"/>
      <c r="O159" s="5"/>
      <c r="P159" s="5"/>
      <c r="Q159" s="5"/>
      <c r="R159" s="5"/>
      <c r="S159" s="5"/>
      <c r="T159" s="5"/>
      <c r="U159" s="5"/>
      <c r="V159" s="5"/>
      <c r="W159" s="5"/>
      <c r="X159" s="5"/>
      <c r="Y159" s="5"/>
      <c r="Z159" s="5"/>
    </row>
    <row r="160" ht="15.75" customHeight="1">
      <c r="A160" s="40" t="s">
        <v>600</v>
      </c>
      <c r="B160" s="36" t="s">
        <v>601</v>
      </c>
      <c r="C160" s="36" t="s">
        <v>182</v>
      </c>
      <c r="D160" s="36" t="s">
        <v>573</v>
      </c>
      <c r="E160" s="41">
        <v>0.4</v>
      </c>
      <c r="F160" s="5"/>
      <c r="G160" s="5"/>
      <c r="H160" s="5"/>
      <c r="I160" s="5"/>
      <c r="J160" s="5"/>
      <c r="K160" s="5"/>
      <c r="L160" s="5"/>
      <c r="M160" s="5"/>
      <c r="N160" s="5"/>
      <c r="O160" s="5"/>
      <c r="P160" s="5"/>
      <c r="Q160" s="5"/>
      <c r="R160" s="5"/>
      <c r="S160" s="5"/>
      <c r="T160" s="5"/>
      <c r="U160" s="5"/>
      <c r="V160" s="5"/>
      <c r="W160" s="5"/>
      <c r="X160" s="5"/>
      <c r="Y160" s="5"/>
      <c r="Z160" s="5"/>
    </row>
    <row r="161" ht="15.75" customHeight="1">
      <c r="A161" s="40" t="s">
        <v>600</v>
      </c>
      <c r="B161" s="36" t="s">
        <v>601</v>
      </c>
      <c r="C161" s="36" t="s">
        <v>190</v>
      </c>
      <c r="D161" s="36" t="s">
        <v>574</v>
      </c>
      <c r="E161" s="41">
        <v>0.35</v>
      </c>
      <c r="F161" s="5"/>
      <c r="G161" s="5"/>
      <c r="H161" s="5"/>
      <c r="I161" s="5"/>
      <c r="J161" s="5"/>
      <c r="K161" s="5"/>
      <c r="L161" s="5"/>
      <c r="M161" s="5"/>
      <c r="N161" s="5"/>
      <c r="O161" s="5"/>
      <c r="P161" s="5"/>
      <c r="Q161" s="5"/>
      <c r="R161" s="5"/>
      <c r="S161" s="5"/>
      <c r="T161" s="5"/>
      <c r="U161" s="5"/>
      <c r="V161" s="5"/>
      <c r="W161" s="5"/>
      <c r="X161" s="5"/>
      <c r="Y161" s="5"/>
      <c r="Z161" s="5"/>
    </row>
    <row r="162" ht="15.75" customHeight="1">
      <c r="A162" s="40" t="s">
        <v>600</v>
      </c>
      <c r="B162" s="36" t="s">
        <v>601</v>
      </c>
      <c r="C162" s="36" t="s">
        <v>196</v>
      </c>
      <c r="D162" s="36" t="s">
        <v>575</v>
      </c>
      <c r="E162" s="41">
        <v>0.25</v>
      </c>
      <c r="F162" s="5"/>
      <c r="G162" s="5"/>
      <c r="H162" s="5"/>
      <c r="I162" s="5"/>
      <c r="J162" s="5"/>
      <c r="K162" s="5"/>
      <c r="L162" s="5"/>
      <c r="M162" s="5"/>
      <c r="N162" s="5"/>
      <c r="O162" s="5"/>
      <c r="P162" s="5"/>
      <c r="Q162" s="5"/>
      <c r="R162" s="5"/>
      <c r="S162" s="5"/>
      <c r="T162" s="5"/>
      <c r="U162" s="5"/>
      <c r="V162" s="5"/>
      <c r="W162" s="5"/>
      <c r="X162" s="5"/>
      <c r="Y162" s="5"/>
      <c r="Z162" s="5"/>
    </row>
    <row r="163" ht="15.75" customHeight="1">
      <c r="A163" s="40" t="s">
        <v>600</v>
      </c>
      <c r="B163" s="36" t="s">
        <v>601</v>
      </c>
      <c r="C163" s="36" t="s">
        <v>157</v>
      </c>
      <c r="D163" s="36" t="s">
        <v>576</v>
      </c>
      <c r="E163" s="41">
        <v>0.4</v>
      </c>
      <c r="F163" s="5"/>
      <c r="G163" s="5"/>
      <c r="H163" s="5"/>
      <c r="I163" s="5"/>
      <c r="J163" s="5"/>
      <c r="K163" s="5"/>
      <c r="L163" s="5"/>
      <c r="M163" s="5"/>
      <c r="N163" s="5"/>
      <c r="O163" s="5"/>
      <c r="P163" s="5"/>
      <c r="Q163" s="5"/>
      <c r="R163" s="5"/>
      <c r="S163" s="5"/>
      <c r="T163" s="5"/>
      <c r="U163" s="5"/>
      <c r="V163" s="5"/>
      <c r="W163" s="5"/>
      <c r="X163" s="5"/>
      <c r="Y163" s="5"/>
      <c r="Z163" s="5"/>
    </row>
    <row r="164" ht="15.75" customHeight="1">
      <c r="A164" s="40" t="s">
        <v>600</v>
      </c>
      <c r="B164" s="36" t="s">
        <v>601</v>
      </c>
      <c r="C164" s="36" t="s">
        <v>165</v>
      </c>
      <c r="D164" s="36" t="s">
        <v>577</v>
      </c>
      <c r="E164" s="41">
        <v>0.25</v>
      </c>
      <c r="F164" s="5"/>
      <c r="G164" s="5"/>
      <c r="H164" s="5"/>
      <c r="I164" s="5"/>
      <c r="J164" s="5"/>
      <c r="K164" s="5"/>
      <c r="L164" s="5"/>
      <c r="M164" s="5"/>
      <c r="N164" s="5"/>
      <c r="O164" s="5"/>
      <c r="P164" s="5"/>
      <c r="Q164" s="5"/>
      <c r="R164" s="5"/>
      <c r="S164" s="5"/>
      <c r="T164" s="5"/>
      <c r="U164" s="5"/>
      <c r="V164" s="5"/>
      <c r="W164" s="5"/>
      <c r="X164" s="5"/>
      <c r="Y164" s="5"/>
      <c r="Z164" s="5"/>
    </row>
    <row r="165" ht="15.75" customHeight="1">
      <c r="A165" s="40" t="s">
        <v>600</v>
      </c>
      <c r="B165" s="36" t="s">
        <v>601</v>
      </c>
      <c r="C165" s="36" t="s">
        <v>168</v>
      </c>
      <c r="D165" s="36" t="s">
        <v>578</v>
      </c>
      <c r="E165" s="41">
        <v>0.55</v>
      </c>
      <c r="F165" s="5"/>
      <c r="G165" s="5"/>
      <c r="H165" s="5"/>
      <c r="I165" s="5"/>
      <c r="J165" s="5"/>
      <c r="K165" s="5"/>
      <c r="L165" s="5"/>
      <c r="M165" s="5"/>
      <c r="N165" s="5"/>
      <c r="O165" s="5"/>
      <c r="P165" s="5"/>
      <c r="Q165" s="5"/>
      <c r="R165" s="5"/>
      <c r="S165" s="5"/>
      <c r="T165" s="5"/>
      <c r="U165" s="5"/>
      <c r="V165" s="5"/>
      <c r="W165" s="5"/>
      <c r="X165" s="5"/>
      <c r="Y165" s="5"/>
      <c r="Z165" s="5"/>
    </row>
    <row r="166" ht="15.75" customHeight="1">
      <c r="A166" s="40" t="s">
        <v>600</v>
      </c>
      <c r="B166" s="36" t="s">
        <v>601</v>
      </c>
      <c r="C166" s="36" t="s">
        <v>171</v>
      </c>
      <c r="D166" s="36" t="s">
        <v>579</v>
      </c>
      <c r="E166" s="41">
        <v>0.65</v>
      </c>
      <c r="F166" s="5"/>
      <c r="G166" s="5"/>
      <c r="H166" s="5"/>
      <c r="I166" s="5"/>
      <c r="J166" s="5"/>
      <c r="K166" s="5"/>
      <c r="L166" s="5"/>
      <c r="M166" s="5"/>
      <c r="N166" s="5"/>
      <c r="O166" s="5"/>
      <c r="P166" s="5"/>
      <c r="Q166" s="5"/>
      <c r="R166" s="5"/>
      <c r="S166" s="5"/>
      <c r="T166" s="5"/>
      <c r="U166" s="5"/>
      <c r="V166" s="5"/>
      <c r="W166" s="5"/>
      <c r="X166" s="5"/>
      <c r="Y166" s="5"/>
      <c r="Z166" s="5"/>
    </row>
    <row r="167" ht="15.75" customHeight="1">
      <c r="A167" s="40" t="s">
        <v>600</v>
      </c>
      <c r="B167" s="36" t="s">
        <v>601</v>
      </c>
      <c r="C167" s="36" t="s">
        <v>174</v>
      </c>
      <c r="D167" s="36" t="s">
        <v>580</v>
      </c>
      <c r="E167" s="41">
        <v>0.05</v>
      </c>
      <c r="F167" s="5"/>
      <c r="G167" s="5"/>
      <c r="H167" s="5"/>
      <c r="I167" s="5"/>
      <c r="J167" s="5"/>
      <c r="K167" s="5"/>
      <c r="L167" s="5"/>
      <c r="M167" s="5"/>
      <c r="N167" s="5"/>
      <c r="O167" s="5"/>
      <c r="P167" s="5"/>
      <c r="Q167" s="5"/>
      <c r="R167" s="5"/>
      <c r="S167" s="5"/>
      <c r="T167" s="5"/>
      <c r="U167" s="5"/>
      <c r="V167" s="5"/>
      <c r="W167" s="5"/>
      <c r="X167" s="5"/>
      <c r="Y167" s="5"/>
      <c r="Z167" s="5"/>
    </row>
    <row r="168" ht="15.75" customHeight="1">
      <c r="A168" s="40" t="s">
        <v>600</v>
      </c>
      <c r="B168" s="36" t="s">
        <v>601</v>
      </c>
      <c r="C168" s="36" t="s">
        <v>162</v>
      </c>
      <c r="D168" s="36" t="s">
        <v>581</v>
      </c>
      <c r="E168" s="41">
        <v>0.25</v>
      </c>
      <c r="F168" s="5"/>
      <c r="G168" s="5"/>
      <c r="H168" s="5"/>
      <c r="I168" s="5"/>
      <c r="J168" s="5"/>
      <c r="K168" s="5"/>
      <c r="L168" s="5"/>
      <c r="M168" s="5"/>
      <c r="N168" s="5"/>
      <c r="O168" s="5"/>
      <c r="P168" s="5"/>
      <c r="Q168" s="5"/>
      <c r="R168" s="5"/>
      <c r="S168" s="5"/>
      <c r="T168" s="5"/>
      <c r="U168" s="5"/>
      <c r="V168" s="5"/>
      <c r="W168" s="5"/>
      <c r="X168" s="5"/>
      <c r="Y168" s="5"/>
      <c r="Z168" s="5"/>
    </row>
    <row r="169" ht="15.75" customHeight="1">
      <c r="A169" s="40" t="s">
        <v>600</v>
      </c>
      <c r="B169" s="36" t="s">
        <v>601</v>
      </c>
      <c r="C169" s="36" t="s">
        <v>193</v>
      </c>
      <c r="D169" s="36" t="s">
        <v>582</v>
      </c>
      <c r="E169" s="41">
        <v>0.4</v>
      </c>
      <c r="F169" s="5"/>
      <c r="G169" s="5"/>
      <c r="H169" s="5"/>
      <c r="I169" s="5"/>
      <c r="J169" s="5"/>
      <c r="K169" s="5"/>
      <c r="L169" s="5"/>
      <c r="M169" s="5"/>
      <c r="N169" s="5"/>
      <c r="O169" s="5"/>
      <c r="P169" s="5"/>
      <c r="Q169" s="5"/>
      <c r="R169" s="5"/>
      <c r="S169" s="5"/>
      <c r="T169" s="5"/>
      <c r="U169" s="5"/>
      <c r="V169" s="5"/>
      <c r="W169" s="5"/>
      <c r="X169" s="5"/>
      <c r="Y169" s="5"/>
      <c r="Z169" s="5"/>
    </row>
    <row r="170" ht="15.75" customHeight="1">
      <c r="A170" s="40" t="s">
        <v>602</v>
      </c>
      <c r="B170" s="36" t="s">
        <v>603</v>
      </c>
      <c r="C170" s="36" t="s">
        <v>107</v>
      </c>
      <c r="D170" s="36" t="s">
        <v>560</v>
      </c>
      <c r="E170" s="41">
        <v>0.4</v>
      </c>
      <c r="F170" s="5"/>
      <c r="G170" s="5"/>
      <c r="H170" s="5"/>
      <c r="I170" s="5"/>
      <c r="J170" s="5"/>
      <c r="K170" s="5"/>
      <c r="L170" s="5"/>
      <c r="M170" s="5"/>
      <c r="N170" s="5"/>
      <c r="O170" s="5"/>
      <c r="P170" s="5"/>
      <c r="Q170" s="5"/>
      <c r="R170" s="5"/>
      <c r="S170" s="5"/>
      <c r="T170" s="5"/>
      <c r="U170" s="5"/>
      <c r="V170" s="5"/>
      <c r="W170" s="5"/>
      <c r="X170" s="5"/>
      <c r="Y170" s="5"/>
      <c r="Z170" s="5"/>
    </row>
    <row r="171" ht="15.75" customHeight="1">
      <c r="A171" s="40" t="s">
        <v>602</v>
      </c>
      <c r="B171" s="36" t="s">
        <v>603</v>
      </c>
      <c r="C171" s="36" t="s">
        <v>117</v>
      </c>
      <c r="D171" s="36" t="s">
        <v>562</v>
      </c>
      <c r="E171" s="41">
        <v>0.5</v>
      </c>
      <c r="F171" s="5"/>
      <c r="G171" s="5"/>
      <c r="H171" s="5"/>
      <c r="I171" s="5"/>
      <c r="J171" s="5"/>
      <c r="K171" s="5"/>
      <c r="L171" s="5"/>
      <c r="M171" s="5"/>
      <c r="N171" s="5"/>
      <c r="O171" s="5"/>
      <c r="P171" s="5"/>
      <c r="Q171" s="5"/>
      <c r="R171" s="5"/>
      <c r="S171" s="5"/>
      <c r="T171" s="5"/>
      <c r="U171" s="5"/>
      <c r="V171" s="5"/>
      <c r="W171" s="5"/>
      <c r="X171" s="5"/>
      <c r="Y171" s="5"/>
      <c r="Z171" s="5"/>
    </row>
    <row r="172" ht="15.75" customHeight="1">
      <c r="A172" s="40" t="s">
        <v>602</v>
      </c>
      <c r="B172" s="36" t="s">
        <v>603</v>
      </c>
      <c r="C172" s="36" t="s">
        <v>120</v>
      </c>
      <c r="D172" s="36" t="s">
        <v>563</v>
      </c>
      <c r="E172" s="41">
        <v>0.5</v>
      </c>
      <c r="F172" s="5"/>
      <c r="G172" s="5"/>
      <c r="H172" s="5"/>
      <c r="I172" s="5"/>
      <c r="J172" s="5"/>
      <c r="K172" s="5"/>
      <c r="L172" s="5"/>
      <c r="M172" s="5"/>
      <c r="N172" s="5"/>
      <c r="O172" s="5"/>
      <c r="P172" s="5"/>
      <c r="Q172" s="5"/>
      <c r="R172" s="5"/>
      <c r="S172" s="5"/>
      <c r="T172" s="5"/>
      <c r="U172" s="5"/>
      <c r="V172" s="5"/>
      <c r="W172" s="5"/>
      <c r="X172" s="5"/>
      <c r="Y172" s="5"/>
      <c r="Z172" s="5"/>
    </row>
    <row r="173" ht="15.75" customHeight="1">
      <c r="A173" s="40" t="s">
        <v>602</v>
      </c>
      <c r="B173" s="36" t="s">
        <v>603</v>
      </c>
      <c r="C173" s="36" t="s">
        <v>129</v>
      </c>
      <c r="D173" s="36" t="s">
        <v>564</v>
      </c>
      <c r="E173" s="41">
        <v>0.45</v>
      </c>
      <c r="F173" s="5"/>
      <c r="G173" s="5"/>
      <c r="H173" s="5"/>
      <c r="I173" s="5"/>
      <c r="J173" s="5"/>
      <c r="K173" s="5"/>
      <c r="L173" s="5"/>
      <c r="M173" s="5"/>
      <c r="N173" s="5"/>
      <c r="O173" s="5"/>
      <c r="P173" s="5"/>
      <c r="Q173" s="5"/>
      <c r="R173" s="5"/>
      <c r="S173" s="5"/>
      <c r="T173" s="5"/>
      <c r="U173" s="5"/>
      <c r="V173" s="5"/>
      <c r="W173" s="5"/>
      <c r="X173" s="5"/>
      <c r="Y173" s="5"/>
      <c r="Z173" s="5"/>
    </row>
    <row r="174" ht="15.75" customHeight="1">
      <c r="A174" s="40" t="s">
        <v>602</v>
      </c>
      <c r="B174" s="36" t="s">
        <v>603</v>
      </c>
      <c r="C174" s="36" t="s">
        <v>136</v>
      </c>
      <c r="D174" s="36" t="s">
        <v>565</v>
      </c>
      <c r="E174" s="41">
        <v>0.3</v>
      </c>
      <c r="F174" s="5"/>
      <c r="G174" s="5"/>
      <c r="H174" s="5"/>
      <c r="I174" s="5"/>
      <c r="J174" s="5"/>
      <c r="K174" s="5"/>
      <c r="L174" s="5"/>
      <c r="M174" s="5"/>
      <c r="N174" s="5"/>
      <c r="O174" s="5"/>
      <c r="P174" s="5"/>
      <c r="Q174" s="5"/>
      <c r="R174" s="5"/>
      <c r="S174" s="5"/>
      <c r="T174" s="5"/>
      <c r="U174" s="5"/>
      <c r="V174" s="5"/>
      <c r="W174" s="5"/>
      <c r="X174" s="5"/>
      <c r="Y174" s="5"/>
      <c r="Z174" s="5"/>
    </row>
    <row r="175" ht="15.75" customHeight="1">
      <c r="A175" s="40" t="s">
        <v>602</v>
      </c>
      <c r="B175" s="36" t="s">
        <v>603</v>
      </c>
      <c r="C175" s="36" t="s">
        <v>139</v>
      </c>
      <c r="D175" s="36" t="s">
        <v>566</v>
      </c>
      <c r="E175" s="41">
        <v>0.25</v>
      </c>
      <c r="F175" s="5"/>
      <c r="G175" s="5"/>
      <c r="H175" s="5"/>
      <c r="I175" s="5"/>
      <c r="J175" s="5"/>
      <c r="K175" s="5"/>
      <c r="L175" s="5"/>
      <c r="M175" s="5"/>
      <c r="N175" s="5"/>
      <c r="O175" s="5"/>
      <c r="P175" s="5"/>
      <c r="Q175" s="5"/>
      <c r="R175" s="5"/>
      <c r="S175" s="5"/>
      <c r="T175" s="5"/>
      <c r="U175" s="5"/>
      <c r="V175" s="5"/>
      <c r="W175" s="5"/>
      <c r="X175" s="5"/>
      <c r="Y175" s="5"/>
      <c r="Z175" s="5"/>
    </row>
    <row r="176" ht="15.75" customHeight="1">
      <c r="A176" s="40" t="s">
        <v>602</v>
      </c>
      <c r="B176" s="36" t="s">
        <v>603</v>
      </c>
      <c r="C176" s="36" t="s">
        <v>149</v>
      </c>
      <c r="D176" s="36" t="s">
        <v>567</v>
      </c>
      <c r="E176" s="41">
        <v>0.3</v>
      </c>
      <c r="F176" s="5"/>
      <c r="G176" s="5"/>
      <c r="H176" s="5"/>
      <c r="I176" s="5"/>
      <c r="J176" s="5"/>
      <c r="K176" s="5"/>
      <c r="L176" s="5"/>
      <c r="M176" s="5"/>
      <c r="N176" s="5"/>
      <c r="O176" s="5"/>
      <c r="P176" s="5"/>
      <c r="Q176" s="5"/>
      <c r="R176" s="5"/>
      <c r="S176" s="5"/>
      <c r="T176" s="5"/>
      <c r="U176" s="5"/>
      <c r="V176" s="5"/>
      <c r="W176" s="5"/>
      <c r="X176" s="5"/>
      <c r="Y176" s="5"/>
      <c r="Z176" s="5"/>
    </row>
    <row r="177" ht="15.75" customHeight="1">
      <c r="A177" s="40" t="s">
        <v>602</v>
      </c>
      <c r="B177" s="36" t="s">
        <v>603</v>
      </c>
      <c r="C177" s="36" t="s">
        <v>146</v>
      </c>
      <c r="D177" s="36" t="s">
        <v>568</v>
      </c>
      <c r="E177" s="41">
        <v>0.2</v>
      </c>
      <c r="F177" s="5"/>
      <c r="G177" s="5"/>
      <c r="H177" s="5"/>
      <c r="I177" s="5"/>
      <c r="J177" s="5"/>
      <c r="K177" s="5"/>
      <c r="L177" s="5"/>
      <c r="M177" s="5"/>
      <c r="N177" s="5"/>
      <c r="O177" s="5"/>
      <c r="P177" s="5"/>
      <c r="Q177" s="5"/>
      <c r="R177" s="5"/>
      <c r="S177" s="5"/>
      <c r="T177" s="5"/>
      <c r="U177" s="5"/>
      <c r="V177" s="5"/>
      <c r="W177" s="5"/>
      <c r="X177" s="5"/>
      <c r="Y177" s="5"/>
      <c r="Z177" s="5"/>
    </row>
    <row r="178" ht="15.75" customHeight="1">
      <c r="A178" s="40" t="s">
        <v>602</v>
      </c>
      <c r="B178" s="36" t="s">
        <v>603</v>
      </c>
      <c r="C178" s="36" t="s">
        <v>143</v>
      </c>
      <c r="D178" s="36" t="s">
        <v>569</v>
      </c>
      <c r="E178" s="41">
        <v>0.25</v>
      </c>
      <c r="F178" s="5"/>
      <c r="G178" s="5"/>
      <c r="H178" s="5"/>
      <c r="I178" s="5"/>
      <c r="J178" s="5"/>
      <c r="K178" s="5"/>
      <c r="L178" s="5"/>
      <c r="M178" s="5"/>
      <c r="N178" s="5"/>
      <c r="O178" s="5"/>
      <c r="P178" s="5"/>
      <c r="Q178" s="5"/>
      <c r="R178" s="5"/>
      <c r="S178" s="5"/>
      <c r="T178" s="5"/>
      <c r="U178" s="5"/>
      <c r="V178" s="5"/>
      <c r="W178" s="5"/>
      <c r="X178" s="5"/>
      <c r="Y178" s="5"/>
      <c r="Z178" s="5"/>
    </row>
    <row r="179" ht="15.75" customHeight="1">
      <c r="A179" s="40" t="s">
        <v>602</v>
      </c>
      <c r="B179" s="36" t="s">
        <v>603</v>
      </c>
      <c r="C179" s="36" t="s">
        <v>185</v>
      </c>
      <c r="D179" s="36" t="s">
        <v>571</v>
      </c>
      <c r="E179" s="41">
        <v>0.2</v>
      </c>
      <c r="F179" s="5"/>
      <c r="G179" s="5"/>
      <c r="H179" s="5"/>
      <c r="I179" s="5"/>
      <c r="J179" s="5"/>
      <c r="K179" s="5"/>
      <c r="L179" s="5"/>
      <c r="M179" s="5"/>
      <c r="N179" s="5"/>
      <c r="O179" s="5"/>
      <c r="P179" s="5"/>
      <c r="Q179" s="5"/>
      <c r="R179" s="5"/>
      <c r="S179" s="5"/>
      <c r="T179" s="5"/>
      <c r="U179" s="5"/>
      <c r="V179" s="5"/>
      <c r="W179" s="5"/>
      <c r="X179" s="5"/>
      <c r="Y179" s="5"/>
      <c r="Z179" s="5"/>
    </row>
    <row r="180" ht="15.75" customHeight="1">
      <c r="A180" s="40" t="s">
        <v>602</v>
      </c>
      <c r="B180" s="36" t="s">
        <v>603</v>
      </c>
      <c r="C180" s="36" t="s">
        <v>179</v>
      </c>
      <c r="D180" s="36" t="s">
        <v>572</v>
      </c>
      <c r="E180" s="41">
        <v>0.3</v>
      </c>
      <c r="F180" s="5"/>
      <c r="G180" s="5"/>
      <c r="H180" s="5"/>
      <c r="I180" s="5"/>
      <c r="J180" s="5"/>
      <c r="K180" s="5"/>
      <c r="L180" s="5"/>
      <c r="M180" s="5"/>
      <c r="N180" s="5"/>
      <c r="O180" s="5"/>
      <c r="P180" s="5"/>
      <c r="Q180" s="5"/>
      <c r="R180" s="5"/>
      <c r="S180" s="5"/>
      <c r="T180" s="5"/>
      <c r="U180" s="5"/>
      <c r="V180" s="5"/>
      <c r="W180" s="5"/>
      <c r="X180" s="5"/>
      <c r="Y180" s="5"/>
      <c r="Z180" s="5"/>
    </row>
    <row r="181" ht="15.75" customHeight="1">
      <c r="A181" s="40" t="s">
        <v>602</v>
      </c>
      <c r="B181" s="36" t="s">
        <v>603</v>
      </c>
      <c r="C181" s="36" t="s">
        <v>182</v>
      </c>
      <c r="D181" s="36" t="s">
        <v>573</v>
      </c>
      <c r="E181" s="41">
        <v>0.45</v>
      </c>
      <c r="F181" s="5"/>
      <c r="G181" s="5"/>
      <c r="H181" s="5"/>
      <c r="I181" s="5"/>
      <c r="J181" s="5"/>
      <c r="K181" s="5"/>
      <c r="L181" s="5"/>
      <c r="M181" s="5"/>
      <c r="N181" s="5"/>
      <c r="O181" s="5"/>
      <c r="P181" s="5"/>
      <c r="Q181" s="5"/>
      <c r="R181" s="5"/>
      <c r="S181" s="5"/>
      <c r="T181" s="5"/>
      <c r="U181" s="5"/>
      <c r="V181" s="5"/>
      <c r="W181" s="5"/>
      <c r="X181" s="5"/>
      <c r="Y181" s="5"/>
      <c r="Z181" s="5"/>
    </row>
    <row r="182" ht="15.75" customHeight="1">
      <c r="A182" s="40" t="s">
        <v>602</v>
      </c>
      <c r="B182" s="36" t="s">
        <v>603</v>
      </c>
      <c r="C182" s="36" t="s">
        <v>190</v>
      </c>
      <c r="D182" s="36" t="s">
        <v>574</v>
      </c>
      <c r="E182" s="41">
        <v>0.25</v>
      </c>
      <c r="F182" s="5"/>
      <c r="G182" s="5"/>
      <c r="H182" s="5"/>
      <c r="I182" s="5"/>
      <c r="J182" s="5"/>
      <c r="K182" s="5"/>
      <c r="L182" s="5"/>
      <c r="M182" s="5"/>
      <c r="N182" s="5"/>
      <c r="O182" s="5"/>
      <c r="P182" s="5"/>
      <c r="Q182" s="5"/>
      <c r="R182" s="5"/>
      <c r="S182" s="5"/>
      <c r="T182" s="5"/>
      <c r="U182" s="5"/>
      <c r="V182" s="5"/>
      <c r="W182" s="5"/>
      <c r="X182" s="5"/>
      <c r="Y182" s="5"/>
      <c r="Z182" s="5"/>
    </row>
    <row r="183" ht="15.75" customHeight="1">
      <c r="A183" s="40" t="s">
        <v>602</v>
      </c>
      <c r="B183" s="36" t="s">
        <v>603</v>
      </c>
      <c r="C183" s="36" t="s">
        <v>196</v>
      </c>
      <c r="D183" s="36" t="s">
        <v>575</v>
      </c>
      <c r="E183" s="41">
        <v>0.2</v>
      </c>
      <c r="F183" s="5"/>
      <c r="G183" s="5"/>
      <c r="H183" s="5"/>
      <c r="I183" s="5"/>
      <c r="J183" s="5"/>
      <c r="K183" s="5"/>
      <c r="L183" s="5"/>
      <c r="M183" s="5"/>
      <c r="N183" s="5"/>
      <c r="O183" s="5"/>
      <c r="P183" s="5"/>
      <c r="Q183" s="5"/>
      <c r="R183" s="5"/>
      <c r="S183" s="5"/>
      <c r="T183" s="5"/>
      <c r="U183" s="5"/>
      <c r="V183" s="5"/>
      <c r="W183" s="5"/>
      <c r="X183" s="5"/>
      <c r="Y183" s="5"/>
      <c r="Z183" s="5"/>
    </row>
    <row r="184" ht="15.75" customHeight="1">
      <c r="A184" s="40" t="s">
        <v>602</v>
      </c>
      <c r="B184" s="36" t="s">
        <v>603</v>
      </c>
      <c r="C184" s="36" t="s">
        <v>157</v>
      </c>
      <c r="D184" s="36" t="s">
        <v>576</v>
      </c>
      <c r="E184" s="41">
        <v>0.35</v>
      </c>
      <c r="F184" s="5"/>
      <c r="G184" s="5"/>
      <c r="H184" s="5"/>
      <c r="I184" s="5"/>
      <c r="J184" s="5"/>
      <c r="K184" s="5"/>
      <c r="L184" s="5"/>
      <c r="M184" s="5"/>
      <c r="N184" s="5"/>
      <c r="O184" s="5"/>
      <c r="P184" s="5"/>
      <c r="Q184" s="5"/>
      <c r="R184" s="5"/>
      <c r="S184" s="5"/>
      <c r="T184" s="5"/>
      <c r="U184" s="5"/>
      <c r="V184" s="5"/>
      <c r="W184" s="5"/>
      <c r="X184" s="5"/>
      <c r="Y184" s="5"/>
      <c r="Z184" s="5"/>
    </row>
    <row r="185" ht="15.75" customHeight="1">
      <c r="A185" s="40" t="s">
        <v>602</v>
      </c>
      <c r="B185" s="36" t="s">
        <v>603</v>
      </c>
      <c r="C185" s="36" t="s">
        <v>165</v>
      </c>
      <c r="D185" s="36" t="s">
        <v>577</v>
      </c>
      <c r="E185" s="41">
        <v>0.2</v>
      </c>
      <c r="F185" s="5"/>
      <c r="G185" s="5"/>
      <c r="H185" s="5"/>
      <c r="I185" s="5"/>
      <c r="J185" s="5"/>
      <c r="K185" s="5"/>
      <c r="L185" s="5"/>
      <c r="M185" s="5"/>
      <c r="N185" s="5"/>
      <c r="O185" s="5"/>
      <c r="P185" s="5"/>
      <c r="Q185" s="5"/>
      <c r="R185" s="5"/>
      <c r="S185" s="5"/>
      <c r="T185" s="5"/>
      <c r="U185" s="5"/>
      <c r="V185" s="5"/>
      <c r="W185" s="5"/>
      <c r="X185" s="5"/>
      <c r="Y185" s="5"/>
      <c r="Z185" s="5"/>
    </row>
    <row r="186" ht="15.75" customHeight="1">
      <c r="A186" s="40" t="s">
        <v>602</v>
      </c>
      <c r="B186" s="36" t="s">
        <v>603</v>
      </c>
      <c r="C186" s="36" t="s">
        <v>168</v>
      </c>
      <c r="D186" s="36" t="s">
        <v>578</v>
      </c>
      <c r="E186" s="41">
        <v>0.45</v>
      </c>
      <c r="F186" s="5"/>
      <c r="G186" s="5"/>
      <c r="H186" s="5"/>
      <c r="I186" s="5"/>
      <c r="J186" s="5"/>
      <c r="K186" s="5"/>
      <c r="L186" s="5"/>
      <c r="M186" s="5"/>
      <c r="N186" s="5"/>
      <c r="O186" s="5"/>
      <c r="P186" s="5"/>
      <c r="Q186" s="5"/>
      <c r="R186" s="5"/>
      <c r="S186" s="5"/>
      <c r="T186" s="5"/>
      <c r="U186" s="5"/>
      <c r="V186" s="5"/>
      <c r="W186" s="5"/>
      <c r="X186" s="5"/>
      <c r="Y186" s="5"/>
      <c r="Z186" s="5"/>
    </row>
    <row r="187" ht="15.75" customHeight="1">
      <c r="A187" s="40" t="s">
        <v>602</v>
      </c>
      <c r="B187" s="36" t="s">
        <v>603</v>
      </c>
      <c r="C187" s="36" t="s">
        <v>171</v>
      </c>
      <c r="D187" s="36" t="s">
        <v>579</v>
      </c>
      <c r="E187" s="41">
        <v>0.8</v>
      </c>
      <c r="F187" s="5"/>
      <c r="G187" s="5"/>
      <c r="H187" s="5"/>
      <c r="I187" s="5"/>
      <c r="J187" s="5"/>
      <c r="K187" s="5"/>
      <c r="L187" s="5"/>
      <c r="M187" s="5"/>
      <c r="N187" s="5"/>
      <c r="O187" s="5"/>
      <c r="P187" s="5"/>
      <c r="Q187" s="5"/>
      <c r="R187" s="5"/>
      <c r="S187" s="5"/>
      <c r="T187" s="5"/>
      <c r="U187" s="5"/>
      <c r="V187" s="5"/>
      <c r="W187" s="5"/>
      <c r="X187" s="5"/>
      <c r="Y187" s="5"/>
      <c r="Z187" s="5"/>
    </row>
    <row r="188" ht="15.75" customHeight="1">
      <c r="A188" s="40" t="s">
        <v>602</v>
      </c>
      <c r="B188" s="36" t="s">
        <v>603</v>
      </c>
      <c r="C188" s="36" t="s">
        <v>174</v>
      </c>
      <c r="D188" s="36" t="s">
        <v>580</v>
      </c>
      <c r="E188" s="41">
        <v>0.1</v>
      </c>
      <c r="F188" s="5"/>
      <c r="G188" s="5"/>
      <c r="H188" s="5"/>
      <c r="I188" s="5"/>
      <c r="J188" s="5"/>
      <c r="K188" s="5"/>
      <c r="L188" s="5"/>
      <c r="M188" s="5"/>
      <c r="N188" s="5"/>
      <c r="O188" s="5"/>
      <c r="P188" s="5"/>
      <c r="Q188" s="5"/>
      <c r="R188" s="5"/>
      <c r="S188" s="5"/>
      <c r="T188" s="5"/>
      <c r="U188" s="5"/>
      <c r="V188" s="5"/>
      <c r="W188" s="5"/>
      <c r="X188" s="5"/>
      <c r="Y188" s="5"/>
      <c r="Z188" s="5"/>
    </row>
    <row r="189" ht="15.75" customHeight="1">
      <c r="A189" s="40" t="s">
        <v>602</v>
      </c>
      <c r="B189" s="36" t="s">
        <v>603</v>
      </c>
      <c r="C189" s="36" t="s">
        <v>162</v>
      </c>
      <c r="D189" s="36" t="s">
        <v>581</v>
      </c>
      <c r="E189" s="41">
        <v>0.2</v>
      </c>
      <c r="F189" s="5"/>
      <c r="G189" s="5"/>
      <c r="H189" s="5"/>
      <c r="I189" s="5"/>
      <c r="J189" s="5"/>
      <c r="K189" s="5"/>
      <c r="L189" s="5"/>
      <c r="M189" s="5"/>
      <c r="N189" s="5"/>
      <c r="O189" s="5"/>
      <c r="P189" s="5"/>
      <c r="Q189" s="5"/>
      <c r="R189" s="5"/>
      <c r="S189" s="5"/>
      <c r="T189" s="5"/>
      <c r="U189" s="5"/>
      <c r="V189" s="5"/>
      <c r="W189" s="5"/>
      <c r="X189" s="5"/>
      <c r="Y189" s="5"/>
      <c r="Z189" s="5"/>
    </row>
    <row r="190" ht="15.75" customHeight="1">
      <c r="A190" s="40" t="s">
        <v>602</v>
      </c>
      <c r="B190" s="36" t="s">
        <v>603</v>
      </c>
      <c r="C190" s="36" t="s">
        <v>193</v>
      </c>
      <c r="D190" s="36" t="s">
        <v>582</v>
      </c>
      <c r="E190" s="41">
        <v>0.25</v>
      </c>
      <c r="F190" s="5"/>
      <c r="G190" s="5"/>
      <c r="H190" s="5"/>
      <c r="I190" s="5"/>
      <c r="J190" s="5"/>
      <c r="K190" s="5"/>
      <c r="L190" s="5"/>
      <c r="M190" s="5"/>
      <c r="N190" s="5"/>
      <c r="O190" s="5"/>
      <c r="P190" s="5"/>
      <c r="Q190" s="5"/>
      <c r="R190" s="5"/>
      <c r="S190" s="5"/>
      <c r="T190" s="5"/>
      <c r="U190" s="5"/>
      <c r="V190" s="5"/>
      <c r="W190" s="5"/>
      <c r="X190" s="5"/>
      <c r="Y190" s="5"/>
      <c r="Z190" s="5"/>
    </row>
    <row r="191" ht="15.75" customHeight="1">
      <c r="A191" s="40" t="s">
        <v>604</v>
      </c>
      <c r="B191" s="42" t="s">
        <v>605</v>
      </c>
      <c r="C191" s="36" t="s">
        <v>107</v>
      </c>
      <c r="D191" s="36" t="s">
        <v>560</v>
      </c>
      <c r="E191" s="41">
        <v>0.48</v>
      </c>
      <c r="F191" s="5"/>
      <c r="G191" s="5"/>
      <c r="H191" s="5"/>
      <c r="I191" s="5"/>
      <c r="J191" s="5"/>
      <c r="K191" s="5"/>
      <c r="L191" s="5"/>
      <c r="M191" s="5"/>
      <c r="N191" s="5"/>
      <c r="O191" s="5"/>
      <c r="P191" s="5"/>
      <c r="Q191" s="5"/>
      <c r="R191" s="5"/>
      <c r="S191" s="5"/>
      <c r="T191" s="5"/>
      <c r="U191" s="5"/>
      <c r="V191" s="5"/>
      <c r="W191" s="5"/>
      <c r="X191" s="5"/>
      <c r="Y191" s="5"/>
      <c r="Z191" s="5"/>
    </row>
    <row r="192" ht="15.75" customHeight="1">
      <c r="A192" s="40" t="s">
        <v>604</v>
      </c>
      <c r="B192" s="42" t="s">
        <v>605</v>
      </c>
      <c r="C192" s="36" t="s">
        <v>117</v>
      </c>
      <c r="D192" s="36" t="s">
        <v>562</v>
      </c>
      <c r="E192" s="41">
        <v>0.25</v>
      </c>
      <c r="F192" s="5"/>
      <c r="G192" s="5"/>
      <c r="H192" s="5"/>
      <c r="I192" s="5"/>
      <c r="J192" s="5"/>
      <c r="K192" s="5"/>
      <c r="L192" s="5"/>
      <c r="M192" s="5"/>
      <c r="N192" s="5"/>
      <c r="O192" s="5"/>
      <c r="P192" s="5"/>
      <c r="Q192" s="5"/>
      <c r="R192" s="5"/>
      <c r="S192" s="5"/>
      <c r="T192" s="5"/>
      <c r="U192" s="5"/>
      <c r="V192" s="5"/>
      <c r="W192" s="5"/>
      <c r="X192" s="5"/>
      <c r="Y192" s="5"/>
      <c r="Z192" s="5"/>
    </row>
    <row r="193" ht="15.75" customHeight="1">
      <c r="A193" s="40" t="s">
        <v>604</v>
      </c>
      <c r="B193" s="42" t="s">
        <v>605</v>
      </c>
      <c r="C193" s="36" t="s">
        <v>120</v>
      </c>
      <c r="D193" s="36" t="s">
        <v>563</v>
      </c>
      <c r="E193" s="41">
        <v>0.43</v>
      </c>
      <c r="F193" s="5"/>
      <c r="G193" s="5"/>
      <c r="H193" s="5"/>
      <c r="I193" s="5"/>
      <c r="J193" s="5"/>
      <c r="K193" s="5"/>
      <c r="L193" s="5"/>
      <c r="M193" s="5"/>
      <c r="N193" s="5"/>
      <c r="O193" s="5"/>
      <c r="P193" s="5"/>
      <c r="Q193" s="5"/>
      <c r="R193" s="5"/>
      <c r="S193" s="5"/>
      <c r="T193" s="5"/>
      <c r="U193" s="5"/>
      <c r="V193" s="5"/>
      <c r="W193" s="5"/>
      <c r="X193" s="5"/>
      <c r="Y193" s="5"/>
      <c r="Z193" s="5"/>
    </row>
    <row r="194" ht="15.75" customHeight="1">
      <c r="A194" s="40" t="s">
        <v>604</v>
      </c>
      <c r="B194" s="42" t="s">
        <v>605</v>
      </c>
      <c r="C194" s="36" t="s">
        <v>129</v>
      </c>
      <c r="D194" s="36" t="s">
        <v>564</v>
      </c>
      <c r="E194" s="41">
        <v>0.23</v>
      </c>
      <c r="F194" s="5"/>
      <c r="G194" s="5"/>
      <c r="H194" s="5"/>
      <c r="I194" s="5"/>
      <c r="J194" s="5"/>
      <c r="K194" s="5"/>
      <c r="L194" s="5"/>
      <c r="M194" s="5"/>
      <c r="N194" s="5"/>
      <c r="O194" s="5"/>
      <c r="P194" s="5"/>
      <c r="Q194" s="5"/>
      <c r="R194" s="5"/>
      <c r="S194" s="5"/>
      <c r="T194" s="5"/>
      <c r="U194" s="5"/>
      <c r="V194" s="5"/>
      <c r="W194" s="5"/>
      <c r="X194" s="5"/>
      <c r="Y194" s="5"/>
      <c r="Z194" s="5"/>
    </row>
    <row r="195" ht="15.75" customHeight="1">
      <c r="A195" s="40" t="s">
        <v>604</v>
      </c>
      <c r="B195" s="42" t="s">
        <v>605</v>
      </c>
      <c r="C195" s="36" t="s">
        <v>136</v>
      </c>
      <c r="D195" s="36" t="s">
        <v>565</v>
      </c>
      <c r="E195" s="41">
        <v>0.76</v>
      </c>
      <c r="F195" s="5"/>
      <c r="G195" s="5"/>
      <c r="H195" s="5"/>
      <c r="I195" s="5"/>
      <c r="J195" s="5"/>
      <c r="K195" s="5"/>
      <c r="L195" s="5"/>
      <c r="M195" s="5"/>
      <c r="N195" s="5"/>
      <c r="O195" s="5"/>
      <c r="P195" s="5"/>
      <c r="Q195" s="5"/>
      <c r="R195" s="5"/>
      <c r="S195" s="5"/>
      <c r="T195" s="5"/>
      <c r="U195" s="5"/>
      <c r="V195" s="5"/>
      <c r="W195" s="5"/>
      <c r="X195" s="5"/>
      <c r="Y195" s="5"/>
      <c r="Z195" s="5"/>
    </row>
    <row r="196" ht="15.75" customHeight="1">
      <c r="A196" s="40" t="s">
        <v>604</v>
      </c>
      <c r="B196" s="42" t="s">
        <v>605</v>
      </c>
      <c r="C196" s="36" t="s">
        <v>139</v>
      </c>
      <c r="D196" s="36" t="s">
        <v>566</v>
      </c>
      <c r="E196" s="41">
        <v>0.61</v>
      </c>
      <c r="F196" s="5"/>
      <c r="G196" s="5"/>
      <c r="H196" s="5"/>
      <c r="I196" s="5"/>
      <c r="J196" s="5"/>
      <c r="K196" s="5"/>
      <c r="L196" s="5"/>
      <c r="M196" s="5"/>
      <c r="N196" s="5"/>
      <c r="O196" s="5"/>
      <c r="P196" s="5"/>
      <c r="Q196" s="5"/>
      <c r="R196" s="5"/>
      <c r="S196" s="5"/>
      <c r="T196" s="5"/>
      <c r="U196" s="5"/>
      <c r="V196" s="5"/>
      <c r="W196" s="5"/>
      <c r="X196" s="5"/>
      <c r="Y196" s="5"/>
      <c r="Z196" s="5"/>
    </row>
    <row r="197" ht="15.75" customHeight="1">
      <c r="A197" s="40" t="s">
        <v>604</v>
      </c>
      <c r="B197" s="42" t="s">
        <v>605</v>
      </c>
      <c r="C197" s="36" t="s">
        <v>149</v>
      </c>
      <c r="D197" s="36" t="s">
        <v>567</v>
      </c>
      <c r="E197" s="41">
        <v>0.54</v>
      </c>
      <c r="F197" s="5"/>
      <c r="G197" s="5"/>
      <c r="H197" s="5"/>
      <c r="I197" s="5"/>
      <c r="J197" s="5"/>
      <c r="K197" s="5"/>
      <c r="L197" s="5"/>
      <c r="M197" s="5"/>
      <c r="N197" s="5"/>
      <c r="O197" s="5"/>
      <c r="P197" s="5"/>
      <c r="Q197" s="5"/>
      <c r="R197" s="5"/>
      <c r="S197" s="5"/>
      <c r="T197" s="5"/>
      <c r="U197" s="5"/>
      <c r="V197" s="5"/>
      <c r="W197" s="5"/>
      <c r="X197" s="5"/>
      <c r="Y197" s="5"/>
      <c r="Z197" s="5"/>
    </row>
    <row r="198" ht="15.75" customHeight="1">
      <c r="A198" s="40" t="s">
        <v>604</v>
      </c>
      <c r="B198" s="42" t="s">
        <v>605</v>
      </c>
      <c r="C198" s="36" t="s">
        <v>146</v>
      </c>
      <c r="D198" s="36" t="s">
        <v>568</v>
      </c>
      <c r="E198" s="41">
        <v>0.12</v>
      </c>
      <c r="F198" s="5"/>
      <c r="G198" s="5"/>
      <c r="H198" s="5"/>
      <c r="I198" s="5"/>
      <c r="J198" s="5"/>
      <c r="K198" s="5"/>
      <c r="L198" s="5"/>
      <c r="M198" s="5"/>
      <c r="N198" s="5"/>
      <c r="O198" s="5"/>
      <c r="P198" s="5"/>
      <c r="Q198" s="5"/>
      <c r="R198" s="5"/>
      <c r="S198" s="5"/>
      <c r="T198" s="5"/>
      <c r="U198" s="5"/>
      <c r="V198" s="5"/>
      <c r="W198" s="5"/>
      <c r="X198" s="5"/>
      <c r="Y198" s="5"/>
      <c r="Z198" s="5"/>
    </row>
    <row r="199" ht="15.75" customHeight="1">
      <c r="A199" s="40" t="s">
        <v>604</v>
      </c>
      <c r="B199" s="42" t="s">
        <v>605</v>
      </c>
      <c r="C199" s="36" t="s">
        <v>143</v>
      </c>
      <c r="D199" s="36" t="s">
        <v>569</v>
      </c>
      <c r="E199" s="41">
        <v>0.67</v>
      </c>
      <c r="F199" s="5"/>
      <c r="G199" s="5"/>
      <c r="H199" s="5"/>
      <c r="I199" s="5"/>
      <c r="J199" s="5"/>
      <c r="K199" s="5"/>
      <c r="L199" s="5"/>
      <c r="M199" s="5"/>
      <c r="N199" s="5"/>
      <c r="O199" s="5"/>
      <c r="P199" s="5"/>
      <c r="Q199" s="5"/>
      <c r="R199" s="5"/>
      <c r="S199" s="5"/>
      <c r="T199" s="5"/>
      <c r="U199" s="5"/>
      <c r="V199" s="5"/>
      <c r="W199" s="5"/>
      <c r="X199" s="5"/>
      <c r="Y199" s="5"/>
      <c r="Z199" s="5"/>
    </row>
    <row r="200" ht="15.75" customHeight="1">
      <c r="A200" s="40" t="s">
        <v>604</v>
      </c>
      <c r="B200" s="42" t="s">
        <v>605</v>
      </c>
      <c r="C200" s="36" t="s">
        <v>185</v>
      </c>
      <c r="D200" s="36" t="s">
        <v>571</v>
      </c>
      <c r="E200" s="41">
        <v>0.4</v>
      </c>
      <c r="F200" s="5"/>
      <c r="G200" s="5"/>
      <c r="H200" s="5"/>
      <c r="I200" s="5"/>
      <c r="J200" s="5"/>
      <c r="K200" s="5"/>
      <c r="L200" s="5"/>
      <c r="M200" s="5"/>
      <c r="N200" s="5"/>
      <c r="O200" s="5"/>
      <c r="P200" s="5"/>
      <c r="Q200" s="5"/>
      <c r="R200" s="5"/>
      <c r="S200" s="5"/>
      <c r="T200" s="5"/>
      <c r="U200" s="5"/>
      <c r="V200" s="5"/>
      <c r="W200" s="5"/>
      <c r="X200" s="5"/>
      <c r="Y200" s="5"/>
      <c r="Z200" s="5"/>
    </row>
    <row r="201" ht="15.75" customHeight="1">
      <c r="A201" s="40" t="s">
        <v>604</v>
      </c>
      <c r="B201" s="42" t="s">
        <v>605</v>
      </c>
      <c r="C201" s="36" t="s">
        <v>179</v>
      </c>
      <c r="D201" s="36" t="s">
        <v>572</v>
      </c>
      <c r="E201" s="41">
        <v>0.75</v>
      </c>
      <c r="F201" s="5"/>
      <c r="G201" s="5"/>
      <c r="H201" s="5"/>
      <c r="I201" s="5"/>
      <c r="J201" s="5"/>
      <c r="K201" s="5"/>
      <c r="L201" s="5"/>
      <c r="M201" s="5"/>
      <c r="N201" s="5"/>
      <c r="O201" s="5"/>
      <c r="P201" s="5"/>
      <c r="Q201" s="5"/>
      <c r="R201" s="5"/>
      <c r="S201" s="5"/>
      <c r="T201" s="5"/>
      <c r="U201" s="5"/>
      <c r="V201" s="5"/>
      <c r="W201" s="5"/>
      <c r="X201" s="5"/>
      <c r="Y201" s="5"/>
      <c r="Z201" s="5"/>
    </row>
    <row r="202" ht="15.75" customHeight="1">
      <c r="A202" s="40" t="s">
        <v>604</v>
      </c>
      <c r="B202" s="42" t="s">
        <v>605</v>
      </c>
      <c r="C202" s="36" t="s">
        <v>182</v>
      </c>
      <c r="D202" s="36" t="s">
        <v>573</v>
      </c>
      <c r="E202" s="41">
        <v>0.82</v>
      </c>
      <c r="F202" s="5"/>
      <c r="G202" s="5"/>
      <c r="H202" s="5"/>
      <c r="I202" s="5"/>
      <c r="J202" s="5"/>
      <c r="K202" s="5"/>
      <c r="L202" s="5"/>
      <c r="M202" s="5"/>
      <c r="N202" s="5"/>
      <c r="O202" s="5"/>
      <c r="P202" s="5"/>
      <c r="Q202" s="5"/>
      <c r="R202" s="5"/>
      <c r="S202" s="5"/>
      <c r="T202" s="5"/>
      <c r="U202" s="5"/>
      <c r="V202" s="5"/>
      <c r="W202" s="5"/>
      <c r="X202" s="5"/>
      <c r="Y202" s="5"/>
      <c r="Z202" s="5"/>
    </row>
    <row r="203" ht="15.75" customHeight="1">
      <c r="A203" s="40" t="s">
        <v>604</v>
      </c>
      <c r="B203" s="42" t="s">
        <v>605</v>
      </c>
      <c r="C203" s="36" t="s">
        <v>190</v>
      </c>
      <c r="D203" s="36" t="s">
        <v>574</v>
      </c>
      <c r="E203" s="41">
        <v>0.81</v>
      </c>
      <c r="F203" s="5"/>
      <c r="G203" s="5"/>
      <c r="H203" s="5"/>
      <c r="I203" s="5"/>
      <c r="J203" s="5"/>
      <c r="K203" s="5"/>
      <c r="L203" s="5"/>
      <c r="M203" s="5"/>
      <c r="N203" s="5"/>
      <c r="O203" s="5"/>
      <c r="P203" s="5"/>
      <c r="Q203" s="5"/>
      <c r="R203" s="5"/>
      <c r="S203" s="5"/>
      <c r="T203" s="5"/>
      <c r="U203" s="5"/>
      <c r="V203" s="5"/>
      <c r="W203" s="5"/>
      <c r="X203" s="5"/>
      <c r="Y203" s="5"/>
      <c r="Z203" s="5"/>
    </row>
    <row r="204" ht="15.75" customHeight="1">
      <c r="A204" s="40" t="s">
        <v>604</v>
      </c>
      <c r="B204" s="42" t="s">
        <v>605</v>
      </c>
      <c r="C204" s="36" t="s">
        <v>196</v>
      </c>
      <c r="D204" s="36" t="s">
        <v>575</v>
      </c>
      <c r="E204" s="41">
        <v>0.09</v>
      </c>
      <c r="F204" s="5"/>
      <c r="G204" s="5"/>
      <c r="H204" s="5"/>
      <c r="I204" s="5"/>
      <c r="J204" s="5"/>
      <c r="K204" s="5"/>
      <c r="L204" s="5"/>
      <c r="M204" s="5"/>
      <c r="N204" s="5"/>
      <c r="O204" s="5"/>
      <c r="P204" s="5"/>
      <c r="Q204" s="5"/>
      <c r="R204" s="5"/>
      <c r="S204" s="5"/>
      <c r="T204" s="5"/>
      <c r="U204" s="5"/>
      <c r="V204" s="5"/>
      <c r="W204" s="5"/>
      <c r="X204" s="5"/>
      <c r="Y204" s="5"/>
      <c r="Z204" s="5"/>
    </row>
    <row r="205" ht="15.75" customHeight="1">
      <c r="A205" s="40" t="s">
        <v>604</v>
      </c>
      <c r="B205" s="42" t="s">
        <v>605</v>
      </c>
      <c r="C205" s="36" t="s">
        <v>157</v>
      </c>
      <c r="D205" s="36" t="s">
        <v>576</v>
      </c>
      <c r="E205" s="41">
        <v>0.39</v>
      </c>
      <c r="F205" s="5"/>
      <c r="G205" s="5"/>
      <c r="H205" s="5"/>
      <c r="I205" s="5"/>
      <c r="J205" s="5"/>
      <c r="K205" s="5"/>
      <c r="L205" s="5"/>
      <c r="M205" s="5"/>
      <c r="N205" s="5"/>
      <c r="O205" s="5"/>
      <c r="P205" s="5"/>
      <c r="Q205" s="5"/>
      <c r="R205" s="5"/>
      <c r="S205" s="5"/>
      <c r="T205" s="5"/>
      <c r="U205" s="5"/>
      <c r="V205" s="5"/>
      <c r="W205" s="5"/>
      <c r="X205" s="5"/>
      <c r="Y205" s="5"/>
      <c r="Z205" s="5"/>
    </row>
    <row r="206" ht="15.75" customHeight="1">
      <c r="A206" s="40" t="s">
        <v>604</v>
      </c>
      <c r="B206" s="42" t="s">
        <v>605</v>
      </c>
      <c r="C206" s="36" t="s">
        <v>165</v>
      </c>
      <c r="D206" s="36" t="s">
        <v>577</v>
      </c>
      <c r="E206" s="41">
        <v>0.14</v>
      </c>
      <c r="F206" s="5"/>
      <c r="G206" s="5"/>
      <c r="H206" s="5"/>
      <c r="I206" s="5"/>
      <c r="J206" s="5"/>
      <c r="K206" s="5"/>
      <c r="L206" s="5"/>
      <c r="M206" s="5"/>
      <c r="N206" s="5"/>
      <c r="O206" s="5"/>
      <c r="P206" s="5"/>
      <c r="Q206" s="5"/>
      <c r="R206" s="5"/>
      <c r="S206" s="5"/>
      <c r="T206" s="5"/>
      <c r="U206" s="5"/>
      <c r="V206" s="5"/>
      <c r="W206" s="5"/>
      <c r="X206" s="5"/>
      <c r="Y206" s="5"/>
      <c r="Z206" s="5"/>
    </row>
    <row r="207" ht="15.75" customHeight="1">
      <c r="A207" s="40" t="s">
        <v>604</v>
      </c>
      <c r="B207" s="42" t="s">
        <v>605</v>
      </c>
      <c r="C207" s="36" t="s">
        <v>168</v>
      </c>
      <c r="D207" s="36" t="s">
        <v>578</v>
      </c>
      <c r="E207" s="41">
        <v>0.16</v>
      </c>
      <c r="F207" s="5"/>
      <c r="G207" s="5"/>
      <c r="H207" s="5"/>
      <c r="I207" s="5"/>
      <c r="J207" s="5"/>
      <c r="K207" s="5"/>
      <c r="L207" s="5"/>
      <c r="M207" s="5"/>
      <c r="N207" s="5"/>
      <c r="O207" s="5"/>
      <c r="P207" s="5"/>
      <c r="Q207" s="5"/>
      <c r="R207" s="5"/>
      <c r="S207" s="5"/>
      <c r="T207" s="5"/>
      <c r="U207" s="5"/>
      <c r="V207" s="5"/>
      <c r="W207" s="5"/>
      <c r="X207" s="5"/>
      <c r="Y207" s="5"/>
      <c r="Z207" s="5"/>
    </row>
    <row r="208" ht="15.75" customHeight="1">
      <c r="A208" s="40" t="s">
        <v>604</v>
      </c>
      <c r="B208" s="42" t="s">
        <v>605</v>
      </c>
      <c r="C208" s="36" t="s">
        <v>171</v>
      </c>
      <c r="D208" s="36" t="s">
        <v>579</v>
      </c>
      <c r="E208" s="41">
        <v>0.67</v>
      </c>
      <c r="F208" s="5"/>
      <c r="G208" s="5"/>
      <c r="H208" s="5"/>
      <c r="I208" s="5"/>
      <c r="J208" s="5"/>
      <c r="K208" s="5"/>
      <c r="L208" s="5"/>
      <c r="M208" s="5"/>
      <c r="N208" s="5"/>
      <c r="O208" s="5"/>
      <c r="P208" s="5"/>
      <c r="Q208" s="5"/>
      <c r="R208" s="5"/>
      <c r="S208" s="5"/>
      <c r="T208" s="5"/>
      <c r="U208" s="5"/>
      <c r="V208" s="5"/>
      <c r="W208" s="5"/>
      <c r="X208" s="5"/>
      <c r="Y208" s="5"/>
      <c r="Z208" s="5"/>
    </row>
    <row r="209" ht="15.75" customHeight="1">
      <c r="A209" s="40" t="s">
        <v>604</v>
      </c>
      <c r="B209" s="42" t="s">
        <v>605</v>
      </c>
      <c r="C209" s="36" t="s">
        <v>174</v>
      </c>
      <c r="D209" s="36" t="s">
        <v>580</v>
      </c>
      <c r="E209" s="41">
        <v>0.38</v>
      </c>
      <c r="F209" s="5"/>
      <c r="G209" s="5"/>
      <c r="H209" s="5"/>
      <c r="I209" s="5"/>
      <c r="J209" s="5"/>
      <c r="K209" s="5"/>
      <c r="L209" s="5"/>
      <c r="M209" s="5"/>
      <c r="N209" s="5"/>
      <c r="O209" s="5"/>
      <c r="P209" s="5"/>
      <c r="Q209" s="5"/>
      <c r="R209" s="5"/>
      <c r="S209" s="5"/>
      <c r="T209" s="5"/>
      <c r="U209" s="5"/>
      <c r="V209" s="5"/>
      <c r="W209" s="5"/>
      <c r="X209" s="5"/>
      <c r="Y209" s="5"/>
      <c r="Z209" s="5"/>
    </row>
    <row r="210" ht="15.75" customHeight="1">
      <c r="A210" s="40" t="s">
        <v>604</v>
      </c>
      <c r="B210" s="42" t="s">
        <v>605</v>
      </c>
      <c r="C210" s="36" t="s">
        <v>162</v>
      </c>
      <c r="D210" s="36" t="s">
        <v>581</v>
      </c>
      <c r="E210" s="41">
        <v>0.18</v>
      </c>
      <c r="F210" s="5"/>
      <c r="G210" s="5"/>
      <c r="H210" s="5"/>
      <c r="I210" s="5"/>
      <c r="J210" s="5"/>
      <c r="K210" s="5"/>
      <c r="L210" s="5"/>
      <c r="M210" s="5"/>
      <c r="N210" s="5"/>
      <c r="O210" s="5"/>
      <c r="P210" s="5"/>
      <c r="Q210" s="5"/>
      <c r="R210" s="5"/>
      <c r="S210" s="5"/>
      <c r="T210" s="5"/>
      <c r="U210" s="5"/>
      <c r="V210" s="5"/>
      <c r="W210" s="5"/>
      <c r="X210" s="5"/>
      <c r="Y210" s="5"/>
      <c r="Z210" s="5"/>
    </row>
    <row r="211" ht="15.75" customHeight="1">
      <c r="A211" s="40" t="s">
        <v>604</v>
      </c>
      <c r="B211" s="42" t="s">
        <v>605</v>
      </c>
      <c r="C211" s="36" t="s">
        <v>193</v>
      </c>
      <c r="D211" s="36" t="s">
        <v>582</v>
      </c>
      <c r="E211" s="41">
        <v>0.28</v>
      </c>
      <c r="F211" s="5"/>
      <c r="G211" s="5"/>
      <c r="H211" s="5"/>
      <c r="I211" s="5"/>
      <c r="J211" s="5"/>
      <c r="K211" s="5"/>
      <c r="L211" s="5"/>
      <c r="M211" s="5"/>
      <c r="N211" s="5"/>
      <c r="O211" s="5"/>
      <c r="P211" s="5"/>
      <c r="Q211" s="5"/>
      <c r="R211" s="5"/>
      <c r="S211" s="5"/>
      <c r="T211" s="5"/>
      <c r="U211" s="5"/>
      <c r="V211" s="5"/>
      <c r="W211" s="5"/>
      <c r="X211" s="5"/>
      <c r="Y211" s="5"/>
      <c r="Z211" s="5"/>
    </row>
    <row r="212" ht="15.75" customHeight="1">
      <c r="A212" s="40" t="s">
        <v>606</v>
      </c>
      <c r="B212" s="36" t="s">
        <v>607</v>
      </c>
      <c r="C212" s="36" t="s">
        <v>107</v>
      </c>
      <c r="D212" s="36" t="s">
        <v>560</v>
      </c>
      <c r="E212" s="41">
        <v>0.2</v>
      </c>
      <c r="F212" s="5"/>
      <c r="G212" s="5"/>
      <c r="H212" s="5"/>
      <c r="I212" s="5"/>
      <c r="J212" s="5"/>
      <c r="K212" s="5"/>
      <c r="L212" s="5"/>
      <c r="M212" s="5"/>
      <c r="N212" s="5"/>
      <c r="O212" s="5"/>
      <c r="P212" s="5"/>
      <c r="Q212" s="5"/>
      <c r="R212" s="5"/>
      <c r="S212" s="5"/>
      <c r="T212" s="5"/>
      <c r="U212" s="5"/>
      <c r="V212" s="5"/>
      <c r="W212" s="5"/>
      <c r="X212" s="5"/>
      <c r="Y212" s="5"/>
      <c r="Z212" s="5"/>
    </row>
    <row r="213" ht="15.75" customHeight="1">
      <c r="A213" s="40" t="s">
        <v>606</v>
      </c>
      <c r="B213" s="36" t="s">
        <v>607</v>
      </c>
      <c r="C213" s="36" t="s">
        <v>117</v>
      </c>
      <c r="D213" s="36" t="s">
        <v>562</v>
      </c>
      <c r="E213" s="41">
        <v>0.55</v>
      </c>
      <c r="F213" s="5"/>
      <c r="G213" s="5"/>
      <c r="H213" s="5"/>
      <c r="I213" s="5"/>
      <c r="J213" s="5"/>
      <c r="K213" s="5"/>
      <c r="L213" s="5"/>
      <c r="M213" s="5"/>
      <c r="N213" s="5"/>
      <c r="O213" s="5"/>
      <c r="P213" s="5"/>
      <c r="Q213" s="5"/>
      <c r="R213" s="5"/>
      <c r="S213" s="5"/>
      <c r="T213" s="5"/>
      <c r="U213" s="5"/>
      <c r="V213" s="5"/>
      <c r="W213" s="5"/>
      <c r="X213" s="5"/>
      <c r="Y213" s="5"/>
      <c r="Z213" s="5"/>
    </row>
    <row r="214" ht="15.75" customHeight="1">
      <c r="A214" s="40" t="s">
        <v>606</v>
      </c>
      <c r="B214" s="36" t="s">
        <v>607</v>
      </c>
      <c r="C214" s="36" t="s">
        <v>120</v>
      </c>
      <c r="D214" s="36" t="s">
        <v>563</v>
      </c>
      <c r="E214" s="41">
        <v>0.9</v>
      </c>
      <c r="F214" s="5"/>
      <c r="G214" s="5"/>
      <c r="H214" s="5"/>
      <c r="I214" s="5"/>
      <c r="J214" s="5"/>
      <c r="K214" s="5"/>
      <c r="L214" s="5"/>
      <c r="M214" s="5"/>
      <c r="N214" s="5"/>
      <c r="O214" s="5"/>
      <c r="P214" s="5"/>
      <c r="Q214" s="5"/>
      <c r="R214" s="5"/>
      <c r="S214" s="5"/>
      <c r="T214" s="5"/>
      <c r="U214" s="5"/>
      <c r="V214" s="5"/>
      <c r="W214" s="5"/>
      <c r="X214" s="5"/>
      <c r="Y214" s="5"/>
      <c r="Z214" s="5"/>
    </row>
    <row r="215" ht="15.75" customHeight="1">
      <c r="A215" s="40" t="s">
        <v>606</v>
      </c>
      <c r="B215" s="36" t="s">
        <v>607</v>
      </c>
      <c r="C215" s="36" t="s">
        <v>129</v>
      </c>
      <c r="D215" s="36" t="s">
        <v>564</v>
      </c>
      <c r="E215" s="41">
        <v>0.55</v>
      </c>
      <c r="F215" s="5"/>
      <c r="G215" s="5"/>
      <c r="H215" s="5"/>
      <c r="I215" s="5"/>
      <c r="J215" s="5"/>
      <c r="K215" s="5"/>
      <c r="L215" s="5"/>
      <c r="M215" s="5"/>
      <c r="N215" s="5"/>
      <c r="O215" s="5"/>
      <c r="P215" s="5"/>
      <c r="Q215" s="5"/>
      <c r="R215" s="5"/>
      <c r="S215" s="5"/>
      <c r="T215" s="5"/>
      <c r="U215" s="5"/>
      <c r="V215" s="5"/>
      <c r="W215" s="5"/>
      <c r="X215" s="5"/>
      <c r="Y215" s="5"/>
      <c r="Z215" s="5"/>
    </row>
    <row r="216" ht="15.75" customHeight="1">
      <c r="A216" s="40" t="s">
        <v>606</v>
      </c>
      <c r="B216" s="36" t="s">
        <v>607</v>
      </c>
      <c r="C216" s="36" t="s">
        <v>136</v>
      </c>
      <c r="D216" s="36" t="s">
        <v>565</v>
      </c>
      <c r="E216" s="41">
        <v>0.35</v>
      </c>
      <c r="F216" s="5"/>
      <c r="G216" s="5"/>
      <c r="H216" s="5"/>
      <c r="I216" s="5"/>
      <c r="J216" s="5"/>
      <c r="K216" s="5"/>
      <c r="L216" s="5"/>
      <c r="M216" s="5"/>
      <c r="N216" s="5"/>
      <c r="O216" s="5"/>
      <c r="P216" s="5"/>
      <c r="Q216" s="5"/>
      <c r="R216" s="5"/>
      <c r="S216" s="5"/>
      <c r="T216" s="5"/>
      <c r="U216" s="5"/>
      <c r="V216" s="5"/>
      <c r="W216" s="5"/>
      <c r="X216" s="5"/>
      <c r="Y216" s="5"/>
      <c r="Z216" s="5"/>
    </row>
    <row r="217" ht="15.75" customHeight="1">
      <c r="A217" s="40" t="s">
        <v>606</v>
      </c>
      <c r="B217" s="36" t="s">
        <v>607</v>
      </c>
      <c r="C217" s="36" t="s">
        <v>139</v>
      </c>
      <c r="D217" s="36" t="s">
        <v>566</v>
      </c>
      <c r="E217" s="41">
        <v>0.2</v>
      </c>
      <c r="F217" s="5"/>
      <c r="G217" s="5"/>
      <c r="H217" s="5"/>
      <c r="I217" s="5"/>
      <c r="J217" s="5"/>
      <c r="K217" s="5"/>
      <c r="L217" s="5"/>
      <c r="M217" s="5"/>
      <c r="N217" s="5"/>
      <c r="O217" s="5"/>
      <c r="P217" s="5"/>
      <c r="Q217" s="5"/>
      <c r="R217" s="5"/>
      <c r="S217" s="5"/>
      <c r="T217" s="5"/>
      <c r="U217" s="5"/>
      <c r="V217" s="5"/>
      <c r="W217" s="5"/>
      <c r="X217" s="5"/>
      <c r="Y217" s="5"/>
      <c r="Z217" s="5"/>
    </row>
    <row r="218" ht="15.75" customHeight="1">
      <c r="A218" s="40" t="s">
        <v>606</v>
      </c>
      <c r="B218" s="36" t="s">
        <v>607</v>
      </c>
      <c r="C218" s="36" t="s">
        <v>149</v>
      </c>
      <c r="D218" s="36" t="s">
        <v>567</v>
      </c>
      <c r="E218" s="41">
        <v>0.2</v>
      </c>
      <c r="F218" s="5"/>
      <c r="G218" s="5"/>
      <c r="H218" s="5"/>
      <c r="I218" s="5"/>
      <c r="J218" s="5"/>
      <c r="K218" s="5"/>
      <c r="L218" s="5"/>
      <c r="M218" s="5"/>
      <c r="N218" s="5"/>
      <c r="O218" s="5"/>
      <c r="P218" s="5"/>
      <c r="Q218" s="5"/>
      <c r="R218" s="5"/>
      <c r="S218" s="5"/>
      <c r="T218" s="5"/>
      <c r="U218" s="5"/>
      <c r="V218" s="5"/>
      <c r="W218" s="5"/>
      <c r="X218" s="5"/>
      <c r="Y218" s="5"/>
      <c r="Z218" s="5"/>
    </row>
    <row r="219" ht="15.75" customHeight="1">
      <c r="A219" s="40" t="s">
        <v>606</v>
      </c>
      <c r="B219" s="36" t="s">
        <v>607</v>
      </c>
      <c r="C219" s="36" t="s">
        <v>146</v>
      </c>
      <c r="D219" s="36" t="s">
        <v>568</v>
      </c>
      <c r="E219" s="41">
        <v>0.4</v>
      </c>
      <c r="F219" s="5"/>
      <c r="G219" s="5"/>
      <c r="H219" s="5"/>
      <c r="I219" s="5"/>
      <c r="J219" s="5"/>
      <c r="K219" s="5"/>
      <c r="L219" s="5"/>
      <c r="M219" s="5"/>
      <c r="N219" s="5"/>
      <c r="O219" s="5"/>
      <c r="P219" s="5"/>
      <c r="Q219" s="5"/>
      <c r="R219" s="5"/>
      <c r="S219" s="5"/>
      <c r="T219" s="5"/>
      <c r="U219" s="5"/>
      <c r="V219" s="5"/>
      <c r="W219" s="5"/>
      <c r="X219" s="5"/>
      <c r="Y219" s="5"/>
      <c r="Z219" s="5"/>
    </row>
    <row r="220" ht="15.75" customHeight="1">
      <c r="A220" s="40" t="s">
        <v>606</v>
      </c>
      <c r="B220" s="36" t="s">
        <v>607</v>
      </c>
      <c r="C220" s="36" t="s">
        <v>143</v>
      </c>
      <c r="D220" s="36" t="s">
        <v>569</v>
      </c>
      <c r="E220" s="41">
        <v>0.15</v>
      </c>
      <c r="F220" s="5"/>
      <c r="G220" s="5"/>
      <c r="H220" s="5"/>
      <c r="I220" s="5"/>
      <c r="J220" s="5"/>
      <c r="K220" s="5"/>
      <c r="L220" s="5"/>
      <c r="M220" s="5"/>
      <c r="N220" s="5"/>
      <c r="O220" s="5"/>
      <c r="P220" s="5"/>
      <c r="Q220" s="5"/>
      <c r="R220" s="5"/>
      <c r="S220" s="5"/>
      <c r="T220" s="5"/>
      <c r="U220" s="5"/>
      <c r="V220" s="5"/>
      <c r="W220" s="5"/>
      <c r="X220" s="5"/>
      <c r="Y220" s="5"/>
      <c r="Z220" s="5"/>
    </row>
    <row r="221" ht="15.75" customHeight="1">
      <c r="A221" s="40" t="s">
        <v>606</v>
      </c>
      <c r="B221" s="36" t="s">
        <v>607</v>
      </c>
      <c r="C221" s="36" t="s">
        <v>185</v>
      </c>
      <c r="D221" s="36" t="s">
        <v>571</v>
      </c>
      <c r="E221" s="41">
        <v>0.3</v>
      </c>
      <c r="F221" s="5"/>
      <c r="G221" s="5"/>
      <c r="H221" s="5"/>
      <c r="I221" s="5"/>
      <c r="J221" s="5"/>
      <c r="K221" s="5"/>
      <c r="L221" s="5"/>
      <c r="M221" s="5"/>
      <c r="N221" s="5"/>
      <c r="O221" s="5"/>
      <c r="P221" s="5"/>
      <c r="Q221" s="5"/>
      <c r="R221" s="5"/>
      <c r="S221" s="5"/>
      <c r="T221" s="5"/>
      <c r="U221" s="5"/>
      <c r="V221" s="5"/>
      <c r="W221" s="5"/>
      <c r="X221" s="5"/>
      <c r="Y221" s="5"/>
      <c r="Z221" s="5"/>
    </row>
    <row r="222" ht="15.75" customHeight="1">
      <c r="A222" s="40" t="s">
        <v>606</v>
      </c>
      <c r="B222" s="36" t="s">
        <v>607</v>
      </c>
      <c r="C222" s="36" t="s">
        <v>179</v>
      </c>
      <c r="D222" s="36" t="s">
        <v>572</v>
      </c>
      <c r="E222" s="41">
        <v>0.45</v>
      </c>
      <c r="F222" s="5"/>
      <c r="G222" s="5"/>
      <c r="H222" s="5"/>
      <c r="I222" s="5"/>
      <c r="J222" s="5"/>
      <c r="K222" s="5"/>
      <c r="L222" s="5"/>
      <c r="M222" s="5"/>
      <c r="N222" s="5"/>
      <c r="O222" s="5"/>
      <c r="P222" s="5"/>
      <c r="Q222" s="5"/>
      <c r="R222" s="5"/>
      <c r="S222" s="5"/>
      <c r="T222" s="5"/>
      <c r="U222" s="5"/>
      <c r="V222" s="5"/>
      <c r="W222" s="5"/>
      <c r="X222" s="5"/>
      <c r="Y222" s="5"/>
      <c r="Z222" s="5"/>
    </row>
    <row r="223" ht="15.75" customHeight="1">
      <c r="A223" s="40" t="s">
        <v>606</v>
      </c>
      <c r="B223" s="36" t="s">
        <v>607</v>
      </c>
      <c r="C223" s="36" t="s">
        <v>182</v>
      </c>
      <c r="D223" s="36" t="s">
        <v>573</v>
      </c>
      <c r="E223" s="41">
        <v>0.55</v>
      </c>
      <c r="F223" s="5"/>
      <c r="G223" s="5"/>
      <c r="H223" s="5"/>
      <c r="I223" s="5"/>
      <c r="J223" s="5"/>
      <c r="K223" s="5"/>
      <c r="L223" s="5"/>
      <c r="M223" s="5"/>
      <c r="N223" s="5"/>
      <c r="O223" s="5"/>
      <c r="P223" s="5"/>
      <c r="Q223" s="5"/>
      <c r="R223" s="5"/>
      <c r="S223" s="5"/>
      <c r="T223" s="5"/>
      <c r="U223" s="5"/>
      <c r="V223" s="5"/>
      <c r="W223" s="5"/>
      <c r="X223" s="5"/>
      <c r="Y223" s="5"/>
      <c r="Z223" s="5"/>
    </row>
    <row r="224" ht="15.75" customHeight="1">
      <c r="A224" s="40" t="s">
        <v>606</v>
      </c>
      <c r="B224" s="36" t="s">
        <v>607</v>
      </c>
      <c r="C224" s="36" t="s">
        <v>190</v>
      </c>
      <c r="D224" s="36" t="s">
        <v>574</v>
      </c>
      <c r="E224" s="41">
        <v>0.65</v>
      </c>
      <c r="F224" s="5"/>
      <c r="G224" s="5"/>
      <c r="H224" s="5"/>
      <c r="I224" s="5"/>
      <c r="J224" s="5"/>
      <c r="K224" s="5"/>
      <c r="L224" s="5"/>
      <c r="M224" s="5"/>
      <c r="N224" s="5"/>
      <c r="O224" s="5"/>
      <c r="P224" s="5"/>
      <c r="Q224" s="5"/>
      <c r="R224" s="5"/>
      <c r="S224" s="5"/>
      <c r="T224" s="5"/>
      <c r="U224" s="5"/>
      <c r="V224" s="5"/>
      <c r="W224" s="5"/>
      <c r="X224" s="5"/>
      <c r="Y224" s="5"/>
      <c r="Z224" s="5"/>
    </row>
    <row r="225" ht="15.75" customHeight="1">
      <c r="A225" s="40" t="s">
        <v>606</v>
      </c>
      <c r="B225" s="36" t="s">
        <v>607</v>
      </c>
      <c r="C225" s="36" t="s">
        <v>196</v>
      </c>
      <c r="D225" s="36" t="s">
        <v>575</v>
      </c>
      <c r="E225" s="41">
        <v>0.2</v>
      </c>
      <c r="F225" s="5"/>
      <c r="G225" s="5"/>
      <c r="H225" s="5"/>
      <c r="I225" s="5"/>
      <c r="J225" s="5"/>
      <c r="K225" s="5"/>
      <c r="L225" s="5"/>
      <c r="M225" s="5"/>
      <c r="N225" s="5"/>
      <c r="O225" s="5"/>
      <c r="P225" s="5"/>
      <c r="Q225" s="5"/>
      <c r="R225" s="5"/>
      <c r="S225" s="5"/>
      <c r="T225" s="5"/>
      <c r="U225" s="5"/>
      <c r="V225" s="5"/>
      <c r="W225" s="5"/>
      <c r="X225" s="5"/>
      <c r="Y225" s="5"/>
      <c r="Z225" s="5"/>
    </row>
    <row r="226" ht="15.75" customHeight="1">
      <c r="A226" s="40" t="s">
        <v>606</v>
      </c>
      <c r="B226" s="36" t="s">
        <v>607</v>
      </c>
      <c r="C226" s="36" t="s">
        <v>157</v>
      </c>
      <c r="D226" s="36" t="s">
        <v>576</v>
      </c>
      <c r="E226" s="41">
        <v>0.75</v>
      </c>
      <c r="F226" s="5"/>
      <c r="G226" s="5"/>
      <c r="H226" s="5"/>
      <c r="I226" s="5"/>
      <c r="J226" s="5"/>
      <c r="K226" s="5"/>
      <c r="L226" s="5"/>
      <c r="M226" s="5"/>
      <c r="N226" s="5"/>
      <c r="O226" s="5"/>
      <c r="P226" s="5"/>
      <c r="Q226" s="5"/>
      <c r="R226" s="5"/>
      <c r="S226" s="5"/>
      <c r="T226" s="5"/>
      <c r="U226" s="5"/>
      <c r="V226" s="5"/>
      <c r="W226" s="5"/>
      <c r="X226" s="5"/>
      <c r="Y226" s="5"/>
      <c r="Z226" s="5"/>
    </row>
    <row r="227" ht="15.75" customHeight="1">
      <c r="A227" s="40" t="s">
        <v>606</v>
      </c>
      <c r="B227" s="36" t="s">
        <v>607</v>
      </c>
      <c r="C227" s="36" t="s">
        <v>165</v>
      </c>
      <c r="D227" s="36" t="s">
        <v>577</v>
      </c>
      <c r="E227" s="41">
        <v>0.35</v>
      </c>
      <c r="F227" s="5"/>
      <c r="G227" s="5"/>
      <c r="H227" s="5"/>
      <c r="I227" s="5"/>
      <c r="J227" s="5"/>
      <c r="K227" s="5"/>
      <c r="L227" s="5"/>
      <c r="M227" s="5"/>
      <c r="N227" s="5"/>
      <c r="O227" s="5"/>
      <c r="P227" s="5"/>
      <c r="Q227" s="5"/>
      <c r="R227" s="5"/>
      <c r="S227" s="5"/>
      <c r="T227" s="5"/>
      <c r="U227" s="5"/>
      <c r="V227" s="5"/>
      <c r="W227" s="5"/>
      <c r="X227" s="5"/>
      <c r="Y227" s="5"/>
      <c r="Z227" s="5"/>
    </row>
    <row r="228" ht="15.75" customHeight="1">
      <c r="A228" s="40" t="s">
        <v>606</v>
      </c>
      <c r="B228" s="36" t="s">
        <v>607</v>
      </c>
      <c r="C228" s="36" t="s">
        <v>168</v>
      </c>
      <c r="D228" s="36" t="s">
        <v>578</v>
      </c>
      <c r="E228" s="41">
        <v>0.2</v>
      </c>
      <c r="F228" s="5"/>
      <c r="G228" s="5"/>
      <c r="H228" s="5"/>
      <c r="I228" s="5"/>
      <c r="J228" s="5"/>
      <c r="K228" s="5"/>
      <c r="L228" s="5"/>
      <c r="M228" s="5"/>
      <c r="N228" s="5"/>
      <c r="O228" s="5"/>
      <c r="P228" s="5"/>
      <c r="Q228" s="5"/>
      <c r="R228" s="5"/>
      <c r="S228" s="5"/>
      <c r="T228" s="5"/>
      <c r="U228" s="5"/>
      <c r="V228" s="5"/>
      <c r="W228" s="5"/>
      <c r="X228" s="5"/>
      <c r="Y228" s="5"/>
      <c r="Z228" s="5"/>
    </row>
    <row r="229" ht="15.75" customHeight="1">
      <c r="A229" s="40" t="s">
        <v>606</v>
      </c>
      <c r="B229" s="36" t="s">
        <v>607</v>
      </c>
      <c r="C229" s="36" t="s">
        <v>171</v>
      </c>
      <c r="D229" s="36" t="s">
        <v>579</v>
      </c>
      <c r="E229" s="41">
        <v>0.25</v>
      </c>
      <c r="F229" s="5"/>
      <c r="G229" s="5"/>
      <c r="H229" s="5"/>
      <c r="I229" s="5"/>
      <c r="J229" s="5"/>
      <c r="K229" s="5"/>
      <c r="L229" s="5"/>
      <c r="M229" s="5"/>
      <c r="N229" s="5"/>
      <c r="O229" s="5"/>
      <c r="P229" s="5"/>
      <c r="Q229" s="5"/>
      <c r="R229" s="5"/>
      <c r="S229" s="5"/>
      <c r="T229" s="5"/>
      <c r="U229" s="5"/>
      <c r="V229" s="5"/>
      <c r="W229" s="5"/>
      <c r="X229" s="5"/>
      <c r="Y229" s="5"/>
      <c r="Z229" s="5"/>
    </row>
    <row r="230" ht="15.75" customHeight="1">
      <c r="A230" s="40" t="s">
        <v>606</v>
      </c>
      <c r="B230" s="36" t="s">
        <v>607</v>
      </c>
      <c r="C230" s="36" t="s">
        <v>174</v>
      </c>
      <c r="D230" s="36" t="s">
        <v>580</v>
      </c>
      <c r="E230" s="41">
        <v>0.05</v>
      </c>
      <c r="F230" s="5"/>
      <c r="G230" s="5"/>
      <c r="H230" s="5"/>
      <c r="I230" s="5"/>
      <c r="J230" s="5"/>
      <c r="K230" s="5"/>
      <c r="L230" s="5"/>
      <c r="M230" s="5"/>
      <c r="N230" s="5"/>
      <c r="O230" s="5"/>
      <c r="P230" s="5"/>
      <c r="Q230" s="5"/>
      <c r="R230" s="5"/>
      <c r="S230" s="5"/>
      <c r="T230" s="5"/>
      <c r="U230" s="5"/>
      <c r="V230" s="5"/>
      <c r="W230" s="5"/>
      <c r="X230" s="5"/>
      <c r="Y230" s="5"/>
      <c r="Z230" s="5"/>
    </row>
    <row r="231" ht="15.75" customHeight="1">
      <c r="A231" s="40" t="s">
        <v>606</v>
      </c>
      <c r="B231" s="36" t="s">
        <v>607</v>
      </c>
      <c r="C231" s="36" t="s">
        <v>162</v>
      </c>
      <c r="D231" s="36" t="s">
        <v>581</v>
      </c>
      <c r="E231" s="41">
        <v>0.6</v>
      </c>
      <c r="F231" s="5"/>
      <c r="G231" s="5"/>
      <c r="H231" s="5"/>
      <c r="I231" s="5"/>
      <c r="J231" s="5"/>
      <c r="K231" s="5"/>
      <c r="L231" s="5"/>
      <c r="M231" s="5"/>
      <c r="N231" s="5"/>
      <c r="O231" s="5"/>
      <c r="P231" s="5"/>
      <c r="Q231" s="5"/>
      <c r="R231" s="5"/>
      <c r="S231" s="5"/>
      <c r="T231" s="5"/>
      <c r="U231" s="5"/>
      <c r="V231" s="5"/>
      <c r="W231" s="5"/>
      <c r="X231" s="5"/>
      <c r="Y231" s="5"/>
      <c r="Z231" s="5"/>
    </row>
    <row r="232" ht="15.75" customHeight="1">
      <c r="A232" s="40" t="s">
        <v>606</v>
      </c>
      <c r="B232" s="36" t="s">
        <v>607</v>
      </c>
      <c r="C232" s="36" t="s">
        <v>193</v>
      </c>
      <c r="D232" s="36" t="s">
        <v>582</v>
      </c>
      <c r="E232" s="41">
        <v>0.55</v>
      </c>
      <c r="F232" s="5"/>
      <c r="G232" s="5"/>
      <c r="H232" s="5"/>
      <c r="I232" s="5"/>
      <c r="J232" s="5"/>
      <c r="K232" s="5"/>
      <c r="L232" s="5"/>
      <c r="M232" s="5"/>
      <c r="N232" s="5"/>
      <c r="O232" s="5"/>
      <c r="P232" s="5"/>
      <c r="Q232" s="5"/>
      <c r="R232" s="5"/>
      <c r="S232" s="5"/>
      <c r="T232" s="5"/>
      <c r="U232" s="5"/>
      <c r="V232" s="5"/>
      <c r="W232" s="5"/>
      <c r="X232" s="5"/>
      <c r="Y232" s="5"/>
      <c r="Z232" s="5"/>
    </row>
    <row r="233" ht="15.75" customHeight="1">
      <c r="A233" s="40" t="s">
        <v>608</v>
      </c>
      <c r="B233" s="36" t="s">
        <v>609</v>
      </c>
      <c r="C233" s="36" t="s">
        <v>107</v>
      </c>
      <c r="D233" s="36" t="s">
        <v>560</v>
      </c>
      <c r="E233" s="41">
        <v>0.25</v>
      </c>
      <c r="F233" s="5"/>
      <c r="G233" s="5"/>
      <c r="H233" s="5"/>
      <c r="I233" s="5"/>
      <c r="J233" s="5"/>
      <c r="K233" s="5"/>
      <c r="L233" s="5"/>
      <c r="M233" s="5"/>
      <c r="N233" s="5"/>
      <c r="O233" s="5"/>
      <c r="P233" s="5"/>
      <c r="Q233" s="5"/>
      <c r="R233" s="5"/>
      <c r="S233" s="5"/>
      <c r="T233" s="5"/>
      <c r="U233" s="5"/>
      <c r="V233" s="5"/>
      <c r="W233" s="5"/>
      <c r="X233" s="5"/>
      <c r="Y233" s="5"/>
      <c r="Z233" s="5"/>
    </row>
    <row r="234" ht="15.75" customHeight="1">
      <c r="A234" s="40" t="s">
        <v>608</v>
      </c>
      <c r="B234" s="36" t="s">
        <v>609</v>
      </c>
      <c r="C234" s="36" t="s">
        <v>117</v>
      </c>
      <c r="D234" s="36" t="s">
        <v>562</v>
      </c>
      <c r="E234" s="41">
        <v>0.75</v>
      </c>
      <c r="F234" s="5"/>
      <c r="G234" s="5"/>
      <c r="H234" s="5"/>
      <c r="I234" s="5"/>
      <c r="J234" s="5"/>
      <c r="K234" s="5"/>
      <c r="L234" s="5"/>
      <c r="M234" s="5"/>
      <c r="N234" s="5"/>
      <c r="O234" s="5"/>
      <c r="P234" s="5"/>
      <c r="Q234" s="5"/>
      <c r="R234" s="5"/>
      <c r="S234" s="5"/>
      <c r="T234" s="5"/>
      <c r="U234" s="5"/>
      <c r="V234" s="5"/>
      <c r="W234" s="5"/>
      <c r="X234" s="5"/>
      <c r="Y234" s="5"/>
      <c r="Z234" s="5"/>
    </row>
    <row r="235" ht="15.75" customHeight="1">
      <c r="A235" s="40" t="s">
        <v>608</v>
      </c>
      <c r="B235" s="36" t="s">
        <v>609</v>
      </c>
      <c r="C235" s="36" t="s">
        <v>120</v>
      </c>
      <c r="D235" s="36" t="s">
        <v>563</v>
      </c>
      <c r="E235" s="41">
        <v>0.4</v>
      </c>
      <c r="F235" s="5"/>
      <c r="G235" s="5"/>
      <c r="H235" s="5"/>
      <c r="I235" s="5"/>
      <c r="J235" s="5"/>
      <c r="K235" s="5"/>
      <c r="L235" s="5"/>
      <c r="M235" s="5"/>
      <c r="N235" s="5"/>
      <c r="O235" s="5"/>
      <c r="P235" s="5"/>
      <c r="Q235" s="5"/>
      <c r="R235" s="5"/>
      <c r="S235" s="5"/>
      <c r="T235" s="5"/>
      <c r="U235" s="5"/>
      <c r="V235" s="5"/>
      <c r="W235" s="5"/>
      <c r="X235" s="5"/>
      <c r="Y235" s="5"/>
      <c r="Z235" s="5"/>
    </row>
    <row r="236" ht="15.75" customHeight="1">
      <c r="A236" s="40" t="s">
        <v>608</v>
      </c>
      <c r="B236" s="36" t="s">
        <v>609</v>
      </c>
      <c r="C236" s="36" t="s">
        <v>129</v>
      </c>
      <c r="D236" s="36" t="s">
        <v>564</v>
      </c>
      <c r="E236" s="41">
        <v>0.7</v>
      </c>
      <c r="F236" s="5"/>
      <c r="G236" s="5"/>
      <c r="H236" s="5"/>
      <c r="I236" s="5"/>
      <c r="J236" s="5"/>
      <c r="K236" s="5"/>
      <c r="L236" s="5"/>
      <c r="M236" s="5"/>
      <c r="N236" s="5"/>
      <c r="O236" s="5"/>
      <c r="P236" s="5"/>
      <c r="Q236" s="5"/>
      <c r="R236" s="5"/>
      <c r="S236" s="5"/>
      <c r="T236" s="5"/>
      <c r="U236" s="5"/>
      <c r="V236" s="5"/>
      <c r="W236" s="5"/>
      <c r="X236" s="5"/>
      <c r="Y236" s="5"/>
      <c r="Z236" s="5"/>
    </row>
    <row r="237" ht="15.75" customHeight="1">
      <c r="A237" s="40" t="s">
        <v>608</v>
      </c>
      <c r="B237" s="36" t="s">
        <v>609</v>
      </c>
      <c r="C237" s="36" t="s">
        <v>136</v>
      </c>
      <c r="D237" s="36" t="s">
        <v>565</v>
      </c>
      <c r="E237" s="41">
        <v>0.3</v>
      </c>
      <c r="F237" s="5"/>
      <c r="G237" s="5"/>
      <c r="H237" s="5"/>
      <c r="I237" s="5"/>
      <c r="J237" s="5"/>
      <c r="K237" s="5"/>
      <c r="L237" s="5"/>
      <c r="M237" s="5"/>
      <c r="N237" s="5"/>
      <c r="O237" s="5"/>
      <c r="P237" s="5"/>
      <c r="Q237" s="5"/>
      <c r="R237" s="5"/>
      <c r="S237" s="5"/>
      <c r="T237" s="5"/>
      <c r="U237" s="5"/>
      <c r="V237" s="5"/>
      <c r="W237" s="5"/>
      <c r="X237" s="5"/>
      <c r="Y237" s="5"/>
      <c r="Z237" s="5"/>
    </row>
    <row r="238" ht="15.75" customHeight="1">
      <c r="A238" s="40" t="s">
        <v>608</v>
      </c>
      <c r="B238" s="36" t="s">
        <v>609</v>
      </c>
      <c r="C238" s="36" t="s">
        <v>139</v>
      </c>
      <c r="D238" s="36" t="s">
        <v>566</v>
      </c>
      <c r="E238" s="41">
        <v>0.25</v>
      </c>
      <c r="F238" s="5"/>
      <c r="G238" s="5"/>
      <c r="H238" s="5"/>
      <c r="I238" s="5"/>
      <c r="J238" s="5"/>
      <c r="K238" s="5"/>
      <c r="L238" s="5"/>
      <c r="M238" s="5"/>
      <c r="N238" s="5"/>
      <c r="O238" s="5"/>
      <c r="P238" s="5"/>
      <c r="Q238" s="5"/>
      <c r="R238" s="5"/>
      <c r="S238" s="5"/>
      <c r="T238" s="5"/>
      <c r="U238" s="5"/>
      <c r="V238" s="5"/>
      <c r="W238" s="5"/>
      <c r="X238" s="5"/>
      <c r="Y238" s="5"/>
      <c r="Z238" s="5"/>
    </row>
    <row r="239" ht="15.75" customHeight="1">
      <c r="A239" s="40" t="s">
        <v>608</v>
      </c>
      <c r="B239" s="36" t="s">
        <v>609</v>
      </c>
      <c r="C239" s="36" t="s">
        <v>149</v>
      </c>
      <c r="D239" s="36" t="s">
        <v>567</v>
      </c>
      <c r="E239" s="41">
        <v>0.2</v>
      </c>
      <c r="F239" s="5"/>
      <c r="G239" s="5"/>
      <c r="H239" s="5"/>
      <c r="I239" s="5"/>
      <c r="J239" s="5"/>
      <c r="K239" s="5"/>
      <c r="L239" s="5"/>
      <c r="M239" s="5"/>
      <c r="N239" s="5"/>
      <c r="O239" s="5"/>
      <c r="P239" s="5"/>
      <c r="Q239" s="5"/>
      <c r="R239" s="5"/>
      <c r="S239" s="5"/>
      <c r="T239" s="5"/>
      <c r="U239" s="5"/>
      <c r="V239" s="5"/>
      <c r="W239" s="5"/>
      <c r="X239" s="5"/>
      <c r="Y239" s="5"/>
      <c r="Z239" s="5"/>
    </row>
    <row r="240" ht="15.75" customHeight="1">
      <c r="A240" s="40" t="s">
        <v>608</v>
      </c>
      <c r="B240" s="36" t="s">
        <v>609</v>
      </c>
      <c r="C240" s="36" t="s">
        <v>146</v>
      </c>
      <c r="D240" s="36" t="s">
        <v>568</v>
      </c>
      <c r="E240" s="41">
        <v>0.25</v>
      </c>
      <c r="F240" s="5"/>
      <c r="G240" s="5"/>
      <c r="H240" s="5"/>
      <c r="I240" s="5"/>
      <c r="J240" s="5"/>
      <c r="K240" s="5"/>
      <c r="L240" s="5"/>
      <c r="M240" s="5"/>
      <c r="N240" s="5"/>
      <c r="O240" s="5"/>
      <c r="P240" s="5"/>
      <c r="Q240" s="5"/>
      <c r="R240" s="5"/>
      <c r="S240" s="5"/>
      <c r="T240" s="5"/>
      <c r="U240" s="5"/>
      <c r="V240" s="5"/>
      <c r="W240" s="5"/>
      <c r="X240" s="5"/>
      <c r="Y240" s="5"/>
      <c r="Z240" s="5"/>
    </row>
    <row r="241" ht="15.75" customHeight="1">
      <c r="A241" s="40" t="s">
        <v>608</v>
      </c>
      <c r="B241" s="36" t="s">
        <v>609</v>
      </c>
      <c r="C241" s="36" t="s">
        <v>143</v>
      </c>
      <c r="D241" s="36" t="s">
        <v>569</v>
      </c>
      <c r="E241" s="41">
        <v>0.15</v>
      </c>
      <c r="F241" s="5"/>
      <c r="G241" s="5"/>
      <c r="H241" s="5"/>
      <c r="I241" s="5"/>
      <c r="J241" s="5"/>
      <c r="K241" s="5"/>
      <c r="L241" s="5"/>
      <c r="M241" s="5"/>
      <c r="N241" s="5"/>
      <c r="O241" s="5"/>
      <c r="P241" s="5"/>
      <c r="Q241" s="5"/>
      <c r="R241" s="5"/>
      <c r="S241" s="5"/>
      <c r="T241" s="5"/>
      <c r="U241" s="5"/>
      <c r="V241" s="5"/>
      <c r="W241" s="5"/>
      <c r="X241" s="5"/>
      <c r="Y241" s="5"/>
      <c r="Z241" s="5"/>
    </row>
    <row r="242" ht="15.75" customHeight="1">
      <c r="A242" s="40" t="s">
        <v>608</v>
      </c>
      <c r="B242" s="36" t="s">
        <v>609</v>
      </c>
      <c r="C242" s="36" t="s">
        <v>185</v>
      </c>
      <c r="D242" s="36" t="s">
        <v>571</v>
      </c>
      <c r="E242" s="41">
        <v>0.85</v>
      </c>
      <c r="F242" s="5"/>
      <c r="G242" s="5"/>
      <c r="H242" s="5"/>
      <c r="I242" s="5"/>
      <c r="J242" s="5"/>
      <c r="K242" s="5"/>
      <c r="L242" s="5"/>
      <c r="M242" s="5"/>
      <c r="N242" s="5"/>
      <c r="O242" s="5"/>
      <c r="P242" s="5"/>
      <c r="Q242" s="5"/>
      <c r="R242" s="5"/>
      <c r="S242" s="5"/>
      <c r="T242" s="5"/>
      <c r="U242" s="5"/>
      <c r="V242" s="5"/>
      <c r="W242" s="5"/>
      <c r="X242" s="5"/>
      <c r="Y242" s="5"/>
      <c r="Z242" s="5"/>
    </row>
    <row r="243" ht="15.75" customHeight="1">
      <c r="A243" s="40" t="s">
        <v>608</v>
      </c>
      <c r="B243" s="36" t="s">
        <v>609</v>
      </c>
      <c r="C243" s="36" t="s">
        <v>179</v>
      </c>
      <c r="D243" s="36" t="s">
        <v>572</v>
      </c>
      <c r="E243" s="41">
        <v>0.45</v>
      </c>
      <c r="F243" s="5"/>
      <c r="G243" s="5"/>
      <c r="H243" s="5"/>
      <c r="I243" s="5"/>
      <c r="J243" s="5"/>
      <c r="K243" s="5"/>
      <c r="L243" s="5"/>
      <c r="M243" s="5"/>
      <c r="N243" s="5"/>
      <c r="O243" s="5"/>
      <c r="P243" s="5"/>
      <c r="Q243" s="5"/>
      <c r="R243" s="5"/>
      <c r="S243" s="5"/>
      <c r="T243" s="5"/>
      <c r="U243" s="5"/>
      <c r="V243" s="5"/>
      <c r="W243" s="5"/>
      <c r="X243" s="5"/>
      <c r="Y243" s="5"/>
      <c r="Z243" s="5"/>
    </row>
    <row r="244" ht="15.75" customHeight="1">
      <c r="A244" s="40" t="s">
        <v>608</v>
      </c>
      <c r="B244" s="36" t="s">
        <v>609</v>
      </c>
      <c r="C244" s="36" t="s">
        <v>182</v>
      </c>
      <c r="D244" s="36" t="s">
        <v>573</v>
      </c>
      <c r="E244" s="41">
        <v>0.2</v>
      </c>
      <c r="F244" s="5"/>
      <c r="G244" s="5"/>
      <c r="H244" s="5"/>
      <c r="I244" s="5"/>
      <c r="J244" s="5"/>
      <c r="K244" s="5"/>
      <c r="L244" s="5"/>
      <c r="M244" s="5"/>
      <c r="N244" s="5"/>
      <c r="O244" s="5"/>
      <c r="P244" s="5"/>
      <c r="Q244" s="5"/>
      <c r="R244" s="5"/>
      <c r="S244" s="5"/>
      <c r="T244" s="5"/>
      <c r="U244" s="5"/>
      <c r="V244" s="5"/>
      <c r="W244" s="5"/>
      <c r="X244" s="5"/>
      <c r="Y244" s="5"/>
      <c r="Z244" s="5"/>
    </row>
    <row r="245" ht="15.75" customHeight="1">
      <c r="A245" s="40" t="s">
        <v>608</v>
      </c>
      <c r="B245" s="36" t="s">
        <v>609</v>
      </c>
      <c r="C245" s="36" t="s">
        <v>190</v>
      </c>
      <c r="D245" s="36" t="s">
        <v>574</v>
      </c>
      <c r="E245" s="41">
        <v>0.2</v>
      </c>
      <c r="F245" s="5"/>
      <c r="G245" s="5"/>
      <c r="H245" s="5"/>
      <c r="I245" s="5"/>
      <c r="J245" s="5"/>
      <c r="K245" s="5"/>
      <c r="L245" s="5"/>
      <c r="M245" s="5"/>
      <c r="N245" s="5"/>
      <c r="O245" s="5"/>
      <c r="P245" s="5"/>
      <c r="Q245" s="5"/>
      <c r="R245" s="5"/>
      <c r="S245" s="5"/>
      <c r="T245" s="5"/>
      <c r="U245" s="5"/>
      <c r="V245" s="5"/>
      <c r="W245" s="5"/>
      <c r="X245" s="5"/>
      <c r="Y245" s="5"/>
      <c r="Z245" s="5"/>
    </row>
    <row r="246" ht="15.75" customHeight="1">
      <c r="A246" s="40" t="s">
        <v>608</v>
      </c>
      <c r="B246" s="36" t="s">
        <v>609</v>
      </c>
      <c r="C246" s="36" t="s">
        <v>196</v>
      </c>
      <c r="D246" s="36" t="s">
        <v>575</v>
      </c>
      <c r="E246" s="41">
        <v>0.35</v>
      </c>
      <c r="F246" s="5"/>
      <c r="G246" s="5"/>
      <c r="H246" s="5"/>
      <c r="I246" s="5"/>
      <c r="J246" s="5"/>
      <c r="K246" s="5"/>
      <c r="L246" s="5"/>
      <c r="M246" s="5"/>
      <c r="N246" s="5"/>
      <c r="O246" s="5"/>
      <c r="P246" s="5"/>
      <c r="Q246" s="5"/>
      <c r="R246" s="5"/>
      <c r="S246" s="5"/>
      <c r="T246" s="5"/>
      <c r="U246" s="5"/>
      <c r="V246" s="5"/>
      <c r="W246" s="5"/>
      <c r="X246" s="5"/>
      <c r="Y246" s="5"/>
      <c r="Z246" s="5"/>
    </row>
    <row r="247" ht="15.75" customHeight="1">
      <c r="A247" s="40" t="s">
        <v>608</v>
      </c>
      <c r="B247" s="36" t="s">
        <v>609</v>
      </c>
      <c r="C247" s="36" t="s">
        <v>157</v>
      </c>
      <c r="D247" s="36" t="s">
        <v>576</v>
      </c>
      <c r="E247" s="41">
        <v>0.25</v>
      </c>
      <c r="F247" s="5"/>
      <c r="G247" s="5"/>
      <c r="H247" s="5"/>
      <c r="I247" s="5"/>
      <c r="J247" s="5"/>
      <c r="K247" s="5"/>
      <c r="L247" s="5"/>
      <c r="M247" s="5"/>
      <c r="N247" s="5"/>
      <c r="O247" s="5"/>
      <c r="P247" s="5"/>
      <c r="Q247" s="5"/>
      <c r="R247" s="5"/>
      <c r="S247" s="5"/>
      <c r="T247" s="5"/>
      <c r="U247" s="5"/>
      <c r="V247" s="5"/>
      <c r="W247" s="5"/>
      <c r="X247" s="5"/>
      <c r="Y247" s="5"/>
      <c r="Z247" s="5"/>
    </row>
    <row r="248" ht="15.75" customHeight="1">
      <c r="A248" s="40" t="s">
        <v>608</v>
      </c>
      <c r="B248" s="36" t="s">
        <v>609</v>
      </c>
      <c r="C248" s="36" t="s">
        <v>165</v>
      </c>
      <c r="D248" s="36" t="s">
        <v>577</v>
      </c>
      <c r="E248" s="41">
        <v>0.45</v>
      </c>
      <c r="F248" s="5"/>
      <c r="G248" s="5"/>
      <c r="H248" s="5"/>
      <c r="I248" s="5"/>
      <c r="J248" s="5"/>
      <c r="K248" s="5"/>
      <c r="L248" s="5"/>
      <c r="M248" s="5"/>
      <c r="N248" s="5"/>
      <c r="O248" s="5"/>
      <c r="P248" s="5"/>
      <c r="Q248" s="5"/>
      <c r="R248" s="5"/>
      <c r="S248" s="5"/>
      <c r="T248" s="5"/>
      <c r="U248" s="5"/>
      <c r="V248" s="5"/>
      <c r="W248" s="5"/>
      <c r="X248" s="5"/>
      <c r="Y248" s="5"/>
      <c r="Z248" s="5"/>
    </row>
    <row r="249" ht="15.75" customHeight="1">
      <c r="A249" s="40" t="s">
        <v>608</v>
      </c>
      <c r="B249" s="36" t="s">
        <v>609</v>
      </c>
      <c r="C249" s="36" t="s">
        <v>168</v>
      </c>
      <c r="D249" s="36" t="s">
        <v>578</v>
      </c>
      <c r="E249" s="41">
        <v>0.5</v>
      </c>
      <c r="F249" s="5"/>
      <c r="G249" s="5"/>
      <c r="H249" s="5"/>
      <c r="I249" s="5"/>
      <c r="J249" s="5"/>
      <c r="K249" s="5"/>
      <c r="L249" s="5"/>
      <c r="M249" s="5"/>
      <c r="N249" s="5"/>
      <c r="O249" s="5"/>
      <c r="P249" s="5"/>
      <c r="Q249" s="5"/>
      <c r="R249" s="5"/>
      <c r="S249" s="5"/>
      <c r="T249" s="5"/>
      <c r="U249" s="5"/>
      <c r="V249" s="5"/>
      <c r="W249" s="5"/>
      <c r="X249" s="5"/>
      <c r="Y249" s="5"/>
      <c r="Z249" s="5"/>
    </row>
    <row r="250" ht="15.75" customHeight="1">
      <c r="A250" s="40" t="s">
        <v>608</v>
      </c>
      <c r="B250" s="36" t="s">
        <v>609</v>
      </c>
      <c r="C250" s="36" t="s">
        <v>171</v>
      </c>
      <c r="D250" s="36" t="s">
        <v>579</v>
      </c>
      <c r="E250" s="41">
        <v>0.1</v>
      </c>
      <c r="F250" s="5"/>
      <c r="G250" s="5"/>
      <c r="H250" s="5"/>
      <c r="I250" s="5"/>
      <c r="J250" s="5"/>
      <c r="K250" s="5"/>
      <c r="L250" s="5"/>
      <c r="M250" s="5"/>
      <c r="N250" s="5"/>
      <c r="O250" s="5"/>
      <c r="P250" s="5"/>
      <c r="Q250" s="5"/>
      <c r="R250" s="5"/>
      <c r="S250" s="5"/>
      <c r="T250" s="5"/>
      <c r="U250" s="5"/>
      <c r="V250" s="5"/>
      <c r="W250" s="5"/>
      <c r="X250" s="5"/>
      <c r="Y250" s="5"/>
      <c r="Z250" s="5"/>
    </row>
    <row r="251" ht="15.75" customHeight="1">
      <c r="A251" s="40" t="s">
        <v>608</v>
      </c>
      <c r="B251" s="36" t="s">
        <v>609</v>
      </c>
      <c r="C251" s="36" t="s">
        <v>174</v>
      </c>
      <c r="D251" s="36" t="s">
        <v>580</v>
      </c>
      <c r="E251" s="41">
        <v>0.15</v>
      </c>
      <c r="F251" s="5"/>
      <c r="G251" s="5"/>
      <c r="H251" s="5"/>
      <c r="I251" s="5"/>
      <c r="J251" s="5"/>
      <c r="K251" s="5"/>
      <c r="L251" s="5"/>
      <c r="M251" s="5"/>
      <c r="N251" s="5"/>
      <c r="O251" s="5"/>
      <c r="P251" s="5"/>
      <c r="Q251" s="5"/>
      <c r="R251" s="5"/>
      <c r="S251" s="5"/>
      <c r="T251" s="5"/>
      <c r="U251" s="5"/>
      <c r="V251" s="5"/>
      <c r="W251" s="5"/>
      <c r="X251" s="5"/>
      <c r="Y251" s="5"/>
      <c r="Z251" s="5"/>
    </row>
    <row r="252" ht="15.75" customHeight="1">
      <c r="A252" s="40" t="s">
        <v>608</v>
      </c>
      <c r="B252" s="36" t="s">
        <v>609</v>
      </c>
      <c r="C252" s="36" t="s">
        <v>162</v>
      </c>
      <c r="D252" s="36" t="s">
        <v>581</v>
      </c>
      <c r="E252" s="41">
        <v>0.92</v>
      </c>
      <c r="F252" s="5"/>
      <c r="G252" s="5"/>
      <c r="H252" s="5"/>
      <c r="I252" s="5"/>
      <c r="J252" s="5"/>
      <c r="K252" s="5"/>
      <c r="L252" s="5"/>
      <c r="M252" s="5"/>
      <c r="N252" s="5"/>
      <c r="O252" s="5"/>
      <c r="P252" s="5"/>
      <c r="Q252" s="5"/>
      <c r="R252" s="5"/>
      <c r="S252" s="5"/>
      <c r="T252" s="5"/>
      <c r="U252" s="5"/>
      <c r="V252" s="5"/>
      <c r="W252" s="5"/>
      <c r="X252" s="5"/>
      <c r="Y252" s="5"/>
      <c r="Z252" s="5"/>
    </row>
    <row r="253" ht="15.75" customHeight="1">
      <c r="A253" s="40" t="s">
        <v>608</v>
      </c>
      <c r="B253" s="36" t="s">
        <v>609</v>
      </c>
      <c r="C253" s="36" t="s">
        <v>193</v>
      </c>
      <c r="D253" s="36" t="s">
        <v>582</v>
      </c>
      <c r="E253" s="41">
        <v>0.82</v>
      </c>
      <c r="F253" s="5"/>
      <c r="G253" s="5"/>
      <c r="H253" s="5"/>
      <c r="I253" s="5"/>
      <c r="J253" s="5"/>
      <c r="K253" s="5"/>
      <c r="L253" s="5"/>
      <c r="M253" s="5"/>
      <c r="N253" s="5"/>
      <c r="O253" s="5"/>
      <c r="P253" s="5"/>
      <c r="Q253" s="5"/>
      <c r="R253" s="5"/>
      <c r="S253" s="5"/>
      <c r="T253" s="5"/>
      <c r="U253" s="5"/>
      <c r="V253" s="5"/>
      <c r="W253" s="5"/>
      <c r="X253" s="5"/>
      <c r="Y253" s="5"/>
      <c r="Z253" s="5"/>
    </row>
    <row r="254" ht="15.75" customHeight="1">
      <c r="A254" s="40" t="s">
        <v>610</v>
      </c>
      <c r="B254" s="36" t="s">
        <v>611</v>
      </c>
      <c r="C254" s="36" t="s">
        <v>107</v>
      </c>
      <c r="D254" s="36" t="s">
        <v>560</v>
      </c>
      <c r="E254" s="41">
        <v>0.45</v>
      </c>
      <c r="F254" s="5"/>
      <c r="G254" s="5"/>
      <c r="H254" s="5"/>
      <c r="I254" s="5"/>
      <c r="J254" s="5"/>
      <c r="K254" s="5"/>
      <c r="L254" s="5"/>
      <c r="M254" s="5"/>
      <c r="N254" s="5"/>
      <c r="O254" s="5"/>
      <c r="P254" s="5"/>
      <c r="Q254" s="5"/>
      <c r="R254" s="5"/>
      <c r="S254" s="5"/>
      <c r="T254" s="5"/>
      <c r="U254" s="5"/>
      <c r="V254" s="5"/>
      <c r="W254" s="5"/>
      <c r="X254" s="5"/>
      <c r="Y254" s="5"/>
      <c r="Z254" s="5"/>
    </row>
    <row r="255" ht="15.75" customHeight="1">
      <c r="A255" s="40" t="s">
        <v>610</v>
      </c>
      <c r="B255" s="36" t="s">
        <v>611</v>
      </c>
      <c r="C255" s="36" t="s">
        <v>117</v>
      </c>
      <c r="D255" s="36" t="s">
        <v>562</v>
      </c>
      <c r="E255" s="41">
        <v>0.45</v>
      </c>
      <c r="F255" s="5"/>
      <c r="G255" s="5"/>
      <c r="H255" s="5"/>
      <c r="I255" s="5"/>
      <c r="J255" s="5"/>
      <c r="K255" s="5"/>
      <c r="L255" s="5"/>
      <c r="M255" s="5"/>
      <c r="N255" s="5"/>
      <c r="O255" s="5"/>
      <c r="P255" s="5"/>
      <c r="Q255" s="5"/>
      <c r="R255" s="5"/>
      <c r="S255" s="5"/>
      <c r="T255" s="5"/>
      <c r="U255" s="5"/>
      <c r="V255" s="5"/>
      <c r="W255" s="5"/>
      <c r="X255" s="5"/>
      <c r="Y255" s="5"/>
      <c r="Z255" s="5"/>
    </row>
    <row r="256" ht="15.75" customHeight="1">
      <c r="A256" s="40" t="s">
        <v>610</v>
      </c>
      <c r="B256" s="36" t="s">
        <v>611</v>
      </c>
      <c r="C256" s="36" t="s">
        <v>120</v>
      </c>
      <c r="D256" s="36" t="s">
        <v>563</v>
      </c>
      <c r="E256" s="41">
        <v>0.75</v>
      </c>
      <c r="F256" s="5"/>
      <c r="G256" s="5"/>
      <c r="H256" s="5"/>
      <c r="I256" s="5"/>
      <c r="J256" s="5"/>
      <c r="K256" s="5"/>
      <c r="L256" s="5"/>
      <c r="M256" s="5"/>
      <c r="N256" s="5"/>
      <c r="O256" s="5"/>
      <c r="P256" s="5"/>
      <c r="Q256" s="5"/>
      <c r="R256" s="5"/>
      <c r="S256" s="5"/>
      <c r="T256" s="5"/>
      <c r="U256" s="5"/>
      <c r="V256" s="5"/>
      <c r="W256" s="5"/>
      <c r="X256" s="5"/>
      <c r="Y256" s="5"/>
      <c r="Z256" s="5"/>
    </row>
    <row r="257" ht="15.75" customHeight="1">
      <c r="A257" s="40" t="s">
        <v>610</v>
      </c>
      <c r="B257" s="36" t="s">
        <v>611</v>
      </c>
      <c r="C257" s="36" t="s">
        <v>129</v>
      </c>
      <c r="D257" s="36" t="s">
        <v>564</v>
      </c>
      <c r="E257" s="41">
        <v>0.35</v>
      </c>
      <c r="F257" s="5"/>
      <c r="G257" s="5"/>
      <c r="H257" s="5"/>
      <c r="I257" s="5"/>
      <c r="J257" s="5"/>
      <c r="K257" s="5"/>
      <c r="L257" s="5"/>
      <c r="M257" s="5"/>
      <c r="N257" s="5"/>
      <c r="O257" s="5"/>
      <c r="P257" s="5"/>
      <c r="Q257" s="5"/>
      <c r="R257" s="5"/>
      <c r="S257" s="5"/>
      <c r="T257" s="5"/>
      <c r="U257" s="5"/>
      <c r="V257" s="5"/>
      <c r="W257" s="5"/>
      <c r="X257" s="5"/>
      <c r="Y257" s="5"/>
      <c r="Z257" s="5"/>
    </row>
    <row r="258" ht="15.75" customHeight="1">
      <c r="A258" s="40" t="s">
        <v>610</v>
      </c>
      <c r="B258" s="36" t="s">
        <v>611</v>
      </c>
      <c r="C258" s="36" t="s">
        <v>136</v>
      </c>
      <c r="D258" s="36" t="s">
        <v>565</v>
      </c>
      <c r="E258" s="41">
        <v>0.5</v>
      </c>
      <c r="F258" s="5"/>
      <c r="G258" s="5"/>
      <c r="H258" s="5"/>
      <c r="I258" s="5"/>
      <c r="J258" s="5"/>
      <c r="K258" s="5"/>
      <c r="L258" s="5"/>
      <c r="M258" s="5"/>
      <c r="N258" s="5"/>
      <c r="O258" s="5"/>
      <c r="P258" s="5"/>
      <c r="Q258" s="5"/>
      <c r="R258" s="5"/>
      <c r="S258" s="5"/>
      <c r="T258" s="5"/>
      <c r="U258" s="5"/>
      <c r="V258" s="5"/>
      <c r="W258" s="5"/>
      <c r="X258" s="5"/>
      <c r="Y258" s="5"/>
      <c r="Z258" s="5"/>
    </row>
    <row r="259" ht="15.75" customHeight="1">
      <c r="A259" s="40" t="s">
        <v>610</v>
      </c>
      <c r="B259" s="36" t="s">
        <v>611</v>
      </c>
      <c r="C259" s="36" t="s">
        <v>139</v>
      </c>
      <c r="D259" s="36" t="s">
        <v>566</v>
      </c>
      <c r="E259" s="41">
        <v>0.3</v>
      </c>
      <c r="F259" s="5"/>
      <c r="G259" s="5"/>
      <c r="H259" s="5"/>
      <c r="I259" s="5"/>
      <c r="J259" s="5"/>
      <c r="K259" s="5"/>
      <c r="L259" s="5"/>
      <c r="M259" s="5"/>
      <c r="N259" s="5"/>
      <c r="O259" s="5"/>
      <c r="P259" s="5"/>
      <c r="Q259" s="5"/>
      <c r="R259" s="5"/>
      <c r="S259" s="5"/>
      <c r="T259" s="5"/>
      <c r="U259" s="5"/>
      <c r="V259" s="5"/>
      <c r="W259" s="5"/>
      <c r="X259" s="5"/>
      <c r="Y259" s="5"/>
      <c r="Z259" s="5"/>
    </row>
    <row r="260" ht="15.75" customHeight="1">
      <c r="A260" s="40" t="s">
        <v>610</v>
      </c>
      <c r="B260" s="36" t="s">
        <v>611</v>
      </c>
      <c r="C260" s="36" t="s">
        <v>149</v>
      </c>
      <c r="D260" s="36" t="s">
        <v>567</v>
      </c>
      <c r="E260" s="41">
        <v>0.3</v>
      </c>
      <c r="F260" s="5"/>
      <c r="G260" s="5"/>
      <c r="H260" s="5"/>
      <c r="I260" s="5"/>
      <c r="J260" s="5"/>
      <c r="K260" s="5"/>
      <c r="L260" s="5"/>
      <c r="M260" s="5"/>
      <c r="N260" s="5"/>
      <c r="O260" s="5"/>
      <c r="P260" s="5"/>
      <c r="Q260" s="5"/>
      <c r="R260" s="5"/>
      <c r="S260" s="5"/>
      <c r="T260" s="5"/>
      <c r="U260" s="5"/>
      <c r="V260" s="5"/>
      <c r="W260" s="5"/>
      <c r="X260" s="5"/>
      <c r="Y260" s="5"/>
      <c r="Z260" s="5"/>
    </row>
    <row r="261" ht="15.75" customHeight="1">
      <c r="A261" s="40" t="s">
        <v>610</v>
      </c>
      <c r="B261" s="36" t="s">
        <v>611</v>
      </c>
      <c r="C261" s="36" t="s">
        <v>146</v>
      </c>
      <c r="D261" s="36" t="s">
        <v>568</v>
      </c>
      <c r="E261" s="41">
        <v>0.15</v>
      </c>
      <c r="F261" s="5"/>
      <c r="G261" s="5"/>
      <c r="H261" s="5"/>
      <c r="I261" s="5"/>
      <c r="J261" s="5"/>
      <c r="K261" s="5"/>
      <c r="L261" s="5"/>
      <c r="M261" s="5"/>
      <c r="N261" s="5"/>
      <c r="O261" s="5"/>
      <c r="P261" s="5"/>
      <c r="Q261" s="5"/>
      <c r="R261" s="5"/>
      <c r="S261" s="5"/>
      <c r="T261" s="5"/>
      <c r="U261" s="5"/>
      <c r="V261" s="5"/>
      <c r="W261" s="5"/>
      <c r="X261" s="5"/>
      <c r="Y261" s="5"/>
      <c r="Z261" s="5"/>
    </row>
    <row r="262" ht="15.75" customHeight="1">
      <c r="A262" s="40" t="s">
        <v>610</v>
      </c>
      <c r="B262" s="36" t="s">
        <v>611</v>
      </c>
      <c r="C262" s="36" t="s">
        <v>143</v>
      </c>
      <c r="D262" s="36" t="s">
        <v>569</v>
      </c>
      <c r="E262" s="41">
        <v>0.35</v>
      </c>
      <c r="F262" s="5"/>
      <c r="G262" s="5"/>
      <c r="H262" s="5"/>
      <c r="I262" s="5"/>
      <c r="J262" s="5"/>
      <c r="K262" s="5"/>
      <c r="L262" s="5"/>
      <c r="M262" s="5"/>
      <c r="N262" s="5"/>
      <c r="O262" s="5"/>
      <c r="P262" s="5"/>
      <c r="Q262" s="5"/>
      <c r="R262" s="5"/>
      <c r="S262" s="5"/>
      <c r="T262" s="5"/>
      <c r="U262" s="5"/>
      <c r="V262" s="5"/>
      <c r="W262" s="5"/>
      <c r="X262" s="5"/>
      <c r="Y262" s="5"/>
      <c r="Z262" s="5"/>
    </row>
    <row r="263" ht="15.75" customHeight="1">
      <c r="A263" s="40" t="s">
        <v>610</v>
      </c>
      <c r="B263" s="36" t="s">
        <v>611</v>
      </c>
      <c r="C263" s="36" t="s">
        <v>185</v>
      </c>
      <c r="D263" s="36" t="s">
        <v>571</v>
      </c>
      <c r="E263" s="41">
        <v>0.3</v>
      </c>
      <c r="F263" s="5"/>
      <c r="G263" s="5"/>
      <c r="H263" s="5"/>
      <c r="I263" s="5"/>
      <c r="J263" s="5"/>
      <c r="K263" s="5"/>
      <c r="L263" s="5"/>
      <c r="M263" s="5"/>
      <c r="N263" s="5"/>
      <c r="O263" s="5"/>
      <c r="P263" s="5"/>
      <c r="Q263" s="5"/>
      <c r="R263" s="5"/>
      <c r="S263" s="5"/>
      <c r="T263" s="5"/>
      <c r="U263" s="5"/>
      <c r="V263" s="5"/>
      <c r="W263" s="5"/>
      <c r="X263" s="5"/>
      <c r="Y263" s="5"/>
      <c r="Z263" s="5"/>
    </row>
    <row r="264" ht="15.75" customHeight="1">
      <c r="A264" s="40" t="s">
        <v>610</v>
      </c>
      <c r="B264" s="36" t="s">
        <v>611</v>
      </c>
      <c r="C264" s="36" t="s">
        <v>179</v>
      </c>
      <c r="D264" s="36" t="s">
        <v>572</v>
      </c>
      <c r="E264" s="41">
        <v>0.55</v>
      </c>
      <c r="F264" s="5"/>
      <c r="G264" s="5"/>
      <c r="H264" s="5"/>
      <c r="I264" s="5"/>
      <c r="J264" s="5"/>
      <c r="K264" s="5"/>
      <c r="L264" s="5"/>
      <c r="M264" s="5"/>
      <c r="N264" s="5"/>
      <c r="O264" s="5"/>
      <c r="P264" s="5"/>
      <c r="Q264" s="5"/>
      <c r="R264" s="5"/>
      <c r="S264" s="5"/>
      <c r="T264" s="5"/>
      <c r="U264" s="5"/>
      <c r="V264" s="5"/>
      <c r="W264" s="5"/>
      <c r="X264" s="5"/>
      <c r="Y264" s="5"/>
      <c r="Z264" s="5"/>
    </row>
    <row r="265" ht="15.75" customHeight="1">
      <c r="A265" s="40" t="s">
        <v>610</v>
      </c>
      <c r="B265" s="36" t="s">
        <v>611</v>
      </c>
      <c r="C265" s="36" t="s">
        <v>182</v>
      </c>
      <c r="D265" s="36" t="s">
        <v>573</v>
      </c>
      <c r="E265" s="41">
        <v>0.75</v>
      </c>
      <c r="F265" s="5"/>
      <c r="G265" s="5"/>
      <c r="H265" s="5"/>
      <c r="I265" s="5"/>
      <c r="J265" s="5"/>
      <c r="K265" s="5"/>
      <c r="L265" s="5"/>
      <c r="M265" s="5"/>
      <c r="N265" s="5"/>
      <c r="O265" s="5"/>
      <c r="P265" s="5"/>
      <c r="Q265" s="5"/>
      <c r="R265" s="5"/>
      <c r="S265" s="5"/>
      <c r="T265" s="5"/>
      <c r="U265" s="5"/>
      <c r="V265" s="5"/>
      <c r="W265" s="5"/>
      <c r="X265" s="5"/>
      <c r="Y265" s="5"/>
      <c r="Z265" s="5"/>
    </row>
    <row r="266" ht="15.75" customHeight="1">
      <c r="A266" s="40" t="s">
        <v>610</v>
      </c>
      <c r="B266" s="36" t="s">
        <v>611</v>
      </c>
      <c r="C266" s="36" t="s">
        <v>190</v>
      </c>
      <c r="D266" s="36" t="s">
        <v>574</v>
      </c>
      <c r="E266" s="41">
        <v>0.4</v>
      </c>
      <c r="F266" s="5"/>
      <c r="G266" s="5"/>
      <c r="H266" s="5"/>
      <c r="I266" s="5"/>
      <c r="J266" s="5"/>
      <c r="K266" s="5"/>
      <c r="L266" s="5"/>
      <c r="M266" s="5"/>
      <c r="N266" s="5"/>
      <c r="O266" s="5"/>
      <c r="P266" s="5"/>
      <c r="Q266" s="5"/>
      <c r="R266" s="5"/>
      <c r="S266" s="5"/>
      <c r="T266" s="5"/>
      <c r="U266" s="5"/>
      <c r="V266" s="5"/>
      <c r="W266" s="5"/>
      <c r="X266" s="5"/>
      <c r="Y266" s="5"/>
      <c r="Z266" s="5"/>
    </row>
    <row r="267" ht="15.75" customHeight="1">
      <c r="A267" s="40" t="s">
        <v>610</v>
      </c>
      <c r="B267" s="36" t="s">
        <v>611</v>
      </c>
      <c r="C267" s="36" t="s">
        <v>196</v>
      </c>
      <c r="D267" s="36" t="s">
        <v>575</v>
      </c>
      <c r="E267" s="41">
        <v>0.15</v>
      </c>
      <c r="F267" s="5"/>
      <c r="G267" s="5"/>
      <c r="H267" s="5"/>
      <c r="I267" s="5"/>
      <c r="J267" s="5"/>
      <c r="K267" s="5"/>
      <c r="L267" s="5"/>
      <c r="M267" s="5"/>
      <c r="N267" s="5"/>
      <c r="O267" s="5"/>
      <c r="P267" s="5"/>
      <c r="Q267" s="5"/>
      <c r="R267" s="5"/>
      <c r="S267" s="5"/>
      <c r="T267" s="5"/>
      <c r="U267" s="5"/>
      <c r="V267" s="5"/>
      <c r="W267" s="5"/>
      <c r="X267" s="5"/>
      <c r="Y267" s="5"/>
      <c r="Z267" s="5"/>
    </row>
    <row r="268" ht="15.75" customHeight="1">
      <c r="A268" s="40" t="s">
        <v>610</v>
      </c>
      <c r="B268" s="36" t="s">
        <v>611</v>
      </c>
      <c r="C268" s="36" t="s">
        <v>157</v>
      </c>
      <c r="D268" s="36" t="s">
        <v>576</v>
      </c>
      <c r="E268" s="41">
        <v>0.55</v>
      </c>
      <c r="F268" s="5"/>
      <c r="G268" s="5"/>
      <c r="H268" s="5"/>
      <c r="I268" s="5"/>
      <c r="J268" s="5"/>
      <c r="K268" s="5"/>
      <c r="L268" s="5"/>
      <c r="M268" s="5"/>
      <c r="N268" s="5"/>
      <c r="O268" s="5"/>
      <c r="P268" s="5"/>
      <c r="Q268" s="5"/>
      <c r="R268" s="5"/>
      <c r="S268" s="5"/>
      <c r="T268" s="5"/>
      <c r="U268" s="5"/>
      <c r="V268" s="5"/>
      <c r="W268" s="5"/>
      <c r="X268" s="5"/>
      <c r="Y268" s="5"/>
      <c r="Z268" s="5"/>
    </row>
    <row r="269" ht="15.75" customHeight="1">
      <c r="A269" s="40" t="s">
        <v>610</v>
      </c>
      <c r="B269" s="36" t="s">
        <v>611</v>
      </c>
      <c r="C269" s="36" t="s">
        <v>165</v>
      </c>
      <c r="D269" s="36" t="s">
        <v>577</v>
      </c>
      <c r="E269" s="41">
        <v>0.25</v>
      </c>
      <c r="F269" s="5"/>
      <c r="G269" s="5"/>
      <c r="H269" s="5"/>
      <c r="I269" s="5"/>
      <c r="J269" s="5"/>
      <c r="K269" s="5"/>
      <c r="L269" s="5"/>
      <c r="M269" s="5"/>
      <c r="N269" s="5"/>
      <c r="O269" s="5"/>
      <c r="P269" s="5"/>
      <c r="Q269" s="5"/>
      <c r="R269" s="5"/>
      <c r="S269" s="5"/>
      <c r="T269" s="5"/>
      <c r="U269" s="5"/>
      <c r="V269" s="5"/>
      <c r="W269" s="5"/>
      <c r="X269" s="5"/>
      <c r="Y269" s="5"/>
      <c r="Z269" s="5"/>
    </row>
    <row r="270" ht="15.75" customHeight="1">
      <c r="A270" s="40" t="s">
        <v>610</v>
      </c>
      <c r="B270" s="36" t="s">
        <v>611</v>
      </c>
      <c r="C270" s="36" t="s">
        <v>168</v>
      </c>
      <c r="D270" s="36" t="s">
        <v>578</v>
      </c>
      <c r="E270" s="41">
        <v>0.25</v>
      </c>
      <c r="F270" s="5"/>
      <c r="G270" s="5"/>
      <c r="H270" s="5"/>
      <c r="I270" s="5"/>
      <c r="J270" s="5"/>
      <c r="K270" s="5"/>
      <c r="L270" s="5"/>
      <c r="M270" s="5"/>
      <c r="N270" s="5"/>
      <c r="O270" s="5"/>
      <c r="P270" s="5"/>
      <c r="Q270" s="5"/>
      <c r="R270" s="5"/>
      <c r="S270" s="5"/>
      <c r="T270" s="5"/>
      <c r="U270" s="5"/>
      <c r="V270" s="5"/>
      <c r="W270" s="5"/>
      <c r="X270" s="5"/>
      <c r="Y270" s="5"/>
      <c r="Z270" s="5"/>
    </row>
    <row r="271" ht="15.75" customHeight="1">
      <c r="A271" s="40" t="s">
        <v>610</v>
      </c>
      <c r="B271" s="36" t="s">
        <v>611</v>
      </c>
      <c r="C271" s="36" t="s">
        <v>171</v>
      </c>
      <c r="D271" s="36" t="s">
        <v>579</v>
      </c>
      <c r="E271" s="41">
        <v>0.55</v>
      </c>
      <c r="F271" s="5"/>
      <c r="G271" s="5"/>
      <c r="H271" s="5"/>
      <c r="I271" s="5"/>
      <c r="J271" s="5"/>
      <c r="K271" s="5"/>
      <c r="L271" s="5"/>
      <c r="M271" s="5"/>
      <c r="N271" s="5"/>
      <c r="O271" s="5"/>
      <c r="P271" s="5"/>
      <c r="Q271" s="5"/>
      <c r="R271" s="5"/>
      <c r="S271" s="5"/>
      <c r="T271" s="5"/>
      <c r="U271" s="5"/>
      <c r="V271" s="5"/>
      <c r="W271" s="5"/>
      <c r="X271" s="5"/>
      <c r="Y271" s="5"/>
      <c r="Z271" s="5"/>
    </row>
    <row r="272" ht="15.75" customHeight="1">
      <c r="A272" s="40" t="s">
        <v>610</v>
      </c>
      <c r="B272" s="36" t="s">
        <v>611</v>
      </c>
      <c r="C272" s="36" t="s">
        <v>174</v>
      </c>
      <c r="D272" s="36" t="s">
        <v>580</v>
      </c>
      <c r="E272" s="41">
        <v>0.1</v>
      </c>
      <c r="F272" s="5"/>
      <c r="G272" s="5"/>
      <c r="H272" s="5"/>
      <c r="I272" s="5"/>
      <c r="J272" s="5"/>
      <c r="K272" s="5"/>
      <c r="L272" s="5"/>
      <c r="M272" s="5"/>
      <c r="N272" s="5"/>
      <c r="O272" s="5"/>
      <c r="P272" s="5"/>
      <c r="Q272" s="5"/>
      <c r="R272" s="5"/>
      <c r="S272" s="5"/>
      <c r="T272" s="5"/>
      <c r="U272" s="5"/>
      <c r="V272" s="5"/>
      <c r="W272" s="5"/>
      <c r="X272" s="5"/>
      <c r="Y272" s="5"/>
      <c r="Z272" s="5"/>
    </row>
    <row r="273" ht="15.75" customHeight="1">
      <c r="A273" s="40" t="s">
        <v>610</v>
      </c>
      <c r="B273" s="36" t="s">
        <v>611</v>
      </c>
      <c r="C273" s="36" t="s">
        <v>162</v>
      </c>
      <c r="D273" s="36" t="s">
        <v>581</v>
      </c>
      <c r="E273" s="41">
        <v>0.35</v>
      </c>
      <c r="F273" s="5"/>
      <c r="G273" s="5"/>
      <c r="H273" s="5"/>
      <c r="I273" s="5"/>
      <c r="J273" s="5"/>
      <c r="K273" s="5"/>
      <c r="L273" s="5"/>
      <c r="M273" s="5"/>
      <c r="N273" s="5"/>
      <c r="O273" s="5"/>
      <c r="P273" s="5"/>
      <c r="Q273" s="5"/>
      <c r="R273" s="5"/>
      <c r="S273" s="5"/>
      <c r="T273" s="5"/>
      <c r="U273" s="5"/>
      <c r="V273" s="5"/>
      <c r="W273" s="5"/>
      <c r="X273" s="5"/>
      <c r="Y273" s="5"/>
      <c r="Z273" s="5"/>
    </row>
    <row r="274" ht="15.75" customHeight="1">
      <c r="A274" s="40" t="s">
        <v>610</v>
      </c>
      <c r="B274" s="36" t="s">
        <v>611</v>
      </c>
      <c r="C274" s="36" t="s">
        <v>193</v>
      </c>
      <c r="D274" s="36" t="s">
        <v>582</v>
      </c>
      <c r="E274" s="41">
        <v>0.4</v>
      </c>
      <c r="F274" s="5"/>
      <c r="G274" s="5"/>
      <c r="H274" s="5"/>
      <c r="I274" s="5"/>
      <c r="J274" s="5"/>
      <c r="K274" s="5"/>
      <c r="L274" s="5"/>
      <c r="M274" s="5"/>
      <c r="N274" s="5"/>
      <c r="O274" s="5"/>
      <c r="P274" s="5"/>
      <c r="Q274" s="5"/>
      <c r="R274" s="5"/>
      <c r="S274" s="5"/>
      <c r="T274" s="5"/>
      <c r="U274" s="5"/>
      <c r="V274" s="5"/>
      <c r="W274" s="5"/>
      <c r="X274" s="5"/>
      <c r="Y274" s="5"/>
      <c r="Z274" s="5"/>
    </row>
    <row r="275" ht="15.75" customHeight="1">
      <c r="A275" s="40" t="s">
        <v>612</v>
      </c>
      <c r="B275" s="36" t="s">
        <v>613</v>
      </c>
      <c r="C275" s="36" t="s">
        <v>107</v>
      </c>
      <c r="D275" s="36" t="s">
        <v>560</v>
      </c>
      <c r="E275" s="41">
        <v>0.1</v>
      </c>
      <c r="F275" s="5"/>
      <c r="G275" s="5"/>
      <c r="H275" s="5"/>
      <c r="I275" s="5"/>
      <c r="J275" s="5"/>
      <c r="K275" s="5"/>
      <c r="L275" s="5"/>
      <c r="M275" s="5"/>
      <c r="N275" s="5"/>
      <c r="O275" s="5"/>
      <c r="P275" s="5"/>
      <c r="Q275" s="5"/>
      <c r="R275" s="5"/>
      <c r="S275" s="5"/>
      <c r="T275" s="5"/>
      <c r="U275" s="5"/>
      <c r="V275" s="5"/>
      <c r="W275" s="5"/>
      <c r="X275" s="5"/>
      <c r="Y275" s="5"/>
      <c r="Z275" s="5"/>
    </row>
    <row r="276" ht="15.75" customHeight="1">
      <c r="A276" s="40" t="s">
        <v>612</v>
      </c>
      <c r="B276" s="36" t="s">
        <v>613</v>
      </c>
      <c r="C276" s="36" t="s">
        <v>117</v>
      </c>
      <c r="D276" s="36" t="s">
        <v>562</v>
      </c>
      <c r="E276" s="41">
        <v>0.55</v>
      </c>
      <c r="F276" s="5"/>
      <c r="G276" s="5"/>
      <c r="H276" s="5"/>
      <c r="I276" s="5"/>
      <c r="J276" s="5"/>
      <c r="K276" s="5"/>
      <c r="L276" s="5"/>
      <c r="M276" s="5"/>
      <c r="N276" s="5"/>
      <c r="O276" s="5"/>
      <c r="P276" s="5"/>
      <c r="Q276" s="5"/>
      <c r="R276" s="5"/>
      <c r="S276" s="5"/>
      <c r="T276" s="5"/>
      <c r="U276" s="5"/>
      <c r="V276" s="5"/>
      <c r="W276" s="5"/>
      <c r="X276" s="5"/>
      <c r="Y276" s="5"/>
      <c r="Z276" s="5"/>
    </row>
    <row r="277" ht="15.75" customHeight="1">
      <c r="A277" s="40" t="s">
        <v>612</v>
      </c>
      <c r="B277" s="36" t="s">
        <v>613</v>
      </c>
      <c r="C277" s="36" t="s">
        <v>120</v>
      </c>
      <c r="D277" s="36" t="s">
        <v>563</v>
      </c>
      <c r="E277" s="41">
        <v>0.5</v>
      </c>
      <c r="F277" s="5"/>
      <c r="G277" s="5"/>
      <c r="H277" s="5"/>
      <c r="I277" s="5"/>
      <c r="J277" s="5"/>
      <c r="K277" s="5"/>
      <c r="L277" s="5"/>
      <c r="M277" s="5"/>
      <c r="N277" s="5"/>
      <c r="O277" s="5"/>
      <c r="P277" s="5"/>
      <c r="Q277" s="5"/>
      <c r="R277" s="5"/>
      <c r="S277" s="5"/>
      <c r="T277" s="5"/>
      <c r="U277" s="5"/>
      <c r="V277" s="5"/>
      <c r="W277" s="5"/>
      <c r="X277" s="5"/>
      <c r="Y277" s="5"/>
      <c r="Z277" s="5"/>
    </row>
    <row r="278" ht="15.75" customHeight="1">
      <c r="A278" s="40" t="s">
        <v>612</v>
      </c>
      <c r="B278" s="36" t="s">
        <v>613</v>
      </c>
      <c r="C278" s="36" t="s">
        <v>129</v>
      </c>
      <c r="D278" s="36" t="s">
        <v>564</v>
      </c>
      <c r="E278" s="41">
        <v>0.55</v>
      </c>
      <c r="F278" s="5"/>
      <c r="G278" s="5"/>
      <c r="H278" s="5"/>
      <c r="I278" s="5"/>
      <c r="J278" s="5"/>
      <c r="K278" s="5"/>
      <c r="L278" s="5"/>
      <c r="M278" s="5"/>
      <c r="N278" s="5"/>
      <c r="O278" s="5"/>
      <c r="P278" s="5"/>
      <c r="Q278" s="5"/>
      <c r="R278" s="5"/>
      <c r="S278" s="5"/>
      <c r="T278" s="5"/>
      <c r="U278" s="5"/>
      <c r="V278" s="5"/>
      <c r="W278" s="5"/>
      <c r="X278" s="5"/>
      <c r="Y278" s="5"/>
      <c r="Z278" s="5"/>
    </row>
    <row r="279" ht="15.75" customHeight="1">
      <c r="A279" s="40" t="s">
        <v>612</v>
      </c>
      <c r="B279" s="36" t="s">
        <v>613</v>
      </c>
      <c r="C279" s="36" t="s">
        <v>136</v>
      </c>
      <c r="D279" s="36" t="s">
        <v>565</v>
      </c>
      <c r="E279" s="41">
        <v>0.1</v>
      </c>
      <c r="F279" s="5"/>
      <c r="G279" s="5"/>
      <c r="H279" s="5"/>
      <c r="I279" s="5"/>
      <c r="J279" s="5"/>
      <c r="K279" s="5"/>
      <c r="L279" s="5"/>
      <c r="M279" s="5"/>
      <c r="N279" s="5"/>
      <c r="O279" s="5"/>
      <c r="P279" s="5"/>
      <c r="Q279" s="5"/>
      <c r="R279" s="5"/>
      <c r="S279" s="5"/>
      <c r="T279" s="5"/>
      <c r="U279" s="5"/>
      <c r="V279" s="5"/>
      <c r="W279" s="5"/>
      <c r="X279" s="5"/>
      <c r="Y279" s="5"/>
      <c r="Z279" s="5"/>
    </row>
    <row r="280" ht="15.75" customHeight="1">
      <c r="A280" s="40" t="s">
        <v>612</v>
      </c>
      <c r="B280" s="36" t="s">
        <v>613</v>
      </c>
      <c r="C280" s="36" t="s">
        <v>139</v>
      </c>
      <c r="D280" s="36" t="s">
        <v>566</v>
      </c>
      <c r="E280" s="41">
        <v>0.1</v>
      </c>
      <c r="F280" s="5"/>
      <c r="G280" s="5"/>
      <c r="H280" s="5"/>
      <c r="I280" s="5"/>
      <c r="J280" s="5"/>
      <c r="K280" s="5"/>
      <c r="L280" s="5"/>
      <c r="M280" s="5"/>
      <c r="N280" s="5"/>
      <c r="O280" s="5"/>
      <c r="P280" s="5"/>
      <c r="Q280" s="5"/>
      <c r="R280" s="5"/>
      <c r="S280" s="5"/>
      <c r="T280" s="5"/>
      <c r="U280" s="5"/>
      <c r="V280" s="5"/>
      <c r="W280" s="5"/>
      <c r="X280" s="5"/>
      <c r="Y280" s="5"/>
      <c r="Z280" s="5"/>
    </row>
    <row r="281" ht="15.75" customHeight="1">
      <c r="A281" s="40" t="s">
        <v>612</v>
      </c>
      <c r="B281" s="36" t="s">
        <v>613</v>
      </c>
      <c r="C281" s="36" t="s">
        <v>149</v>
      </c>
      <c r="D281" s="36" t="s">
        <v>567</v>
      </c>
      <c r="E281" s="41">
        <v>0.1</v>
      </c>
      <c r="F281" s="5"/>
      <c r="G281" s="5"/>
      <c r="H281" s="5"/>
      <c r="I281" s="5"/>
      <c r="J281" s="5"/>
      <c r="K281" s="5"/>
      <c r="L281" s="5"/>
      <c r="M281" s="5"/>
      <c r="N281" s="5"/>
      <c r="O281" s="5"/>
      <c r="P281" s="5"/>
      <c r="Q281" s="5"/>
      <c r="R281" s="5"/>
      <c r="S281" s="5"/>
      <c r="T281" s="5"/>
      <c r="U281" s="5"/>
      <c r="V281" s="5"/>
      <c r="W281" s="5"/>
      <c r="X281" s="5"/>
      <c r="Y281" s="5"/>
      <c r="Z281" s="5"/>
    </row>
    <row r="282" ht="15.75" customHeight="1">
      <c r="A282" s="40" t="s">
        <v>612</v>
      </c>
      <c r="B282" s="36" t="s">
        <v>613</v>
      </c>
      <c r="C282" s="36" t="s">
        <v>146</v>
      </c>
      <c r="D282" s="36" t="s">
        <v>568</v>
      </c>
      <c r="E282" s="41">
        <v>0.2</v>
      </c>
      <c r="F282" s="5"/>
      <c r="G282" s="5"/>
      <c r="H282" s="5"/>
      <c r="I282" s="5"/>
      <c r="J282" s="5"/>
      <c r="K282" s="5"/>
      <c r="L282" s="5"/>
      <c r="M282" s="5"/>
      <c r="N282" s="5"/>
      <c r="O282" s="5"/>
      <c r="P282" s="5"/>
      <c r="Q282" s="5"/>
      <c r="R282" s="5"/>
      <c r="S282" s="5"/>
      <c r="T282" s="5"/>
      <c r="U282" s="5"/>
      <c r="V282" s="5"/>
      <c r="W282" s="5"/>
      <c r="X282" s="5"/>
      <c r="Y282" s="5"/>
      <c r="Z282" s="5"/>
    </row>
    <row r="283" ht="15.75" customHeight="1">
      <c r="A283" s="40" t="s">
        <v>612</v>
      </c>
      <c r="B283" s="36" t="s">
        <v>613</v>
      </c>
      <c r="C283" s="36" t="s">
        <v>143</v>
      </c>
      <c r="D283" s="36" t="s">
        <v>569</v>
      </c>
      <c r="E283" s="41">
        <v>0.05</v>
      </c>
      <c r="F283" s="5"/>
      <c r="G283" s="5"/>
      <c r="H283" s="5"/>
      <c r="I283" s="5"/>
      <c r="J283" s="5"/>
      <c r="K283" s="5"/>
      <c r="L283" s="5"/>
      <c r="M283" s="5"/>
      <c r="N283" s="5"/>
      <c r="O283" s="5"/>
      <c r="P283" s="5"/>
      <c r="Q283" s="5"/>
      <c r="R283" s="5"/>
      <c r="S283" s="5"/>
      <c r="T283" s="5"/>
      <c r="U283" s="5"/>
      <c r="V283" s="5"/>
      <c r="W283" s="5"/>
      <c r="X283" s="5"/>
      <c r="Y283" s="5"/>
      <c r="Z283" s="5"/>
    </row>
    <row r="284" ht="15.75" customHeight="1">
      <c r="A284" s="40" t="s">
        <v>612</v>
      </c>
      <c r="B284" s="36" t="s">
        <v>613</v>
      </c>
      <c r="C284" s="36" t="s">
        <v>185</v>
      </c>
      <c r="D284" s="36" t="s">
        <v>571</v>
      </c>
      <c r="E284" s="41">
        <v>0.2</v>
      </c>
      <c r="F284" s="5"/>
      <c r="G284" s="5"/>
      <c r="H284" s="5"/>
      <c r="I284" s="5"/>
      <c r="J284" s="5"/>
      <c r="K284" s="5"/>
      <c r="L284" s="5"/>
      <c r="M284" s="5"/>
      <c r="N284" s="5"/>
      <c r="O284" s="5"/>
      <c r="P284" s="5"/>
      <c r="Q284" s="5"/>
      <c r="R284" s="5"/>
      <c r="S284" s="5"/>
      <c r="T284" s="5"/>
      <c r="U284" s="5"/>
      <c r="V284" s="5"/>
      <c r="W284" s="5"/>
      <c r="X284" s="5"/>
      <c r="Y284" s="5"/>
      <c r="Z284" s="5"/>
    </row>
    <row r="285" ht="15.75" customHeight="1">
      <c r="A285" s="40" t="s">
        <v>612</v>
      </c>
      <c r="B285" s="36" t="s">
        <v>613</v>
      </c>
      <c r="C285" s="36" t="s">
        <v>179</v>
      </c>
      <c r="D285" s="36" t="s">
        <v>572</v>
      </c>
      <c r="E285" s="41">
        <v>0.15</v>
      </c>
      <c r="F285" s="5"/>
      <c r="G285" s="5"/>
      <c r="H285" s="5"/>
      <c r="I285" s="5"/>
      <c r="J285" s="5"/>
      <c r="K285" s="5"/>
      <c r="L285" s="5"/>
      <c r="M285" s="5"/>
      <c r="N285" s="5"/>
      <c r="O285" s="5"/>
      <c r="P285" s="5"/>
      <c r="Q285" s="5"/>
      <c r="R285" s="5"/>
      <c r="S285" s="5"/>
      <c r="T285" s="5"/>
      <c r="U285" s="5"/>
      <c r="V285" s="5"/>
      <c r="W285" s="5"/>
      <c r="X285" s="5"/>
      <c r="Y285" s="5"/>
      <c r="Z285" s="5"/>
    </row>
    <row r="286" ht="15.75" customHeight="1">
      <c r="A286" s="40" t="s">
        <v>612</v>
      </c>
      <c r="B286" s="36" t="s">
        <v>613</v>
      </c>
      <c r="C286" s="36" t="s">
        <v>182</v>
      </c>
      <c r="D286" s="36" t="s">
        <v>573</v>
      </c>
      <c r="E286" s="41">
        <v>0.35</v>
      </c>
      <c r="F286" s="5"/>
      <c r="G286" s="5"/>
      <c r="H286" s="5"/>
      <c r="I286" s="5"/>
      <c r="J286" s="5"/>
      <c r="K286" s="5"/>
      <c r="L286" s="5"/>
      <c r="M286" s="5"/>
      <c r="N286" s="5"/>
      <c r="O286" s="5"/>
      <c r="P286" s="5"/>
      <c r="Q286" s="5"/>
      <c r="R286" s="5"/>
      <c r="S286" s="5"/>
      <c r="T286" s="5"/>
      <c r="U286" s="5"/>
      <c r="V286" s="5"/>
      <c r="W286" s="5"/>
      <c r="X286" s="5"/>
      <c r="Y286" s="5"/>
      <c r="Z286" s="5"/>
    </row>
    <row r="287" ht="15.75" customHeight="1">
      <c r="A287" s="40" t="s">
        <v>612</v>
      </c>
      <c r="B287" s="36" t="s">
        <v>613</v>
      </c>
      <c r="C287" s="36" t="s">
        <v>190</v>
      </c>
      <c r="D287" s="36" t="s">
        <v>574</v>
      </c>
      <c r="E287" s="41">
        <v>0.15</v>
      </c>
      <c r="F287" s="5"/>
      <c r="G287" s="5"/>
      <c r="H287" s="5"/>
      <c r="I287" s="5"/>
      <c r="J287" s="5"/>
      <c r="K287" s="5"/>
      <c r="L287" s="5"/>
      <c r="M287" s="5"/>
      <c r="N287" s="5"/>
      <c r="O287" s="5"/>
      <c r="P287" s="5"/>
      <c r="Q287" s="5"/>
      <c r="R287" s="5"/>
      <c r="S287" s="5"/>
      <c r="T287" s="5"/>
      <c r="U287" s="5"/>
      <c r="V287" s="5"/>
      <c r="W287" s="5"/>
      <c r="X287" s="5"/>
      <c r="Y287" s="5"/>
      <c r="Z287" s="5"/>
    </row>
    <row r="288" ht="15.75" customHeight="1">
      <c r="A288" s="40" t="s">
        <v>612</v>
      </c>
      <c r="B288" s="36" t="s">
        <v>613</v>
      </c>
      <c r="C288" s="36" t="s">
        <v>196</v>
      </c>
      <c r="D288" s="36" t="s">
        <v>575</v>
      </c>
      <c r="E288" s="41">
        <v>0.2</v>
      </c>
      <c r="F288" s="5"/>
      <c r="G288" s="5"/>
      <c r="H288" s="5"/>
      <c r="I288" s="5"/>
      <c r="J288" s="5"/>
      <c r="K288" s="5"/>
      <c r="L288" s="5"/>
      <c r="M288" s="5"/>
      <c r="N288" s="5"/>
      <c r="O288" s="5"/>
      <c r="P288" s="5"/>
      <c r="Q288" s="5"/>
      <c r="R288" s="5"/>
      <c r="S288" s="5"/>
      <c r="T288" s="5"/>
      <c r="U288" s="5"/>
      <c r="V288" s="5"/>
      <c r="W288" s="5"/>
      <c r="X288" s="5"/>
      <c r="Y288" s="5"/>
      <c r="Z288" s="5"/>
    </row>
    <row r="289" ht="15.75" customHeight="1">
      <c r="A289" s="40" t="s">
        <v>612</v>
      </c>
      <c r="B289" s="36" t="s">
        <v>613</v>
      </c>
      <c r="C289" s="36" t="s">
        <v>157</v>
      </c>
      <c r="D289" s="36" t="s">
        <v>576</v>
      </c>
      <c r="E289" s="41">
        <v>0.2</v>
      </c>
      <c r="F289" s="5"/>
      <c r="G289" s="5"/>
      <c r="H289" s="5"/>
      <c r="I289" s="5"/>
      <c r="J289" s="5"/>
      <c r="K289" s="5"/>
      <c r="L289" s="5"/>
      <c r="M289" s="5"/>
      <c r="N289" s="5"/>
      <c r="O289" s="5"/>
      <c r="P289" s="5"/>
      <c r="Q289" s="5"/>
      <c r="R289" s="5"/>
      <c r="S289" s="5"/>
      <c r="T289" s="5"/>
      <c r="U289" s="5"/>
      <c r="V289" s="5"/>
      <c r="W289" s="5"/>
      <c r="X289" s="5"/>
      <c r="Y289" s="5"/>
      <c r="Z289" s="5"/>
    </row>
    <row r="290" ht="15.75" customHeight="1">
      <c r="A290" s="40" t="s">
        <v>612</v>
      </c>
      <c r="B290" s="36" t="s">
        <v>613</v>
      </c>
      <c r="C290" s="36" t="s">
        <v>165</v>
      </c>
      <c r="D290" s="36" t="s">
        <v>577</v>
      </c>
      <c r="E290" s="41">
        <v>0.2</v>
      </c>
      <c r="F290" s="5"/>
      <c r="G290" s="5"/>
      <c r="H290" s="5"/>
      <c r="I290" s="5"/>
      <c r="J290" s="5"/>
      <c r="K290" s="5"/>
      <c r="L290" s="5"/>
      <c r="M290" s="5"/>
      <c r="N290" s="5"/>
      <c r="O290" s="5"/>
      <c r="P290" s="5"/>
      <c r="Q290" s="5"/>
      <c r="R290" s="5"/>
      <c r="S290" s="5"/>
      <c r="T290" s="5"/>
      <c r="U290" s="5"/>
      <c r="V290" s="5"/>
      <c r="W290" s="5"/>
      <c r="X290" s="5"/>
      <c r="Y290" s="5"/>
      <c r="Z290" s="5"/>
    </row>
    <row r="291" ht="15.75" customHeight="1">
      <c r="A291" s="40" t="s">
        <v>612</v>
      </c>
      <c r="B291" s="36" t="s">
        <v>613</v>
      </c>
      <c r="C291" s="36" t="s">
        <v>168</v>
      </c>
      <c r="D291" s="36" t="s">
        <v>578</v>
      </c>
      <c r="E291" s="41">
        <v>0.95</v>
      </c>
      <c r="F291" s="5"/>
      <c r="G291" s="5"/>
      <c r="H291" s="5"/>
      <c r="I291" s="5"/>
      <c r="J291" s="5"/>
      <c r="K291" s="5"/>
      <c r="L291" s="5"/>
      <c r="M291" s="5"/>
      <c r="N291" s="5"/>
      <c r="O291" s="5"/>
      <c r="P291" s="5"/>
      <c r="Q291" s="5"/>
      <c r="R291" s="5"/>
      <c r="S291" s="5"/>
      <c r="T291" s="5"/>
      <c r="U291" s="5"/>
      <c r="V291" s="5"/>
      <c r="W291" s="5"/>
      <c r="X291" s="5"/>
      <c r="Y291" s="5"/>
      <c r="Z291" s="5"/>
    </row>
    <row r="292" ht="15.75" customHeight="1">
      <c r="A292" s="40" t="s">
        <v>612</v>
      </c>
      <c r="B292" s="36" t="s">
        <v>613</v>
      </c>
      <c r="C292" s="36" t="s">
        <v>171</v>
      </c>
      <c r="D292" s="36" t="s">
        <v>579</v>
      </c>
      <c r="E292" s="41">
        <v>0.75</v>
      </c>
      <c r="F292" s="5"/>
      <c r="G292" s="5"/>
      <c r="H292" s="5"/>
      <c r="I292" s="5"/>
      <c r="J292" s="5"/>
      <c r="K292" s="5"/>
      <c r="L292" s="5"/>
      <c r="M292" s="5"/>
      <c r="N292" s="5"/>
      <c r="O292" s="5"/>
      <c r="P292" s="5"/>
      <c r="Q292" s="5"/>
      <c r="R292" s="5"/>
      <c r="S292" s="5"/>
      <c r="T292" s="5"/>
      <c r="U292" s="5"/>
      <c r="V292" s="5"/>
      <c r="W292" s="5"/>
      <c r="X292" s="5"/>
      <c r="Y292" s="5"/>
      <c r="Z292" s="5"/>
    </row>
    <row r="293" ht="15.75" customHeight="1">
      <c r="A293" s="40" t="s">
        <v>612</v>
      </c>
      <c r="B293" s="36" t="s">
        <v>613</v>
      </c>
      <c r="C293" s="36" t="s">
        <v>174</v>
      </c>
      <c r="D293" s="36" t="s">
        <v>580</v>
      </c>
      <c r="E293" s="41">
        <v>0.05</v>
      </c>
      <c r="F293" s="5"/>
      <c r="G293" s="5"/>
      <c r="H293" s="5"/>
      <c r="I293" s="5"/>
      <c r="J293" s="5"/>
      <c r="K293" s="5"/>
      <c r="L293" s="5"/>
      <c r="M293" s="5"/>
      <c r="N293" s="5"/>
      <c r="O293" s="5"/>
      <c r="P293" s="5"/>
      <c r="Q293" s="5"/>
      <c r="R293" s="5"/>
      <c r="S293" s="5"/>
      <c r="T293" s="5"/>
      <c r="U293" s="5"/>
      <c r="V293" s="5"/>
      <c r="W293" s="5"/>
      <c r="X293" s="5"/>
      <c r="Y293" s="5"/>
      <c r="Z293" s="5"/>
    </row>
    <row r="294" ht="15.75" customHeight="1">
      <c r="A294" s="40" t="s">
        <v>612</v>
      </c>
      <c r="B294" s="36" t="s">
        <v>613</v>
      </c>
      <c r="C294" s="36" t="s">
        <v>162</v>
      </c>
      <c r="D294" s="36" t="s">
        <v>581</v>
      </c>
      <c r="E294" s="41">
        <v>0.15</v>
      </c>
      <c r="F294" s="5"/>
      <c r="G294" s="5"/>
      <c r="H294" s="5"/>
      <c r="I294" s="5"/>
      <c r="J294" s="5"/>
      <c r="K294" s="5"/>
      <c r="L294" s="5"/>
      <c r="M294" s="5"/>
      <c r="N294" s="5"/>
      <c r="O294" s="5"/>
      <c r="P294" s="5"/>
      <c r="Q294" s="5"/>
      <c r="R294" s="5"/>
      <c r="S294" s="5"/>
      <c r="T294" s="5"/>
      <c r="U294" s="5"/>
      <c r="V294" s="5"/>
      <c r="W294" s="5"/>
      <c r="X294" s="5"/>
      <c r="Y294" s="5"/>
      <c r="Z294" s="5"/>
    </row>
    <row r="295" ht="15.75" customHeight="1">
      <c r="A295" s="40" t="s">
        <v>612</v>
      </c>
      <c r="B295" s="36" t="s">
        <v>613</v>
      </c>
      <c r="C295" s="36" t="s">
        <v>193</v>
      </c>
      <c r="D295" s="36" t="s">
        <v>582</v>
      </c>
      <c r="E295" s="41">
        <v>0.3</v>
      </c>
      <c r="F295" s="5"/>
      <c r="G295" s="5"/>
      <c r="H295" s="5"/>
      <c r="I295" s="5"/>
      <c r="J295" s="5"/>
      <c r="K295" s="5"/>
      <c r="L295" s="5"/>
      <c r="M295" s="5"/>
      <c r="N295" s="5"/>
      <c r="O295" s="5"/>
      <c r="P295" s="5"/>
      <c r="Q295" s="5"/>
      <c r="R295" s="5"/>
      <c r="S295" s="5"/>
      <c r="T295" s="5"/>
      <c r="U295" s="5"/>
      <c r="V295" s="5"/>
      <c r="W295" s="5"/>
      <c r="X295" s="5"/>
      <c r="Y295" s="5"/>
      <c r="Z295" s="5"/>
    </row>
    <row r="296" ht="15.75" customHeight="1">
      <c r="A296" s="5"/>
      <c r="B296" s="5"/>
      <c r="C296" s="5"/>
      <c r="D296" s="5"/>
      <c r="E296" s="5"/>
    </row>
    <row r="297" ht="15.75" customHeight="1">
      <c r="A297" s="5"/>
      <c r="B297" s="5"/>
      <c r="C297" s="5"/>
      <c r="D297" s="5"/>
      <c r="E297" s="5"/>
    </row>
    <row r="298" ht="15.75" customHeight="1">
      <c r="A298" s="5"/>
      <c r="B298" s="5"/>
      <c r="C298" s="5"/>
      <c r="D298" s="5"/>
      <c r="E298" s="5"/>
    </row>
    <row r="299" ht="15.75" customHeight="1">
      <c r="A299" s="5"/>
      <c r="B299" s="5"/>
      <c r="C299" s="5"/>
      <c r="D299" s="5"/>
      <c r="E299" s="5"/>
    </row>
    <row r="300" ht="15.75" customHeight="1">
      <c r="A300" s="5"/>
      <c r="B300" s="5"/>
      <c r="C300" s="5"/>
      <c r="D300" s="5"/>
      <c r="E300" s="5"/>
    </row>
    <row r="301" ht="15.75" customHeight="1">
      <c r="A301" s="5"/>
      <c r="B301" s="5"/>
      <c r="C301" s="5"/>
      <c r="D301" s="5"/>
      <c r="E301" s="5"/>
    </row>
    <row r="302" ht="15.75" customHeight="1">
      <c r="A302" s="5"/>
      <c r="B302" s="5"/>
      <c r="C302" s="5"/>
      <c r="D302" s="5"/>
      <c r="E302" s="5"/>
    </row>
    <row r="303" ht="15.75" customHeight="1">
      <c r="A303" s="5"/>
      <c r="B303" s="5"/>
      <c r="C303" s="5"/>
      <c r="D303" s="5"/>
      <c r="E303" s="5"/>
    </row>
    <row r="304" ht="15.75" customHeight="1">
      <c r="A304" s="5"/>
      <c r="B304" s="5"/>
      <c r="C304" s="5"/>
      <c r="D304" s="5"/>
      <c r="E304" s="5"/>
    </row>
    <row r="305" ht="15.75" customHeight="1">
      <c r="A305" s="5"/>
      <c r="B305" s="5"/>
      <c r="C305" s="5"/>
      <c r="D305" s="5"/>
      <c r="E305" s="5"/>
    </row>
    <row r="306" ht="15.75" customHeight="1">
      <c r="A306" s="5"/>
      <c r="B306" s="5"/>
      <c r="C306" s="5"/>
      <c r="D306" s="5"/>
      <c r="E306" s="5"/>
    </row>
    <row r="307" ht="15.75" customHeight="1">
      <c r="A307" s="5"/>
      <c r="B307" s="5"/>
      <c r="C307" s="5"/>
      <c r="D307" s="5"/>
      <c r="E307" s="5"/>
    </row>
    <row r="308" ht="15.75" customHeight="1">
      <c r="A308" s="5"/>
      <c r="B308" s="5"/>
      <c r="C308" s="5"/>
      <c r="D308" s="5"/>
      <c r="E308" s="5"/>
    </row>
    <row r="309" ht="15.75" customHeight="1">
      <c r="A309" s="5"/>
      <c r="B309" s="5"/>
      <c r="C309" s="5"/>
      <c r="D309" s="5"/>
      <c r="E309" s="5"/>
    </row>
    <row r="310" ht="15.75" customHeight="1">
      <c r="A310" s="5"/>
      <c r="B310" s="5"/>
      <c r="C310" s="5"/>
      <c r="D310" s="5"/>
      <c r="E310" s="5"/>
    </row>
    <row r="311" ht="15.75" customHeight="1">
      <c r="A311" s="5"/>
      <c r="B311" s="5"/>
      <c r="C311" s="5"/>
      <c r="D311" s="5"/>
      <c r="E311" s="5"/>
    </row>
    <row r="312" ht="15.75" customHeight="1">
      <c r="A312" s="5"/>
      <c r="B312" s="5"/>
      <c r="C312" s="5"/>
      <c r="D312" s="5"/>
      <c r="E312" s="5"/>
    </row>
    <row r="313" ht="15.75" customHeight="1">
      <c r="A313" s="5"/>
      <c r="B313" s="5"/>
      <c r="C313" s="5"/>
      <c r="D313" s="5"/>
      <c r="E313" s="5"/>
    </row>
    <row r="314" ht="15.75" customHeight="1">
      <c r="A314" s="5"/>
      <c r="B314" s="5"/>
      <c r="C314" s="5"/>
      <c r="D314" s="5"/>
      <c r="E314" s="5"/>
    </row>
    <row r="315" ht="15.75" customHeight="1">
      <c r="A315" s="5"/>
      <c r="B315" s="5"/>
      <c r="C315" s="5"/>
      <c r="D315" s="5"/>
      <c r="E315" s="5"/>
    </row>
    <row r="316" ht="15.75" customHeight="1">
      <c r="A316" s="5"/>
      <c r="B316" s="5"/>
      <c r="C316" s="5"/>
      <c r="D316" s="5"/>
      <c r="E316" s="5"/>
    </row>
    <row r="317" ht="15.75" customHeight="1">
      <c r="A317" s="5"/>
      <c r="B317" s="5"/>
      <c r="C317" s="5"/>
      <c r="D317" s="5"/>
      <c r="E317" s="5"/>
    </row>
    <row r="318" ht="15.75" customHeight="1">
      <c r="A318" s="5"/>
      <c r="B318" s="5"/>
      <c r="C318" s="5"/>
      <c r="D318" s="5"/>
      <c r="E318" s="5"/>
    </row>
    <row r="319" ht="15.75" customHeight="1">
      <c r="A319" s="5"/>
      <c r="B319" s="5"/>
      <c r="C319" s="5"/>
      <c r="D319" s="5"/>
      <c r="E319" s="5"/>
    </row>
    <row r="320" ht="15.75" customHeight="1">
      <c r="A320" s="5"/>
      <c r="B320" s="5"/>
      <c r="C320" s="5"/>
      <c r="D320" s="5"/>
      <c r="E320" s="5"/>
    </row>
    <row r="321" ht="15.75" customHeight="1">
      <c r="A321" s="5"/>
      <c r="B321" s="5"/>
      <c r="C321" s="5"/>
      <c r="D321" s="5"/>
      <c r="E321" s="5"/>
    </row>
    <row r="322" ht="15.75" customHeight="1">
      <c r="A322" s="5"/>
      <c r="B322" s="5"/>
      <c r="C322" s="5"/>
      <c r="D322" s="5"/>
      <c r="E322" s="5"/>
    </row>
    <row r="323" ht="15.75" customHeight="1">
      <c r="A323" s="5"/>
      <c r="B323" s="5"/>
      <c r="C323" s="5"/>
      <c r="D323" s="5"/>
      <c r="E323" s="5"/>
    </row>
    <row r="324" ht="15.75" customHeight="1">
      <c r="A324" s="5"/>
      <c r="B324" s="5"/>
      <c r="C324" s="5"/>
      <c r="D324" s="5"/>
      <c r="E324" s="5"/>
    </row>
    <row r="325" ht="15.75" customHeight="1">
      <c r="A325" s="5"/>
      <c r="B325" s="5"/>
      <c r="C325" s="5"/>
      <c r="D325" s="5"/>
      <c r="E325" s="5"/>
    </row>
    <row r="326" ht="15.75" customHeight="1">
      <c r="A326" s="5"/>
      <c r="B326" s="5"/>
      <c r="C326" s="5"/>
      <c r="D326" s="5"/>
      <c r="E326" s="5"/>
    </row>
    <row r="327" ht="15.75" customHeight="1">
      <c r="A327" s="5"/>
      <c r="B327" s="5"/>
      <c r="C327" s="5"/>
      <c r="D327" s="5"/>
      <c r="E327" s="5"/>
    </row>
    <row r="328" ht="15.75" customHeight="1">
      <c r="A328" s="5"/>
      <c r="B328" s="5"/>
      <c r="C328" s="5"/>
      <c r="D328" s="5"/>
      <c r="E328" s="5"/>
    </row>
    <row r="329" ht="15.75" customHeight="1">
      <c r="A329" s="5"/>
      <c r="B329" s="5"/>
      <c r="C329" s="5"/>
      <c r="D329" s="5"/>
      <c r="E329" s="5"/>
    </row>
    <row r="330" ht="15.75" customHeight="1">
      <c r="A330" s="5"/>
      <c r="B330" s="5"/>
      <c r="C330" s="5"/>
      <c r="D330" s="5"/>
      <c r="E330" s="5"/>
    </row>
    <row r="331" ht="15.75" customHeight="1">
      <c r="A331" s="5"/>
      <c r="B331" s="5"/>
      <c r="C331" s="5"/>
      <c r="D331" s="5"/>
      <c r="E331" s="5"/>
    </row>
    <row r="332" ht="15.75" customHeight="1">
      <c r="A332" s="5"/>
      <c r="B332" s="5"/>
      <c r="C332" s="5"/>
      <c r="D332" s="5"/>
      <c r="E332" s="5"/>
    </row>
    <row r="333" ht="15.75" customHeight="1">
      <c r="A333" s="5"/>
      <c r="B333" s="5"/>
      <c r="C333" s="5"/>
      <c r="D333" s="5"/>
      <c r="E333" s="5"/>
    </row>
    <row r="334" ht="15.75" customHeight="1">
      <c r="A334" s="5"/>
      <c r="B334" s="5"/>
      <c r="C334" s="5"/>
      <c r="D334" s="5"/>
      <c r="E334" s="5"/>
    </row>
    <row r="335" ht="15.75" customHeight="1">
      <c r="A335" s="5"/>
      <c r="B335" s="5"/>
      <c r="C335" s="5"/>
      <c r="D335" s="5"/>
      <c r="E335" s="5"/>
    </row>
    <row r="336" ht="15.75" customHeight="1">
      <c r="A336" s="5"/>
      <c r="B336" s="5"/>
      <c r="C336" s="5"/>
      <c r="D336" s="5"/>
      <c r="E336" s="5"/>
    </row>
    <row r="337" ht="15.75" customHeight="1">
      <c r="A337" s="5"/>
      <c r="B337" s="5"/>
      <c r="C337" s="5"/>
      <c r="D337" s="5"/>
      <c r="E337" s="5"/>
    </row>
    <row r="338" ht="15.75" customHeight="1">
      <c r="A338" s="5"/>
      <c r="B338" s="5"/>
      <c r="C338" s="5"/>
      <c r="D338" s="5"/>
      <c r="E338" s="5"/>
    </row>
    <row r="339" ht="15.75" customHeight="1">
      <c r="A339" s="5"/>
      <c r="B339" s="5"/>
      <c r="C339" s="5"/>
      <c r="D339" s="5"/>
      <c r="E339" s="5"/>
    </row>
    <row r="340" ht="15.75" customHeight="1">
      <c r="A340" s="5"/>
      <c r="B340" s="5"/>
      <c r="C340" s="5"/>
      <c r="D340" s="5"/>
      <c r="E340" s="5"/>
    </row>
    <row r="341" ht="15.75" customHeight="1">
      <c r="A341" s="5"/>
      <c r="B341" s="5"/>
      <c r="C341" s="5"/>
      <c r="D341" s="5"/>
      <c r="E341" s="5"/>
    </row>
    <row r="342" ht="15.75" customHeight="1">
      <c r="A342" s="5"/>
      <c r="B342" s="5"/>
      <c r="C342" s="5"/>
      <c r="D342" s="5"/>
      <c r="E342" s="5"/>
    </row>
    <row r="343" ht="15.75" customHeight="1">
      <c r="A343" s="5"/>
      <c r="B343" s="5"/>
      <c r="C343" s="5"/>
      <c r="D343" s="5"/>
      <c r="E343" s="5"/>
    </row>
    <row r="344" ht="15.75" customHeight="1">
      <c r="A344" s="5"/>
      <c r="B344" s="5"/>
      <c r="C344" s="5"/>
      <c r="D344" s="5"/>
      <c r="E344" s="5"/>
    </row>
    <row r="345" ht="15.75" customHeight="1">
      <c r="A345" s="5"/>
      <c r="B345" s="5"/>
      <c r="C345" s="5"/>
      <c r="D345" s="5"/>
      <c r="E345" s="5"/>
    </row>
    <row r="346" ht="15.75" customHeight="1">
      <c r="A346" s="5"/>
      <c r="B346" s="5"/>
      <c r="C346" s="5"/>
      <c r="D346" s="5"/>
      <c r="E346" s="5"/>
    </row>
    <row r="347" ht="15.75" customHeight="1">
      <c r="A347" s="5"/>
      <c r="B347" s="5"/>
      <c r="C347" s="5"/>
      <c r="D347" s="5"/>
      <c r="E347" s="5"/>
    </row>
    <row r="348" ht="15.75" customHeight="1">
      <c r="A348" s="5"/>
      <c r="B348" s="5"/>
      <c r="C348" s="5"/>
      <c r="D348" s="5"/>
      <c r="E348" s="5"/>
    </row>
    <row r="349" ht="15.75" customHeight="1">
      <c r="A349" s="5"/>
      <c r="B349" s="5"/>
      <c r="C349" s="5"/>
      <c r="D349" s="5"/>
      <c r="E349" s="5"/>
    </row>
    <row r="350" ht="15.75" customHeight="1">
      <c r="A350" s="5"/>
      <c r="B350" s="5"/>
      <c r="C350" s="5"/>
      <c r="D350" s="5"/>
      <c r="E350" s="5"/>
    </row>
    <row r="351" ht="15.75" customHeight="1">
      <c r="A351" s="5"/>
      <c r="B351" s="5"/>
      <c r="C351" s="5"/>
      <c r="D351" s="5"/>
      <c r="E351" s="5"/>
    </row>
    <row r="352" ht="15.75" customHeight="1">
      <c r="A352" s="5"/>
      <c r="B352" s="5"/>
      <c r="C352" s="5"/>
      <c r="D352" s="5"/>
      <c r="E352" s="5"/>
    </row>
    <row r="353" ht="15.75" customHeight="1">
      <c r="A353" s="5"/>
      <c r="B353" s="5"/>
      <c r="C353" s="5"/>
      <c r="D353" s="5"/>
      <c r="E353" s="5"/>
    </row>
    <row r="354" ht="15.75" customHeight="1">
      <c r="A354" s="5"/>
      <c r="B354" s="5"/>
      <c r="C354" s="5"/>
      <c r="D354" s="5"/>
      <c r="E354" s="5"/>
    </row>
    <row r="355" ht="15.75" customHeight="1">
      <c r="A355" s="5"/>
      <c r="B355" s="5"/>
      <c r="C355" s="5"/>
      <c r="D355" s="5"/>
      <c r="E355" s="5"/>
    </row>
    <row r="356" ht="15.75" customHeight="1">
      <c r="A356" s="5"/>
      <c r="B356" s="5"/>
      <c r="C356" s="5"/>
      <c r="D356" s="5"/>
      <c r="E356" s="5"/>
    </row>
    <row r="357" ht="15.75" customHeight="1">
      <c r="A357" s="5"/>
      <c r="B357" s="5"/>
      <c r="C357" s="5"/>
      <c r="D357" s="5"/>
      <c r="E357" s="5"/>
    </row>
    <row r="358" ht="15.75" customHeight="1">
      <c r="A358" s="5"/>
      <c r="B358" s="5"/>
      <c r="C358" s="5"/>
      <c r="D358" s="5"/>
      <c r="E358" s="5"/>
    </row>
    <row r="359" ht="15.75" customHeight="1">
      <c r="A359" s="5"/>
      <c r="B359" s="5"/>
      <c r="C359" s="5"/>
      <c r="D359" s="5"/>
      <c r="E359" s="5"/>
    </row>
    <row r="360" ht="15.75" customHeight="1">
      <c r="A360" s="5"/>
      <c r="B360" s="5"/>
      <c r="C360" s="5"/>
      <c r="D360" s="5"/>
      <c r="E360" s="5"/>
    </row>
    <row r="361" ht="15.75" customHeight="1">
      <c r="A361" s="5"/>
      <c r="B361" s="5"/>
      <c r="C361" s="5"/>
      <c r="D361" s="5"/>
      <c r="E361" s="5"/>
    </row>
    <row r="362" ht="15.75" customHeight="1">
      <c r="A362" s="5"/>
      <c r="B362" s="5"/>
      <c r="C362" s="5"/>
      <c r="D362" s="5"/>
      <c r="E362" s="5"/>
    </row>
    <row r="363" ht="15.75" customHeight="1">
      <c r="A363" s="5"/>
      <c r="B363" s="5"/>
      <c r="C363" s="5"/>
      <c r="D363" s="5"/>
      <c r="E363" s="5"/>
    </row>
    <row r="364" ht="15.75" customHeight="1">
      <c r="A364" s="5"/>
      <c r="B364" s="5"/>
      <c r="C364" s="5"/>
      <c r="D364" s="5"/>
      <c r="E364" s="5"/>
    </row>
    <row r="365" ht="15.75" customHeight="1">
      <c r="A365" s="5"/>
      <c r="B365" s="5"/>
      <c r="C365" s="5"/>
      <c r="D365" s="5"/>
      <c r="E365" s="5"/>
    </row>
    <row r="366" ht="15.75" customHeight="1">
      <c r="A366" s="5"/>
      <c r="B366" s="5"/>
      <c r="C366" s="5"/>
      <c r="D366" s="5"/>
      <c r="E366" s="5"/>
    </row>
    <row r="367" ht="15.75" customHeight="1">
      <c r="A367" s="5"/>
      <c r="B367" s="5"/>
      <c r="C367" s="5"/>
      <c r="D367" s="5"/>
      <c r="E367" s="5"/>
    </row>
    <row r="368" ht="15.75" customHeight="1">
      <c r="A368" s="5"/>
      <c r="B368" s="5"/>
      <c r="C368" s="5"/>
      <c r="D368" s="5"/>
      <c r="E368" s="5"/>
    </row>
    <row r="369" ht="15.75" customHeight="1">
      <c r="A369" s="5"/>
      <c r="B369" s="5"/>
      <c r="C369" s="5"/>
      <c r="D369" s="5"/>
      <c r="E369" s="5"/>
    </row>
    <row r="370" ht="15.75" customHeight="1">
      <c r="A370" s="5"/>
      <c r="B370" s="5"/>
      <c r="C370" s="5"/>
      <c r="D370" s="5"/>
      <c r="E370" s="5"/>
    </row>
    <row r="371" ht="15.75" customHeight="1">
      <c r="A371" s="5"/>
      <c r="B371" s="5"/>
      <c r="C371" s="5"/>
      <c r="D371" s="5"/>
      <c r="E371" s="5"/>
    </row>
    <row r="372" ht="15.75" customHeight="1">
      <c r="A372" s="5"/>
      <c r="B372" s="5"/>
      <c r="C372" s="5"/>
      <c r="D372" s="5"/>
      <c r="E372" s="5"/>
    </row>
    <row r="373" ht="15.75" customHeight="1">
      <c r="A373" s="5"/>
      <c r="B373" s="5"/>
      <c r="C373" s="5"/>
      <c r="D373" s="5"/>
      <c r="E373" s="5"/>
    </row>
    <row r="374" ht="15.75" customHeight="1">
      <c r="A374" s="5"/>
      <c r="B374" s="5"/>
      <c r="C374" s="5"/>
      <c r="D374" s="5"/>
      <c r="E374" s="5"/>
    </row>
    <row r="375" ht="15.75" customHeight="1">
      <c r="A375" s="5"/>
      <c r="B375" s="5"/>
      <c r="C375" s="5"/>
      <c r="D375" s="5"/>
      <c r="E375" s="5"/>
    </row>
    <row r="376" ht="15.75" customHeight="1">
      <c r="A376" s="5"/>
      <c r="B376" s="5"/>
      <c r="C376" s="5"/>
      <c r="D376" s="5"/>
      <c r="E376" s="5"/>
    </row>
    <row r="377" ht="15.75" customHeight="1">
      <c r="A377" s="5"/>
      <c r="B377" s="5"/>
      <c r="C377" s="5"/>
      <c r="D377" s="5"/>
      <c r="E377" s="5"/>
    </row>
    <row r="378" ht="15.75" customHeight="1">
      <c r="A378" s="5"/>
      <c r="B378" s="5"/>
      <c r="C378" s="5"/>
      <c r="D378" s="5"/>
      <c r="E378" s="5"/>
    </row>
    <row r="379" ht="15.75" customHeight="1">
      <c r="A379" s="5"/>
      <c r="B379" s="5"/>
      <c r="C379" s="5"/>
      <c r="D379" s="5"/>
      <c r="E379" s="5"/>
    </row>
    <row r="380" ht="15.75" customHeight="1">
      <c r="A380" s="5"/>
      <c r="B380" s="5"/>
      <c r="C380" s="5"/>
      <c r="D380" s="5"/>
      <c r="E380" s="5"/>
    </row>
    <row r="381" ht="15.75" customHeight="1">
      <c r="A381" s="5"/>
      <c r="B381" s="5"/>
      <c r="C381" s="5"/>
      <c r="D381" s="5"/>
      <c r="E381" s="5"/>
    </row>
    <row r="382" ht="15.75" customHeight="1">
      <c r="A382" s="5"/>
      <c r="B382" s="5"/>
      <c r="C382" s="5"/>
      <c r="D382" s="5"/>
      <c r="E382" s="5"/>
    </row>
    <row r="383" ht="15.75" customHeight="1">
      <c r="A383" s="5"/>
      <c r="B383" s="5"/>
      <c r="C383" s="5"/>
      <c r="D383" s="5"/>
      <c r="E383" s="5"/>
    </row>
    <row r="384" ht="15.75" customHeight="1">
      <c r="A384" s="5"/>
      <c r="B384" s="5"/>
      <c r="C384" s="5"/>
      <c r="D384" s="5"/>
      <c r="E384" s="5"/>
    </row>
    <row r="385" ht="15.75" customHeight="1">
      <c r="A385" s="5"/>
      <c r="B385" s="5"/>
      <c r="C385" s="5"/>
      <c r="D385" s="5"/>
      <c r="E385" s="5"/>
    </row>
    <row r="386" ht="15.75" customHeight="1">
      <c r="A386" s="5"/>
      <c r="B386" s="5"/>
      <c r="C386" s="5"/>
      <c r="D386" s="5"/>
      <c r="E386" s="5"/>
    </row>
    <row r="387" ht="15.75" customHeight="1">
      <c r="A387" s="5"/>
      <c r="B387" s="5"/>
      <c r="C387" s="5"/>
      <c r="D387" s="5"/>
      <c r="E387" s="5"/>
    </row>
    <row r="388" ht="15.75" customHeight="1">
      <c r="A388" s="5"/>
      <c r="B388" s="5"/>
      <c r="C388" s="5"/>
      <c r="D388" s="5"/>
      <c r="E388" s="5"/>
    </row>
    <row r="389" ht="15.75" customHeight="1">
      <c r="A389" s="5"/>
      <c r="B389" s="5"/>
      <c r="C389" s="5"/>
      <c r="D389" s="5"/>
      <c r="E389" s="5"/>
    </row>
    <row r="390" ht="15.75" customHeight="1">
      <c r="A390" s="5"/>
      <c r="B390" s="5"/>
      <c r="C390" s="5"/>
      <c r="D390" s="5"/>
      <c r="E390" s="5"/>
    </row>
    <row r="391" ht="15.75" customHeight="1">
      <c r="A391" s="5"/>
      <c r="B391" s="5"/>
      <c r="C391" s="5"/>
      <c r="D391" s="5"/>
      <c r="E391" s="5"/>
    </row>
    <row r="392" ht="15.75" customHeight="1">
      <c r="A392" s="5"/>
      <c r="B392" s="5"/>
      <c r="C392" s="5"/>
      <c r="D392" s="5"/>
      <c r="E392" s="5"/>
    </row>
    <row r="393" ht="15.75" customHeight="1">
      <c r="A393" s="5"/>
      <c r="B393" s="5"/>
      <c r="C393" s="5"/>
      <c r="D393" s="5"/>
      <c r="E393" s="5"/>
    </row>
    <row r="394" ht="15.75" customHeight="1">
      <c r="A394" s="5"/>
      <c r="B394" s="5"/>
      <c r="C394" s="5"/>
      <c r="D394" s="5"/>
      <c r="E394" s="5"/>
    </row>
    <row r="395" ht="15.75" customHeight="1">
      <c r="A395" s="5"/>
      <c r="B395" s="5"/>
      <c r="C395" s="5"/>
      <c r="D395" s="5"/>
      <c r="E395" s="5"/>
    </row>
    <row r="396" ht="15.75" customHeight="1">
      <c r="A396" s="5"/>
      <c r="B396" s="5"/>
      <c r="C396" s="5"/>
      <c r="D396" s="5"/>
      <c r="E396" s="5"/>
    </row>
    <row r="397" ht="15.75" customHeight="1">
      <c r="A397" s="5"/>
      <c r="B397" s="5"/>
      <c r="C397" s="5"/>
      <c r="D397" s="5"/>
      <c r="E397" s="5"/>
    </row>
    <row r="398" ht="15.75" customHeight="1">
      <c r="A398" s="5"/>
      <c r="B398" s="5"/>
      <c r="C398" s="5"/>
      <c r="D398" s="5"/>
      <c r="E398" s="5"/>
    </row>
    <row r="399" ht="15.75" customHeight="1">
      <c r="A399" s="5"/>
      <c r="B399" s="5"/>
      <c r="C399" s="5"/>
      <c r="D399" s="5"/>
      <c r="E399" s="5"/>
    </row>
    <row r="400" ht="15.75" customHeight="1">
      <c r="A400" s="5"/>
      <c r="B400" s="5"/>
      <c r="C400" s="5"/>
      <c r="D400" s="5"/>
      <c r="E400" s="5"/>
    </row>
    <row r="401" ht="15.75" customHeight="1">
      <c r="A401" s="5"/>
      <c r="B401" s="5"/>
      <c r="C401" s="5"/>
      <c r="D401" s="5"/>
      <c r="E401" s="5"/>
    </row>
    <row r="402" ht="15.75" customHeight="1">
      <c r="A402" s="5"/>
      <c r="B402" s="5"/>
      <c r="C402" s="5"/>
      <c r="D402" s="5"/>
      <c r="E402" s="5"/>
    </row>
    <row r="403" ht="15.75" customHeight="1">
      <c r="A403" s="5"/>
      <c r="B403" s="5"/>
      <c r="C403" s="5"/>
      <c r="D403" s="5"/>
      <c r="E403" s="5"/>
    </row>
    <row r="404" ht="15.75" customHeight="1">
      <c r="A404" s="5"/>
      <c r="B404" s="5"/>
      <c r="C404" s="5"/>
      <c r="D404" s="5"/>
      <c r="E404" s="5"/>
    </row>
    <row r="405" ht="15.75" customHeight="1">
      <c r="A405" s="5"/>
      <c r="B405" s="5"/>
      <c r="C405" s="5"/>
      <c r="D405" s="5"/>
      <c r="E405" s="5"/>
    </row>
    <row r="406" ht="15.75" customHeight="1">
      <c r="A406" s="5"/>
      <c r="B406" s="5"/>
      <c r="C406" s="5"/>
      <c r="D406" s="5"/>
      <c r="E406" s="5"/>
    </row>
    <row r="407" ht="15.75" customHeight="1">
      <c r="A407" s="5"/>
      <c r="B407" s="5"/>
      <c r="C407" s="5"/>
      <c r="D407" s="5"/>
      <c r="E407" s="5"/>
    </row>
    <row r="408" ht="15.75" customHeight="1">
      <c r="A408" s="5"/>
      <c r="B408" s="5"/>
      <c r="C408" s="5"/>
      <c r="D408" s="5"/>
      <c r="E408" s="5"/>
    </row>
    <row r="409" ht="15.75" customHeight="1">
      <c r="A409" s="5"/>
      <c r="B409" s="5"/>
      <c r="C409" s="5"/>
      <c r="D409" s="5"/>
      <c r="E409" s="5"/>
    </row>
    <row r="410" ht="15.75" customHeight="1">
      <c r="A410" s="5"/>
      <c r="B410" s="5"/>
      <c r="C410" s="5"/>
      <c r="D410" s="5"/>
      <c r="E410" s="5"/>
    </row>
    <row r="411" ht="15.75" customHeight="1">
      <c r="A411" s="5"/>
      <c r="B411" s="5"/>
      <c r="C411" s="5"/>
      <c r="D411" s="5"/>
      <c r="E411" s="5"/>
    </row>
    <row r="412" ht="15.75" customHeight="1">
      <c r="A412" s="5"/>
      <c r="B412" s="5"/>
      <c r="C412" s="5"/>
      <c r="D412" s="5"/>
      <c r="E412" s="5"/>
    </row>
    <row r="413" ht="15.75" customHeight="1">
      <c r="A413" s="5"/>
      <c r="B413" s="5"/>
      <c r="C413" s="5"/>
      <c r="D413" s="5"/>
      <c r="E413" s="5"/>
    </row>
    <row r="414" ht="15.75" customHeight="1">
      <c r="A414" s="5"/>
      <c r="B414" s="5"/>
      <c r="C414" s="5"/>
      <c r="D414" s="5"/>
      <c r="E414" s="5"/>
    </row>
    <row r="415" ht="15.75" customHeight="1">
      <c r="A415" s="5"/>
      <c r="B415" s="5"/>
      <c r="C415" s="5"/>
      <c r="D415" s="5"/>
      <c r="E415" s="5"/>
    </row>
    <row r="416" ht="15.75" customHeight="1">
      <c r="A416" s="5"/>
      <c r="B416" s="5"/>
      <c r="C416" s="5"/>
      <c r="D416" s="5"/>
      <c r="E416" s="5"/>
    </row>
    <row r="417" ht="15.75" customHeight="1">
      <c r="A417" s="5"/>
      <c r="B417" s="5"/>
      <c r="C417" s="5"/>
      <c r="D417" s="5"/>
      <c r="E417" s="5"/>
    </row>
    <row r="418" ht="15.75" customHeight="1">
      <c r="A418" s="5"/>
      <c r="B418" s="5"/>
      <c r="C418" s="5"/>
      <c r="D418" s="5"/>
      <c r="E418" s="5"/>
    </row>
    <row r="419" ht="15.75" customHeight="1">
      <c r="A419" s="5"/>
      <c r="B419" s="5"/>
      <c r="C419" s="5"/>
      <c r="D419" s="5"/>
      <c r="E419" s="5"/>
    </row>
    <row r="420" ht="15.75" customHeight="1">
      <c r="A420" s="5"/>
      <c r="B420" s="5"/>
      <c r="C420" s="5"/>
      <c r="D420" s="5"/>
      <c r="E420" s="5"/>
    </row>
    <row r="421" ht="15.75" customHeight="1">
      <c r="A421" s="5"/>
      <c r="B421" s="5"/>
      <c r="C421" s="5"/>
      <c r="D421" s="5"/>
      <c r="E421" s="5"/>
    </row>
    <row r="422" ht="15.75" customHeight="1">
      <c r="A422" s="5"/>
      <c r="B422" s="5"/>
      <c r="C422" s="5"/>
      <c r="D422" s="5"/>
      <c r="E422" s="5"/>
    </row>
    <row r="423" ht="15.75" customHeight="1">
      <c r="A423" s="5"/>
      <c r="B423" s="5"/>
      <c r="C423" s="5"/>
      <c r="D423" s="5"/>
      <c r="E423" s="5"/>
    </row>
    <row r="424" ht="15.75" customHeight="1">
      <c r="A424" s="5"/>
      <c r="B424" s="5"/>
      <c r="C424" s="5"/>
      <c r="D424" s="5"/>
      <c r="E424" s="5"/>
    </row>
    <row r="425" ht="15.75" customHeight="1">
      <c r="A425" s="5"/>
      <c r="B425" s="5"/>
      <c r="C425" s="5"/>
      <c r="D425" s="5"/>
      <c r="E425" s="5"/>
    </row>
    <row r="426" ht="15.75" customHeight="1">
      <c r="A426" s="5"/>
      <c r="B426" s="5"/>
      <c r="C426" s="5"/>
      <c r="D426" s="5"/>
      <c r="E426" s="5"/>
    </row>
    <row r="427" ht="15.75" customHeight="1">
      <c r="A427" s="5"/>
      <c r="B427" s="5"/>
      <c r="C427" s="5"/>
      <c r="D427" s="5"/>
      <c r="E427" s="5"/>
    </row>
    <row r="428" ht="15.75" customHeight="1">
      <c r="A428" s="5"/>
      <c r="B428" s="5"/>
      <c r="C428" s="5"/>
      <c r="D428" s="5"/>
      <c r="E428" s="5"/>
    </row>
    <row r="429" ht="15.75" customHeight="1">
      <c r="A429" s="5"/>
      <c r="B429" s="5"/>
      <c r="C429" s="5"/>
      <c r="D429" s="5"/>
      <c r="E429" s="5"/>
    </row>
    <row r="430" ht="15.75" customHeight="1">
      <c r="A430" s="5"/>
      <c r="B430" s="5"/>
      <c r="C430" s="5"/>
      <c r="D430" s="5"/>
      <c r="E430" s="5"/>
    </row>
    <row r="431" ht="15.75" customHeight="1">
      <c r="A431" s="5"/>
      <c r="B431" s="5"/>
      <c r="C431" s="5"/>
      <c r="D431" s="5"/>
      <c r="E431" s="5"/>
    </row>
    <row r="432" ht="15.75" customHeight="1">
      <c r="A432" s="5"/>
      <c r="B432" s="5"/>
      <c r="C432" s="5"/>
      <c r="D432" s="5"/>
      <c r="E432" s="5"/>
    </row>
    <row r="433" ht="15.75" customHeight="1">
      <c r="A433" s="5"/>
      <c r="B433" s="5"/>
      <c r="C433" s="5"/>
      <c r="D433" s="5"/>
      <c r="E433" s="5"/>
    </row>
    <row r="434" ht="15.75" customHeight="1">
      <c r="A434" s="5"/>
      <c r="B434" s="5"/>
      <c r="C434" s="5"/>
      <c r="D434" s="5"/>
      <c r="E434" s="5"/>
    </row>
    <row r="435" ht="15.75" customHeight="1">
      <c r="A435" s="5"/>
      <c r="B435" s="5"/>
      <c r="C435" s="5"/>
      <c r="D435" s="5"/>
      <c r="E435" s="5"/>
    </row>
    <row r="436" ht="15.75" customHeight="1">
      <c r="A436" s="5"/>
      <c r="B436" s="5"/>
      <c r="C436" s="5"/>
      <c r="D436" s="5"/>
      <c r="E436" s="5"/>
    </row>
    <row r="437" ht="15.75" customHeight="1">
      <c r="A437" s="5"/>
      <c r="B437" s="5"/>
      <c r="C437" s="5"/>
      <c r="D437" s="5"/>
      <c r="E437" s="5"/>
    </row>
    <row r="438" ht="15.75" customHeight="1">
      <c r="A438" s="5"/>
      <c r="B438" s="5"/>
      <c r="C438" s="5"/>
      <c r="D438" s="5"/>
      <c r="E438" s="5"/>
    </row>
    <row r="439" ht="15.75" customHeight="1">
      <c r="A439" s="5"/>
      <c r="B439" s="5"/>
      <c r="C439" s="5"/>
      <c r="D439" s="5"/>
      <c r="E439" s="5"/>
    </row>
    <row r="440" ht="15.75" customHeight="1">
      <c r="A440" s="5"/>
      <c r="B440" s="5"/>
      <c r="C440" s="5"/>
      <c r="D440" s="5"/>
      <c r="E440" s="5"/>
    </row>
    <row r="441" ht="15.75" customHeight="1">
      <c r="A441" s="5"/>
      <c r="B441" s="5"/>
      <c r="C441" s="5"/>
      <c r="D441" s="5"/>
      <c r="E441" s="5"/>
    </row>
    <row r="442" ht="15.75" customHeight="1">
      <c r="A442" s="5"/>
      <c r="B442" s="5"/>
      <c r="C442" s="5"/>
      <c r="D442" s="5"/>
      <c r="E442" s="5"/>
    </row>
    <row r="443" ht="15.75" customHeight="1">
      <c r="A443" s="5"/>
      <c r="B443" s="5"/>
      <c r="C443" s="5"/>
      <c r="D443" s="5"/>
      <c r="E443" s="5"/>
    </row>
    <row r="444" ht="15.75" customHeight="1">
      <c r="A444" s="5"/>
      <c r="B444" s="5"/>
      <c r="C444" s="5"/>
      <c r="D444" s="5"/>
      <c r="E444" s="5"/>
    </row>
    <row r="445" ht="15.75" customHeight="1">
      <c r="A445" s="5"/>
      <c r="B445" s="5"/>
      <c r="C445" s="5"/>
      <c r="D445" s="5"/>
      <c r="E445" s="5"/>
    </row>
    <row r="446" ht="15.75" customHeight="1">
      <c r="A446" s="5"/>
      <c r="B446" s="5"/>
      <c r="C446" s="5"/>
      <c r="D446" s="5"/>
      <c r="E446" s="5"/>
    </row>
    <row r="447" ht="15.75" customHeight="1">
      <c r="A447" s="5"/>
      <c r="B447" s="5"/>
      <c r="C447" s="5"/>
      <c r="D447" s="5"/>
      <c r="E447" s="5"/>
    </row>
    <row r="448" ht="15.75" customHeight="1">
      <c r="A448" s="5"/>
      <c r="B448" s="5"/>
      <c r="C448" s="5"/>
      <c r="D448" s="5"/>
      <c r="E448" s="5"/>
    </row>
    <row r="449" ht="15.75" customHeight="1">
      <c r="A449" s="5"/>
      <c r="B449" s="5"/>
      <c r="C449" s="5"/>
      <c r="D449" s="5"/>
      <c r="E449" s="5"/>
    </row>
    <row r="450" ht="15.75" customHeight="1">
      <c r="A450" s="5"/>
      <c r="B450" s="5"/>
      <c r="C450" s="5"/>
      <c r="D450" s="5"/>
      <c r="E450" s="5"/>
    </row>
    <row r="451" ht="15.75" customHeight="1">
      <c r="A451" s="5"/>
      <c r="B451" s="5"/>
      <c r="C451" s="5"/>
      <c r="D451" s="5"/>
      <c r="E451" s="5"/>
    </row>
    <row r="452" ht="15.75" customHeight="1">
      <c r="A452" s="5"/>
      <c r="B452" s="5"/>
      <c r="C452" s="5"/>
      <c r="D452" s="5"/>
      <c r="E452" s="5"/>
    </row>
    <row r="453" ht="15.75" customHeight="1">
      <c r="A453" s="5"/>
      <c r="B453" s="5"/>
      <c r="C453" s="5"/>
      <c r="D453" s="5"/>
      <c r="E453" s="5"/>
    </row>
    <row r="454" ht="15.75" customHeight="1">
      <c r="A454" s="5"/>
      <c r="B454" s="5"/>
      <c r="C454" s="5"/>
      <c r="D454" s="5"/>
      <c r="E454" s="5"/>
    </row>
    <row r="455" ht="15.75" customHeight="1">
      <c r="A455" s="5"/>
      <c r="B455" s="5"/>
      <c r="C455" s="5"/>
      <c r="D455" s="5"/>
      <c r="E455" s="5"/>
    </row>
    <row r="456" ht="15.75" customHeight="1">
      <c r="A456" s="5"/>
      <c r="B456" s="5"/>
      <c r="C456" s="5"/>
      <c r="D456" s="5"/>
      <c r="E456" s="5"/>
    </row>
    <row r="457" ht="15.75" customHeight="1">
      <c r="A457" s="5"/>
      <c r="B457" s="5"/>
      <c r="C457" s="5"/>
      <c r="D457" s="5"/>
      <c r="E457" s="5"/>
    </row>
    <row r="458" ht="15.75" customHeight="1">
      <c r="A458" s="5"/>
      <c r="B458" s="5"/>
      <c r="C458" s="5"/>
      <c r="D458" s="5"/>
      <c r="E458" s="5"/>
    </row>
    <row r="459" ht="15.75" customHeight="1">
      <c r="A459" s="5"/>
      <c r="B459" s="5"/>
      <c r="C459" s="5"/>
      <c r="D459" s="5"/>
      <c r="E459" s="5"/>
    </row>
    <row r="460" ht="15.75" customHeight="1">
      <c r="A460" s="5"/>
      <c r="B460" s="5"/>
      <c r="C460" s="5"/>
      <c r="D460" s="5"/>
      <c r="E460" s="5"/>
    </row>
    <row r="461" ht="15.75" customHeight="1">
      <c r="A461" s="5"/>
      <c r="B461" s="5"/>
      <c r="C461" s="5"/>
      <c r="D461" s="5"/>
      <c r="E461" s="5"/>
    </row>
    <row r="462" ht="15.75" customHeight="1">
      <c r="A462" s="5"/>
      <c r="B462" s="5"/>
      <c r="C462" s="5"/>
      <c r="D462" s="5"/>
      <c r="E462" s="5"/>
    </row>
    <row r="463" ht="15.75" customHeight="1">
      <c r="A463" s="5"/>
      <c r="B463" s="5"/>
      <c r="C463" s="5"/>
      <c r="D463" s="5"/>
      <c r="E463" s="5"/>
    </row>
    <row r="464" ht="15.75" customHeight="1">
      <c r="A464" s="5"/>
      <c r="B464" s="5"/>
      <c r="C464" s="5"/>
      <c r="D464" s="5"/>
      <c r="E464" s="5"/>
    </row>
    <row r="465" ht="15.75" customHeight="1">
      <c r="A465" s="5"/>
      <c r="B465" s="5"/>
      <c r="C465" s="5"/>
      <c r="D465" s="5"/>
      <c r="E465" s="5"/>
    </row>
    <row r="466" ht="15.75" customHeight="1">
      <c r="A466" s="5"/>
      <c r="B466" s="5"/>
      <c r="C466" s="5"/>
      <c r="D466" s="5"/>
      <c r="E466" s="5"/>
    </row>
    <row r="467" ht="15.75" customHeight="1">
      <c r="A467" s="5"/>
      <c r="B467" s="5"/>
      <c r="C467" s="5"/>
      <c r="D467" s="5"/>
      <c r="E467" s="5"/>
    </row>
    <row r="468" ht="15.75" customHeight="1">
      <c r="A468" s="5"/>
      <c r="B468" s="5"/>
      <c r="C468" s="5"/>
      <c r="D468" s="5"/>
      <c r="E468" s="5"/>
    </row>
    <row r="469" ht="15.75" customHeight="1">
      <c r="A469" s="5"/>
      <c r="B469" s="5"/>
      <c r="C469" s="5"/>
      <c r="D469" s="5"/>
      <c r="E469" s="5"/>
    </row>
    <row r="470" ht="15.75" customHeight="1">
      <c r="A470" s="5"/>
      <c r="B470" s="5"/>
      <c r="C470" s="5"/>
      <c r="D470" s="5"/>
      <c r="E470" s="5"/>
    </row>
    <row r="471" ht="15.75" customHeight="1">
      <c r="A471" s="5"/>
      <c r="B471" s="5"/>
      <c r="C471" s="5"/>
      <c r="D471" s="5"/>
      <c r="E471" s="5"/>
    </row>
    <row r="472" ht="15.75" customHeight="1">
      <c r="A472" s="5"/>
      <c r="B472" s="5"/>
      <c r="C472" s="5"/>
      <c r="D472" s="5"/>
      <c r="E472" s="5"/>
    </row>
    <row r="473" ht="15.75" customHeight="1">
      <c r="A473" s="5"/>
      <c r="B473" s="5"/>
      <c r="C473" s="5"/>
      <c r="D473" s="5"/>
      <c r="E473" s="5"/>
    </row>
    <row r="474" ht="15.75" customHeight="1">
      <c r="A474" s="5"/>
      <c r="B474" s="5"/>
      <c r="C474" s="5"/>
      <c r="D474" s="5"/>
      <c r="E474" s="5"/>
    </row>
    <row r="475" ht="15.75" customHeight="1">
      <c r="A475" s="5"/>
      <c r="B475" s="5"/>
      <c r="C475" s="5"/>
      <c r="D475" s="5"/>
      <c r="E475" s="5"/>
    </row>
    <row r="476" ht="15.75" customHeight="1">
      <c r="A476" s="5"/>
      <c r="B476" s="5"/>
      <c r="C476" s="5"/>
      <c r="D476" s="5"/>
      <c r="E476" s="5"/>
    </row>
    <row r="477" ht="15.75" customHeight="1">
      <c r="A477" s="5"/>
      <c r="B477" s="5"/>
      <c r="C477" s="5"/>
      <c r="D477" s="5"/>
      <c r="E477" s="5"/>
    </row>
    <row r="478" ht="15.75" customHeight="1">
      <c r="A478" s="5"/>
      <c r="B478" s="5"/>
      <c r="C478" s="5"/>
      <c r="D478" s="5"/>
      <c r="E478" s="5"/>
    </row>
    <row r="479" ht="15.75" customHeight="1">
      <c r="A479" s="5"/>
      <c r="B479" s="5"/>
      <c r="C479" s="5"/>
      <c r="D479" s="5"/>
      <c r="E479" s="5"/>
    </row>
    <row r="480" ht="15.75" customHeight="1">
      <c r="A480" s="5"/>
      <c r="B480" s="5"/>
      <c r="C480" s="5"/>
      <c r="D480" s="5"/>
      <c r="E480" s="5"/>
    </row>
    <row r="481" ht="15.75" customHeight="1">
      <c r="A481" s="5"/>
      <c r="B481" s="5"/>
      <c r="C481" s="5"/>
      <c r="D481" s="5"/>
      <c r="E481" s="5"/>
    </row>
    <row r="482" ht="15.75" customHeight="1">
      <c r="A482" s="5"/>
      <c r="B482" s="5"/>
      <c r="C482" s="5"/>
      <c r="D482" s="5"/>
      <c r="E482" s="5"/>
    </row>
    <row r="483" ht="15.75" customHeight="1">
      <c r="A483" s="5"/>
      <c r="B483" s="5"/>
      <c r="C483" s="5"/>
      <c r="D483" s="5"/>
      <c r="E483" s="5"/>
    </row>
    <row r="484" ht="15.75" customHeight="1">
      <c r="A484" s="5"/>
      <c r="B484" s="5"/>
      <c r="C484" s="5"/>
      <c r="D484" s="5"/>
      <c r="E484" s="5"/>
    </row>
    <row r="485" ht="15.75" customHeight="1">
      <c r="A485" s="5"/>
      <c r="B485" s="5"/>
      <c r="C485" s="5"/>
      <c r="D485" s="5"/>
      <c r="E485" s="5"/>
    </row>
    <row r="486" ht="15.75" customHeight="1">
      <c r="A486" s="5"/>
      <c r="B486" s="5"/>
      <c r="C486" s="5"/>
      <c r="D486" s="5"/>
      <c r="E486" s="5"/>
    </row>
    <row r="487" ht="15.75" customHeight="1">
      <c r="A487" s="5"/>
      <c r="B487" s="5"/>
      <c r="C487" s="5"/>
      <c r="D487" s="5"/>
      <c r="E487" s="5"/>
    </row>
    <row r="488" ht="15.75" customHeight="1">
      <c r="A488" s="5"/>
      <c r="B488" s="5"/>
      <c r="C488" s="5"/>
      <c r="D488" s="5"/>
      <c r="E488" s="5"/>
    </row>
    <row r="489" ht="15.75" customHeight="1">
      <c r="A489" s="5"/>
      <c r="B489" s="5"/>
      <c r="C489" s="5"/>
      <c r="D489" s="5"/>
      <c r="E489" s="5"/>
    </row>
    <row r="490" ht="15.75" customHeight="1">
      <c r="A490" s="5"/>
      <c r="B490" s="5"/>
      <c r="C490" s="5"/>
      <c r="D490" s="5"/>
      <c r="E490" s="5"/>
    </row>
    <row r="491" ht="15.75" customHeight="1">
      <c r="A491" s="5"/>
      <c r="B491" s="5"/>
      <c r="C491" s="5"/>
      <c r="D491" s="5"/>
      <c r="E491" s="5"/>
    </row>
    <row r="492" ht="15.75" customHeight="1">
      <c r="A492" s="5"/>
      <c r="B492" s="5"/>
      <c r="C492" s="5"/>
      <c r="D492" s="5"/>
      <c r="E492" s="5"/>
    </row>
    <row r="493" ht="15.75" customHeight="1">
      <c r="A493" s="5"/>
      <c r="B493" s="5"/>
      <c r="C493" s="5"/>
      <c r="D493" s="5"/>
      <c r="E493" s="5"/>
    </row>
    <row r="494" ht="15.75" customHeight="1">
      <c r="A494" s="5"/>
      <c r="B494" s="5"/>
      <c r="C494" s="5"/>
      <c r="D494" s="5"/>
      <c r="E494" s="5"/>
    </row>
    <row r="495" ht="15.75" customHeight="1">
      <c r="A495" s="5"/>
      <c r="B495" s="5"/>
      <c r="C495" s="5"/>
      <c r="D495" s="5"/>
      <c r="E495" s="5"/>
    </row>
    <row r="496" ht="15.75" customHeight="1">
      <c r="A496" s="5"/>
      <c r="B496" s="5"/>
      <c r="C496" s="5"/>
      <c r="D496" s="5"/>
      <c r="E496" s="5"/>
    </row>
    <row r="497" ht="15.75" customHeight="1">
      <c r="A497" s="5"/>
      <c r="B497" s="5"/>
      <c r="C497" s="5"/>
      <c r="D497" s="5"/>
      <c r="E497" s="5"/>
    </row>
    <row r="498" ht="15.75" customHeight="1">
      <c r="A498" s="5"/>
      <c r="B498" s="5"/>
      <c r="C498" s="5"/>
      <c r="D498" s="5"/>
      <c r="E498" s="5"/>
    </row>
    <row r="499" ht="15.75" customHeight="1">
      <c r="A499" s="5"/>
      <c r="B499" s="5"/>
      <c r="C499" s="5"/>
      <c r="D499" s="5"/>
      <c r="E499" s="5"/>
    </row>
    <row r="500" ht="15.75" customHeight="1">
      <c r="A500" s="5"/>
      <c r="B500" s="5"/>
      <c r="C500" s="5"/>
      <c r="D500" s="5"/>
      <c r="E500" s="5"/>
    </row>
    <row r="501" ht="15.75" customHeight="1">
      <c r="A501" s="5"/>
      <c r="B501" s="5"/>
      <c r="C501" s="5"/>
      <c r="D501" s="5"/>
      <c r="E501" s="5"/>
    </row>
    <row r="502" ht="15.75" customHeight="1">
      <c r="A502" s="5"/>
      <c r="B502" s="5"/>
      <c r="C502" s="5"/>
      <c r="D502" s="5"/>
      <c r="E502" s="5"/>
    </row>
    <row r="503" ht="15.75" customHeight="1">
      <c r="A503" s="5"/>
      <c r="B503" s="5"/>
      <c r="C503" s="5"/>
      <c r="D503" s="5"/>
      <c r="E503" s="5"/>
    </row>
    <row r="504" ht="15.75" customHeight="1">
      <c r="A504" s="5"/>
      <c r="B504" s="5"/>
      <c r="C504" s="5"/>
      <c r="D504" s="5"/>
      <c r="E504" s="5"/>
    </row>
    <row r="505" ht="15.75" customHeight="1">
      <c r="A505" s="5"/>
      <c r="B505" s="5"/>
      <c r="C505" s="5"/>
      <c r="D505" s="5"/>
      <c r="E505" s="5"/>
    </row>
    <row r="506" ht="15.75" customHeight="1">
      <c r="A506" s="5"/>
      <c r="B506" s="5"/>
      <c r="C506" s="5"/>
      <c r="D506" s="5"/>
      <c r="E506" s="5"/>
    </row>
    <row r="507" ht="15.75" customHeight="1">
      <c r="A507" s="5"/>
      <c r="B507" s="5"/>
      <c r="C507" s="5"/>
      <c r="D507" s="5"/>
      <c r="E507" s="5"/>
    </row>
    <row r="508" ht="15.75" customHeight="1">
      <c r="A508" s="5"/>
      <c r="B508" s="5"/>
      <c r="C508" s="5"/>
      <c r="D508" s="5"/>
      <c r="E508" s="5"/>
    </row>
    <row r="509" ht="15.75" customHeight="1">
      <c r="A509" s="5"/>
      <c r="B509" s="5"/>
      <c r="C509" s="5"/>
      <c r="D509" s="5"/>
      <c r="E509" s="5"/>
    </row>
    <row r="510" ht="15.75" customHeight="1">
      <c r="A510" s="5"/>
      <c r="B510" s="5"/>
      <c r="C510" s="5"/>
      <c r="D510" s="5"/>
      <c r="E510" s="5"/>
    </row>
    <row r="511" ht="15.75" customHeight="1">
      <c r="A511" s="5"/>
      <c r="B511" s="5"/>
      <c r="C511" s="5"/>
      <c r="D511" s="5"/>
      <c r="E511" s="5"/>
    </row>
    <row r="512" ht="15.75" customHeight="1">
      <c r="A512" s="5"/>
      <c r="B512" s="5"/>
      <c r="C512" s="5"/>
      <c r="D512" s="5"/>
      <c r="E512" s="5"/>
    </row>
    <row r="513" ht="15.75" customHeight="1">
      <c r="A513" s="5"/>
      <c r="B513" s="5"/>
      <c r="C513" s="5"/>
      <c r="D513" s="5"/>
      <c r="E513" s="5"/>
    </row>
    <row r="514" ht="15.75" customHeight="1">
      <c r="A514" s="5"/>
      <c r="B514" s="5"/>
      <c r="C514" s="5"/>
      <c r="D514" s="5"/>
      <c r="E514" s="5"/>
    </row>
    <row r="515" ht="15.75" customHeight="1">
      <c r="A515" s="5"/>
      <c r="B515" s="5"/>
      <c r="C515" s="5"/>
      <c r="D515" s="5"/>
      <c r="E515" s="5"/>
    </row>
    <row r="516" ht="15.75" customHeight="1">
      <c r="A516" s="5"/>
      <c r="B516" s="5"/>
      <c r="C516" s="5"/>
      <c r="D516" s="5"/>
      <c r="E516" s="5"/>
    </row>
    <row r="517" ht="15.75" customHeight="1">
      <c r="A517" s="5"/>
      <c r="B517" s="5"/>
      <c r="C517" s="5"/>
      <c r="D517" s="5"/>
      <c r="E517" s="5"/>
    </row>
    <row r="518" ht="15.75" customHeight="1">
      <c r="A518" s="5"/>
      <c r="B518" s="5"/>
      <c r="C518" s="5"/>
      <c r="D518" s="5"/>
      <c r="E518" s="5"/>
    </row>
    <row r="519" ht="15.75" customHeight="1">
      <c r="A519" s="5"/>
      <c r="B519" s="5"/>
      <c r="C519" s="5"/>
      <c r="D519" s="5"/>
      <c r="E519" s="5"/>
    </row>
    <row r="520" ht="15.75" customHeight="1">
      <c r="A520" s="5"/>
      <c r="B520" s="5"/>
      <c r="C520" s="5"/>
      <c r="D520" s="5"/>
      <c r="E520" s="5"/>
    </row>
    <row r="521" ht="15.75" customHeight="1">
      <c r="A521" s="5"/>
      <c r="B521" s="5"/>
      <c r="C521" s="5"/>
      <c r="D521" s="5"/>
      <c r="E521" s="5"/>
    </row>
    <row r="522" ht="15.75" customHeight="1">
      <c r="A522" s="5"/>
      <c r="B522" s="5"/>
      <c r="C522" s="5"/>
      <c r="D522" s="5"/>
      <c r="E522" s="5"/>
    </row>
    <row r="523" ht="15.75" customHeight="1">
      <c r="A523" s="5"/>
      <c r="B523" s="5"/>
      <c r="C523" s="5"/>
      <c r="D523" s="5"/>
      <c r="E523" s="5"/>
    </row>
    <row r="524" ht="15.75" customHeight="1">
      <c r="A524" s="5"/>
      <c r="B524" s="5"/>
      <c r="C524" s="5"/>
      <c r="D524" s="5"/>
      <c r="E524" s="5"/>
    </row>
    <row r="525" ht="15.75" customHeight="1">
      <c r="A525" s="5"/>
      <c r="B525" s="5"/>
      <c r="C525" s="5"/>
      <c r="D525" s="5"/>
      <c r="E525" s="5"/>
    </row>
    <row r="526" ht="15.75" customHeight="1">
      <c r="A526" s="5"/>
      <c r="B526" s="5"/>
      <c r="C526" s="5"/>
      <c r="D526" s="5"/>
      <c r="E526" s="5"/>
    </row>
    <row r="527" ht="15.75" customHeight="1">
      <c r="A527" s="5"/>
      <c r="B527" s="5"/>
      <c r="C527" s="5"/>
      <c r="D527" s="5"/>
      <c r="E527" s="5"/>
    </row>
    <row r="528" ht="15.75" customHeight="1">
      <c r="A528" s="5"/>
      <c r="B528" s="5"/>
      <c r="C528" s="5"/>
      <c r="D528" s="5"/>
      <c r="E528" s="5"/>
    </row>
    <row r="529" ht="15.75" customHeight="1">
      <c r="A529" s="5"/>
      <c r="B529" s="5"/>
      <c r="C529" s="5"/>
      <c r="D529" s="5"/>
      <c r="E529" s="5"/>
    </row>
    <row r="530" ht="15.75" customHeight="1">
      <c r="A530" s="5"/>
      <c r="B530" s="5"/>
      <c r="C530" s="5"/>
      <c r="D530" s="5"/>
      <c r="E530" s="5"/>
    </row>
    <row r="531" ht="15.75" customHeight="1">
      <c r="A531" s="5"/>
      <c r="B531" s="5"/>
      <c r="C531" s="5"/>
      <c r="D531" s="5"/>
      <c r="E531" s="5"/>
    </row>
    <row r="532" ht="15.75" customHeight="1">
      <c r="A532" s="5"/>
      <c r="B532" s="5"/>
      <c r="C532" s="5"/>
      <c r="D532" s="5"/>
      <c r="E532" s="5"/>
    </row>
    <row r="533" ht="15.75" customHeight="1">
      <c r="A533" s="5"/>
      <c r="B533" s="5"/>
      <c r="C533" s="5"/>
      <c r="D533" s="5"/>
      <c r="E533" s="5"/>
    </row>
    <row r="534" ht="15.75" customHeight="1">
      <c r="A534" s="5"/>
      <c r="B534" s="5"/>
      <c r="C534" s="5"/>
      <c r="D534" s="5"/>
      <c r="E534" s="5"/>
    </row>
    <row r="535" ht="15.75" customHeight="1">
      <c r="A535" s="5"/>
      <c r="B535" s="5"/>
      <c r="C535" s="5"/>
      <c r="D535" s="5"/>
      <c r="E535" s="5"/>
    </row>
    <row r="536" ht="15.75" customHeight="1">
      <c r="A536" s="5"/>
      <c r="B536" s="5"/>
      <c r="C536" s="5"/>
      <c r="D536" s="5"/>
      <c r="E536" s="5"/>
    </row>
    <row r="537" ht="15.75" customHeight="1">
      <c r="A537" s="5"/>
      <c r="B537" s="5"/>
      <c r="C537" s="5"/>
      <c r="D537" s="5"/>
      <c r="E537" s="5"/>
    </row>
    <row r="538" ht="15.75" customHeight="1">
      <c r="A538" s="5"/>
      <c r="B538" s="5"/>
      <c r="C538" s="5"/>
      <c r="D538" s="5"/>
      <c r="E538" s="5"/>
    </row>
    <row r="539" ht="15.75" customHeight="1">
      <c r="A539" s="5"/>
      <c r="B539" s="5"/>
      <c r="C539" s="5"/>
      <c r="D539" s="5"/>
      <c r="E539" s="5"/>
    </row>
    <row r="540" ht="15.75" customHeight="1">
      <c r="A540" s="5"/>
      <c r="B540" s="5"/>
      <c r="C540" s="5"/>
      <c r="D540" s="5"/>
      <c r="E540" s="5"/>
    </row>
    <row r="541" ht="15.75" customHeight="1">
      <c r="A541" s="5"/>
      <c r="B541" s="5"/>
      <c r="C541" s="5"/>
      <c r="D541" s="5"/>
      <c r="E541" s="5"/>
    </row>
    <row r="542" ht="15.75" customHeight="1">
      <c r="A542" s="5"/>
      <c r="B542" s="5"/>
      <c r="C542" s="5"/>
      <c r="D542" s="5"/>
      <c r="E542" s="5"/>
    </row>
    <row r="543" ht="15.75" customHeight="1">
      <c r="A543" s="5"/>
      <c r="B543" s="5"/>
      <c r="C543" s="5"/>
      <c r="D543" s="5"/>
      <c r="E543" s="5"/>
    </row>
    <row r="544" ht="15.75" customHeight="1">
      <c r="A544" s="5"/>
      <c r="B544" s="5"/>
      <c r="C544" s="5"/>
      <c r="D544" s="5"/>
      <c r="E544" s="5"/>
    </row>
    <row r="545" ht="15.75" customHeight="1">
      <c r="A545" s="5"/>
      <c r="B545" s="5"/>
      <c r="C545" s="5"/>
      <c r="D545" s="5"/>
      <c r="E545" s="5"/>
    </row>
    <row r="546" ht="15.75" customHeight="1">
      <c r="A546" s="5"/>
      <c r="B546" s="5"/>
      <c r="C546" s="5"/>
      <c r="D546" s="5"/>
      <c r="E546" s="5"/>
    </row>
    <row r="547" ht="15.75" customHeight="1">
      <c r="A547" s="5"/>
      <c r="B547" s="5"/>
      <c r="C547" s="5"/>
      <c r="D547" s="5"/>
      <c r="E547" s="5"/>
    </row>
    <row r="548" ht="15.75" customHeight="1">
      <c r="A548" s="5"/>
      <c r="B548" s="5"/>
      <c r="C548" s="5"/>
      <c r="D548" s="5"/>
      <c r="E548" s="5"/>
    </row>
    <row r="549" ht="15.75" customHeight="1">
      <c r="A549" s="5"/>
      <c r="B549" s="5"/>
      <c r="C549" s="5"/>
      <c r="D549" s="5"/>
      <c r="E549" s="5"/>
    </row>
    <row r="550" ht="15.75" customHeight="1">
      <c r="A550" s="5"/>
      <c r="B550" s="5"/>
      <c r="C550" s="5"/>
      <c r="D550" s="5"/>
      <c r="E550" s="5"/>
    </row>
    <row r="551" ht="15.75" customHeight="1">
      <c r="A551" s="5"/>
      <c r="B551" s="5"/>
      <c r="C551" s="5"/>
      <c r="D551" s="5"/>
      <c r="E551" s="5"/>
    </row>
    <row r="552" ht="15.75" customHeight="1">
      <c r="A552" s="5"/>
      <c r="B552" s="5"/>
      <c r="C552" s="5"/>
      <c r="D552" s="5"/>
      <c r="E552" s="5"/>
    </row>
    <row r="553" ht="15.75" customHeight="1">
      <c r="A553" s="5"/>
      <c r="B553" s="5"/>
      <c r="C553" s="5"/>
      <c r="D553" s="5"/>
      <c r="E553" s="5"/>
    </row>
    <row r="554" ht="15.75" customHeight="1">
      <c r="A554" s="5"/>
      <c r="B554" s="5"/>
      <c r="C554" s="5"/>
      <c r="D554" s="5"/>
      <c r="E554" s="5"/>
    </row>
    <row r="555" ht="15.75" customHeight="1">
      <c r="A555" s="5"/>
      <c r="B555" s="5"/>
      <c r="C555" s="5"/>
      <c r="D555" s="5"/>
      <c r="E555" s="5"/>
    </row>
    <row r="556" ht="15.75" customHeight="1">
      <c r="A556" s="5"/>
      <c r="B556" s="5"/>
      <c r="C556" s="5"/>
      <c r="D556" s="5"/>
      <c r="E556" s="5"/>
    </row>
    <row r="557" ht="15.75" customHeight="1">
      <c r="A557" s="5"/>
      <c r="B557" s="5"/>
      <c r="C557" s="5"/>
      <c r="D557" s="5"/>
      <c r="E557" s="5"/>
    </row>
    <row r="558" ht="15.75" customHeight="1">
      <c r="A558" s="5"/>
      <c r="B558" s="5"/>
      <c r="C558" s="5"/>
      <c r="D558" s="5"/>
      <c r="E558" s="5"/>
    </row>
    <row r="559" ht="15.75" customHeight="1">
      <c r="A559" s="5"/>
      <c r="B559" s="5"/>
      <c r="C559" s="5"/>
      <c r="D559" s="5"/>
      <c r="E559" s="5"/>
    </row>
    <row r="560" ht="15.75" customHeight="1">
      <c r="A560" s="5"/>
      <c r="B560" s="5"/>
      <c r="C560" s="5"/>
      <c r="D560" s="5"/>
      <c r="E560" s="5"/>
    </row>
    <row r="561" ht="15.75" customHeight="1">
      <c r="A561" s="5"/>
      <c r="B561" s="5"/>
      <c r="C561" s="5"/>
      <c r="D561" s="5"/>
      <c r="E561" s="5"/>
    </row>
    <row r="562" ht="15.75" customHeight="1">
      <c r="A562" s="5"/>
      <c r="B562" s="5"/>
      <c r="C562" s="5"/>
      <c r="D562" s="5"/>
      <c r="E562" s="5"/>
    </row>
    <row r="563" ht="15.75" customHeight="1">
      <c r="A563" s="5"/>
      <c r="B563" s="5"/>
      <c r="C563" s="5"/>
      <c r="D563" s="5"/>
      <c r="E563" s="5"/>
    </row>
    <row r="564" ht="15.75" customHeight="1">
      <c r="A564" s="5"/>
      <c r="B564" s="5"/>
      <c r="C564" s="5"/>
      <c r="D564" s="5"/>
      <c r="E564" s="5"/>
    </row>
    <row r="565" ht="15.75" customHeight="1">
      <c r="A565" s="5"/>
      <c r="B565" s="5"/>
      <c r="C565" s="5"/>
      <c r="D565" s="5"/>
      <c r="E565" s="5"/>
    </row>
    <row r="566" ht="15.75" customHeight="1">
      <c r="A566" s="5"/>
      <c r="B566" s="5"/>
      <c r="C566" s="5"/>
      <c r="D566" s="5"/>
      <c r="E566" s="5"/>
    </row>
    <row r="567" ht="15.75" customHeight="1">
      <c r="A567" s="5"/>
      <c r="B567" s="5"/>
      <c r="C567" s="5"/>
      <c r="D567" s="5"/>
      <c r="E567" s="5"/>
    </row>
    <row r="568" ht="15.75" customHeight="1">
      <c r="A568" s="5"/>
      <c r="B568" s="5"/>
      <c r="C568" s="5"/>
      <c r="D568" s="5"/>
      <c r="E568" s="5"/>
    </row>
    <row r="569" ht="15.75" customHeight="1">
      <c r="A569" s="5"/>
      <c r="B569" s="5"/>
      <c r="C569" s="5"/>
      <c r="D569" s="5"/>
      <c r="E569" s="5"/>
    </row>
    <row r="570" ht="15.75" customHeight="1">
      <c r="A570" s="5"/>
      <c r="B570" s="5"/>
      <c r="C570" s="5"/>
      <c r="D570" s="5"/>
      <c r="E570" s="5"/>
    </row>
    <row r="571" ht="15.75" customHeight="1">
      <c r="A571" s="5"/>
      <c r="B571" s="5"/>
      <c r="C571" s="5"/>
      <c r="D571" s="5"/>
      <c r="E571" s="5"/>
    </row>
    <row r="572" ht="15.75" customHeight="1">
      <c r="A572" s="5"/>
      <c r="B572" s="5"/>
      <c r="C572" s="5"/>
      <c r="D572" s="5"/>
      <c r="E572" s="5"/>
    </row>
    <row r="573" ht="15.75" customHeight="1">
      <c r="A573" s="5"/>
      <c r="B573" s="5"/>
      <c r="C573" s="5"/>
      <c r="D573" s="5"/>
      <c r="E573" s="5"/>
    </row>
    <row r="574" ht="15.75" customHeight="1">
      <c r="A574" s="5"/>
      <c r="B574" s="5"/>
      <c r="C574" s="5"/>
      <c r="D574" s="5"/>
      <c r="E574" s="5"/>
    </row>
    <row r="575" ht="15.75" customHeight="1">
      <c r="A575" s="5"/>
      <c r="B575" s="5"/>
      <c r="C575" s="5"/>
      <c r="D575" s="5"/>
      <c r="E575" s="5"/>
    </row>
    <row r="576" ht="15.75" customHeight="1">
      <c r="A576" s="5"/>
      <c r="B576" s="5"/>
      <c r="C576" s="5"/>
      <c r="D576" s="5"/>
      <c r="E576" s="5"/>
    </row>
    <row r="577" ht="15.75" customHeight="1">
      <c r="A577" s="5"/>
      <c r="B577" s="5"/>
      <c r="C577" s="5"/>
      <c r="D577" s="5"/>
      <c r="E577" s="5"/>
    </row>
    <row r="578" ht="15.75" customHeight="1">
      <c r="A578" s="5"/>
      <c r="B578" s="5"/>
      <c r="C578" s="5"/>
      <c r="D578" s="5"/>
      <c r="E578" s="5"/>
    </row>
    <row r="579" ht="15.75" customHeight="1">
      <c r="A579" s="5"/>
      <c r="B579" s="5"/>
      <c r="C579" s="5"/>
      <c r="D579" s="5"/>
      <c r="E579" s="5"/>
    </row>
    <row r="580" ht="15.75" customHeight="1">
      <c r="A580" s="5"/>
      <c r="B580" s="5"/>
      <c r="C580" s="5"/>
      <c r="D580" s="5"/>
      <c r="E580" s="5"/>
    </row>
    <row r="581" ht="15.75" customHeight="1">
      <c r="A581" s="5"/>
      <c r="B581" s="5"/>
      <c r="C581" s="5"/>
      <c r="D581" s="5"/>
      <c r="E581" s="5"/>
    </row>
    <row r="582" ht="15.75" customHeight="1">
      <c r="A582" s="5"/>
      <c r="B582" s="5"/>
      <c r="C582" s="5"/>
      <c r="D582" s="5"/>
      <c r="E582" s="5"/>
    </row>
    <row r="583" ht="15.75" customHeight="1">
      <c r="A583" s="5"/>
      <c r="B583" s="5"/>
      <c r="C583" s="5"/>
      <c r="D583" s="5"/>
      <c r="E583" s="5"/>
    </row>
    <row r="584" ht="15.75" customHeight="1">
      <c r="A584" s="5"/>
      <c r="B584" s="5"/>
      <c r="C584" s="5"/>
      <c r="D584" s="5"/>
      <c r="E584" s="5"/>
    </row>
    <row r="585" ht="15.75" customHeight="1">
      <c r="A585" s="5"/>
      <c r="B585" s="5"/>
      <c r="C585" s="5"/>
      <c r="D585" s="5"/>
      <c r="E585" s="5"/>
    </row>
    <row r="586" ht="15.75" customHeight="1">
      <c r="A586" s="5"/>
      <c r="B586" s="5"/>
      <c r="C586" s="5"/>
      <c r="D586" s="5"/>
      <c r="E586" s="5"/>
    </row>
    <row r="587" ht="15.75" customHeight="1">
      <c r="A587" s="5"/>
      <c r="B587" s="5"/>
      <c r="C587" s="5"/>
      <c r="D587" s="5"/>
      <c r="E587" s="5"/>
    </row>
    <row r="588" ht="15.75" customHeight="1">
      <c r="A588" s="5"/>
      <c r="B588" s="5"/>
      <c r="C588" s="5"/>
      <c r="D588" s="5"/>
      <c r="E588" s="5"/>
    </row>
    <row r="589" ht="15.75" customHeight="1">
      <c r="A589" s="5"/>
      <c r="B589" s="5"/>
      <c r="C589" s="5"/>
      <c r="D589" s="5"/>
      <c r="E589" s="5"/>
    </row>
    <row r="590" ht="15.75" customHeight="1">
      <c r="A590" s="5"/>
      <c r="B590" s="5"/>
      <c r="C590" s="5"/>
      <c r="D590" s="5"/>
      <c r="E590" s="5"/>
    </row>
    <row r="591" ht="15.75" customHeight="1">
      <c r="A591" s="5"/>
      <c r="B591" s="5"/>
      <c r="C591" s="5"/>
      <c r="D591" s="5"/>
      <c r="E591" s="5"/>
    </row>
    <row r="592" ht="15.75" customHeight="1">
      <c r="A592" s="5"/>
      <c r="B592" s="5"/>
      <c r="C592" s="5"/>
      <c r="D592" s="5"/>
      <c r="E592" s="5"/>
    </row>
    <row r="593" ht="15.75" customHeight="1">
      <c r="A593" s="5"/>
      <c r="B593" s="5"/>
      <c r="C593" s="5"/>
      <c r="D593" s="5"/>
      <c r="E593" s="5"/>
    </row>
    <row r="594" ht="15.75" customHeight="1">
      <c r="A594" s="5"/>
      <c r="B594" s="5"/>
      <c r="C594" s="5"/>
      <c r="D594" s="5"/>
      <c r="E594" s="5"/>
    </row>
    <row r="595" ht="15.75" customHeight="1">
      <c r="A595" s="5"/>
      <c r="B595" s="5"/>
      <c r="C595" s="5"/>
      <c r="D595" s="5"/>
      <c r="E595" s="5"/>
    </row>
    <row r="596" ht="15.75" customHeight="1">
      <c r="A596" s="5"/>
      <c r="B596" s="5"/>
      <c r="C596" s="5"/>
      <c r="D596" s="5"/>
      <c r="E596" s="5"/>
    </row>
    <row r="597" ht="15.75" customHeight="1">
      <c r="A597" s="5"/>
      <c r="B597" s="5"/>
      <c r="C597" s="5"/>
      <c r="D597" s="5"/>
      <c r="E597" s="5"/>
    </row>
    <row r="598" ht="15.75" customHeight="1">
      <c r="A598" s="5"/>
      <c r="B598" s="5"/>
      <c r="C598" s="5"/>
      <c r="D598" s="5"/>
      <c r="E598" s="5"/>
    </row>
    <row r="599" ht="15.75" customHeight="1">
      <c r="A599" s="5"/>
      <c r="B599" s="5"/>
      <c r="C599" s="5"/>
      <c r="D599" s="5"/>
      <c r="E599" s="5"/>
    </row>
    <row r="600" ht="15.75" customHeight="1">
      <c r="A600" s="5"/>
      <c r="B600" s="5"/>
      <c r="C600" s="5"/>
      <c r="D600" s="5"/>
      <c r="E600" s="5"/>
    </row>
    <row r="601" ht="15.75" customHeight="1">
      <c r="A601" s="5"/>
      <c r="B601" s="5"/>
      <c r="C601" s="5"/>
      <c r="D601" s="5"/>
      <c r="E601" s="5"/>
    </row>
    <row r="602" ht="15.75" customHeight="1">
      <c r="A602" s="5"/>
      <c r="B602" s="5"/>
      <c r="C602" s="5"/>
      <c r="D602" s="5"/>
      <c r="E602" s="5"/>
    </row>
    <row r="603" ht="15.75" customHeight="1">
      <c r="A603" s="5"/>
      <c r="B603" s="5"/>
      <c r="C603" s="5"/>
      <c r="D603" s="5"/>
      <c r="E603" s="5"/>
    </row>
    <row r="604" ht="15.75" customHeight="1">
      <c r="A604" s="5"/>
      <c r="B604" s="5"/>
      <c r="C604" s="5"/>
      <c r="D604" s="5"/>
      <c r="E604" s="5"/>
    </row>
    <row r="605" ht="15.75" customHeight="1">
      <c r="A605" s="5"/>
      <c r="B605" s="5"/>
      <c r="C605" s="5"/>
      <c r="D605" s="5"/>
      <c r="E605" s="5"/>
    </row>
    <row r="606" ht="15.75" customHeight="1">
      <c r="A606" s="5"/>
      <c r="B606" s="5"/>
      <c r="C606" s="5"/>
      <c r="D606" s="5"/>
      <c r="E606" s="5"/>
    </row>
    <row r="607" ht="15.75" customHeight="1">
      <c r="A607" s="5"/>
      <c r="B607" s="5"/>
      <c r="C607" s="5"/>
      <c r="D607" s="5"/>
      <c r="E607" s="5"/>
    </row>
    <row r="608" ht="15.75" customHeight="1">
      <c r="A608" s="5"/>
      <c r="B608" s="5"/>
      <c r="C608" s="5"/>
      <c r="D608" s="5"/>
      <c r="E608" s="5"/>
    </row>
    <row r="609" ht="15.75" customHeight="1">
      <c r="A609" s="5"/>
      <c r="B609" s="5"/>
      <c r="C609" s="5"/>
      <c r="D609" s="5"/>
      <c r="E609" s="5"/>
    </row>
    <row r="610" ht="15.75" customHeight="1">
      <c r="A610" s="5"/>
      <c r="B610" s="5"/>
      <c r="C610" s="5"/>
      <c r="D610" s="5"/>
      <c r="E610" s="5"/>
    </row>
    <row r="611" ht="15.75" customHeight="1">
      <c r="A611" s="5"/>
      <c r="B611" s="5"/>
      <c r="C611" s="5"/>
      <c r="D611" s="5"/>
      <c r="E611" s="5"/>
    </row>
    <row r="612" ht="15.75" customHeight="1">
      <c r="A612" s="5"/>
      <c r="B612" s="5"/>
      <c r="C612" s="5"/>
      <c r="D612" s="5"/>
      <c r="E612" s="5"/>
    </row>
    <row r="613" ht="15.75" customHeight="1">
      <c r="A613" s="5"/>
      <c r="B613" s="5"/>
      <c r="C613" s="5"/>
      <c r="D613" s="5"/>
      <c r="E613" s="5"/>
    </row>
    <row r="614" ht="15.75" customHeight="1">
      <c r="A614" s="5"/>
      <c r="B614" s="5"/>
      <c r="C614" s="5"/>
      <c r="D614" s="5"/>
      <c r="E614" s="5"/>
    </row>
    <row r="615" ht="15.75" customHeight="1">
      <c r="A615" s="5"/>
      <c r="B615" s="5"/>
      <c r="C615" s="5"/>
      <c r="D615" s="5"/>
      <c r="E615" s="5"/>
    </row>
    <row r="616" ht="15.75" customHeight="1">
      <c r="A616" s="5"/>
      <c r="B616" s="5"/>
      <c r="C616" s="5"/>
      <c r="D616" s="5"/>
      <c r="E616" s="5"/>
    </row>
    <row r="617" ht="15.75" customHeight="1">
      <c r="A617" s="5"/>
      <c r="B617" s="5"/>
      <c r="C617" s="5"/>
      <c r="D617" s="5"/>
      <c r="E617" s="5"/>
    </row>
    <row r="618" ht="15.75" customHeight="1">
      <c r="A618" s="5"/>
      <c r="B618" s="5"/>
      <c r="C618" s="5"/>
      <c r="D618" s="5"/>
      <c r="E618" s="5"/>
    </row>
    <row r="619" ht="15.75" customHeight="1">
      <c r="A619" s="5"/>
      <c r="B619" s="5"/>
      <c r="C619" s="5"/>
      <c r="D619" s="5"/>
      <c r="E619" s="5"/>
    </row>
    <row r="620" ht="15.75" customHeight="1">
      <c r="A620" s="5"/>
      <c r="B620" s="5"/>
      <c r="C620" s="5"/>
      <c r="D620" s="5"/>
      <c r="E620" s="5"/>
    </row>
    <row r="621" ht="15.75" customHeight="1">
      <c r="A621" s="5"/>
      <c r="B621" s="5"/>
      <c r="C621" s="5"/>
      <c r="D621" s="5"/>
      <c r="E621" s="5"/>
    </row>
    <row r="622" ht="15.75" customHeight="1">
      <c r="A622" s="5"/>
      <c r="B622" s="5"/>
      <c r="C622" s="5"/>
      <c r="D622" s="5"/>
      <c r="E622" s="5"/>
    </row>
    <row r="623" ht="15.75" customHeight="1">
      <c r="A623" s="5"/>
      <c r="B623" s="5"/>
      <c r="C623" s="5"/>
      <c r="D623" s="5"/>
      <c r="E623" s="5"/>
    </row>
    <row r="624" ht="15.75" customHeight="1">
      <c r="A624" s="5"/>
      <c r="B624" s="5"/>
      <c r="C624" s="5"/>
      <c r="D624" s="5"/>
      <c r="E624" s="5"/>
    </row>
    <row r="625" ht="15.75" customHeight="1">
      <c r="A625" s="5"/>
      <c r="B625" s="5"/>
      <c r="C625" s="5"/>
      <c r="D625" s="5"/>
      <c r="E625" s="5"/>
    </row>
    <row r="626" ht="15.75" customHeight="1">
      <c r="A626" s="5"/>
      <c r="B626" s="5"/>
      <c r="C626" s="5"/>
      <c r="D626" s="5"/>
      <c r="E626" s="5"/>
    </row>
    <row r="627" ht="15.75" customHeight="1">
      <c r="A627" s="5"/>
      <c r="B627" s="5"/>
      <c r="C627" s="5"/>
      <c r="D627" s="5"/>
      <c r="E627" s="5"/>
    </row>
    <row r="628" ht="15.75" customHeight="1">
      <c r="A628" s="5"/>
      <c r="B628" s="5"/>
      <c r="C628" s="5"/>
      <c r="D628" s="5"/>
      <c r="E628" s="5"/>
    </row>
    <row r="629" ht="15.75" customHeight="1">
      <c r="A629" s="5"/>
      <c r="B629" s="5"/>
      <c r="C629" s="5"/>
      <c r="D629" s="5"/>
      <c r="E629" s="5"/>
    </row>
    <row r="630" ht="15.75" customHeight="1">
      <c r="A630" s="5"/>
      <c r="B630" s="5"/>
      <c r="C630" s="5"/>
      <c r="D630" s="5"/>
      <c r="E630" s="5"/>
    </row>
    <row r="631" ht="15.75" customHeight="1">
      <c r="A631" s="5"/>
      <c r="B631" s="5"/>
      <c r="C631" s="5"/>
      <c r="D631" s="5"/>
      <c r="E631" s="5"/>
    </row>
    <row r="632" ht="15.75" customHeight="1">
      <c r="A632" s="5"/>
      <c r="B632" s="5"/>
      <c r="C632" s="5"/>
      <c r="D632" s="5"/>
      <c r="E632" s="5"/>
    </row>
    <row r="633" ht="15.75" customHeight="1">
      <c r="A633" s="5"/>
      <c r="B633" s="5"/>
      <c r="C633" s="5"/>
      <c r="D633" s="5"/>
      <c r="E633" s="5"/>
    </row>
    <row r="634" ht="15.75" customHeight="1">
      <c r="A634" s="5"/>
      <c r="B634" s="5"/>
      <c r="C634" s="5"/>
      <c r="D634" s="5"/>
      <c r="E634" s="5"/>
    </row>
    <row r="635" ht="15.75" customHeight="1">
      <c r="A635" s="5"/>
      <c r="B635" s="5"/>
      <c r="C635" s="5"/>
      <c r="D635" s="5"/>
      <c r="E635" s="5"/>
    </row>
    <row r="636" ht="15.75" customHeight="1">
      <c r="A636" s="5"/>
      <c r="B636" s="5"/>
      <c r="C636" s="5"/>
      <c r="D636" s="5"/>
      <c r="E636" s="5"/>
    </row>
    <row r="637" ht="15.75" customHeight="1">
      <c r="A637" s="5"/>
      <c r="B637" s="5"/>
      <c r="C637" s="5"/>
      <c r="D637" s="5"/>
      <c r="E637" s="5"/>
    </row>
    <row r="638" ht="15.75" customHeight="1">
      <c r="A638" s="5"/>
      <c r="B638" s="5"/>
      <c r="C638" s="5"/>
      <c r="D638" s="5"/>
      <c r="E638" s="5"/>
    </row>
    <row r="639" ht="15.75" customHeight="1">
      <c r="A639" s="5"/>
      <c r="B639" s="5"/>
      <c r="C639" s="5"/>
      <c r="D639" s="5"/>
      <c r="E639" s="5"/>
    </row>
    <row r="640" ht="15.75" customHeight="1">
      <c r="A640" s="5"/>
      <c r="B640" s="5"/>
      <c r="C640" s="5"/>
      <c r="D640" s="5"/>
      <c r="E640" s="5"/>
    </row>
    <row r="641" ht="15.75" customHeight="1">
      <c r="A641" s="5"/>
      <c r="B641" s="5"/>
      <c r="C641" s="5"/>
      <c r="D641" s="5"/>
      <c r="E641" s="5"/>
    </row>
    <row r="642" ht="15.75" customHeight="1">
      <c r="A642" s="5"/>
      <c r="B642" s="5"/>
      <c r="C642" s="5"/>
      <c r="D642" s="5"/>
      <c r="E642" s="5"/>
    </row>
    <row r="643" ht="15.75" customHeight="1">
      <c r="A643" s="5"/>
      <c r="B643" s="5"/>
      <c r="C643" s="5"/>
      <c r="D643" s="5"/>
      <c r="E643" s="5"/>
    </row>
    <row r="644" ht="15.75" customHeight="1">
      <c r="A644" s="5"/>
      <c r="B644" s="5"/>
      <c r="C644" s="5"/>
      <c r="D644" s="5"/>
      <c r="E644" s="5"/>
    </row>
    <row r="645" ht="15.75" customHeight="1">
      <c r="A645" s="5"/>
      <c r="B645" s="5"/>
      <c r="C645" s="5"/>
      <c r="D645" s="5"/>
      <c r="E645" s="5"/>
    </row>
    <row r="646" ht="15.75" customHeight="1">
      <c r="A646" s="5"/>
      <c r="B646" s="5"/>
      <c r="C646" s="5"/>
      <c r="D646" s="5"/>
      <c r="E646" s="5"/>
    </row>
    <row r="647" ht="15.75" customHeight="1">
      <c r="A647" s="5"/>
      <c r="B647" s="5"/>
      <c r="C647" s="5"/>
      <c r="D647" s="5"/>
      <c r="E647" s="5"/>
    </row>
    <row r="648" ht="15.75" customHeight="1">
      <c r="A648" s="5"/>
      <c r="B648" s="5"/>
      <c r="C648" s="5"/>
      <c r="D648" s="5"/>
      <c r="E648" s="5"/>
    </row>
    <row r="649" ht="15.75" customHeight="1">
      <c r="A649" s="5"/>
      <c r="B649" s="5"/>
      <c r="C649" s="5"/>
      <c r="D649" s="5"/>
      <c r="E649" s="5"/>
    </row>
    <row r="650" ht="15.75" customHeight="1">
      <c r="A650" s="5"/>
      <c r="B650" s="5"/>
      <c r="C650" s="5"/>
      <c r="D650" s="5"/>
      <c r="E650" s="5"/>
    </row>
    <row r="651" ht="15.75" customHeight="1">
      <c r="A651" s="5"/>
      <c r="B651" s="5"/>
      <c r="C651" s="5"/>
      <c r="D651" s="5"/>
      <c r="E651" s="5"/>
    </row>
    <row r="652" ht="15.75" customHeight="1">
      <c r="A652" s="5"/>
      <c r="B652" s="5"/>
      <c r="C652" s="5"/>
      <c r="D652" s="5"/>
      <c r="E652" s="5"/>
    </row>
    <row r="653" ht="15.75" customHeight="1">
      <c r="A653" s="5"/>
      <c r="B653" s="5"/>
      <c r="C653" s="5"/>
      <c r="D653" s="5"/>
      <c r="E653" s="5"/>
    </row>
    <row r="654" ht="15.75" customHeight="1">
      <c r="A654" s="5"/>
      <c r="B654" s="5"/>
      <c r="C654" s="5"/>
      <c r="D654" s="5"/>
      <c r="E654" s="5"/>
    </row>
    <row r="655" ht="15.75" customHeight="1">
      <c r="A655" s="5"/>
      <c r="B655" s="5"/>
      <c r="C655" s="5"/>
      <c r="D655" s="5"/>
      <c r="E655" s="5"/>
    </row>
    <row r="656" ht="15.75" customHeight="1">
      <c r="A656" s="5"/>
      <c r="B656" s="5"/>
      <c r="C656" s="5"/>
      <c r="D656" s="5"/>
      <c r="E656" s="5"/>
    </row>
    <row r="657" ht="15.75" customHeight="1">
      <c r="A657" s="5"/>
      <c r="B657" s="5"/>
      <c r="C657" s="5"/>
      <c r="D657" s="5"/>
      <c r="E657" s="5"/>
    </row>
    <row r="658" ht="15.75" customHeight="1">
      <c r="A658" s="5"/>
      <c r="B658" s="5"/>
      <c r="C658" s="5"/>
      <c r="D658" s="5"/>
      <c r="E658" s="5"/>
    </row>
    <row r="659" ht="15.75" customHeight="1">
      <c r="A659" s="5"/>
      <c r="B659" s="5"/>
      <c r="C659" s="5"/>
      <c r="D659" s="5"/>
      <c r="E659" s="5"/>
    </row>
    <row r="660" ht="15.75" customHeight="1">
      <c r="A660" s="5"/>
      <c r="B660" s="5"/>
      <c r="C660" s="5"/>
      <c r="D660" s="5"/>
      <c r="E660" s="5"/>
    </row>
    <row r="661" ht="15.75" customHeight="1">
      <c r="A661" s="5"/>
      <c r="B661" s="5"/>
      <c r="C661" s="5"/>
      <c r="D661" s="5"/>
      <c r="E661" s="5"/>
    </row>
    <row r="662" ht="15.75" customHeight="1">
      <c r="A662" s="5"/>
      <c r="B662" s="5"/>
      <c r="C662" s="5"/>
      <c r="D662" s="5"/>
      <c r="E662" s="5"/>
    </row>
    <row r="663" ht="15.75" customHeight="1">
      <c r="A663" s="5"/>
      <c r="B663" s="5"/>
      <c r="C663" s="5"/>
      <c r="D663" s="5"/>
      <c r="E663" s="5"/>
    </row>
    <row r="664" ht="15.75" customHeight="1">
      <c r="A664" s="5"/>
      <c r="B664" s="5"/>
      <c r="C664" s="5"/>
      <c r="D664" s="5"/>
      <c r="E664" s="5"/>
    </row>
    <row r="665" ht="15.75" customHeight="1">
      <c r="A665" s="5"/>
      <c r="B665" s="5"/>
      <c r="C665" s="5"/>
      <c r="D665" s="5"/>
      <c r="E665" s="5"/>
    </row>
    <row r="666" ht="15.75" customHeight="1">
      <c r="A666" s="5"/>
      <c r="B666" s="5"/>
      <c r="C666" s="5"/>
      <c r="D666" s="5"/>
      <c r="E666" s="5"/>
    </row>
    <row r="667" ht="15.75" customHeight="1">
      <c r="A667" s="5"/>
      <c r="B667" s="5"/>
      <c r="C667" s="5"/>
      <c r="D667" s="5"/>
      <c r="E667" s="5"/>
    </row>
    <row r="668" ht="15.75" customHeight="1">
      <c r="A668" s="5"/>
      <c r="B668" s="5"/>
      <c r="C668" s="5"/>
      <c r="D668" s="5"/>
      <c r="E668" s="5"/>
    </row>
    <row r="669" ht="15.75" customHeight="1">
      <c r="A669" s="5"/>
      <c r="B669" s="5"/>
      <c r="C669" s="5"/>
      <c r="D669" s="5"/>
      <c r="E669" s="5"/>
    </row>
    <row r="670" ht="15.75" customHeight="1">
      <c r="A670" s="5"/>
      <c r="B670" s="5"/>
      <c r="C670" s="5"/>
      <c r="D670" s="5"/>
      <c r="E670" s="5"/>
    </row>
    <row r="671" ht="15.75" customHeight="1">
      <c r="A671" s="5"/>
      <c r="B671" s="5"/>
      <c r="C671" s="5"/>
      <c r="D671" s="5"/>
      <c r="E671" s="5"/>
    </row>
    <row r="672" ht="15.75" customHeight="1">
      <c r="A672" s="5"/>
      <c r="B672" s="5"/>
      <c r="C672" s="5"/>
      <c r="D672" s="5"/>
      <c r="E672" s="5"/>
    </row>
    <row r="673" ht="15.75" customHeight="1">
      <c r="A673" s="5"/>
      <c r="B673" s="5"/>
      <c r="C673" s="5"/>
      <c r="D673" s="5"/>
      <c r="E673" s="5"/>
    </row>
    <row r="674" ht="15.75" customHeight="1">
      <c r="A674" s="5"/>
      <c r="B674" s="5"/>
      <c r="C674" s="5"/>
      <c r="D674" s="5"/>
      <c r="E674" s="5"/>
    </row>
    <row r="675" ht="15.75" customHeight="1">
      <c r="A675" s="5"/>
      <c r="B675" s="5"/>
      <c r="C675" s="5"/>
      <c r="D675" s="5"/>
      <c r="E675" s="5"/>
    </row>
    <row r="676" ht="15.75" customHeight="1">
      <c r="A676" s="5"/>
      <c r="B676" s="5"/>
      <c r="C676" s="5"/>
      <c r="D676" s="5"/>
      <c r="E676" s="5"/>
    </row>
    <row r="677" ht="15.75" customHeight="1">
      <c r="A677" s="5"/>
      <c r="B677" s="5"/>
      <c r="C677" s="5"/>
      <c r="D677" s="5"/>
      <c r="E677" s="5"/>
    </row>
    <row r="678" ht="15.75" customHeight="1">
      <c r="A678" s="5"/>
      <c r="B678" s="5"/>
      <c r="C678" s="5"/>
      <c r="D678" s="5"/>
      <c r="E678" s="5"/>
    </row>
    <row r="679" ht="15.75" customHeight="1">
      <c r="A679" s="5"/>
      <c r="B679" s="5"/>
      <c r="C679" s="5"/>
      <c r="D679" s="5"/>
      <c r="E679" s="5"/>
    </row>
    <row r="680" ht="15.75" customHeight="1">
      <c r="A680" s="5"/>
      <c r="B680" s="5"/>
      <c r="C680" s="5"/>
      <c r="D680" s="5"/>
      <c r="E680" s="5"/>
    </row>
    <row r="681" ht="15.75" customHeight="1">
      <c r="A681" s="5"/>
      <c r="B681" s="5"/>
      <c r="C681" s="5"/>
      <c r="D681" s="5"/>
      <c r="E681" s="5"/>
    </row>
    <row r="682" ht="15.75" customHeight="1">
      <c r="A682" s="5"/>
      <c r="B682" s="5"/>
      <c r="C682" s="5"/>
      <c r="D682" s="5"/>
      <c r="E682" s="5"/>
    </row>
    <row r="683" ht="15.75" customHeight="1">
      <c r="A683" s="5"/>
      <c r="B683" s="5"/>
      <c r="C683" s="5"/>
      <c r="D683" s="5"/>
      <c r="E683" s="5"/>
    </row>
    <row r="684" ht="15.75" customHeight="1">
      <c r="A684" s="5"/>
      <c r="B684" s="5"/>
      <c r="C684" s="5"/>
      <c r="D684" s="5"/>
      <c r="E684" s="5"/>
    </row>
    <row r="685" ht="15.75" customHeight="1">
      <c r="A685" s="5"/>
      <c r="B685" s="5"/>
      <c r="C685" s="5"/>
      <c r="D685" s="5"/>
      <c r="E685" s="5"/>
    </row>
    <row r="686" ht="15.75" customHeight="1">
      <c r="A686" s="5"/>
      <c r="B686" s="5"/>
      <c r="C686" s="5"/>
      <c r="D686" s="5"/>
      <c r="E686" s="5"/>
    </row>
    <row r="687" ht="15.75" customHeight="1">
      <c r="A687" s="5"/>
      <c r="B687" s="5"/>
      <c r="C687" s="5"/>
      <c r="D687" s="5"/>
      <c r="E687" s="5"/>
    </row>
    <row r="688" ht="15.75" customHeight="1">
      <c r="A688" s="5"/>
      <c r="B688" s="5"/>
      <c r="C688" s="5"/>
      <c r="D688" s="5"/>
      <c r="E688" s="5"/>
    </row>
    <row r="689" ht="15.75" customHeight="1">
      <c r="A689" s="5"/>
      <c r="B689" s="5"/>
      <c r="C689" s="5"/>
      <c r="D689" s="5"/>
      <c r="E689" s="5"/>
    </row>
    <row r="690" ht="15.75" customHeight="1">
      <c r="A690" s="5"/>
      <c r="B690" s="5"/>
      <c r="C690" s="5"/>
      <c r="D690" s="5"/>
      <c r="E690" s="5"/>
    </row>
    <row r="691" ht="15.75" customHeight="1">
      <c r="A691" s="5"/>
      <c r="B691" s="5"/>
      <c r="C691" s="5"/>
      <c r="D691" s="5"/>
      <c r="E691" s="5"/>
    </row>
    <row r="692" ht="15.75" customHeight="1">
      <c r="A692" s="5"/>
      <c r="B692" s="5"/>
      <c r="C692" s="5"/>
      <c r="D692" s="5"/>
      <c r="E692" s="5"/>
    </row>
    <row r="693" ht="15.75" customHeight="1">
      <c r="A693" s="5"/>
      <c r="B693" s="5"/>
      <c r="C693" s="5"/>
      <c r="D693" s="5"/>
      <c r="E693" s="5"/>
    </row>
    <row r="694" ht="15.75" customHeight="1">
      <c r="A694" s="5"/>
      <c r="B694" s="5"/>
      <c r="C694" s="5"/>
      <c r="D694" s="5"/>
      <c r="E694" s="5"/>
    </row>
    <row r="695" ht="15.75" customHeight="1">
      <c r="A695" s="5"/>
      <c r="B695" s="5"/>
      <c r="C695" s="5"/>
      <c r="D695" s="5"/>
      <c r="E695" s="5"/>
    </row>
    <row r="696" ht="15.75" customHeight="1">
      <c r="A696" s="5"/>
      <c r="B696" s="5"/>
      <c r="C696" s="5"/>
      <c r="D696" s="5"/>
      <c r="E696" s="5"/>
    </row>
    <row r="697" ht="15.75" customHeight="1">
      <c r="A697" s="5"/>
      <c r="B697" s="5"/>
      <c r="C697" s="5"/>
      <c r="D697" s="5"/>
      <c r="E697" s="5"/>
    </row>
    <row r="698" ht="15.75" customHeight="1">
      <c r="A698" s="5"/>
      <c r="B698" s="5"/>
      <c r="C698" s="5"/>
      <c r="D698" s="5"/>
      <c r="E698" s="5"/>
    </row>
    <row r="699" ht="15.75" customHeight="1">
      <c r="A699" s="5"/>
      <c r="B699" s="5"/>
      <c r="C699" s="5"/>
      <c r="D699" s="5"/>
      <c r="E699" s="5"/>
    </row>
    <row r="700" ht="15.75" customHeight="1">
      <c r="A700" s="5"/>
      <c r="B700" s="5"/>
      <c r="C700" s="5"/>
      <c r="D700" s="5"/>
      <c r="E700" s="5"/>
    </row>
    <row r="701" ht="15.75" customHeight="1">
      <c r="A701" s="5"/>
      <c r="B701" s="5"/>
      <c r="C701" s="5"/>
      <c r="D701" s="5"/>
      <c r="E701" s="5"/>
    </row>
    <row r="702" ht="15.75" customHeight="1">
      <c r="A702" s="5"/>
      <c r="B702" s="5"/>
      <c r="C702" s="5"/>
      <c r="D702" s="5"/>
      <c r="E702" s="5"/>
    </row>
    <row r="703" ht="15.75" customHeight="1">
      <c r="A703" s="5"/>
      <c r="B703" s="5"/>
      <c r="C703" s="5"/>
      <c r="D703" s="5"/>
      <c r="E703" s="5"/>
    </row>
    <row r="704" ht="15.75" customHeight="1">
      <c r="A704" s="5"/>
      <c r="B704" s="5"/>
      <c r="C704" s="5"/>
      <c r="D704" s="5"/>
      <c r="E704" s="5"/>
    </row>
    <row r="705" ht="15.75" customHeight="1">
      <c r="A705" s="5"/>
      <c r="B705" s="5"/>
      <c r="C705" s="5"/>
      <c r="D705" s="5"/>
      <c r="E705" s="5"/>
    </row>
    <row r="706" ht="15.75" customHeight="1">
      <c r="A706" s="5"/>
      <c r="B706" s="5"/>
      <c r="C706" s="5"/>
      <c r="D706" s="5"/>
      <c r="E706" s="5"/>
    </row>
    <row r="707" ht="15.75" customHeight="1">
      <c r="A707" s="5"/>
      <c r="B707" s="5"/>
      <c r="C707" s="5"/>
      <c r="D707" s="5"/>
      <c r="E707" s="5"/>
    </row>
    <row r="708" ht="15.75" customHeight="1">
      <c r="A708" s="5"/>
      <c r="B708" s="5"/>
      <c r="C708" s="5"/>
      <c r="D708" s="5"/>
      <c r="E708" s="5"/>
    </row>
    <row r="709" ht="15.75" customHeight="1">
      <c r="A709" s="5"/>
      <c r="B709" s="5"/>
      <c r="C709" s="5"/>
      <c r="D709" s="5"/>
      <c r="E709" s="5"/>
    </row>
    <row r="710" ht="15.75" customHeight="1">
      <c r="A710" s="5"/>
      <c r="B710" s="5"/>
      <c r="C710" s="5"/>
      <c r="D710" s="5"/>
      <c r="E710" s="5"/>
    </row>
    <row r="711" ht="15.75" customHeight="1">
      <c r="A711" s="5"/>
      <c r="B711" s="5"/>
      <c r="C711" s="5"/>
      <c r="D711" s="5"/>
      <c r="E711" s="5"/>
    </row>
    <row r="712" ht="15.75" customHeight="1">
      <c r="A712" s="5"/>
      <c r="B712" s="5"/>
      <c r="C712" s="5"/>
      <c r="D712" s="5"/>
      <c r="E712" s="5"/>
    </row>
    <row r="713" ht="15.75" customHeight="1">
      <c r="A713" s="5"/>
      <c r="B713" s="5"/>
      <c r="C713" s="5"/>
      <c r="D713" s="5"/>
      <c r="E713" s="5"/>
    </row>
    <row r="714" ht="15.75" customHeight="1">
      <c r="A714" s="5"/>
      <c r="B714" s="5"/>
      <c r="C714" s="5"/>
      <c r="D714" s="5"/>
      <c r="E714" s="5"/>
    </row>
    <row r="715" ht="15.75" customHeight="1">
      <c r="A715" s="5"/>
      <c r="B715" s="5"/>
      <c r="C715" s="5"/>
      <c r="D715" s="5"/>
      <c r="E715" s="5"/>
    </row>
    <row r="716" ht="15.75" customHeight="1">
      <c r="A716" s="5"/>
      <c r="B716" s="5"/>
      <c r="C716" s="5"/>
      <c r="D716" s="5"/>
      <c r="E716" s="5"/>
    </row>
    <row r="717" ht="15.75" customHeight="1">
      <c r="A717" s="5"/>
      <c r="B717" s="5"/>
      <c r="C717" s="5"/>
      <c r="D717" s="5"/>
      <c r="E717" s="5"/>
    </row>
    <row r="718" ht="15.75" customHeight="1">
      <c r="A718" s="5"/>
      <c r="B718" s="5"/>
      <c r="C718" s="5"/>
      <c r="D718" s="5"/>
      <c r="E718" s="5"/>
    </row>
    <row r="719" ht="15.75" customHeight="1">
      <c r="A719" s="5"/>
      <c r="B719" s="5"/>
      <c r="C719" s="5"/>
      <c r="D719" s="5"/>
      <c r="E719" s="5"/>
    </row>
    <row r="720" ht="15.75" customHeight="1">
      <c r="A720" s="5"/>
      <c r="B720" s="5"/>
      <c r="C720" s="5"/>
      <c r="D720" s="5"/>
      <c r="E720" s="5"/>
    </row>
    <row r="721" ht="15.75" customHeight="1">
      <c r="A721" s="5"/>
      <c r="B721" s="5"/>
      <c r="C721" s="5"/>
      <c r="D721" s="5"/>
      <c r="E721" s="5"/>
    </row>
    <row r="722" ht="15.75" customHeight="1">
      <c r="A722" s="5"/>
      <c r="B722" s="5"/>
      <c r="C722" s="5"/>
      <c r="D722" s="5"/>
      <c r="E722" s="5"/>
    </row>
    <row r="723" ht="15.75" customHeight="1">
      <c r="A723" s="5"/>
      <c r="B723" s="5"/>
      <c r="C723" s="5"/>
      <c r="D723" s="5"/>
      <c r="E723" s="5"/>
    </row>
    <row r="724" ht="15.75" customHeight="1">
      <c r="A724" s="5"/>
      <c r="B724" s="5"/>
      <c r="C724" s="5"/>
      <c r="D724" s="5"/>
      <c r="E724" s="5"/>
    </row>
    <row r="725" ht="15.75" customHeight="1">
      <c r="A725" s="5"/>
      <c r="B725" s="5"/>
      <c r="C725" s="5"/>
      <c r="D725" s="5"/>
      <c r="E725" s="5"/>
    </row>
    <row r="726" ht="15.75" customHeight="1">
      <c r="A726" s="5"/>
      <c r="B726" s="5"/>
      <c r="C726" s="5"/>
      <c r="D726" s="5"/>
      <c r="E726" s="5"/>
    </row>
    <row r="727" ht="15.75" customHeight="1">
      <c r="A727" s="5"/>
      <c r="B727" s="5"/>
      <c r="C727" s="5"/>
      <c r="D727" s="5"/>
      <c r="E727" s="5"/>
    </row>
    <row r="728" ht="15.75" customHeight="1">
      <c r="A728" s="5"/>
      <c r="B728" s="5"/>
      <c r="C728" s="5"/>
      <c r="D728" s="5"/>
      <c r="E728" s="5"/>
    </row>
    <row r="729" ht="15.75" customHeight="1">
      <c r="A729" s="5"/>
      <c r="B729" s="5"/>
      <c r="C729" s="5"/>
      <c r="D729" s="5"/>
      <c r="E729" s="5"/>
    </row>
    <row r="730" ht="15.75" customHeight="1">
      <c r="A730" s="5"/>
      <c r="B730" s="5"/>
      <c r="C730" s="5"/>
      <c r="D730" s="5"/>
      <c r="E730" s="5"/>
    </row>
    <row r="731" ht="15.75" customHeight="1">
      <c r="A731" s="5"/>
      <c r="B731" s="5"/>
      <c r="C731" s="5"/>
      <c r="D731" s="5"/>
      <c r="E731" s="5"/>
    </row>
    <row r="732" ht="15.75" customHeight="1">
      <c r="A732" s="5"/>
      <c r="B732" s="5"/>
      <c r="C732" s="5"/>
      <c r="D732" s="5"/>
      <c r="E732" s="5"/>
    </row>
    <row r="733" ht="15.75" customHeight="1">
      <c r="A733" s="5"/>
      <c r="B733" s="5"/>
      <c r="C733" s="5"/>
      <c r="D733" s="5"/>
      <c r="E733" s="5"/>
    </row>
    <row r="734" ht="15.75" customHeight="1">
      <c r="A734" s="5"/>
      <c r="B734" s="5"/>
      <c r="C734" s="5"/>
      <c r="D734" s="5"/>
      <c r="E734" s="5"/>
    </row>
    <row r="735" ht="15.75" customHeight="1">
      <c r="A735" s="5"/>
      <c r="B735" s="5"/>
      <c r="C735" s="5"/>
      <c r="D735" s="5"/>
      <c r="E735" s="5"/>
    </row>
    <row r="736" ht="15.75" customHeight="1">
      <c r="A736" s="5"/>
      <c r="B736" s="5"/>
      <c r="C736" s="5"/>
      <c r="D736" s="5"/>
      <c r="E736" s="5"/>
    </row>
    <row r="737" ht="15.75" customHeight="1">
      <c r="A737" s="5"/>
      <c r="B737" s="5"/>
      <c r="C737" s="5"/>
      <c r="D737" s="5"/>
      <c r="E737" s="5"/>
    </row>
    <row r="738" ht="15.75" customHeight="1">
      <c r="A738" s="5"/>
      <c r="B738" s="5"/>
      <c r="C738" s="5"/>
      <c r="D738" s="5"/>
      <c r="E738" s="5"/>
    </row>
    <row r="739" ht="15.75" customHeight="1">
      <c r="A739" s="5"/>
      <c r="B739" s="5"/>
      <c r="C739" s="5"/>
      <c r="D739" s="5"/>
      <c r="E739" s="5"/>
    </row>
    <row r="740" ht="15.75" customHeight="1">
      <c r="A740" s="5"/>
      <c r="B740" s="5"/>
      <c r="C740" s="5"/>
      <c r="D740" s="5"/>
      <c r="E740" s="5"/>
    </row>
    <row r="741" ht="15.75" customHeight="1">
      <c r="A741" s="5"/>
      <c r="B741" s="5"/>
      <c r="C741" s="5"/>
      <c r="D741" s="5"/>
      <c r="E741" s="5"/>
    </row>
    <row r="742" ht="15.75" customHeight="1">
      <c r="A742" s="5"/>
      <c r="B742" s="5"/>
      <c r="C742" s="5"/>
      <c r="D742" s="5"/>
      <c r="E742" s="5"/>
    </row>
    <row r="743" ht="15.75" customHeight="1">
      <c r="A743" s="5"/>
      <c r="B743" s="5"/>
      <c r="C743" s="5"/>
      <c r="D743" s="5"/>
      <c r="E743" s="5"/>
    </row>
    <row r="744" ht="15.75" customHeight="1">
      <c r="A744" s="5"/>
      <c r="B744" s="5"/>
      <c r="C744" s="5"/>
      <c r="D744" s="5"/>
      <c r="E744" s="5"/>
    </row>
    <row r="745" ht="15.75" customHeight="1">
      <c r="A745" s="5"/>
      <c r="B745" s="5"/>
      <c r="C745" s="5"/>
      <c r="D745" s="5"/>
      <c r="E745" s="5"/>
    </row>
    <row r="746" ht="15.75" customHeight="1">
      <c r="A746" s="5"/>
      <c r="B746" s="5"/>
      <c r="C746" s="5"/>
      <c r="D746" s="5"/>
      <c r="E746" s="5"/>
    </row>
    <row r="747" ht="15.75" customHeight="1">
      <c r="A747" s="5"/>
      <c r="B747" s="5"/>
      <c r="C747" s="5"/>
      <c r="D747" s="5"/>
      <c r="E747" s="5"/>
    </row>
    <row r="748" ht="15.75" customHeight="1">
      <c r="A748" s="5"/>
      <c r="B748" s="5"/>
      <c r="C748" s="5"/>
      <c r="D748" s="5"/>
      <c r="E748" s="5"/>
    </row>
    <row r="749" ht="15.75" customHeight="1">
      <c r="A749" s="5"/>
      <c r="B749" s="5"/>
      <c r="C749" s="5"/>
      <c r="D749" s="5"/>
      <c r="E749" s="5"/>
    </row>
    <row r="750" ht="15.75" customHeight="1">
      <c r="A750" s="5"/>
      <c r="B750" s="5"/>
      <c r="C750" s="5"/>
      <c r="D750" s="5"/>
      <c r="E750" s="5"/>
    </row>
    <row r="751" ht="15.75" customHeight="1">
      <c r="A751" s="5"/>
      <c r="B751" s="5"/>
      <c r="C751" s="5"/>
      <c r="D751" s="5"/>
      <c r="E751" s="5"/>
    </row>
    <row r="752" ht="15.75" customHeight="1">
      <c r="A752" s="5"/>
      <c r="B752" s="5"/>
      <c r="C752" s="5"/>
      <c r="D752" s="5"/>
      <c r="E752" s="5"/>
    </row>
    <row r="753" ht="15.75" customHeight="1">
      <c r="A753" s="5"/>
      <c r="B753" s="5"/>
      <c r="C753" s="5"/>
      <c r="D753" s="5"/>
      <c r="E753" s="5"/>
    </row>
    <row r="754" ht="15.75" customHeight="1">
      <c r="A754" s="5"/>
      <c r="B754" s="5"/>
      <c r="C754" s="5"/>
      <c r="D754" s="5"/>
      <c r="E754" s="5"/>
    </row>
    <row r="755" ht="15.75" customHeight="1">
      <c r="A755" s="5"/>
      <c r="B755" s="5"/>
      <c r="C755" s="5"/>
      <c r="D755" s="5"/>
      <c r="E755" s="5"/>
    </row>
    <row r="756" ht="15.75" customHeight="1">
      <c r="A756" s="5"/>
      <c r="B756" s="5"/>
      <c r="C756" s="5"/>
      <c r="D756" s="5"/>
      <c r="E756" s="5"/>
    </row>
    <row r="757" ht="15.75" customHeight="1">
      <c r="A757" s="5"/>
      <c r="B757" s="5"/>
      <c r="C757" s="5"/>
      <c r="D757" s="5"/>
      <c r="E757" s="5"/>
    </row>
    <row r="758" ht="15.75" customHeight="1">
      <c r="A758" s="5"/>
      <c r="B758" s="5"/>
      <c r="C758" s="5"/>
      <c r="D758" s="5"/>
      <c r="E758" s="5"/>
    </row>
    <row r="759" ht="15.75" customHeight="1">
      <c r="A759" s="5"/>
      <c r="B759" s="5"/>
      <c r="C759" s="5"/>
      <c r="D759" s="5"/>
      <c r="E759" s="5"/>
    </row>
    <row r="760" ht="15.75" customHeight="1">
      <c r="A760" s="5"/>
      <c r="B760" s="5"/>
      <c r="C760" s="5"/>
      <c r="D760" s="5"/>
      <c r="E760" s="5"/>
    </row>
    <row r="761" ht="15.75" customHeight="1">
      <c r="A761" s="5"/>
      <c r="B761" s="5"/>
      <c r="C761" s="5"/>
      <c r="D761" s="5"/>
      <c r="E761" s="5"/>
    </row>
    <row r="762" ht="15.75" customHeight="1">
      <c r="A762" s="5"/>
      <c r="B762" s="5"/>
      <c r="C762" s="5"/>
      <c r="D762" s="5"/>
      <c r="E762" s="5"/>
    </row>
    <row r="763" ht="15.75" customHeight="1">
      <c r="A763" s="5"/>
      <c r="B763" s="5"/>
      <c r="C763" s="5"/>
      <c r="D763" s="5"/>
      <c r="E763" s="5"/>
    </row>
    <row r="764" ht="15.75" customHeight="1">
      <c r="A764" s="5"/>
      <c r="B764" s="5"/>
      <c r="C764" s="5"/>
      <c r="D764" s="5"/>
      <c r="E764" s="5"/>
    </row>
    <row r="765" ht="15.75" customHeight="1">
      <c r="A765" s="5"/>
      <c r="B765" s="5"/>
      <c r="C765" s="5"/>
      <c r="D765" s="5"/>
      <c r="E765" s="5"/>
    </row>
    <row r="766" ht="15.75" customHeight="1">
      <c r="A766" s="5"/>
      <c r="B766" s="5"/>
      <c r="C766" s="5"/>
      <c r="D766" s="5"/>
      <c r="E766" s="5"/>
    </row>
    <row r="767" ht="15.75" customHeight="1">
      <c r="A767" s="5"/>
      <c r="B767" s="5"/>
      <c r="C767" s="5"/>
      <c r="D767" s="5"/>
      <c r="E767" s="5"/>
    </row>
    <row r="768" ht="15.75" customHeight="1">
      <c r="A768" s="5"/>
      <c r="B768" s="5"/>
      <c r="C768" s="5"/>
      <c r="D768" s="5"/>
      <c r="E768" s="5"/>
    </row>
    <row r="769" ht="15.75" customHeight="1">
      <c r="A769" s="5"/>
      <c r="B769" s="5"/>
      <c r="C769" s="5"/>
      <c r="D769" s="5"/>
      <c r="E769" s="5"/>
    </row>
    <row r="770" ht="15.75" customHeight="1">
      <c r="A770" s="5"/>
      <c r="B770" s="5"/>
      <c r="C770" s="5"/>
      <c r="D770" s="5"/>
      <c r="E770" s="5"/>
    </row>
    <row r="771" ht="15.75" customHeight="1">
      <c r="A771" s="5"/>
      <c r="B771" s="5"/>
      <c r="C771" s="5"/>
      <c r="D771" s="5"/>
      <c r="E771" s="5"/>
    </row>
    <row r="772" ht="15.75" customHeight="1">
      <c r="A772" s="5"/>
      <c r="B772" s="5"/>
      <c r="C772" s="5"/>
      <c r="D772" s="5"/>
      <c r="E772" s="5"/>
    </row>
    <row r="773" ht="15.75" customHeight="1">
      <c r="A773" s="5"/>
      <c r="B773" s="5"/>
      <c r="C773" s="5"/>
      <c r="D773" s="5"/>
      <c r="E773" s="5"/>
    </row>
    <row r="774" ht="15.75" customHeight="1">
      <c r="A774" s="5"/>
      <c r="B774" s="5"/>
      <c r="C774" s="5"/>
      <c r="D774" s="5"/>
      <c r="E774" s="5"/>
    </row>
    <row r="775" ht="15.75" customHeight="1">
      <c r="A775" s="5"/>
      <c r="B775" s="5"/>
      <c r="C775" s="5"/>
      <c r="D775" s="5"/>
      <c r="E775" s="5"/>
    </row>
    <row r="776" ht="15.75" customHeight="1">
      <c r="A776" s="5"/>
      <c r="B776" s="5"/>
      <c r="C776" s="5"/>
      <c r="D776" s="5"/>
      <c r="E776" s="5"/>
    </row>
    <row r="777" ht="15.75" customHeight="1">
      <c r="A777" s="5"/>
      <c r="B777" s="5"/>
      <c r="C777" s="5"/>
      <c r="D777" s="5"/>
      <c r="E777" s="5"/>
    </row>
    <row r="778" ht="15.75" customHeight="1">
      <c r="A778" s="5"/>
      <c r="B778" s="5"/>
      <c r="C778" s="5"/>
      <c r="D778" s="5"/>
      <c r="E778" s="5"/>
    </row>
    <row r="779" ht="15.75" customHeight="1">
      <c r="A779" s="5"/>
      <c r="B779" s="5"/>
      <c r="C779" s="5"/>
      <c r="D779" s="5"/>
      <c r="E779" s="5"/>
    </row>
    <row r="780" ht="15.75" customHeight="1">
      <c r="A780" s="5"/>
      <c r="B780" s="5"/>
      <c r="C780" s="5"/>
      <c r="D780" s="5"/>
      <c r="E780" s="5"/>
    </row>
    <row r="781" ht="15.75" customHeight="1">
      <c r="A781" s="5"/>
      <c r="B781" s="5"/>
      <c r="C781" s="5"/>
      <c r="D781" s="5"/>
      <c r="E781" s="5"/>
    </row>
    <row r="782" ht="15.75" customHeight="1">
      <c r="A782" s="5"/>
      <c r="B782" s="5"/>
      <c r="C782" s="5"/>
      <c r="D782" s="5"/>
      <c r="E782" s="5"/>
    </row>
    <row r="783" ht="15.75" customHeight="1">
      <c r="A783" s="5"/>
      <c r="B783" s="5"/>
      <c r="C783" s="5"/>
      <c r="D783" s="5"/>
      <c r="E783" s="5"/>
    </row>
    <row r="784" ht="15.75" customHeight="1">
      <c r="A784" s="5"/>
      <c r="B784" s="5"/>
      <c r="C784" s="5"/>
      <c r="D784" s="5"/>
      <c r="E784" s="5"/>
    </row>
    <row r="785" ht="15.75" customHeight="1">
      <c r="A785" s="5"/>
      <c r="B785" s="5"/>
      <c r="C785" s="5"/>
      <c r="D785" s="5"/>
      <c r="E785" s="5"/>
    </row>
    <row r="786" ht="15.75" customHeight="1">
      <c r="A786" s="5"/>
      <c r="B786" s="5"/>
      <c r="C786" s="5"/>
      <c r="D786" s="5"/>
      <c r="E786" s="5"/>
    </row>
    <row r="787" ht="15.75" customHeight="1">
      <c r="A787" s="5"/>
      <c r="B787" s="5"/>
      <c r="C787" s="5"/>
      <c r="D787" s="5"/>
      <c r="E787" s="5"/>
    </row>
    <row r="788" ht="15.75" customHeight="1">
      <c r="A788" s="5"/>
      <c r="B788" s="5"/>
      <c r="C788" s="5"/>
      <c r="D788" s="5"/>
      <c r="E788" s="5"/>
    </row>
    <row r="789" ht="15.75" customHeight="1">
      <c r="A789" s="5"/>
      <c r="B789" s="5"/>
      <c r="C789" s="5"/>
      <c r="D789" s="5"/>
      <c r="E789" s="5"/>
    </row>
    <row r="790" ht="15.75" customHeight="1">
      <c r="A790" s="5"/>
      <c r="B790" s="5"/>
      <c r="C790" s="5"/>
      <c r="D790" s="5"/>
      <c r="E790" s="5"/>
    </row>
    <row r="791" ht="15.75" customHeight="1">
      <c r="A791" s="5"/>
      <c r="B791" s="5"/>
      <c r="C791" s="5"/>
      <c r="D791" s="5"/>
      <c r="E791" s="5"/>
    </row>
    <row r="792" ht="15.75" customHeight="1">
      <c r="A792" s="5"/>
      <c r="B792" s="5"/>
      <c r="C792" s="5"/>
      <c r="D792" s="5"/>
      <c r="E792" s="5"/>
    </row>
    <row r="793" ht="15.75" customHeight="1">
      <c r="A793" s="5"/>
      <c r="B793" s="5"/>
      <c r="C793" s="5"/>
      <c r="D793" s="5"/>
      <c r="E793" s="5"/>
    </row>
    <row r="794" ht="15.75" customHeight="1">
      <c r="A794" s="5"/>
      <c r="B794" s="5"/>
      <c r="C794" s="5"/>
      <c r="D794" s="5"/>
      <c r="E794" s="5"/>
    </row>
    <row r="795" ht="15.75" customHeight="1">
      <c r="A795" s="5"/>
      <c r="B795" s="5"/>
      <c r="C795" s="5"/>
      <c r="D795" s="5"/>
      <c r="E795" s="5"/>
    </row>
    <row r="796" ht="15.75" customHeight="1">
      <c r="A796" s="5"/>
      <c r="B796" s="5"/>
      <c r="C796" s="5"/>
      <c r="D796" s="5"/>
      <c r="E796" s="5"/>
    </row>
    <row r="797" ht="15.75" customHeight="1">
      <c r="A797" s="5"/>
      <c r="B797" s="5"/>
      <c r="C797" s="5"/>
      <c r="D797" s="5"/>
      <c r="E797" s="5"/>
    </row>
    <row r="798" ht="15.75" customHeight="1">
      <c r="A798" s="5"/>
      <c r="B798" s="5"/>
      <c r="C798" s="5"/>
      <c r="D798" s="5"/>
      <c r="E798" s="5"/>
    </row>
    <row r="799" ht="15.75" customHeight="1">
      <c r="A799" s="5"/>
      <c r="B799" s="5"/>
      <c r="C799" s="5"/>
      <c r="D799" s="5"/>
      <c r="E799" s="5"/>
    </row>
    <row r="800" ht="15.75" customHeight="1">
      <c r="A800" s="5"/>
      <c r="B800" s="5"/>
      <c r="C800" s="5"/>
      <c r="D800" s="5"/>
      <c r="E800" s="5"/>
    </row>
    <row r="801" ht="15.75" customHeight="1">
      <c r="A801" s="5"/>
      <c r="B801" s="5"/>
      <c r="C801" s="5"/>
      <c r="D801" s="5"/>
      <c r="E801" s="5"/>
    </row>
    <row r="802" ht="15.75" customHeight="1">
      <c r="A802" s="5"/>
      <c r="B802" s="5"/>
      <c r="C802" s="5"/>
      <c r="D802" s="5"/>
      <c r="E802" s="5"/>
    </row>
    <row r="803" ht="15.75" customHeight="1">
      <c r="A803" s="5"/>
      <c r="B803" s="5"/>
      <c r="C803" s="5"/>
      <c r="D803" s="5"/>
      <c r="E803" s="5"/>
    </row>
    <row r="804" ht="15.75" customHeight="1">
      <c r="A804" s="5"/>
      <c r="B804" s="5"/>
      <c r="C804" s="5"/>
      <c r="D804" s="5"/>
      <c r="E804" s="5"/>
    </row>
    <row r="805" ht="15.75" customHeight="1">
      <c r="A805" s="5"/>
      <c r="B805" s="5"/>
      <c r="C805" s="5"/>
      <c r="D805" s="5"/>
      <c r="E805" s="5"/>
    </row>
    <row r="806" ht="15.75" customHeight="1">
      <c r="A806" s="5"/>
      <c r="B806" s="5"/>
      <c r="C806" s="5"/>
      <c r="D806" s="5"/>
      <c r="E806" s="5"/>
    </row>
    <row r="807" ht="15.75" customHeight="1">
      <c r="A807" s="5"/>
      <c r="B807" s="5"/>
      <c r="C807" s="5"/>
      <c r="D807" s="5"/>
      <c r="E807" s="5"/>
    </row>
    <row r="808" ht="15.75" customHeight="1">
      <c r="A808" s="5"/>
      <c r="B808" s="5"/>
      <c r="C808" s="5"/>
      <c r="D808" s="5"/>
      <c r="E808" s="5"/>
    </row>
    <row r="809" ht="15.75" customHeight="1">
      <c r="A809" s="5"/>
      <c r="B809" s="5"/>
      <c r="C809" s="5"/>
      <c r="D809" s="5"/>
      <c r="E809" s="5"/>
    </row>
    <row r="810" ht="15.75" customHeight="1">
      <c r="A810" s="5"/>
      <c r="B810" s="5"/>
      <c r="C810" s="5"/>
      <c r="D810" s="5"/>
      <c r="E810" s="5"/>
    </row>
    <row r="811" ht="15.75" customHeight="1">
      <c r="A811" s="5"/>
      <c r="B811" s="5"/>
      <c r="C811" s="5"/>
      <c r="D811" s="5"/>
      <c r="E811" s="5"/>
    </row>
    <row r="812" ht="15.75" customHeight="1">
      <c r="A812" s="5"/>
      <c r="B812" s="5"/>
      <c r="C812" s="5"/>
      <c r="D812" s="5"/>
      <c r="E812" s="5"/>
    </row>
    <row r="813" ht="15.75" customHeight="1">
      <c r="A813" s="5"/>
      <c r="B813" s="5"/>
      <c r="C813" s="5"/>
      <c r="D813" s="5"/>
      <c r="E813" s="5"/>
    </row>
    <row r="814" ht="15.75" customHeight="1">
      <c r="A814" s="5"/>
      <c r="B814" s="5"/>
      <c r="C814" s="5"/>
      <c r="D814" s="5"/>
      <c r="E814" s="5"/>
    </row>
    <row r="815" ht="15.75" customHeight="1">
      <c r="A815" s="5"/>
      <c r="B815" s="5"/>
      <c r="C815" s="5"/>
      <c r="D815" s="5"/>
      <c r="E815" s="5"/>
    </row>
    <row r="816" ht="15.75" customHeight="1">
      <c r="A816" s="5"/>
      <c r="B816" s="5"/>
      <c r="C816" s="5"/>
      <c r="D816" s="5"/>
      <c r="E816" s="5"/>
    </row>
    <row r="817" ht="15.75" customHeight="1">
      <c r="A817" s="5"/>
      <c r="B817" s="5"/>
      <c r="C817" s="5"/>
      <c r="D817" s="5"/>
      <c r="E817" s="5"/>
    </row>
    <row r="818" ht="15.75" customHeight="1">
      <c r="A818" s="5"/>
      <c r="B818" s="5"/>
      <c r="C818" s="5"/>
      <c r="D818" s="5"/>
      <c r="E818" s="5"/>
    </row>
    <row r="819" ht="15.75" customHeight="1">
      <c r="A819" s="5"/>
      <c r="B819" s="5"/>
      <c r="C819" s="5"/>
      <c r="D819" s="5"/>
      <c r="E819" s="5"/>
    </row>
    <row r="820" ht="15.75" customHeight="1">
      <c r="A820" s="5"/>
      <c r="B820" s="5"/>
      <c r="C820" s="5"/>
      <c r="D820" s="5"/>
      <c r="E820" s="5"/>
    </row>
    <row r="821" ht="15.75" customHeight="1">
      <c r="A821" s="5"/>
      <c r="B821" s="5"/>
      <c r="C821" s="5"/>
      <c r="D821" s="5"/>
      <c r="E821" s="5"/>
    </row>
    <row r="822" ht="15.75" customHeight="1">
      <c r="A822" s="5"/>
      <c r="B822" s="5"/>
      <c r="C822" s="5"/>
      <c r="D822" s="5"/>
      <c r="E822" s="5"/>
    </row>
    <row r="823" ht="15.75" customHeight="1">
      <c r="A823" s="5"/>
      <c r="B823" s="5"/>
      <c r="C823" s="5"/>
      <c r="D823" s="5"/>
      <c r="E823" s="5"/>
    </row>
    <row r="824" ht="15.75" customHeight="1">
      <c r="A824" s="5"/>
      <c r="B824" s="5"/>
      <c r="C824" s="5"/>
      <c r="D824" s="5"/>
      <c r="E824" s="5"/>
    </row>
    <row r="825" ht="15.75" customHeight="1">
      <c r="A825" s="5"/>
      <c r="B825" s="5"/>
      <c r="C825" s="5"/>
      <c r="D825" s="5"/>
      <c r="E825" s="5"/>
    </row>
    <row r="826" ht="15.75" customHeight="1">
      <c r="A826" s="5"/>
      <c r="B826" s="5"/>
      <c r="C826" s="5"/>
      <c r="D826" s="5"/>
      <c r="E826" s="5"/>
    </row>
    <row r="827" ht="15.75" customHeight="1">
      <c r="A827" s="5"/>
      <c r="B827" s="5"/>
      <c r="C827" s="5"/>
      <c r="D827" s="5"/>
      <c r="E827" s="5"/>
    </row>
    <row r="828" ht="15.75" customHeight="1">
      <c r="A828" s="5"/>
      <c r="B828" s="5"/>
      <c r="C828" s="5"/>
      <c r="D828" s="5"/>
      <c r="E828" s="5"/>
    </row>
    <row r="829" ht="15.75" customHeight="1">
      <c r="A829" s="5"/>
      <c r="B829" s="5"/>
      <c r="C829" s="5"/>
      <c r="D829" s="5"/>
      <c r="E829" s="5"/>
    </row>
    <row r="830" ht="15.75" customHeight="1">
      <c r="A830" s="5"/>
      <c r="B830" s="5"/>
      <c r="C830" s="5"/>
      <c r="D830" s="5"/>
      <c r="E830" s="5"/>
    </row>
    <row r="831" ht="15.75" customHeight="1">
      <c r="A831" s="5"/>
      <c r="B831" s="5"/>
      <c r="C831" s="5"/>
      <c r="D831" s="5"/>
      <c r="E831" s="5"/>
    </row>
    <row r="832" ht="15.75" customHeight="1">
      <c r="A832" s="5"/>
      <c r="B832" s="5"/>
      <c r="C832" s="5"/>
      <c r="D832" s="5"/>
      <c r="E832" s="5"/>
    </row>
    <row r="833" ht="15.75" customHeight="1">
      <c r="A833" s="5"/>
      <c r="B833" s="5"/>
      <c r="C833" s="5"/>
      <c r="D833" s="5"/>
      <c r="E833" s="5"/>
    </row>
    <row r="834" ht="15.75" customHeight="1">
      <c r="A834" s="5"/>
      <c r="B834" s="5"/>
      <c r="C834" s="5"/>
      <c r="D834" s="5"/>
      <c r="E834" s="5"/>
    </row>
    <row r="835" ht="15.75" customHeight="1">
      <c r="A835" s="5"/>
      <c r="B835" s="5"/>
      <c r="C835" s="5"/>
      <c r="D835" s="5"/>
      <c r="E835" s="5"/>
    </row>
    <row r="836" ht="15.75" customHeight="1">
      <c r="A836" s="5"/>
      <c r="B836" s="5"/>
      <c r="C836" s="5"/>
      <c r="D836" s="5"/>
      <c r="E836" s="5"/>
    </row>
    <row r="837" ht="15.75" customHeight="1">
      <c r="A837" s="5"/>
      <c r="B837" s="5"/>
      <c r="C837" s="5"/>
      <c r="D837" s="5"/>
      <c r="E837" s="5"/>
    </row>
    <row r="838" ht="15.75" customHeight="1">
      <c r="A838" s="5"/>
      <c r="B838" s="5"/>
      <c r="C838" s="5"/>
      <c r="D838" s="5"/>
      <c r="E838" s="5"/>
    </row>
    <row r="839" ht="15.75" customHeight="1">
      <c r="A839" s="5"/>
      <c r="B839" s="5"/>
      <c r="C839" s="5"/>
      <c r="D839" s="5"/>
      <c r="E839" s="5"/>
    </row>
    <row r="840" ht="15.75" customHeight="1">
      <c r="A840" s="5"/>
      <c r="B840" s="5"/>
      <c r="C840" s="5"/>
      <c r="D840" s="5"/>
      <c r="E840" s="5"/>
    </row>
    <row r="841" ht="15.75" customHeight="1">
      <c r="A841" s="5"/>
      <c r="B841" s="5"/>
      <c r="C841" s="5"/>
      <c r="D841" s="5"/>
      <c r="E841" s="5"/>
    </row>
    <row r="842" ht="15.75" customHeight="1">
      <c r="A842" s="5"/>
      <c r="B842" s="5"/>
      <c r="C842" s="5"/>
      <c r="D842" s="5"/>
      <c r="E842" s="5"/>
    </row>
    <row r="843" ht="15.75" customHeight="1">
      <c r="A843" s="5"/>
      <c r="B843" s="5"/>
      <c r="C843" s="5"/>
      <c r="D843" s="5"/>
      <c r="E843" s="5"/>
    </row>
    <row r="844" ht="15.75" customHeight="1">
      <c r="A844" s="5"/>
      <c r="B844" s="5"/>
      <c r="C844" s="5"/>
      <c r="D844" s="5"/>
      <c r="E844" s="5"/>
    </row>
    <row r="845" ht="15.75" customHeight="1">
      <c r="A845" s="5"/>
      <c r="B845" s="5"/>
      <c r="C845" s="5"/>
      <c r="D845" s="5"/>
      <c r="E845" s="5"/>
    </row>
    <row r="846" ht="15.75" customHeight="1">
      <c r="A846" s="5"/>
      <c r="B846" s="5"/>
      <c r="C846" s="5"/>
      <c r="D846" s="5"/>
      <c r="E846" s="5"/>
    </row>
    <row r="847" ht="15.75" customHeight="1">
      <c r="A847" s="5"/>
      <c r="B847" s="5"/>
      <c r="C847" s="5"/>
      <c r="D847" s="5"/>
      <c r="E847" s="5"/>
    </row>
    <row r="848" ht="15.75" customHeight="1">
      <c r="A848" s="5"/>
      <c r="B848" s="5"/>
      <c r="C848" s="5"/>
      <c r="D848" s="5"/>
      <c r="E848" s="5"/>
    </row>
    <row r="849" ht="15.75" customHeight="1">
      <c r="A849" s="5"/>
      <c r="B849" s="5"/>
      <c r="C849" s="5"/>
      <c r="D849" s="5"/>
      <c r="E849" s="5"/>
    </row>
    <row r="850" ht="15.75" customHeight="1">
      <c r="A850" s="5"/>
      <c r="B850" s="5"/>
      <c r="C850" s="5"/>
      <c r="D850" s="5"/>
      <c r="E850" s="5"/>
    </row>
    <row r="851" ht="15.75" customHeight="1">
      <c r="A851" s="5"/>
      <c r="B851" s="5"/>
      <c r="C851" s="5"/>
      <c r="D851" s="5"/>
      <c r="E851" s="5"/>
    </row>
    <row r="852" ht="15.75" customHeight="1">
      <c r="A852" s="5"/>
      <c r="B852" s="5"/>
      <c r="C852" s="5"/>
      <c r="D852" s="5"/>
      <c r="E852" s="5"/>
    </row>
    <row r="853" ht="15.75" customHeight="1">
      <c r="A853" s="5"/>
      <c r="B853" s="5"/>
      <c r="C853" s="5"/>
      <c r="D853" s="5"/>
      <c r="E853" s="5"/>
    </row>
    <row r="854" ht="15.75" customHeight="1">
      <c r="A854" s="5"/>
      <c r="B854" s="5"/>
      <c r="C854" s="5"/>
      <c r="D854" s="5"/>
      <c r="E854" s="5"/>
    </row>
    <row r="855" ht="15.75" customHeight="1">
      <c r="A855" s="5"/>
      <c r="B855" s="5"/>
      <c r="C855" s="5"/>
      <c r="D855" s="5"/>
      <c r="E855" s="5"/>
    </row>
    <row r="856" ht="15.75" customHeight="1">
      <c r="A856" s="5"/>
      <c r="B856" s="5"/>
      <c r="C856" s="5"/>
      <c r="D856" s="5"/>
      <c r="E856" s="5"/>
    </row>
    <row r="857" ht="15.75" customHeight="1">
      <c r="A857" s="5"/>
      <c r="B857" s="5"/>
      <c r="C857" s="5"/>
      <c r="D857" s="5"/>
      <c r="E857" s="5"/>
    </row>
    <row r="858" ht="15.75" customHeight="1">
      <c r="A858" s="5"/>
      <c r="B858" s="5"/>
      <c r="C858" s="5"/>
      <c r="D858" s="5"/>
      <c r="E858" s="5"/>
    </row>
    <row r="859" ht="15.75" customHeight="1">
      <c r="A859" s="5"/>
      <c r="B859" s="5"/>
      <c r="C859" s="5"/>
      <c r="D859" s="5"/>
      <c r="E859" s="5"/>
    </row>
    <row r="860" ht="15.75" customHeight="1">
      <c r="A860" s="5"/>
      <c r="B860" s="5"/>
      <c r="C860" s="5"/>
      <c r="D860" s="5"/>
      <c r="E860" s="5"/>
    </row>
    <row r="861" ht="15.75" customHeight="1">
      <c r="A861" s="5"/>
      <c r="B861" s="5"/>
      <c r="C861" s="5"/>
      <c r="D861" s="5"/>
      <c r="E861" s="5"/>
    </row>
    <row r="862" ht="15.75" customHeight="1">
      <c r="A862" s="5"/>
      <c r="B862" s="5"/>
      <c r="C862" s="5"/>
      <c r="D862" s="5"/>
      <c r="E862" s="5"/>
    </row>
    <row r="863" ht="15.75" customHeight="1">
      <c r="A863" s="5"/>
      <c r="B863" s="5"/>
      <c r="C863" s="5"/>
      <c r="D863" s="5"/>
      <c r="E863" s="5"/>
    </row>
    <row r="864" ht="15.75" customHeight="1">
      <c r="A864" s="5"/>
      <c r="B864" s="5"/>
      <c r="C864" s="5"/>
      <c r="D864" s="5"/>
      <c r="E864" s="5"/>
    </row>
    <row r="865" ht="15.75" customHeight="1">
      <c r="A865" s="5"/>
      <c r="B865" s="5"/>
      <c r="C865" s="5"/>
      <c r="D865" s="5"/>
      <c r="E865" s="5"/>
    </row>
    <row r="866" ht="15.75" customHeight="1">
      <c r="A866" s="5"/>
      <c r="B866" s="5"/>
      <c r="C866" s="5"/>
      <c r="D866" s="5"/>
      <c r="E866" s="5"/>
    </row>
    <row r="867" ht="15.75" customHeight="1">
      <c r="A867" s="5"/>
      <c r="B867" s="5"/>
      <c r="C867" s="5"/>
      <c r="D867" s="5"/>
      <c r="E867" s="5"/>
    </row>
    <row r="868" ht="15.75" customHeight="1">
      <c r="A868" s="5"/>
      <c r="B868" s="5"/>
      <c r="C868" s="5"/>
      <c r="D868" s="5"/>
      <c r="E868" s="5"/>
    </row>
    <row r="869" ht="15.75" customHeight="1">
      <c r="A869" s="5"/>
      <c r="B869" s="5"/>
      <c r="C869" s="5"/>
      <c r="D869" s="5"/>
      <c r="E869" s="5"/>
    </row>
    <row r="870" ht="15.75" customHeight="1">
      <c r="A870" s="5"/>
      <c r="B870" s="5"/>
      <c r="C870" s="5"/>
      <c r="D870" s="5"/>
      <c r="E870" s="5"/>
    </row>
    <row r="871" ht="15.75" customHeight="1">
      <c r="A871" s="5"/>
      <c r="B871" s="5"/>
      <c r="C871" s="5"/>
      <c r="D871" s="5"/>
      <c r="E871" s="5"/>
    </row>
    <row r="872" ht="15.75" customHeight="1">
      <c r="A872" s="5"/>
      <c r="B872" s="5"/>
      <c r="C872" s="5"/>
      <c r="D872" s="5"/>
      <c r="E872" s="5"/>
    </row>
    <row r="873" ht="15.75" customHeight="1">
      <c r="A873" s="5"/>
      <c r="B873" s="5"/>
      <c r="C873" s="5"/>
      <c r="D873" s="5"/>
      <c r="E873" s="5"/>
    </row>
    <row r="874" ht="15.75" customHeight="1">
      <c r="A874" s="5"/>
      <c r="B874" s="5"/>
      <c r="C874" s="5"/>
      <c r="D874" s="5"/>
      <c r="E874" s="5"/>
    </row>
    <row r="875" ht="15.75" customHeight="1">
      <c r="A875" s="5"/>
      <c r="B875" s="5"/>
      <c r="C875" s="5"/>
      <c r="D875" s="5"/>
      <c r="E875" s="5"/>
    </row>
    <row r="876" ht="15.75" customHeight="1">
      <c r="A876" s="5"/>
      <c r="B876" s="5"/>
      <c r="C876" s="5"/>
      <c r="D876" s="5"/>
      <c r="E876" s="5"/>
    </row>
    <row r="877" ht="15.75" customHeight="1">
      <c r="A877" s="5"/>
      <c r="B877" s="5"/>
      <c r="C877" s="5"/>
      <c r="D877" s="5"/>
      <c r="E877" s="5"/>
    </row>
    <row r="878" ht="15.75" customHeight="1">
      <c r="A878" s="5"/>
      <c r="B878" s="5"/>
      <c r="C878" s="5"/>
      <c r="D878" s="5"/>
      <c r="E878" s="5"/>
    </row>
    <row r="879" ht="15.75" customHeight="1">
      <c r="A879" s="5"/>
      <c r="B879" s="5"/>
      <c r="C879" s="5"/>
      <c r="D879" s="5"/>
      <c r="E879" s="5"/>
    </row>
    <row r="880" ht="15.75" customHeight="1">
      <c r="A880" s="5"/>
      <c r="B880" s="5"/>
      <c r="C880" s="5"/>
      <c r="D880" s="5"/>
      <c r="E880" s="5"/>
    </row>
    <row r="881" ht="15.75" customHeight="1">
      <c r="A881" s="5"/>
      <c r="B881" s="5"/>
      <c r="C881" s="5"/>
      <c r="D881" s="5"/>
      <c r="E881" s="5"/>
    </row>
    <row r="882" ht="15.75" customHeight="1">
      <c r="A882" s="5"/>
      <c r="B882" s="5"/>
      <c r="C882" s="5"/>
      <c r="D882" s="5"/>
      <c r="E882" s="5"/>
    </row>
    <row r="883" ht="15.75" customHeight="1">
      <c r="A883" s="5"/>
      <c r="B883" s="5"/>
      <c r="C883" s="5"/>
      <c r="D883" s="5"/>
      <c r="E883" s="5"/>
    </row>
    <row r="884" ht="15.75" customHeight="1">
      <c r="A884" s="5"/>
      <c r="B884" s="5"/>
      <c r="C884" s="5"/>
      <c r="D884" s="5"/>
      <c r="E884" s="5"/>
    </row>
    <row r="885" ht="15.75" customHeight="1">
      <c r="A885" s="5"/>
      <c r="B885" s="5"/>
      <c r="C885" s="5"/>
      <c r="D885" s="5"/>
      <c r="E885" s="5"/>
    </row>
    <row r="886" ht="15.75" customHeight="1">
      <c r="A886" s="5"/>
      <c r="B886" s="5"/>
      <c r="C886" s="5"/>
      <c r="D886" s="5"/>
      <c r="E886" s="5"/>
    </row>
    <row r="887" ht="15.75" customHeight="1">
      <c r="A887" s="5"/>
      <c r="B887" s="5"/>
      <c r="C887" s="5"/>
      <c r="D887" s="5"/>
      <c r="E887" s="5"/>
    </row>
    <row r="888" ht="15.75" customHeight="1">
      <c r="A888" s="5"/>
      <c r="B888" s="5"/>
      <c r="C888" s="5"/>
      <c r="D888" s="5"/>
      <c r="E888" s="5"/>
    </row>
    <row r="889" ht="15.75" customHeight="1">
      <c r="A889" s="5"/>
      <c r="B889" s="5"/>
      <c r="C889" s="5"/>
      <c r="D889" s="5"/>
      <c r="E889" s="5"/>
    </row>
    <row r="890" ht="15.75" customHeight="1">
      <c r="A890" s="5"/>
      <c r="B890" s="5"/>
      <c r="C890" s="5"/>
      <c r="D890" s="5"/>
      <c r="E890" s="5"/>
    </row>
    <row r="891" ht="15.75" customHeight="1">
      <c r="A891" s="5"/>
      <c r="B891" s="5"/>
      <c r="C891" s="5"/>
      <c r="D891" s="5"/>
      <c r="E891" s="5"/>
    </row>
    <row r="892" ht="15.75" customHeight="1">
      <c r="A892" s="5"/>
      <c r="B892" s="5"/>
      <c r="C892" s="5"/>
      <c r="D892" s="5"/>
      <c r="E892" s="5"/>
    </row>
    <row r="893" ht="15.75" customHeight="1">
      <c r="A893" s="5"/>
      <c r="B893" s="5"/>
      <c r="C893" s="5"/>
      <c r="D893" s="5"/>
      <c r="E893" s="5"/>
    </row>
    <row r="894" ht="15.75" customHeight="1">
      <c r="A894" s="5"/>
      <c r="B894" s="5"/>
      <c r="C894" s="5"/>
      <c r="D894" s="5"/>
      <c r="E894" s="5"/>
    </row>
    <row r="895" ht="15.75" customHeight="1">
      <c r="A895" s="5"/>
      <c r="B895" s="5"/>
      <c r="C895" s="5"/>
      <c r="D895" s="5"/>
      <c r="E895" s="5"/>
    </row>
    <row r="896" ht="15.75" customHeight="1">
      <c r="A896" s="5"/>
      <c r="B896" s="5"/>
      <c r="C896" s="5"/>
      <c r="D896" s="5"/>
      <c r="E896" s="5"/>
    </row>
    <row r="897" ht="15.75" customHeight="1">
      <c r="A897" s="5"/>
      <c r="B897" s="5"/>
      <c r="C897" s="5"/>
      <c r="D897" s="5"/>
      <c r="E897" s="5"/>
    </row>
    <row r="898" ht="15.75" customHeight="1">
      <c r="A898" s="5"/>
      <c r="B898" s="5"/>
      <c r="C898" s="5"/>
      <c r="D898" s="5"/>
      <c r="E898" s="5"/>
    </row>
    <row r="899" ht="15.75" customHeight="1">
      <c r="A899" s="5"/>
      <c r="B899" s="5"/>
      <c r="C899" s="5"/>
      <c r="D899" s="5"/>
      <c r="E899" s="5"/>
    </row>
    <row r="900" ht="15.75" customHeight="1">
      <c r="A900" s="5"/>
      <c r="B900" s="5"/>
      <c r="C900" s="5"/>
      <c r="D900" s="5"/>
      <c r="E900" s="5"/>
    </row>
    <row r="901" ht="15.75" customHeight="1">
      <c r="A901" s="5"/>
      <c r="B901" s="5"/>
      <c r="C901" s="5"/>
      <c r="D901" s="5"/>
      <c r="E901" s="5"/>
    </row>
    <row r="902" ht="15.75" customHeight="1">
      <c r="A902" s="5"/>
      <c r="B902" s="5"/>
      <c r="C902" s="5"/>
      <c r="D902" s="5"/>
      <c r="E902" s="5"/>
    </row>
    <row r="903" ht="15.75" customHeight="1">
      <c r="A903" s="5"/>
      <c r="B903" s="5"/>
      <c r="C903" s="5"/>
      <c r="D903" s="5"/>
      <c r="E903" s="5"/>
    </row>
    <row r="904" ht="15.75" customHeight="1">
      <c r="A904" s="5"/>
      <c r="B904" s="5"/>
      <c r="C904" s="5"/>
      <c r="D904" s="5"/>
      <c r="E904" s="5"/>
    </row>
    <row r="905" ht="15.75" customHeight="1">
      <c r="A905" s="5"/>
      <c r="B905" s="5"/>
      <c r="C905" s="5"/>
      <c r="D905" s="5"/>
      <c r="E905" s="5"/>
    </row>
    <row r="906" ht="15.75" customHeight="1">
      <c r="A906" s="5"/>
      <c r="B906" s="5"/>
      <c r="C906" s="5"/>
      <c r="D906" s="5"/>
      <c r="E906" s="5"/>
    </row>
    <row r="907" ht="15.75" customHeight="1">
      <c r="A907" s="5"/>
      <c r="B907" s="5"/>
      <c r="C907" s="5"/>
      <c r="D907" s="5"/>
      <c r="E907" s="5"/>
    </row>
    <row r="908" ht="15.75" customHeight="1">
      <c r="A908" s="5"/>
      <c r="B908" s="5"/>
      <c r="C908" s="5"/>
      <c r="D908" s="5"/>
      <c r="E908" s="5"/>
    </row>
    <row r="909" ht="15.75" customHeight="1">
      <c r="A909" s="5"/>
      <c r="B909" s="5"/>
      <c r="C909" s="5"/>
      <c r="D909" s="5"/>
      <c r="E909" s="5"/>
    </row>
    <row r="910" ht="15.75" customHeight="1">
      <c r="A910" s="5"/>
      <c r="B910" s="5"/>
      <c r="C910" s="5"/>
      <c r="D910" s="5"/>
      <c r="E910" s="5"/>
    </row>
    <row r="911" ht="15.75" customHeight="1">
      <c r="A911" s="5"/>
      <c r="B911" s="5"/>
      <c r="C911" s="5"/>
      <c r="D911" s="5"/>
      <c r="E911" s="5"/>
    </row>
    <row r="912" ht="15.75" customHeight="1">
      <c r="A912" s="5"/>
      <c r="B912" s="5"/>
      <c r="C912" s="5"/>
      <c r="D912" s="5"/>
      <c r="E912" s="5"/>
    </row>
    <row r="913" ht="15.75" customHeight="1">
      <c r="A913" s="5"/>
      <c r="B913" s="5"/>
      <c r="C913" s="5"/>
      <c r="D913" s="5"/>
      <c r="E913" s="5"/>
    </row>
    <row r="914" ht="15.75" customHeight="1">
      <c r="A914" s="5"/>
      <c r="B914" s="5"/>
      <c r="C914" s="5"/>
      <c r="D914" s="5"/>
      <c r="E914" s="5"/>
    </row>
    <row r="915" ht="15.75" customHeight="1">
      <c r="A915" s="5"/>
      <c r="B915" s="5"/>
      <c r="C915" s="5"/>
      <c r="D915" s="5"/>
      <c r="E915" s="5"/>
    </row>
    <row r="916" ht="15.75" customHeight="1">
      <c r="A916" s="5"/>
      <c r="B916" s="5"/>
      <c r="C916" s="5"/>
      <c r="D916" s="5"/>
      <c r="E916" s="5"/>
    </row>
    <row r="917" ht="15.75" customHeight="1">
      <c r="A917" s="5"/>
      <c r="B917" s="5"/>
      <c r="C917" s="5"/>
      <c r="D917" s="5"/>
      <c r="E917" s="5"/>
    </row>
    <row r="918" ht="15.75" customHeight="1">
      <c r="A918" s="5"/>
      <c r="B918" s="5"/>
      <c r="C918" s="5"/>
      <c r="D918" s="5"/>
      <c r="E918" s="5"/>
    </row>
    <row r="919" ht="15.75" customHeight="1">
      <c r="A919" s="5"/>
      <c r="B919" s="5"/>
      <c r="C919" s="5"/>
      <c r="D919" s="5"/>
      <c r="E919" s="5"/>
    </row>
    <row r="920" ht="15.75" customHeight="1">
      <c r="A920" s="5"/>
      <c r="B920" s="5"/>
      <c r="C920" s="5"/>
      <c r="D920" s="5"/>
      <c r="E920" s="5"/>
    </row>
    <row r="921" ht="15.75" customHeight="1">
      <c r="A921" s="5"/>
      <c r="B921" s="5"/>
      <c r="C921" s="5"/>
      <c r="D921" s="5"/>
      <c r="E921" s="5"/>
    </row>
    <row r="922" ht="15.75" customHeight="1">
      <c r="A922" s="5"/>
      <c r="B922" s="5"/>
      <c r="C922" s="5"/>
      <c r="D922" s="5"/>
      <c r="E922" s="5"/>
    </row>
    <row r="923" ht="15.75" customHeight="1">
      <c r="A923" s="5"/>
      <c r="B923" s="5"/>
      <c r="C923" s="5"/>
      <c r="D923" s="5"/>
      <c r="E923" s="5"/>
    </row>
    <row r="924" ht="15.75" customHeight="1">
      <c r="A924" s="5"/>
      <c r="B924" s="5"/>
      <c r="C924" s="5"/>
      <c r="D924" s="5"/>
      <c r="E924" s="5"/>
    </row>
    <row r="925" ht="15.75" customHeight="1">
      <c r="A925" s="5"/>
      <c r="B925" s="5"/>
      <c r="C925" s="5"/>
      <c r="D925" s="5"/>
      <c r="E925" s="5"/>
    </row>
    <row r="926" ht="15.75" customHeight="1">
      <c r="A926" s="5"/>
      <c r="B926" s="5"/>
      <c r="C926" s="5"/>
      <c r="D926" s="5"/>
      <c r="E926" s="5"/>
    </row>
    <row r="927" ht="15.75" customHeight="1">
      <c r="A927" s="5"/>
      <c r="B927" s="5"/>
      <c r="C927" s="5"/>
      <c r="D927" s="5"/>
      <c r="E927" s="5"/>
    </row>
    <row r="928" ht="15.75" customHeight="1">
      <c r="A928" s="5"/>
      <c r="B928" s="5"/>
      <c r="C928" s="5"/>
      <c r="D928" s="5"/>
      <c r="E928" s="5"/>
    </row>
    <row r="929" ht="15.75" customHeight="1">
      <c r="A929" s="5"/>
      <c r="B929" s="5"/>
      <c r="C929" s="5"/>
      <c r="D929" s="5"/>
      <c r="E929" s="5"/>
    </row>
    <row r="930" ht="15.75" customHeight="1">
      <c r="A930" s="5"/>
      <c r="B930" s="5"/>
      <c r="C930" s="5"/>
      <c r="D930" s="5"/>
      <c r="E930" s="5"/>
    </row>
    <row r="931" ht="15.75" customHeight="1">
      <c r="A931" s="5"/>
      <c r="B931" s="5"/>
      <c r="C931" s="5"/>
      <c r="D931" s="5"/>
      <c r="E931" s="5"/>
    </row>
    <row r="932" ht="15.75" customHeight="1">
      <c r="A932" s="5"/>
      <c r="B932" s="5"/>
      <c r="C932" s="5"/>
      <c r="D932" s="5"/>
      <c r="E932" s="5"/>
    </row>
    <row r="933" ht="15.75" customHeight="1">
      <c r="A933" s="5"/>
      <c r="B933" s="5"/>
      <c r="C933" s="5"/>
      <c r="D933" s="5"/>
      <c r="E933" s="5"/>
    </row>
    <row r="934" ht="15.75" customHeight="1">
      <c r="A934" s="5"/>
      <c r="B934" s="5"/>
      <c r="C934" s="5"/>
      <c r="D934" s="5"/>
      <c r="E934" s="5"/>
    </row>
    <row r="935" ht="15.75" customHeight="1">
      <c r="A935" s="5"/>
      <c r="B935" s="5"/>
      <c r="C935" s="5"/>
      <c r="D935" s="5"/>
      <c r="E935" s="5"/>
    </row>
    <row r="936" ht="15.75" customHeight="1">
      <c r="A936" s="5"/>
      <c r="B936" s="5"/>
      <c r="C936" s="5"/>
      <c r="D936" s="5"/>
      <c r="E936" s="5"/>
    </row>
    <row r="937" ht="15.75" customHeight="1">
      <c r="A937" s="5"/>
      <c r="B937" s="5"/>
      <c r="C937" s="5"/>
      <c r="D937" s="5"/>
      <c r="E937" s="5"/>
    </row>
    <row r="938" ht="15.75" customHeight="1">
      <c r="A938" s="5"/>
      <c r="B938" s="5"/>
      <c r="C938" s="5"/>
      <c r="D938" s="5"/>
      <c r="E938" s="5"/>
    </row>
    <row r="939" ht="15.75" customHeight="1">
      <c r="A939" s="5"/>
      <c r="B939" s="5"/>
      <c r="C939" s="5"/>
      <c r="D939" s="5"/>
      <c r="E939" s="5"/>
    </row>
    <row r="940" ht="15.75" customHeight="1">
      <c r="A940" s="5"/>
      <c r="B940" s="5"/>
      <c r="C940" s="5"/>
      <c r="D940" s="5"/>
      <c r="E940" s="5"/>
    </row>
    <row r="941" ht="15.75" customHeight="1">
      <c r="A941" s="5"/>
      <c r="B941" s="5"/>
      <c r="C941" s="5"/>
      <c r="D941" s="5"/>
      <c r="E941" s="5"/>
    </row>
    <row r="942" ht="15.75" customHeight="1">
      <c r="A942" s="5"/>
      <c r="B942" s="5"/>
      <c r="C942" s="5"/>
      <c r="D942" s="5"/>
      <c r="E942" s="5"/>
    </row>
    <row r="943" ht="15.75" customHeight="1">
      <c r="A943" s="5"/>
      <c r="B943" s="5"/>
      <c r="C943" s="5"/>
      <c r="D943" s="5"/>
      <c r="E943" s="5"/>
    </row>
    <row r="944" ht="15.75" customHeight="1">
      <c r="A944" s="5"/>
      <c r="B944" s="5"/>
      <c r="C944" s="5"/>
      <c r="D944" s="5"/>
      <c r="E944" s="5"/>
    </row>
    <row r="945" ht="15.75" customHeight="1">
      <c r="A945" s="5"/>
      <c r="B945" s="5"/>
      <c r="C945" s="5"/>
      <c r="D945" s="5"/>
      <c r="E945" s="5"/>
    </row>
    <row r="946" ht="15.75" customHeight="1">
      <c r="A946" s="5"/>
      <c r="B946" s="5"/>
      <c r="C946" s="5"/>
      <c r="D946" s="5"/>
      <c r="E946" s="5"/>
    </row>
    <row r="947" ht="15.75" customHeight="1">
      <c r="A947" s="5"/>
      <c r="B947" s="5"/>
      <c r="C947" s="5"/>
      <c r="D947" s="5"/>
      <c r="E947" s="5"/>
    </row>
    <row r="948" ht="15.75" customHeight="1">
      <c r="A948" s="5"/>
      <c r="B948" s="5"/>
      <c r="C948" s="5"/>
      <c r="D948" s="5"/>
      <c r="E948" s="5"/>
    </row>
    <row r="949" ht="15.75" customHeight="1">
      <c r="A949" s="5"/>
      <c r="B949" s="5"/>
      <c r="C949" s="5"/>
      <c r="D949" s="5"/>
      <c r="E949" s="5"/>
    </row>
    <row r="950" ht="15.75" customHeight="1">
      <c r="A950" s="5"/>
      <c r="B950" s="5"/>
      <c r="C950" s="5"/>
      <c r="D950" s="5"/>
      <c r="E950" s="5"/>
    </row>
    <row r="951" ht="15.75" customHeight="1">
      <c r="A951" s="5"/>
      <c r="B951" s="5"/>
      <c r="C951" s="5"/>
      <c r="D951" s="5"/>
      <c r="E951" s="5"/>
    </row>
    <row r="952" ht="15.75" customHeight="1">
      <c r="A952" s="5"/>
      <c r="B952" s="5"/>
      <c r="C952" s="5"/>
      <c r="D952" s="5"/>
      <c r="E952" s="5"/>
    </row>
    <row r="953" ht="15.75" customHeight="1">
      <c r="A953" s="5"/>
      <c r="B953" s="5"/>
      <c r="C953" s="5"/>
      <c r="D953" s="5"/>
      <c r="E953" s="5"/>
    </row>
    <row r="954" ht="15.75" customHeight="1">
      <c r="A954" s="5"/>
      <c r="B954" s="5"/>
      <c r="C954" s="5"/>
      <c r="D954" s="5"/>
      <c r="E954" s="5"/>
    </row>
    <row r="955" ht="15.75" customHeight="1">
      <c r="A955" s="5"/>
      <c r="B955" s="5"/>
      <c r="C955" s="5"/>
      <c r="D955" s="5"/>
      <c r="E955" s="5"/>
    </row>
    <row r="956" ht="15.75" customHeight="1">
      <c r="A956" s="5"/>
      <c r="B956" s="5"/>
      <c r="C956" s="5"/>
      <c r="D956" s="5"/>
      <c r="E956" s="5"/>
    </row>
    <row r="957" ht="15.75" customHeight="1">
      <c r="A957" s="5"/>
      <c r="B957" s="5"/>
      <c r="C957" s="5"/>
      <c r="D957" s="5"/>
      <c r="E957" s="5"/>
    </row>
    <row r="958" ht="15.75" customHeight="1">
      <c r="A958" s="5"/>
      <c r="B958" s="5"/>
      <c r="C958" s="5"/>
      <c r="D958" s="5"/>
      <c r="E958" s="5"/>
    </row>
    <row r="959" ht="15.75" customHeight="1">
      <c r="A959" s="5"/>
      <c r="B959" s="5"/>
      <c r="C959" s="5"/>
      <c r="D959" s="5"/>
      <c r="E959" s="5"/>
    </row>
    <row r="960" ht="15.75" customHeight="1">
      <c r="A960" s="5"/>
      <c r="B960" s="5"/>
      <c r="C960" s="5"/>
      <c r="D960" s="5"/>
      <c r="E960" s="5"/>
    </row>
    <row r="961" ht="15.75" customHeight="1">
      <c r="A961" s="5"/>
      <c r="B961" s="5"/>
      <c r="C961" s="5"/>
      <c r="D961" s="5"/>
      <c r="E961" s="5"/>
    </row>
    <row r="962" ht="15.75" customHeight="1">
      <c r="A962" s="5"/>
      <c r="B962" s="5"/>
      <c r="C962" s="5"/>
      <c r="D962" s="5"/>
      <c r="E962" s="5"/>
    </row>
    <row r="963" ht="15.75" customHeight="1">
      <c r="A963" s="5"/>
      <c r="B963" s="5"/>
      <c r="C963" s="5"/>
      <c r="D963" s="5"/>
      <c r="E963" s="5"/>
    </row>
    <row r="964" ht="15.75" customHeight="1">
      <c r="A964" s="5"/>
      <c r="B964" s="5"/>
      <c r="C964" s="5"/>
      <c r="D964" s="5"/>
      <c r="E964" s="5"/>
    </row>
    <row r="965" ht="15.75" customHeight="1">
      <c r="A965" s="5"/>
      <c r="B965" s="5"/>
      <c r="C965" s="5"/>
      <c r="D965" s="5"/>
      <c r="E965" s="5"/>
    </row>
    <row r="966" ht="15.75" customHeight="1">
      <c r="A966" s="5"/>
      <c r="B966" s="5"/>
      <c r="C966" s="5"/>
      <c r="D966" s="5"/>
      <c r="E966" s="5"/>
    </row>
    <row r="967" ht="15.75" customHeight="1">
      <c r="A967" s="5"/>
      <c r="B967" s="5"/>
      <c r="C967" s="5"/>
      <c r="D967" s="5"/>
      <c r="E967" s="5"/>
    </row>
    <row r="968" ht="15.75" customHeight="1">
      <c r="A968" s="5"/>
      <c r="B968" s="5"/>
      <c r="C968" s="5"/>
      <c r="D968" s="5"/>
      <c r="E968" s="5"/>
    </row>
    <row r="969" ht="15.75" customHeight="1">
      <c r="A969" s="5"/>
      <c r="B969" s="5"/>
      <c r="C969" s="5"/>
      <c r="D969" s="5"/>
      <c r="E969" s="5"/>
    </row>
    <row r="970" ht="15.75" customHeight="1">
      <c r="A970" s="5"/>
      <c r="B970" s="5"/>
      <c r="C970" s="5"/>
      <c r="D970" s="5"/>
      <c r="E970" s="5"/>
    </row>
    <row r="971" ht="15.75" customHeight="1">
      <c r="A971" s="5"/>
      <c r="B971" s="5"/>
      <c r="C971" s="5"/>
      <c r="D971" s="5"/>
      <c r="E971" s="5"/>
    </row>
    <row r="972" ht="15.75" customHeight="1">
      <c r="A972" s="5"/>
      <c r="B972" s="5"/>
      <c r="C972" s="5"/>
      <c r="D972" s="5"/>
      <c r="E972" s="5"/>
    </row>
    <row r="973" ht="15.75" customHeight="1">
      <c r="A973" s="5"/>
      <c r="B973" s="5"/>
      <c r="C973" s="5"/>
      <c r="D973" s="5"/>
      <c r="E973" s="5"/>
    </row>
    <row r="974" ht="15.75" customHeight="1">
      <c r="A974" s="5"/>
      <c r="B974" s="5"/>
      <c r="C974" s="5"/>
      <c r="D974" s="5"/>
      <c r="E974" s="5"/>
    </row>
    <row r="975" ht="15.75" customHeight="1">
      <c r="A975" s="5"/>
      <c r="B975" s="5"/>
      <c r="C975" s="5"/>
      <c r="D975" s="5"/>
      <c r="E975" s="5"/>
    </row>
    <row r="976" ht="15.75" customHeight="1">
      <c r="A976" s="5"/>
      <c r="B976" s="5"/>
      <c r="C976" s="5"/>
      <c r="D976" s="5"/>
      <c r="E976" s="5"/>
    </row>
    <row r="977" ht="15.75" customHeight="1">
      <c r="A977" s="5"/>
      <c r="B977" s="5"/>
      <c r="C977" s="5"/>
      <c r="D977" s="5"/>
      <c r="E977" s="5"/>
    </row>
    <row r="978" ht="15.75" customHeight="1">
      <c r="A978" s="5"/>
      <c r="B978" s="5"/>
      <c r="C978" s="5"/>
      <c r="D978" s="5"/>
      <c r="E978" s="5"/>
    </row>
    <row r="979" ht="15.75" customHeight="1">
      <c r="A979" s="5"/>
      <c r="B979" s="5"/>
      <c r="C979" s="5"/>
      <c r="D979" s="5"/>
      <c r="E979" s="5"/>
    </row>
    <row r="980" ht="15.75" customHeight="1">
      <c r="A980" s="5"/>
      <c r="B980" s="5"/>
      <c r="C980" s="5"/>
      <c r="D980" s="5"/>
      <c r="E980" s="5"/>
    </row>
    <row r="981" ht="15.75" customHeight="1">
      <c r="A981" s="5"/>
      <c r="B981" s="5"/>
      <c r="C981" s="5"/>
      <c r="D981" s="5"/>
      <c r="E981" s="5"/>
    </row>
    <row r="982" ht="15.75" customHeight="1">
      <c r="A982" s="5"/>
      <c r="B982" s="5"/>
      <c r="C982" s="5"/>
      <c r="D982" s="5"/>
      <c r="E982" s="5"/>
    </row>
    <row r="983" ht="15.75" customHeight="1">
      <c r="A983" s="5"/>
      <c r="B983" s="5"/>
      <c r="C983" s="5"/>
      <c r="D983" s="5"/>
      <c r="E983" s="5"/>
    </row>
    <row r="984" ht="15.75" customHeight="1">
      <c r="A984" s="5"/>
      <c r="B984" s="5"/>
      <c r="C984" s="5"/>
      <c r="D984" s="5"/>
      <c r="E984" s="5"/>
    </row>
    <row r="985" ht="15.75" customHeight="1">
      <c r="A985" s="5"/>
      <c r="B985" s="5"/>
      <c r="C985" s="5"/>
      <c r="D985" s="5"/>
      <c r="E985" s="5"/>
    </row>
    <row r="986" ht="15.75" customHeight="1">
      <c r="A986" s="5"/>
      <c r="B986" s="5"/>
      <c r="C986" s="5"/>
      <c r="D986" s="5"/>
      <c r="E986" s="5"/>
    </row>
    <row r="987" ht="15.75" customHeight="1">
      <c r="A987" s="5"/>
      <c r="B987" s="5"/>
      <c r="C987" s="5"/>
      <c r="D987" s="5"/>
      <c r="E987" s="5"/>
    </row>
    <row r="988" ht="15.75" customHeight="1">
      <c r="A988" s="5"/>
      <c r="B988" s="5"/>
      <c r="C988" s="5"/>
      <c r="D988" s="5"/>
      <c r="E988" s="5"/>
    </row>
    <row r="989" ht="15.75" customHeight="1">
      <c r="A989" s="5"/>
      <c r="B989" s="5"/>
      <c r="C989" s="5"/>
      <c r="D989" s="5"/>
      <c r="E989" s="5"/>
    </row>
    <row r="990" ht="15.75" customHeight="1">
      <c r="A990" s="5"/>
      <c r="B990" s="5"/>
      <c r="C990" s="5"/>
      <c r="D990" s="5"/>
      <c r="E990" s="5"/>
    </row>
    <row r="991" ht="15.75" customHeight="1">
      <c r="A991" s="5"/>
      <c r="B991" s="5"/>
      <c r="C991" s="5"/>
      <c r="D991" s="5"/>
      <c r="E991" s="5"/>
    </row>
    <row r="992" ht="15.75" customHeight="1">
      <c r="A992" s="5"/>
      <c r="B992" s="5"/>
      <c r="C992" s="5"/>
      <c r="D992" s="5"/>
      <c r="E992" s="5"/>
    </row>
    <row r="993" ht="15.75" customHeight="1">
      <c r="A993" s="5"/>
      <c r="B993" s="5"/>
      <c r="C993" s="5"/>
      <c r="D993" s="5"/>
      <c r="E993" s="5"/>
    </row>
    <row r="994" ht="15.75" customHeight="1">
      <c r="A994" s="5"/>
      <c r="B994" s="5"/>
      <c r="C994" s="5"/>
      <c r="D994" s="5"/>
      <c r="E994" s="5"/>
    </row>
    <row r="995" ht="15.75" customHeight="1">
      <c r="A995" s="5"/>
      <c r="B995" s="5"/>
      <c r="C995" s="5"/>
      <c r="D995" s="5"/>
      <c r="E995" s="5"/>
    </row>
    <row r="996" ht="15.75" customHeight="1">
      <c r="A996" s="5"/>
      <c r="B996" s="5"/>
      <c r="C996" s="5"/>
      <c r="D996" s="5"/>
      <c r="E996" s="5"/>
    </row>
    <row r="997" ht="15.75" customHeight="1">
      <c r="A997" s="5"/>
      <c r="B997" s="5"/>
      <c r="C997" s="5"/>
      <c r="D997" s="5"/>
      <c r="E997" s="5"/>
    </row>
    <row r="998" ht="15.75" customHeight="1">
      <c r="A998" s="5"/>
      <c r="B998" s="5"/>
      <c r="C998" s="5"/>
      <c r="D998" s="5"/>
      <c r="E998" s="5"/>
    </row>
    <row r="999" ht="15.75" customHeight="1">
      <c r="A999" s="5"/>
      <c r="B999" s="5"/>
      <c r="C999" s="5"/>
      <c r="D999" s="5"/>
      <c r="E999" s="5"/>
    </row>
    <row r="1000" ht="15.75" customHeight="1">
      <c r="A1000" s="5"/>
      <c r="B1000" s="5"/>
      <c r="C1000" s="5"/>
      <c r="D1000" s="5"/>
      <c r="E1000" s="5"/>
    </row>
  </sheetData>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26.0"/>
    <col customWidth="1" min="3" max="3" width="24.0"/>
    <col customWidth="1" min="4" max="5" width="14.0"/>
    <col customWidth="1" min="6" max="6" width="20.0"/>
    <col customWidth="1" min="7" max="8" width="12.0"/>
    <col customWidth="1" min="9" max="9" width="18.0"/>
    <col customWidth="1" min="10" max="10" width="21.88"/>
    <col customWidth="1" min="11" max="11" width="18.0"/>
  </cols>
  <sheetData>
    <row r="1" ht="30.0" customHeight="1">
      <c r="A1" s="43" t="s">
        <v>583</v>
      </c>
      <c r="B1" s="44" t="s">
        <v>584</v>
      </c>
      <c r="C1" s="44" t="s">
        <v>555</v>
      </c>
      <c r="D1" s="44" t="s">
        <v>585</v>
      </c>
      <c r="E1" s="44" t="s">
        <v>614</v>
      </c>
      <c r="F1" s="44" t="s">
        <v>615</v>
      </c>
      <c r="G1" s="44" t="s">
        <v>616</v>
      </c>
      <c r="H1" s="45" t="s">
        <v>617</v>
      </c>
      <c r="I1" s="44" t="s">
        <v>618</v>
      </c>
      <c r="J1" s="44" t="s">
        <v>619</v>
      </c>
      <c r="K1" s="44" t="s">
        <v>620</v>
      </c>
      <c r="L1" s="5"/>
      <c r="M1" s="5"/>
      <c r="N1" s="5"/>
      <c r="O1" s="5"/>
      <c r="P1" s="5"/>
      <c r="Q1" s="5"/>
      <c r="R1" s="5"/>
      <c r="S1" s="5"/>
      <c r="T1" s="5"/>
      <c r="U1" s="5"/>
      <c r="V1" s="5"/>
      <c r="W1" s="5"/>
      <c r="X1" s="5"/>
      <c r="Y1" s="5"/>
      <c r="Z1" s="5"/>
    </row>
    <row r="2">
      <c r="A2" s="46" t="str">
        <f>archetype_prototypes!A2</f>
        <v>1</v>
      </c>
      <c r="B2" s="14" t="str">
        <f>archetype_prototypes!B2</f>
        <v>Sensual Connector</v>
      </c>
      <c r="C2" s="14" t="str">
        <f>archetype_prototypes!C2</f>
        <v>DIM_NOVELTY</v>
      </c>
      <c r="D2" s="47">
        <f>archetype_prototypes!E2</f>
        <v>0.3</v>
      </c>
      <c r="E2" s="47">
        <f t="shared" ref="E2:E295" si="1">MIN(D2,1-D2)</f>
        <v>0.3</v>
      </c>
      <c r="F2" s="47">
        <f t="shared" ref="F2:F295" si="2">0.5+D2-D2^2</f>
        <v>0.71</v>
      </c>
      <c r="G2" s="47">
        <f t="shared" ref="G2:G295" si="3">1</f>
        <v>1</v>
      </c>
      <c r="H2" s="48">
        <f t="array" ref="H2">INDEX(dimensions!$E$2:$E$22,MATCH(C2,dimensions!$A$2:$A$22,0))</f>
        <v>1.4</v>
      </c>
      <c r="I2" s="47">
        <f t="shared" ref="I2:I295" si="4">H2*E2</f>
        <v>0.42</v>
      </c>
      <c r="J2" s="47">
        <f t="shared" ref="J2:J295" si="5">H2*F2</f>
        <v>0.994</v>
      </c>
      <c r="K2" s="47">
        <f t="shared" ref="K2:K295" si="6">H2*G2</f>
        <v>1.4</v>
      </c>
      <c r="L2" s="5"/>
      <c r="M2" s="5"/>
      <c r="N2" s="5"/>
      <c r="O2" s="5"/>
      <c r="P2" s="5"/>
      <c r="Q2" s="5"/>
      <c r="R2" s="5"/>
      <c r="S2" s="5"/>
      <c r="T2" s="5"/>
      <c r="U2" s="5"/>
      <c r="V2" s="5"/>
      <c r="W2" s="5"/>
      <c r="X2" s="5"/>
      <c r="Y2" s="5"/>
      <c r="Z2" s="5"/>
    </row>
    <row r="3">
      <c r="A3" s="46" t="str">
        <f>archetype_prototypes!A3</f>
        <v>1</v>
      </c>
      <c r="B3" s="14" t="str">
        <f>archetype_prototypes!B3</f>
        <v>Sensual Connector</v>
      </c>
      <c r="C3" s="14" t="str">
        <f>archetype_prototypes!C3</f>
        <v>DIM_RESPONSIVE</v>
      </c>
      <c r="D3" s="47">
        <f>archetype_prototypes!E3</f>
        <v>0.8</v>
      </c>
      <c r="E3" s="47">
        <f t="shared" si="1"/>
        <v>0.2</v>
      </c>
      <c r="F3" s="47">
        <f t="shared" si="2"/>
        <v>0.66</v>
      </c>
      <c r="G3" s="47">
        <f t="shared" si="3"/>
        <v>1</v>
      </c>
      <c r="H3" s="48">
        <f t="array" ref="H3">INDEX(dimensions!$E$2:$E$22,MATCH(C3,dimensions!$A$2:$A$22,0))</f>
        <v>1.6</v>
      </c>
      <c r="I3" s="47">
        <f t="shared" si="4"/>
        <v>0.32</v>
      </c>
      <c r="J3" s="47">
        <f t="shared" si="5"/>
        <v>1.056</v>
      </c>
      <c r="K3" s="47">
        <f t="shared" si="6"/>
        <v>1.6</v>
      </c>
      <c r="L3" s="5"/>
      <c r="M3" s="5"/>
      <c r="N3" s="5"/>
      <c r="O3" s="5"/>
      <c r="P3" s="5"/>
      <c r="Q3" s="5"/>
      <c r="R3" s="5"/>
      <c r="S3" s="5"/>
      <c r="T3" s="5"/>
      <c r="U3" s="5"/>
      <c r="V3" s="5"/>
      <c r="W3" s="5"/>
      <c r="X3" s="5"/>
      <c r="Y3" s="5"/>
      <c r="Z3" s="5"/>
    </row>
    <row r="4">
      <c r="A4" s="46" t="str">
        <f>archetype_prototypes!A4</f>
        <v>1</v>
      </c>
      <c r="B4" s="14" t="str">
        <f>archetype_prototypes!B4</f>
        <v>Sensual Connector</v>
      </c>
      <c r="C4" s="14" t="str">
        <f>archetype_prototypes!C4</f>
        <v>DIM_PLANNED</v>
      </c>
      <c r="D4" s="47">
        <f>archetype_prototypes!E4</f>
        <v>0.45</v>
      </c>
      <c r="E4" s="47">
        <f t="shared" si="1"/>
        <v>0.45</v>
      </c>
      <c r="F4" s="47">
        <f t="shared" si="2"/>
        <v>0.7475</v>
      </c>
      <c r="G4" s="47">
        <f t="shared" si="3"/>
        <v>1</v>
      </c>
      <c r="H4" s="48">
        <f t="array" ref="H4">INDEX(dimensions!$E$2:$E$22,MATCH(C4,dimensions!$A$2:$A$22,0))</f>
        <v>1.3</v>
      </c>
      <c r="I4" s="47">
        <f t="shared" si="4"/>
        <v>0.585</v>
      </c>
      <c r="J4" s="47">
        <f t="shared" si="5"/>
        <v>0.97175</v>
      </c>
      <c r="K4" s="47">
        <f t="shared" si="6"/>
        <v>1.3</v>
      </c>
      <c r="L4" s="5"/>
      <c r="M4" s="5"/>
      <c r="N4" s="5"/>
      <c r="O4" s="5"/>
      <c r="P4" s="5"/>
      <c r="Q4" s="5"/>
      <c r="R4" s="5"/>
      <c r="S4" s="5"/>
      <c r="T4" s="5"/>
      <c r="U4" s="5"/>
      <c r="V4" s="5"/>
      <c r="W4" s="5"/>
      <c r="X4" s="5"/>
      <c r="Y4" s="5"/>
      <c r="Z4" s="5"/>
    </row>
    <row r="5">
      <c r="A5" s="46" t="str">
        <f>archetype_prototypes!A5</f>
        <v>1</v>
      </c>
      <c r="B5" s="14" t="str">
        <f>archetype_prototypes!B5</f>
        <v>Sensual Connector</v>
      </c>
      <c r="C5" s="14" t="str">
        <f>archetype_prototypes!C5</f>
        <v>DIM_EMO_CONNECTION</v>
      </c>
      <c r="D5" s="47">
        <f>archetype_prototypes!E5</f>
        <v>0.85</v>
      </c>
      <c r="E5" s="47">
        <f t="shared" si="1"/>
        <v>0.15</v>
      </c>
      <c r="F5" s="47">
        <f t="shared" si="2"/>
        <v>0.6275</v>
      </c>
      <c r="G5" s="47">
        <f t="shared" si="3"/>
        <v>1</v>
      </c>
      <c r="H5" s="48">
        <f t="array" ref="H5">INDEX(dimensions!$E$2:$E$22,MATCH(C5,dimensions!$A$2:$A$22,0))</f>
        <v>1.4</v>
      </c>
      <c r="I5" s="47">
        <f t="shared" si="4"/>
        <v>0.21</v>
      </c>
      <c r="J5" s="47">
        <f t="shared" si="5"/>
        <v>0.8785</v>
      </c>
      <c r="K5" s="47">
        <f t="shared" si="6"/>
        <v>1.4</v>
      </c>
      <c r="L5" s="5"/>
      <c r="M5" s="5"/>
      <c r="N5" s="5"/>
      <c r="O5" s="5"/>
      <c r="P5" s="5"/>
      <c r="Q5" s="5"/>
      <c r="R5" s="5"/>
      <c r="S5" s="5"/>
      <c r="T5" s="5"/>
      <c r="U5" s="5"/>
      <c r="V5" s="5"/>
      <c r="W5" s="5"/>
      <c r="X5" s="5"/>
      <c r="Y5" s="5"/>
      <c r="Z5" s="5"/>
    </row>
    <row r="6">
      <c r="A6" s="46" t="str">
        <f>archetype_prototypes!A6</f>
        <v>1</v>
      </c>
      <c r="B6" s="14" t="str">
        <f>archetype_prototypes!B6</f>
        <v>Sensual Connector</v>
      </c>
      <c r="C6" s="14" t="str">
        <f>archetype_prototypes!C6</f>
        <v>DIM_INTENSITY</v>
      </c>
      <c r="D6" s="47">
        <f>archetype_prototypes!E6</f>
        <v>0.4</v>
      </c>
      <c r="E6" s="47">
        <f t="shared" si="1"/>
        <v>0.4</v>
      </c>
      <c r="F6" s="47">
        <f t="shared" si="2"/>
        <v>0.74</v>
      </c>
      <c r="G6" s="47">
        <f t="shared" si="3"/>
        <v>1</v>
      </c>
      <c r="H6" s="48">
        <f t="array" ref="H6">INDEX(dimensions!$E$2:$E$22,MATCH(C6,dimensions!$A$2:$A$22,0))</f>
        <v>1.4</v>
      </c>
      <c r="I6" s="47">
        <f t="shared" si="4"/>
        <v>0.56</v>
      </c>
      <c r="J6" s="47">
        <f t="shared" si="5"/>
        <v>1.036</v>
      </c>
      <c r="K6" s="47">
        <f t="shared" si="6"/>
        <v>1.4</v>
      </c>
      <c r="L6" s="5"/>
      <c r="M6" s="5"/>
      <c r="N6" s="5"/>
      <c r="O6" s="5"/>
      <c r="P6" s="5"/>
      <c r="Q6" s="5"/>
      <c r="R6" s="5"/>
      <c r="S6" s="5"/>
      <c r="T6" s="5"/>
      <c r="U6" s="5"/>
      <c r="V6" s="5"/>
      <c r="W6" s="5"/>
      <c r="X6" s="5"/>
      <c r="Y6" s="5"/>
      <c r="Z6" s="5"/>
    </row>
    <row r="7">
      <c r="A7" s="46" t="str">
        <f>archetype_prototypes!A7</f>
        <v>1</v>
      </c>
      <c r="B7" s="14" t="str">
        <f>archetype_prototypes!B7</f>
        <v>Sensual Connector</v>
      </c>
      <c r="C7" s="14" t="str">
        <f>archetype_prototypes!C7</f>
        <v>DIM_PURSUIT</v>
      </c>
      <c r="D7" s="47">
        <f>archetype_prototypes!E7</f>
        <v>0.25</v>
      </c>
      <c r="E7" s="47">
        <f t="shared" si="1"/>
        <v>0.25</v>
      </c>
      <c r="F7" s="47">
        <f t="shared" si="2"/>
        <v>0.6875</v>
      </c>
      <c r="G7" s="47">
        <f t="shared" si="3"/>
        <v>1</v>
      </c>
      <c r="H7" s="48">
        <f t="array" ref="H7">INDEX(dimensions!$E$2:$E$22,MATCH(C7,dimensions!$A$2:$A$22,0))</f>
        <v>1.4</v>
      </c>
      <c r="I7" s="47">
        <f t="shared" si="4"/>
        <v>0.35</v>
      </c>
      <c r="J7" s="47">
        <f t="shared" si="5"/>
        <v>0.9625</v>
      </c>
      <c r="K7" s="47">
        <f t="shared" si="6"/>
        <v>1.4</v>
      </c>
      <c r="L7" s="5"/>
      <c r="M7" s="5"/>
      <c r="N7" s="5"/>
      <c r="O7" s="5"/>
      <c r="P7" s="5"/>
      <c r="Q7" s="5"/>
      <c r="R7" s="5"/>
      <c r="S7" s="5"/>
      <c r="T7" s="5"/>
      <c r="U7" s="5"/>
      <c r="V7" s="5"/>
      <c r="W7" s="5"/>
      <c r="X7" s="5"/>
      <c r="Y7" s="5"/>
      <c r="Z7" s="5"/>
    </row>
    <row r="8">
      <c r="A8" s="46" t="str">
        <f>archetype_prototypes!A8</f>
        <v>1</v>
      </c>
      <c r="B8" s="14" t="str">
        <f>archetype_prototypes!B8</f>
        <v>Sensual Connector</v>
      </c>
      <c r="C8" s="14" t="str">
        <f>archetype_prototypes!C8</f>
        <v>DIM_EDGE_NEED</v>
      </c>
      <c r="D8" s="47">
        <f>archetype_prototypes!E8</f>
        <v>0.2</v>
      </c>
      <c r="E8" s="47">
        <f t="shared" si="1"/>
        <v>0.2</v>
      </c>
      <c r="F8" s="47">
        <f t="shared" si="2"/>
        <v>0.66</v>
      </c>
      <c r="G8" s="47">
        <f t="shared" si="3"/>
        <v>1</v>
      </c>
      <c r="H8" s="48">
        <f t="array" ref="H8">INDEX(dimensions!$E$2:$E$22,MATCH(C8,dimensions!$A$2:$A$22,0))</f>
        <v>1.8</v>
      </c>
      <c r="I8" s="47">
        <f t="shared" si="4"/>
        <v>0.36</v>
      </c>
      <c r="J8" s="47">
        <f t="shared" si="5"/>
        <v>1.188</v>
      </c>
      <c r="K8" s="47">
        <f t="shared" si="6"/>
        <v>1.8</v>
      </c>
      <c r="L8" s="5"/>
      <c r="M8" s="5"/>
      <c r="N8" s="5"/>
      <c r="O8" s="5"/>
      <c r="P8" s="5"/>
      <c r="Q8" s="5"/>
      <c r="R8" s="5"/>
      <c r="S8" s="5"/>
      <c r="T8" s="5"/>
      <c r="U8" s="5"/>
      <c r="V8" s="5"/>
      <c r="W8" s="5"/>
      <c r="X8" s="5"/>
      <c r="Y8" s="5"/>
      <c r="Z8" s="5"/>
    </row>
    <row r="9">
      <c r="A9" s="46" t="str">
        <f>archetype_prototypes!A9</f>
        <v>1</v>
      </c>
      <c r="B9" s="14" t="str">
        <f>archetype_prototypes!B9</f>
        <v>Sensual Connector</v>
      </c>
      <c r="C9" s="14" t="str">
        <f>archetype_prototypes!C9</f>
        <v>DIM_SACRED</v>
      </c>
      <c r="D9" s="47">
        <f>archetype_prototypes!E9</f>
        <v>0.55</v>
      </c>
      <c r="E9" s="47">
        <f t="shared" si="1"/>
        <v>0.45</v>
      </c>
      <c r="F9" s="47">
        <f t="shared" si="2"/>
        <v>0.7475</v>
      </c>
      <c r="G9" s="47">
        <f t="shared" si="3"/>
        <v>1</v>
      </c>
      <c r="H9" s="48">
        <f t="array" ref="H9">INDEX(dimensions!$E$2:$E$22,MATCH(C9,dimensions!$A$2:$A$22,0))</f>
        <v>2</v>
      </c>
      <c r="I9" s="47">
        <f t="shared" si="4"/>
        <v>0.9</v>
      </c>
      <c r="J9" s="47">
        <f t="shared" si="5"/>
        <v>1.495</v>
      </c>
      <c r="K9" s="47">
        <f t="shared" si="6"/>
        <v>2</v>
      </c>
      <c r="L9" s="5"/>
      <c r="M9" s="5"/>
      <c r="N9" s="5"/>
      <c r="O9" s="5"/>
      <c r="P9" s="5"/>
      <c r="Q9" s="5"/>
      <c r="R9" s="5"/>
      <c r="S9" s="5"/>
      <c r="T9" s="5"/>
      <c r="U9" s="5"/>
      <c r="V9" s="5"/>
      <c r="W9" s="5"/>
      <c r="X9" s="5"/>
      <c r="Y9" s="5"/>
      <c r="Z9" s="5"/>
    </row>
    <row r="10">
      <c r="A10" s="46" t="str">
        <f>archetype_prototypes!A10</f>
        <v>1</v>
      </c>
      <c r="B10" s="14" t="str">
        <f>archetype_prototypes!B10</f>
        <v>Sensual Connector</v>
      </c>
      <c r="C10" s="14" t="str">
        <f>archetype_prototypes!C10</f>
        <v>DIM_RISK_PREF</v>
      </c>
      <c r="D10" s="47">
        <f>archetype_prototypes!E10</f>
        <v>0.2</v>
      </c>
      <c r="E10" s="47">
        <f t="shared" si="1"/>
        <v>0.2</v>
      </c>
      <c r="F10" s="47">
        <f t="shared" si="2"/>
        <v>0.66</v>
      </c>
      <c r="G10" s="47">
        <f t="shared" si="3"/>
        <v>1</v>
      </c>
      <c r="H10" s="48">
        <f t="array" ref="H10">INDEX(dimensions!$E$2:$E$22,MATCH(C10,dimensions!$A$2:$A$22,0))</f>
        <v>1.6</v>
      </c>
      <c r="I10" s="47">
        <f t="shared" si="4"/>
        <v>0.32</v>
      </c>
      <c r="J10" s="47">
        <f t="shared" si="5"/>
        <v>1.056</v>
      </c>
      <c r="K10" s="47">
        <f t="shared" si="6"/>
        <v>1.6</v>
      </c>
      <c r="L10" s="5"/>
      <c r="M10" s="5"/>
      <c r="N10" s="5"/>
      <c r="O10" s="5"/>
      <c r="P10" s="5"/>
      <c r="Q10" s="5"/>
      <c r="R10" s="5"/>
      <c r="S10" s="5"/>
      <c r="T10" s="5"/>
      <c r="U10" s="5"/>
      <c r="V10" s="5"/>
      <c r="W10" s="5"/>
      <c r="X10" s="5"/>
      <c r="Y10" s="5"/>
      <c r="Z10" s="5"/>
    </row>
    <row r="11">
      <c r="A11" s="46" t="str">
        <f>archetype_prototypes!A11</f>
        <v>1</v>
      </c>
      <c r="B11" s="14" t="str">
        <f>archetype_prototypes!B11</f>
        <v>Sensual Connector</v>
      </c>
      <c r="C11" s="14" t="str">
        <f>archetype_prototypes!C11</f>
        <v>DIM_FEEDBACK_DEP</v>
      </c>
      <c r="D11" s="47">
        <f>archetype_prototypes!E11</f>
        <v>0.3</v>
      </c>
      <c r="E11" s="47">
        <f t="shared" si="1"/>
        <v>0.3</v>
      </c>
      <c r="F11" s="47">
        <f t="shared" si="2"/>
        <v>0.71</v>
      </c>
      <c r="G11" s="47">
        <f t="shared" si="3"/>
        <v>1</v>
      </c>
      <c r="H11" s="48">
        <f t="array" ref="H11">INDEX(dimensions!$E$2:$E$22,MATCH(C11,dimensions!$A$2:$A$22,0))</f>
        <v>2</v>
      </c>
      <c r="I11" s="47">
        <f t="shared" si="4"/>
        <v>0.6</v>
      </c>
      <c r="J11" s="47">
        <f t="shared" si="5"/>
        <v>1.42</v>
      </c>
      <c r="K11" s="47">
        <f t="shared" si="6"/>
        <v>2</v>
      </c>
      <c r="L11" s="5"/>
      <c r="M11" s="5"/>
      <c r="N11" s="5"/>
      <c r="O11" s="5"/>
      <c r="P11" s="5"/>
      <c r="Q11" s="5"/>
      <c r="R11" s="5"/>
      <c r="S11" s="5"/>
      <c r="T11" s="5"/>
      <c r="U11" s="5"/>
      <c r="V11" s="5"/>
      <c r="W11" s="5"/>
      <c r="X11" s="5"/>
      <c r="Y11" s="5"/>
      <c r="Z11" s="5"/>
    </row>
    <row r="12">
      <c r="A12" s="46" t="str">
        <f>archetype_prototypes!A12</f>
        <v>1</v>
      </c>
      <c r="B12" s="14" t="str">
        <f>archetype_prototypes!B12</f>
        <v>Sensual Connector</v>
      </c>
      <c r="C12" s="14" t="str">
        <f>archetype_prototypes!C12</f>
        <v>DIM_TURNON_EXPRESS</v>
      </c>
      <c r="D12" s="47">
        <f>archetype_prototypes!E12</f>
        <v>0.45</v>
      </c>
      <c r="E12" s="47">
        <f t="shared" si="1"/>
        <v>0.45</v>
      </c>
      <c r="F12" s="47">
        <f t="shared" si="2"/>
        <v>0.7475</v>
      </c>
      <c r="G12" s="47">
        <f t="shared" si="3"/>
        <v>1</v>
      </c>
      <c r="H12" s="48">
        <f t="array" ref="H12">INDEX(dimensions!$E$2:$E$22,MATCH(C12,dimensions!$A$2:$A$22,0))</f>
        <v>1.3</v>
      </c>
      <c r="I12" s="47">
        <f t="shared" si="4"/>
        <v>0.585</v>
      </c>
      <c r="J12" s="47">
        <f t="shared" si="5"/>
        <v>0.97175</v>
      </c>
      <c r="K12" s="47">
        <f t="shared" si="6"/>
        <v>1.3</v>
      </c>
      <c r="L12" s="5"/>
      <c r="M12" s="5"/>
      <c r="N12" s="5"/>
      <c r="O12" s="5"/>
      <c r="P12" s="5"/>
      <c r="Q12" s="5"/>
      <c r="R12" s="5"/>
      <c r="S12" s="5"/>
      <c r="T12" s="5"/>
      <c r="U12" s="5"/>
      <c r="V12" s="5"/>
      <c r="W12" s="5"/>
      <c r="X12" s="5"/>
      <c r="Y12" s="5"/>
      <c r="Z12" s="5"/>
    </row>
    <row r="13">
      <c r="A13" s="46" t="str">
        <f>archetype_prototypes!A13</f>
        <v>1</v>
      </c>
      <c r="B13" s="14" t="str">
        <f>archetype_prototypes!B13</f>
        <v>Sensual Connector</v>
      </c>
      <c r="C13" s="14" t="str">
        <f>archetype_prototypes!C13</f>
        <v>DIM_BOUNDARY_EXPRESS</v>
      </c>
      <c r="D13" s="47">
        <f>archetype_prototypes!E13</f>
        <v>0.55</v>
      </c>
      <c r="E13" s="47">
        <f t="shared" si="1"/>
        <v>0.45</v>
      </c>
      <c r="F13" s="47">
        <f t="shared" si="2"/>
        <v>0.7475</v>
      </c>
      <c r="G13" s="47">
        <f t="shared" si="3"/>
        <v>1</v>
      </c>
      <c r="H13" s="48">
        <f t="array" ref="H13">INDEX(dimensions!$E$2:$E$22,MATCH(C13,dimensions!$A$2:$A$22,0))</f>
        <v>1.3</v>
      </c>
      <c r="I13" s="47">
        <f t="shared" si="4"/>
        <v>0.585</v>
      </c>
      <c r="J13" s="47">
        <f t="shared" si="5"/>
        <v>0.97175</v>
      </c>
      <c r="K13" s="47">
        <f t="shared" si="6"/>
        <v>1.3</v>
      </c>
      <c r="L13" s="5"/>
      <c r="M13" s="5"/>
      <c r="N13" s="5"/>
      <c r="O13" s="5"/>
      <c r="P13" s="5"/>
      <c r="Q13" s="5"/>
      <c r="R13" s="5"/>
      <c r="S13" s="5"/>
      <c r="T13" s="5"/>
      <c r="U13" s="5"/>
      <c r="V13" s="5"/>
      <c r="W13" s="5"/>
      <c r="X13" s="5"/>
      <c r="Y13" s="5"/>
      <c r="Z13" s="5"/>
    </row>
    <row r="14">
      <c r="A14" s="46" t="str">
        <f>archetype_prototypes!A14</f>
        <v>1</v>
      </c>
      <c r="B14" s="14" t="str">
        <f>archetype_prototypes!B14</f>
        <v>Sensual Connector</v>
      </c>
      <c r="C14" s="14" t="str">
        <f>archetype_prototypes!C14</f>
        <v>DIM_PROTOCOL</v>
      </c>
      <c r="D14" s="47">
        <f>archetype_prototypes!E14</f>
        <v>0.2</v>
      </c>
      <c r="E14" s="47">
        <f t="shared" si="1"/>
        <v>0.2</v>
      </c>
      <c r="F14" s="47">
        <f t="shared" si="2"/>
        <v>0.66</v>
      </c>
      <c r="G14" s="47">
        <f t="shared" si="3"/>
        <v>1</v>
      </c>
      <c r="H14" s="48">
        <f t="array" ref="H14">INDEX(dimensions!$E$2:$E$22,MATCH(C14,dimensions!$A$2:$A$22,0))</f>
        <v>1.6</v>
      </c>
      <c r="I14" s="47">
        <f t="shared" si="4"/>
        <v>0.32</v>
      </c>
      <c r="J14" s="47">
        <f t="shared" si="5"/>
        <v>1.056</v>
      </c>
      <c r="K14" s="47">
        <f t="shared" si="6"/>
        <v>1.6</v>
      </c>
      <c r="L14" s="5"/>
      <c r="M14" s="5"/>
      <c r="N14" s="5"/>
      <c r="O14" s="5"/>
      <c r="P14" s="5"/>
      <c r="Q14" s="5"/>
      <c r="R14" s="5"/>
      <c r="S14" s="5"/>
      <c r="T14" s="5"/>
      <c r="U14" s="5"/>
      <c r="V14" s="5"/>
      <c r="W14" s="5"/>
      <c r="X14" s="5"/>
      <c r="Y14" s="5"/>
      <c r="Z14" s="5"/>
    </row>
    <row r="15">
      <c r="A15" s="46" t="str">
        <f>archetype_prototypes!A15</f>
        <v>1</v>
      </c>
      <c r="B15" s="14" t="str">
        <f>archetype_prototypes!B15</f>
        <v>Sensual Connector</v>
      </c>
      <c r="C15" s="14" t="str">
        <f>archetype_prototypes!C15</f>
        <v>DIM_SOOTHING</v>
      </c>
      <c r="D15" s="47">
        <f>archetype_prototypes!E15</f>
        <v>0.5</v>
      </c>
      <c r="E15" s="47">
        <f t="shared" si="1"/>
        <v>0.5</v>
      </c>
      <c r="F15" s="47">
        <f t="shared" si="2"/>
        <v>0.75</v>
      </c>
      <c r="G15" s="47">
        <f t="shared" si="3"/>
        <v>1</v>
      </c>
      <c r="H15" s="48">
        <f t="array" ref="H15">INDEX(dimensions!$E$2:$E$22,MATCH(C15,dimensions!$A$2:$A$22,0))</f>
        <v>1.9</v>
      </c>
      <c r="I15" s="47">
        <f t="shared" si="4"/>
        <v>0.95</v>
      </c>
      <c r="J15" s="47">
        <f t="shared" si="5"/>
        <v>1.425</v>
      </c>
      <c r="K15" s="47">
        <f t="shared" si="6"/>
        <v>1.9</v>
      </c>
      <c r="L15" s="5"/>
      <c r="M15" s="5"/>
      <c r="N15" s="5"/>
      <c r="O15" s="5"/>
      <c r="P15" s="5"/>
      <c r="Q15" s="5"/>
      <c r="R15" s="5"/>
      <c r="S15" s="5"/>
      <c r="T15" s="5"/>
      <c r="U15" s="5"/>
      <c r="V15" s="5"/>
      <c r="W15" s="5"/>
      <c r="X15" s="5"/>
      <c r="Y15" s="5"/>
      <c r="Z15" s="5"/>
    </row>
    <row r="16">
      <c r="A16" s="46" t="str">
        <f>archetype_prototypes!A16</f>
        <v>1</v>
      </c>
      <c r="B16" s="14" t="str">
        <f>archetype_prototypes!B16</f>
        <v>Sensual Connector</v>
      </c>
      <c r="C16" s="14" t="str">
        <f>archetype_prototypes!C16</f>
        <v>DIM_SECURE</v>
      </c>
      <c r="D16" s="47">
        <f>archetype_prototypes!E16</f>
        <v>0.75</v>
      </c>
      <c r="E16" s="47">
        <f t="shared" si="1"/>
        <v>0.25</v>
      </c>
      <c r="F16" s="47">
        <f t="shared" si="2"/>
        <v>0.6875</v>
      </c>
      <c r="G16" s="47">
        <f t="shared" si="3"/>
        <v>1</v>
      </c>
      <c r="H16" s="48">
        <f t="array" ref="H16">INDEX(dimensions!$E$2:$E$22,MATCH(C16,dimensions!$A$2:$A$22,0))</f>
        <v>1</v>
      </c>
      <c r="I16" s="47">
        <f t="shared" si="4"/>
        <v>0.25</v>
      </c>
      <c r="J16" s="47">
        <f t="shared" si="5"/>
        <v>0.6875</v>
      </c>
      <c r="K16" s="47">
        <f t="shared" si="6"/>
        <v>1</v>
      </c>
      <c r="L16" s="5"/>
      <c r="M16" s="5"/>
      <c r="N16" s="5"/>
      <c r="O16" s="5"/>
      <c r="P16" s="5"/>
      <c r="Q16" s="5"/>
      <c r="R16" s="5"/>
      <c r="S16" s="5"/>
      <c r="T16" s="5"/>
      <c r="U16" s="5"/>
      <c r="V16" s="5"/>
      <c r="W16" s="5"/>
      <c r="X16" s="5"/>
      <c r="Y16" s="5"/>
      <c r="Z16" s="5"/>
    </row>
    <row r="17">
      <c r="A17" s="46" t="str">
        <f>archetype_prototypes!A17</f>
        <v>1</v>
      </c>
      <c r="B17" s="14" t="str">
        <f>archetype_prototypes!B17</f>
        <v>Sensual Connector</v>
      </c>
      <c r="C17" s="14" t="str">
        <f>archetype_prototypes!C17</f>
        <v>DIM_REPAIR_EROTICISM</v>
      </c>
      <c r="D17" s="47">
        <f>archetype_prototypes!E17</f>
        <v>0.65</v>
      </c>
      <c r="E17" s="47">
        <f t="shared" si="1"/>
        <v>0.35</v>
      </c>
      <c r="F17" s="47">
        <f t="shared" si="2"/>
        <v>0.7275</v>
      </c>
      <c r="G17" s="47">
        <f t="shared" si="3"/>
        <v>1</v>
      </c>
      <c r="H17" s="48">
        <f t="array" ref="H17">INDEX(dimensions!$E$2:$E$22,MATCH(C17,dimensions!$A$2:$A$22,0))</f>
        <v>1.6</v>
      </c>
      <c r="I17" s="47">
        <f t="shared" si="4"/>
        <v>0.56</v>
      </c>
      <c r="J17" s="47">
        <f t="shared" si="5"/>
        <v>1.164</v>
      </c>
      <c r="K17" s="47">
        <f t="shared" si="6"/>
        <v>1.6</v>
      </c>
      <c r="L17" s="5"/>
      <c r="M17" s="5"/>
      <c r="N17" s="5"/>
      <c r="O17" s="5"/>
      <c r="P17" s="5"/>
      <c r="Q17" s="5"/>
      <c r="R17" s="5"/>
      <c r="S17" s="5"/>
      <c r="T17" s="5"/>
      <c r="U17" s="5"/>
      <c r="V17" s="5"/>
      <c r="W17" s="5"/>
      <c r="X17" s="5"/>
      <c r="Y17" s="5"/>
      <c r="Z17" s="5"/>
    </row>
    <row r="18">
      <c r="A18" s="46" t="str">
        <f>archetype_prototypes!A18</f>
        <v>1</v>
      </c>
      <c r="B18" s="14" t="str">
        <f>archetype_prototypes!B18</f>
        <v>Sensual Connector</v>
      </c>
      <c r="C18" s="14" t="str">
        <f>archetype_prototypes!C18</f>
        <v>DIM_PRESSURE_SHUTDOWN</v>
      </c>
      <c r="D18" s="47">
        <f>archetype_prototypes!E18</f>
        <v>0.45</v>
      </c>
      <c r="E18" s="47">
        <f t="shared" si="1"/>
        <v>0.45</v>
      </c>
      <c r="F18" s="47">
        <f t="shared" si="2"/>
        <v>0.7475</v>
      </c>
      <c r="G18" s="47">
        <f t="shared" si="3"/>
        <v>1</v>
      </c>
      <c r="H18" s="48">
        <f t="array" ref="H18">INDEX(dimensions!$E$2:$E$22,MATCH(C18,dimensions!$A$2:$A$22,0))</f>
        <v>2</v>
      </c>
      <c r="I18" s="47">
        <f t="shared" si="4"/>
        <v>0.9</v>
      </c>
      <c r="J18" s="47">
        <f t="shared" si="5"/>
        <v>1.495</v>
      </c>
      <c r="K18" s="47">
        <f t="shared" si="6"/>
        <v>2</v>
      </c>
      <c r="L18" s="5"/>
      <c r="M18" s="5"/>
      <c r="N18" s="5"/>
      <c r="O18" s="5"/>
      <c r="P18" s="5"/>
      <c r="Q18" s="5"/>
      <c r="R18" s="5"/>
      <c r="S18" s="5"/>
      <c r="T18" s="5"/>
      <c r="U18" s="5"/>
      <c r="V18" s="5"/>
      <c r="W18" s="5"/>
      <c r="X18" s="5"/>
      <c r="Y18" s="5"/>
      <c r="Z18" s="5"/>
    </row>
    <row r="19">
      <c r="A19" s="46" t="str">
        <f>archetype_prototypes!A19</f>
        <v>1</v>
      </c>
      <c r="B19" s="14" t="str">
        <f>archetype_prototypes!B19</f>
        <v>Sensual Connector</v>
      </c>
      <c r="C19" s="14" t="str">
        <f>archetype_prototypes!C19</f>
        <v>DIM_AVOIDANT</v>
      </c>
      <c r="D19" s="47">
        <f>archetype_prototypes!E19</f>
        <v>0.2</v>
      </c>
      <c r="E19" s="47">
        <f t="shared" si="1"/>
        <v>0.2</v>
      </c>
      <c r="F19" s="47">
        <f t="shared" si="2"/>
        <v>0.66</v>
      </c>
      <c r="G19" s="47">
        <f t="shared" si="3"/>
        <v>1</v>
      </c>
      <c r="H19" s="48">
        <f t="array" ref="H19">INDEX(dimensions!$E$2:$E$22,MATCH(C19,dimensions!$A$2:$A$22,0))</f>
        <v>1.3</v>
      </c>
      <c r="I19" s="47">
        <f t="shared" si="4"/>
        <v>0.26</v>
      </c>
      <c r="J19" s="47">
        <f t="shared" si="5"/>
        <v>0.858</v>
      </c>
      <c r="K19" s="47">
        <f t="shared" si="6"/>
        <v>1.3</v>
      </c>
      <c r="L19" s="5"/>
      <c r="M19" s="5"/>
      <c r="N19" s="5"/>
      <c r="O19" s="5"/>
      <c r="P19" s="5"/>
      <c r="Q19" s="5"/>
      <c r="R19" s="5"/>
      <c r="S19" s="5"/>
      <c r="T19" s="5"/>
      <c r="U19" s="5"/>
      <c r="V19" s="5"/>
      <c r="W19" s="5"/>
      <c r="X19" s="5"/>
      <c r="Y19" s="5"/>
      <c r="Z19" s="5"/>
    </row>
    <row r="20">
      <c r="A20" s="46" t="str">
        <f>archetype_prototypes!A20</f>
        <v>1</v>
      </c>
      <c r="B20" s="14" t="str">
        <f>archetype_prototypes!B20</f>
        <v>Sensual Connector</v>
      </c>
      <c r="C20" s="14" t="str">
        <f>archetype_prototypes!C20</f>
        <v>DIM_STRATEGY</v>
      </c>
      <c r="D20" s="47">
        <f>archetype_prototypes!E20</f>
        <v>0.1</v>
      </c>
      <c r="E20" s="47">
        <f t="shared" si="1"/>
        <v>0.1</v>
      </c>
      <c r="F20" s="47">
        <f t="shared" si="2"/>
        <v>0.59</v>
      </c>
      <c r="G20" s="47">
        <f t="shared" si="3"/>
        <v>1</v>
      </c>
      <c r="H20" s="48">
        <f t="array" ref="H20">INDEX(dimensions!$E$2:$E$22,MATCH(C20,dimensions!$A$2:$A$22,0))</f>
        <v>1.2</v>
      </c>
      <c r="I20" s="47">
        <f t="shared" si="4"/>
        <v>0.12</v>
      </c>
      <c r="J20" s="47">
        <f t="shared" si="5"/>
        <v>0.708</v>
      </c>
      <c r="K20" s="47">
        <f t="shared" si="6"/>
        <v>1.2</v>
      </c>
      <c r="L20" s="5"/>
      <c r="M20" s="5"/>
      <c r="N20" s="5"/>
      <c r="O20" s="5"/>
      <c r="P20" s="5"/>
      <c r="Q20" s="5"/>
      <c r="R20" s="5"/>
      <c r="S20" s="5"/>
      <c r="T20" s="5"/>
      <c r="U20" s="5"/>
      <c r="V20" s="5"/>
      <c r="W20" s="5"/>
      <c r="X20" s="5"/>
      <c r="Y20" s="5"/>
      <c r="Z20" s="5"/>
    </row>
    <row r="21" ht="15.75" customHeight="1">
      <c r="A21" s="46" t="str">
        <f>archetype_prototypes!A21</f>
        <v>1</v>
      </c>
      <c r="B21" s="14" t="str">
        <f>archetype_prototypes!B21</f>
        <v>Sensual Connector</v>
      </c>
      <c r="C21" s="14" t="str">
        <f>archetype_prototypes!C21</f>
        <v>DIM_CLOSENESS_ORIENTATION</v>
      </c>
      <c r="D21" s="47">
        <f>archetype_prototypes!E21</f>
        <v>0.75</v>
      </c>
      <c r="E21" s="47">
        <f t="shared" si="1"/>
        <v>0.25</v>
      </c>
      <c r="F21" s="47">
        <f t="shared" si="2"/>
        <v>0.6875</v>
      </c>
      <c r="G21" s="47">
        <f t="shared" si="3"/>
        <v>1</v>
      </c>
      <c r="H21" s="48">
        <f t="array" ref="H21">INDEX(dimensions!$E$2:$E$22,MATCH(C21,dimensions!$A$2:$A$22,0))</f>
        <v>1</v>
      </c>
      <c r="I21" s="47">
        <f t="shared" si="4"/>
        <v>0.25</v>
      </c>
      <c r="J21" s="47">
        <f t="shared" si="5"/>
        <v>0.6875</v>
      </c>
      <c r="K21" s="47">
        <f t="shared" si="6"/>
        <v>1</v>
      </c>
      <c r="L21" s="5"/>
      <c r="M21" s="5"/>
      <c r="N21" s="5"/>
      <c r="O21" s="5"/>
      <c r="P21" s="5"/>
      <c r="Q21" s="5"/>
      <c r="R21" s="5"/>
      <c r="S21" s="5"/>
      <c r="T21" s="5"/>
      <c r="U21" s="5"/>
      <c r="V21" s="5"/>
      <c r="W21" s="5"/>
      <c r="X21" s="5"/>
      <c r="Y21" s="5"/>
      <c r="Z21" s="5"/>
    </row>
    <row r="22" ht="15.75" customHeight="1">
      <c r="A22" s="46" t="str">
        <f>archetype_prototypes!A22</f>
        <v>1</v>
      </c>
      <c r="B22" s="14" t="str">
        <f>archetype_prototypes!B22</f>
        <v>Sensual Connector</v>
      </c>
      <c r="C22" s="14" t="str">
        <f>archetype_prototypes!C22</f>
        <v>DIM_PARTNER_FOCUS</v>
      </c>
      <c r="D22" s="47">
        <f>archetype_prototypes!E22</f>
        <v>0.7</v>
      </c>
      <c r="E22" s="47">
        <f t="shared" si="1"/>
        <v>0.3</v>
      </c>
      <c r="F22" s="47">
        <f t="shared" si="2"/>
        <v>0.71</v>
      </c>
      <c r="G22" s="47">
        <f t="shared" si="3"/>
        <v>1</v>
      </c>
      <c r="H22" s="48">
        <f t="array" ref="H22">INDEX(dimensions!$E$2:$E$22,MATCH(C22,dimensions!$A$2:$A$22,0))</f>
        <v>1.2</v>
      </c>
      <c r="I22" s="47">
        <f t="shared" si="4"/>
        <v>0.36</v>
      </c>
      <c r="J22" s="47">
        <f t="shared" si="5"/>
        <v>0.852</v>
      </c>
      <c r="K22" s="47">
        <f t="shared" si="6"/>
        <v>1.2</v>
      </c>
      <c r="L22" s="5"/>
      <c r="M22" s="5"/>
      <c r="N22" s="5"/>
      <c r="O22" s="5"/>
      <c r="P22" s="5"/>
      <c r="Q22" s="5"/>
      <c r="R22" s="5"/>
      <c r="S22" s="5"/>
      <c r="T22" s="5"/>
      <c r="U22" s="5"/>
      <c r="V22" s="5"/>
      <c r="W22" s="5"/>
      <c r="X22" s="5"/>
      <c r="Y22" s="5"/>
      <c r="Z22" s="5"/>
    </row>
    <row r="23" ht="15.75" customHeight="1">
      <c r="A23" s="46" t="str">
        <f>archetype_prototypes!A23</f>
        <v>2</v>
      </c>
      <c r="B23" s="14" t="str">
        <f>archetype_prototypes!B23</f>
        <v>Spark Seeker</v>
      </c>
      <c r="C23" s="14" t="str">
        <f>archetype_prototypes!C23</f>
        <v>DIM_NOVELTY</v>
      </c>
      <c r="D23" s="47">
        <f>archetype_prototypes!E23</f>
        <v>0.83</v>
      </c>
      <c r="E23" s="47">
        <f t="shared" si="1"/>
        <v>0.17</v>
      </c>
      <c r="F23" s="47">
        <f t="shared" si="2"/>
        <v>0.6411</v>
      </c>
      <c r="G23" s="47">
        <f t="shared" si="3"/>
        <v>1</v>
      </c>
      <c r="H23" s="48">
        <f t="array" ref="H23">INDEX(dimensions!$E$2:$E$22,MATCH(C23,dimensions!$A$2:$A$22,0))</f>
        <v>1.4</v>
      </c>
      <c r="I23" s="47">
        <f t="shared" si="4"/>
        <v>0.238</v>
      </c>
      <c r="J23" s="47">
        <f t="shared" si="5"/>
        <v>0.89754</v>
      </c>
      <c r="K23" s="47">
        <f t="shared" si="6"/>
        <v>1.4</v>
      </c>
      <c r="L23" s="5"/>
      <c r="M23" s="5"/>
      <c r="N23" s="5"/>
      <c r="O23" s="5"/>
      <c r="P23" s="5"/>
      <c r="Q23" s="5"/>
      <c r="R23" s="5"/>
      <c r="S23" s="5"/>
      <c r="T23" s="5"/>
      <c r="U23" s="5"/>
      <c r="V23" s="5"/>
      <c r="W23" s="5"/>
      <c r="X23" s="5"/>
      <c r="Y23" s="5"/>
      <c r="Z23" s="5"/>
    </row>
    <row r="24" ht="15.75" customHeight="1">
      <c r="A24" s="46" t="str">
        <f>archetype_prototypes!A24</f>
        <v>2</v>
      </c>
      <c r="B24" s="14" t="str">
        <f>archetype_prototypes!B24</f>
        <v>Spark Seeker</v>
      </c>
      <c r="C24" s="14" t="str">
        <f>archetype_prototypes!C24</f>
        <v>DIM_RESPONSIVE</v>
      </c>
      <c r="D24" s="47">
        <f>archetype_prototypes!E24</f>
        <v>0.26</v>
      </c>
      <c r="E24" s="47">
        <f t="shared" si="1"/>
        <v>0.26</v>
      </c>
      <c r="F24" s="47">
        <f t="shared" si="2"/>
        <v>0.6924</v>
      </c>
      <c r="G24" s="47">
        <f t="shared" si="3"/>
        <v>1</v>
      </c>
      <c r="H24" s="48">
        <f t="array" ref="H24">INDEX(dimensions!$E$2:$E$22,MATCH(C24,dimensions!$A$2:$A$22,0))</f>
        <v>1.6</v>
      </c>
      <c r="I24" s="47">
        <f t="shared" si="4"/>
        <v>0.416</v>
      </c>
      <c r="J24" s="47">
        <f t="shared" si="5"/>
        <v>1.10784</v>
      </c>
      <c r="K24" s="47">
        <f t="shared" si="6"/>
        <v>1.6</v>
      </c>
      <c r="L24" s="5"/>
      <c r="M24" s="5"/>
      <c r="N24" s="5"/>
      <c r="O24" s="5"/>
      <c r="P24" s="5"/>
      <c r="Q24" s="5"/>
      <c r="R24" s="5"/>
      <c r="S24" s="5"/>
      <c r="T24" s="5"/>
      <c r="U24" s="5"/>
      <c r="V24" s="5"/>
      <c r="W24" s="5"/>
      <c r="X24" s="5"/>
      <c r="Y24" s="5"/>
      <c r="Z24" s="5"/>
    </row>
    <row r="25" ht="15.75" customHeight="1">
      <c r="A25" s="46" t="str">
        <f>archetype_prototypes!A25</f>
        <v>2</v>
      </c>
      <c r="B25" s="14" t="str">
        <f>archetype_prototypes!B25</f>
        <v>Spark Seeker</v>
      </c>
      <c r="C25" s="14" t="str">
        <f>archetype_prototypes!C25</f>
        <v>DIM_PLANNED</v>
      </c>
      <c r="D25" s="47">
        <f>archetype_prototypes!E25</f>
        <v>0.17</v>
      </c>
      <c r="E25" s="47">
        <f t="shared" si="1"/>
        <v>0.17</v>
      </c>
      <c r="F25" s="47">
        <f t="shared" si="2"/>
        <v>0.6411</v>
      </c>
      <c r="G25" s="47">
        <f t="shared" si="3"/>
        <v>1</v>
      </c>
      <c r="H25" s="48">
        <f t="array" ref="H25">INDEX(dimensions!$E$2:$E$22,MATCH(C25,dimensions!$A$2:$A$22,0))</f>
        <v>1.3</v>
      </c>
      <c r="I25" s="47">
        <f t="shared" si="4"/>
        <v>0.221</v>
      </c>
      <c r="J25" s="47">
        <f t="shared" si="5"/>
        <v>0.83343</v>
      </c>
      <c r="K25" s="47">
        <f t="shared" si="6"/>
        <v>1.3</v>
      </c>
      <c r="L25" s="5"/>
      <c r="M25" s="5"/>
      <c r="N25" s="5"/>
      <c r="O25" s="5"/>
      <c r="P25" s="5"/>
      <c r="Q25" s="5"/>
      <c r="R25" s="5"/>
      <c r="S25" s="5"/>
      <c r="T25" s="5"/>
      <c r="U25" s="5"/>
      <c r="V25" s="5"/>
      <c r="W25" s="5"/>
      <c r="X25" s="5"/>
      <c r="Y25" s="5"/>
      <c r="Z25" s="5"/>
    </row>
    <row r="26" ht="15.75" customHeight="1">
      <c r="A26" s="46" t="str">
        <f>archetype_prototypes!A26</f>
        <v>2</v>
      </c>
      <c r="B26" s="14" t="str">
        <f>archetype_prototypes!B26</f>
        <v>Spark Seeker</v>
      </c>
      <c r="C26" s="14" t="str">
        <f>archetype_prototypes!C26</f>
        <v>DIM_EMO_CONNECTION</v>
      </c>
      <c r="D26" s="47">
        <f>archetype_prototypes!E26</f>
        <v>0.37</v>
      </c>
      <c r="E26" s="47">
        <f t="shared" si="1"/>
        <v>0.37</v>
      </c>
      <c r="F26" s="47">
        <f t="shared" si="2"/>
        <v>0.7331</v>
      </c>
      <c r="G26" s="47">
        <f t="shared" si="3"/>
        <v>1</v>
      </c>
      <c r="H26" s="48">
        <f t="array" ref="H26">INDEX(dimensions!$E$2:$E$22,MATCH(C26,dimensions!$A$2:$A$22,0))</f>
        <v>1.4</v>
      </c>
      <c r="I26" s="47">
        <f t="shared" si="4"/>
        <v>0.518</v>
      </c>
      <c r="J26" s="47">
        <f t="shared" si="5"/>
        <v>1.02634</v>
      </c>
      <c r="K26" s="47">
        <f t="shared" si="6"/>
        <v>1.4</v>
      </c>
      <c r="L26" s="5"/>
      <c r="M26" s="5"/>
      <c r="N26" s="5"/>
      <c r="O26" s="5"/>
      <c r="P26" s="5"/>
      <c r="Q26" s="5"/>
      <c r="R26" s="5"/>
      <c r="S26" s="5"/>
      <c r="T26" s="5"/>
      <c r="U26" s="5"/>
      <c r="V26" s="5"/>
      <c r="W26" s="5"/>
      <c r="X26" s="5"/>
      <c r="Y26" s="5"/>
      <c r="Z26" s="5"/>
    </row>
    <row r="27" ht="15.75" customHeight="1">
      <c r="A27" s="46" t="str">
        <f>archetype_prototypes!A27</f>
        <v>2</v>
      </c>
      <c r="B27" s="14" t="str">
        <f>archetype_prototypes!B27</f>
        <v>Spark Seeker</v>
      </c>
      <c r="C27" s="14" t="str">
        <f>archetype_prototypes!C27</f>
        <v>DIM_INTENSITY</v>
      </c>
      <c r="D27" s="47">
        <f>archetype_prototypes!E27</f>
        <v>0.84</v>
      </c>
      <c r="E27" s="47">
        <f t="shared" si="1"/>
        <v>0.16</v>
      </c>
      <c r="F27" s="47">
        <f t="shared" si="2"/>
        <v>0.6344</v>
      </c>
      <c r="G27" s="47">
        <f t="shared" si="3"/>
        <v>1</v>
      </c>
      <c r="H27" s="48">
        <f t="array" ref="H27">INDEX(dimensions!$E$2:$E$22,MATCH(C27,dimensions!$A$2:$A$22,0))</f>
        <v>1.4</v>
      </c>
      <c r="I27" s="47">
        <f t="shared" si="4"/>
        <v>0.224</v>
      </c>
      <c r="J27" s="47">
        <f t="shared" si="5"/>
        <v>0.88816</v>
      </c>
      <c r="K27" s="47">
        <f t="shared" si="6"/>
        <v>1.4</v>
      </c>
      <c r="L27" s="5"/>
      <c r="M27" s="5"/>
      <c r="N27" s="5"/>
      <c r="O27" s="5"/>
      <c r="P27" s="5"/>
      <c r="Q27" s="5"/>
      <c r="R27" s="5"/>
      <c r="S27" s="5"/>
      <c r="T27" s="5"/>
      <c r="U27" s="5"/>
      <c r="V27" s="5"/>
      <c r="W27" s="5"/>
      <c r="X27" s="5"/>
      <c r="Y27" s="5"/>
      <c r="Z27" s="5"/>
    </row>
    <row r="28" ht="15.75" customHeight="1">
      <c r="A28" s="46" t="str">
        <f>archetype_prototypes!A28</f>
        <v>2</v>
      </c>
      <c r="B28" s="14" t="str">
        <f>archetype_prototypes!B28</f>
        <v>Spark Seeker</v>
      </c>
      <c r="C28" s="14" t="str">
        <f>archetype_prototypes!C28</f>
        <v>DIM_PURSUIT</v>
      </c>
      <c r="D28" s="47">
        <f>archetype_prototypes!E28</f>
        <v>0.79</v>
      </c>
      <c r="E28" s="47">
        <f t="shared" si="1"/>
        <v>0.21</v>
      </c>
      <c r="F28" s="47">
        <f t="shared" si="2"/>
        <v>0.6659</v>
      </c>
      <c r="G28" s="47">
        <f t="shared" si="3"/>
        <v>1</v>
      </c>
      <c r="H28" s="48">
        <f t="array" ref="H28">INDEX(dimensions!$E$2:$E$22,MATCH(C28,dimensions!$A$2:$A$22,0))</f>
        <v>1.4</v>
      </c>
      <c r="I28" s="47">
        <f t="shared" si="4"/>
        <v>0.294</v>
      </c>
      <c r="J28" s="47">
        <f t="shared" si="5"/>
        <v>0.93226</v>
      </c>
      <c r="K28" s="47">
        <f t="shared" si="6"/>
        <v>1.4</v>
      </c>
      <c r="L28" s="5"/>
      <c r="M28" s="5"/>
      <c r="N28" s="5"/>
      <c r="O28" s="5"/>
      <c r="P28" s="5"/>
      <c r="Q28" s="5"/>
      <c r="R28" s="5"/>
      <c r="S28" s="5"/>
      <c r="T28" s="5"/>
      <c r="U28" s="5"/>
      <c r="V28" s="5"/>
      <c r="W28" s="5"/>
      <c r="X28" s="5"/>
      <c r="Y28" s="5"/>
      <c r="Z28" s="5"/>
    </row>
    <row r="29" ht="15.75" customHeight="1">
      <c r="A29" s="46" t="str">
        <f>archetype_prototypes!A29</f>
        <v>2</v>
      </c>
      <c r="B29" s="14" t="str">
        <f>archetype_prototypes!B29</f>
        <v>Spark Seeker</v>
      </c>
      <c r="C29" s="14" t="str">
        <f>archetype_prototypes!C29</f>
        <v>DIM_EDGE_NEED</v>
      </c>
      <c r="D29" s="47">
        <f>archetype_prototypes!E29</f>
        <v>0.6</v>
      </c>
      <c r="E29" s="47">
        <f t="shared" si="1"/>
        <v>0.4</v>
      </c>
      <c r="F29" s="47">
        <f t="shared" si="2"/>
        <v>0.74</v>
      </c>
      <c r="G29" s="47">
        <f t="shared" si="3"/>
        <v>1</v>
      </c>
      <c r="H29" s="48">
        <f t="array" ref="H29">INDEX(dimensions!$E$2:$E$22,MATCH(C29,dimensions!$A$2:$A$22,0))</f>
        <v>1.8</v>
      </c>
      <c r="I29" s="47">
        <f t="shared" si="4"/>
        <v>0.72</v>
      </c>
      <c r="J29" s="47">
        <f t="shared" si="5"/>
        <v>1.332</v>
      </c>
      <c r="K29" s="47">
        <f t="shared" si="6"/>
        <v>1.8</v>
      </c>
      <c r="L29" s="5"/>
      <c r="M29" s="5"/>
      <c r="N29" s="5"/>
      <c r="O29" s="5"/>
      <c r="P29" s="5"/>
      <c r="Q29" s="5"/>
      <c r="R29" s="5"/>
      <c r="S29" s="5"/>
      <c r="T29" s="5"/>
      <c r="U29" s="5"/>
      <c r="V29" s="5"/>
      <c r="W29" s="5"/>
      <c r="X29" s="5"/>
      <c r="Y29" s="5"/>
      <c r="Z29" s="5"/>
    </row>
    <row r="30" ht="15.75" customHeight="1">
      <c r="A30" s="46" t="str">
        <f>archetype_prototypes!A30</f>
        <v>2</v>
      </c>
      <c r="B30" s="14" t="str">
        <f>archetype_prototypes!B30</f>
        <v>Spark Seeker</v>
      </c>
      <c r="C30" s="14" t="str">
        <f>archetype_prototypes!C30</f>
        <v>DIM_SACRED</v>
      </c>
      <c r="D30" s="47">
        <f>archetype_prototypes!E30</f>
        <v>0.1</v>
      </c>
      <c r="E30" s="47">
        <f t="shared" si="1"/>
        <v>0.1</v>
      </c>
      <c r="F30" s="47">
        <f t="shared" si="2"/>
        <v>0.59</v>
      </c>
      <c r="G30" s="47">
        <f t="shared" si="3"/>
        <v>1</v>
      </c>
      <c r="H30" s="48">
        <f t="array" ref="H30">INDEX(dimensions!$E$2:$E$22,MATCH(C30,dimensions!$A$2:$A$22,0))</f>
        <v>2</v>
      </c>
      <c r="I30" s="47">
        <f t="shared" si="4"/>
        <v>0.2</v>
      </c>
      <c r="J30" s="47">
        <f t="shared" si="5"/>
        <v>1.18</v>
      </c>
      <c r="K30" s="47">
        <f t="shared" si="6"/>
        <v>2</v>
      </c>
      <c r="L30" s="5"/>
      <c r="M30" s="5"/>
      <c r="N30" s="5"/>
      <c r="O30" s="5"/>
      <c r="P30" s="5"/>
      <c r="Q30" s="5"/>
      <c r="R30" s="5"/>
      <c r="S30" s="5"/>
      <c r="T30" s="5"/>
      <c r="U30" s="5"/>
      <c r="V30" s="5"/>
      <c r="W30" s="5"/>
      <c r="X30" s="5"/>
      <c r="Y30" s="5"/>
      <c r="Z30" s="5"/>
    </row>
    <row r="31" ht="15.75" customHeight="1">
      <c r="A31" s="46" t="str">
        <f>archetype_prototypes!A31</f>
        <v>2</v>
      </c>
      <c r="B31" s="14" t="str">
        <f>archetype_prototypes!B31</f>
        <v>Spark Seeker</v>
      </c>
      <c r="C31" s="14" t="str">
        <f>archetype_prototypes!C31</f>
        <v>DIM_RISK_PREF</v>
      </c>
      <c r="D31" s="47">
        <f>archetype_prototypes!E31</f>
        <v>0.69</v>
      </c>
      <c r="E31" s="47">
        <f t="shared" si="1"/>
        <v>0.31</v>
      </c>
      <c r="F31" s="47">
        <f t="shared" si="2"/>
        <v>0.7139</v>
      </c>
      <c r="G31" s="47">
        <f t="shared" si="3"/>
        <v>1</v>
      </c>
      <c r="H31" s="48">
        <f t="array" ref="H31">INDEX(dimensions!$E$2:$E$22,MATCH(C31,dimensions!$A$2:$A$22,0))</f>
        <v>1.6</v>
      </c>
      <c r="I31" s="47">
        <f t="shared" si="4"/>
        <v>0.496</v>
      </c>
      <c r="J31" s="47">
        <f t="shared" si="5"/>
        <v>1.14224</v>
      </c>
      <c r="K31" s="47">
        <f t="shared" si="6"/>
        <v>1.6</v>
      </c>
      <c r="L31" s="5"/>
      <c r="M31" s="5"/>
      <c r="N31" s="5"/>
      <c r="O31" s="5"/>
      <c r="P31" s="5"/>
      <c r="Q31" s="5"/>
      <c r="R31" s="5"/>
      <c r="S31" s="5"/>
      <c r="T31" s="5"/>
      <c r="U31" s="5"/>
      <c r="V31" s="5"/>
      <c r="W31" s="5"/>
      <c r="X31" s="5"/>
      <c r="Y31" s="5"/>
      <c r="Z31" s="5"/>
    </row>
    <row r="32" ht="15.75" customHeight="1">
      <c r="A32" s="46" t="str">
        <f>archetype_prototypes!A32</f>
        <v>2</v>
      </c>
      <c r="B32" s="14" t="str">
        <f>archetype_prototypes!B32</f>
        <v>Spark Seeker</v>
      </c>
      <c r="C32" s="14" t="str">
        <f>archetype_prototypes!C32</f>
        <v>DIM_FEEDBACK_DEP</v>
      </c>
      <c r="D32" s="47">
        <f>archetype_prototypes!E32</f>
        <v>0.48</v>
      </c>
      <c r="E32" s="47">
        <f t="shared" si="1"/>
        <v>0.48</v>
      </c>
      <c r="F32" s="47">
        <f t="shared" si="2"/>
        <v>0.7496</v>
      </c>
      <c r="G32" s="47">
        <f t="shared" si="3"/>
        <v>1</v>
      </c>
      <c r="H32" s="48">
        <f t="array" ref="H32">INDEX(dimensions!$E$2:$E$22,MATCH(C32,dimensions!$A$2:$A$22,0))</f>
        <v>2</v>
      </c>
      <c r="I32" s="47">
        <f t="shared" si="4"/>
        <v>0.96</v>
      </c>
      <c r="J32" s="47">
        <f t="shared" si="5"/>
        <v>1.4992</v>
      </c>
      <c r="K32" s="47">
        <f t="shared" si="6"/>
        <v>2</v>
      </c>
      <c r="L32" s="5"/>
      <c r="M32" s="5"/>
      <c r="N32" s="5"/>
      <c r="O32" s="5"/>
      <c r="P32" s="5"/>
      <c r="Q32" s="5"/>
      <c r="R32" s="5"/>
      <c r="S32" s="5"/>
      <c r="T32" s="5"/>
      <c r="U32" s="5"/>
      <c r="V32" s="5"/>
      <c r="W32" s="5"/>
      <c r="X32" s="5"/>
      <c r="Y32" s="5"/>
      <c r="Z32" s="5"/>
    </row>
    <row r="33" ht="15.75" customHeight="1">
      <c r="A33" s="46" t="str">
        <f>archetype_prototypes!A33</f>
        <v>2</v>
      </c>
      <c r="B33" s="14" t="str">
        <f>archetype_prototypes!B33</f>
        <v>Spark Seeker</v>
      </c>
      <c r="C33" s="14" t="str">
        <f>archetype_prototypes!C33</f>
        <v>DIM_TURNON_EXPRESS</v>
      </c>
      <c r="D33" s="47">
        <f>archetype_prototypes!E33</f>
        <v>0.75</v>
      </c>
      <c r="E33" s="47">
        <f t="shared" si="1"/>
        <v>0.25</v>
      </c>
      <c r="F33" s="47">
        <f t="shared" si="2"/>
        <v>0.6875</v>
      </c>
      <c r="G33" s="47">
        <f t="shared" si="3"/>
        <v>1</v>
      </c>
      <c r="H33" s="48">
        <f t="array" ref="H33">INDEX(dimensions!$E$2:$E$22,MATCH(C33,dimensions!$A$2:$A$22,0))</f>
        <v>1.3</v>
      </c>
      <c r="I33" s="47">
        <f t="shared" si="4"/>
        <v>0.325</v>
      </c>
      <c r="J33" s="47">
        <f t="shared" si="5"/>
        <v>0.89375</v>
      </c>
      <c r="K33" s="47">
        <f t="shared" si="6"/>
        <v>1.3</v>
      </c>
      <c r="L33" s="5"/>
      <c r="M33" s="5"/>
      <c r="N33" s="5"/>
      <c r="O33" s="5"/>
      <c r="P33" s="5"/>
      <c r="Q33" s="5"/>
      <c r="R33" s="5"/>
      <c r="S33" s="5"/>
      <c r="T33" s="5"/>
      <c r="U33" s="5"/>
      <c r="V33" s="5"/>
      <c r="W33" s="5"/>
      <c r="X33" s="5"/>
      <c r="Y33" s="5"/>
      <c r="Z33" s="5"/>
    </row>
    <row r="34" ht="15.75" customHeight="1">
      <c r="A34" s="46" t="str">
        <f>archetype_prototypes!A34</f>
        <v>2</v>
      </c>
      <c r="B34" s="14" t="str">
        <f>archetype_prototypes!B34</f>
        <v>Spark Seeker</v>
      </c>
      <c r="C34" s="14" t="str">
        <f>archetype_prototypes!C34</f>
        <v>DIM_BOUNDARY_EXPRESS</v>
      </c>
      <c r="D34" s="47">
        <f>archetype_prototypes!E34</f>
        <v>0.61</v>
      </c>
      <c r="E34" s="47">
        <f t="shared" si="1"/>
        <v>0.39</v>
      </c>
      <c r="F34" s="47">
        <f t="shared" si="2"/>
        <v>0.7379</v>
      </c>
      <c r="G34" s="47">
        <f t="shared" si="3"/>
        <v>1</v>
      </c>
      <c r="H34" s="48">
        <f t="array" ref="H34">INDEX(dimensions!$E$2:$E$22,MATCH(C34,dimensions!$A$2:$A$22,0))</f>
        <v>1.3</v>
      </c>
      <c r="I34" s="47">
        <f t="shared" si="4"/>
        <v>0.507</v>
      </c>
      <c r="J34" s="47">
        <f t="shared" si="5"/>
        <v>0.95927</v>
      </c>
      <c r="K34" s="47">
        <f t="shared" si="6"/>
        <v>1.3</v>
      </c>
      <c r="L34" s="5"/>
      <c r="M34" s="5"/>
      <c r="N34" s="5"/>
      <c r="O34" s="5"/>
      <c r="P34" s="5"/>
      <c r="Q34" s="5"/>
      <c r="R34" s="5"/>
      <c r="S34" s="5"/>
      <c r="T34" s="5"/>
      <c r="U34" s="5"/>
      <c r="V34" s="5"/>
      <c r="W34" s="5"/>
      <c r="X34" s="5"/>
      <c r="Y34" s="5"/>
      <c r="Z34" s="5"/>
    </row>
    <row r="35" ht="15.75" customHeight="1">
      <c r="A35" s="46" t="str">
        <f>archetype_prototypes!A35</f>
        <v>2</v>
      </c>
      <c r="B35" s="14" t="str">
        <f>archetype_prototypes!B35</f>
        <v>Spark Seeker</v>
      </c>
      <c r="C35" s="14" t="str">
        <f>archetype_prototypes!C35</f>
        <v>DIM_PROTOCOL</v>
      </c>
      <c r="D35" s="47">
        <f>archetype_prototypes!E35</f>
        <v>0.23</v>
      </c>
      <c r="E35" s="47">
        <f t="shared" si="1"/>
        <v>0.23</v>
      </c>
      <c r="F35" s="47">
        <f t="shared" si="2"/>
        <v>0.6771</v>
      </c>
      <c r="G35" s="47">
        <f t="shared" si="3"/>
        <v>1</v>
      </c>
      <c r="H35" s="48">
        <f t="array" ref="H35">INDEX(dimensions!$E$2:$E$22,MATCH(C35,dimensions!$A$2:$A$22,0))</f>
        <v>1.6</v>
      </c>
      <c r="I35" s="47">
        <f t="shared" si="4"/>
        <v>0.368</v>
      </c>
      <c r="J35" s="47">
        <f t="shared" si="5"/>
        <v>1.08336</v>
      </c>
      <c r="K35" s="47">
        <f t="shared" si="6"/>
        <v>1.6</v>
      </c>
      <c r="L35" s="5"/>
      <c r="M35" s="5"/>
      <c r="N35" s="5"/>
      <c r="O35" s="5"/>
      <c r="P35" s="5"/>
      <c r="Q35" s="5"/>
      <c r="R35" s="5"/>
      <c r="S35" s="5"/>
      <c r="T35" s="5"/>
      <c r="U35" s="5"/>
      <c r="V35" s="5"/>
      <c r="W35" s="5"/>
      <c r="X35" s="5"/>
      <c r="Y35" s="5"/>
      <c r="Z35" s="5"/>
    </row>
    <row r="36" ht="15.75" customHeight="1">
      <c r="A36" s="46" t="str">
        <f>archetype_prototypes!A36</f>
        <v>2</v>
      </c>
      <c r="B36" s="14" t="str">
        <f>archetype_prototypes!B36</f>
        <v>Spark Seeker</v>
      </c>
      <c r="C36" s="14" t="str">
        <f>archetype_prototypes!C36</f>
        <v>DIM_SOOTHING</v>
      </c>
      <c r="D36" s="47">
        <f>archetype_prototypes!E36</f>
        <v>0.15</v>
      </c>
      <c r="E36" s="47">
        <f t="shared" si="1"/>
        <v>0.15</v>
      </c>
      <c r="F36" s="47">
        <f t="shared" si="2"/>
        <v>0.6275</v>
      </c>
      <c r="G36" s="47">
        <f t="shared" si="3"/>
        <v>1</v>
      </c>
      <c r="H36" s="48">
        <f t="array" ref="H36">INDEX(dimensions!$E$2:$E$22,MATCH(C36,dimensions!$A$2:$A$22,0))</f>
        <v>1.9</v>
      </c>
      <c r="I36" s="47">
        <f t="shared" si="4"/>
        <v>0.285</v>
      </c>
      <c r="J36" s="47">
        <f t="shared" si="5"/>
        <v>1.19225</v>
      </c>
      <c r="K36" s="47">
        <f t="shared" si="6"/>
        <v>1.9</v>
      </c>
      <c r="L36" s="5"/>
      <c r="M36" s="5"/>
      <c r="N36" s="5"/>
      <c r="O36" s="5"/>
      <c r="P36" s="5"/>
      <c r="Q36" s="5"/>
      <c r="R36" s="5"/>
      <c r="S36" s="5"/>
      <c r="T36" s="5"/>
      <c r="U36" s="5"/>
      <c r="V36" s="5"/>
      <c r="W36" s="5"/>
      <c r="X36" s="5"/>
      <c r="Y36" s="5"/>
      <c r="Z36" s="5"/>
    </row>
    <row r="37" ht="15.75" customHeight="1">
      <c r="A37" s="46" t="str">
        <f>archetype_prototypes!A37</f>
        <v>2</v>
      </c>
      <c r="B37" s="14" t="str">
        <f>archetype_prototypes!B37</f>
        <v>Spark Seeker</v>
      </c>
      <c r="C37" s="14" t="str">
        <f>archetype_prototypes!C37</f>
        <v>DIM_SECURE</v>
      </c>
      <c r="D37" s="47">
        <f>archetype_prototypes!E37</f>
        <v>0.55</v>
      </c>
      <c r="E37" s="47">
        <f t="shared" si="1"/>
        <v>0.45</v>
      </c>
      <c r="F37" s="47">
        <f t="shared" si="2"/>
        <v>0.7475</v>
      </c>
      <c r="G37" s="47">
        <f t="shared" si="3"/>
        <v>1</v>
      </c>
      <c r="H37" s="48">
        <f t="array" ref="H37">INDEX(dimensions!$E$2:$E$22,MATCH(C37,dimensions!$A$2:$A$22,0))</f>
        <v>1</v>
      </c>
      <c r="I37" s="47">
        <f t="shared" si="4"/>
        <v>0.45</v>
      </c>
      <c r="J37" s="47">
        <f t="shared" si="5"/>
        <v>0.7475</v>
      </c>
      <c r="K37" s="47">
        <f t="shared" si="6"/>
        <v>1</v>
      </c>
      <c r="L37" s="5"/>
      <c r="M37" s="5"/>
      <c r="N37" s="5"/>
      <c r="O37" s="5"/>
      <c r="P37" s="5"/>
      <c r="Q37" s="5"/>
      <c r="R37" s="5"/>
      <c r="S37" s="5"/>
      <c r="T37" s="5"/>
      <c r="U37" s="5"/>
      <c r="V37" s="5"/>
      <c r="W37" s="5"/>
      <c r="X37" s="5"/>
      <c r="Y37" s="5"/>
      <c r="Z37" s="5"/>
    </row>
    <row r="38" ht="15.75" customHeight="1">
      <c r="A38" s="46" t="str">
        <f>archetype_prototypes!A38</f>
        <v>2</v>
      </c>
      <c r="B38" s="14" t="str">
        <f>archetype_prototypes!B38</f>
        <v>Spark Seeker</v>
      </c>
      <c r="C38" s="14" t="str">
        <f>archetype_prototypes!C38</f>
        <v>DIM_REPAIR_EROTICISM</v>
      </c>
      <c r="D38" s="47">
        <f>archetype_prototypes!E38</f>
        <v>0.23</v>
      </c>
      <c r="E38" s="47">
        <f t="shared" si="1"/>
        <v>0.23</v>
      </c>
      <c r="F38" s="47">
        <f t="shared" si="2"/>
        <v>0.6771</v>
      </c>
      <c r="G38" s="47">
        <f t="shared" si="3"/>
        <v>1</v>
      </c>
      <c r="H38" s="48">
        <f t="array" ref="H38">INDEX(dimensions!$E$2:$E$22,MATCH(C38,dimensions!$A$2:$A$22,0))</f>
        <v>1.6</v>
      </c>
      <c r="I38" s="47">
        <f t="shared" si="4"/>
        <v>0.368</v>
      </c>
      <c r="J38" s="47">
        <f t="shared" si="5"/>
        <v>1.08336</v>
      </c>
      <c r="K38" s="47">
        <f t="shared" si="6"/>
        <v>1.6</v>
      </c>
      <c r="L38" s="5"/>
      <c r="M38" s="5"/>
      <c r="N38" s="5"/>
      <c r="O38" s="5"/>
      <c r="P38" s="5"/>
      <c r="Q38" s="5"/>
      <c r="R38" s="5"/>
      <c r="S38" s="5"/>
      <c r="T38" s="5"/>
      <c r="U38" s="5"/>
      <c r="V38" s="5"/>
      <c r="W38" s="5"/>
      <c r="X38" s="5"/>
      <c r="Y38" s="5"/>
      <c r="Z38" s="5"/>
    </row>
    <row r="39" ht="15.75" customHeight="1">
      <c r="A39" s="46" t="str">
        <f>archetype_prototypes!A39</f>
        <v>2</v>
      </c>
      <c r="B39" s="14" t="str">
        <f>archetype_prototypes!B39</f>
        <v>Spark Seeker</v>
      </c>
      <c r="C39" s="14" t="str">
        <f>archetype_prototypes!C39</f>
        <v>DIM_PRESSURE_SHUTDOWN</v>
      </c>
      <c r="D39" s="47">
        <f>archetype_prototypes!E39</f>
        <v>0.2</v>
      </c>
      <c r="E39" s="47">
        <f t="shared" si="1"/>
        <v>0.2</v>
      </c>
      <c r="F39" s="47">
        <f t="shared" si="2"/>
        <v>0.66</v>
      </c>
      <c r="G39" s="47">
        <f t="shared" si="3"/>
        <v>1</v>
      </c>
      <c r="H39" s="48">
        <f t="array" ref="H39">INDEX(dimensions!$E$2:$E$22,MATCH(C39,dimensions!$A$2:$A$22,0))</f>
        <v>2</v>
      </c>
      <c r="I39" s="47">
        <f t="shared" si="4"/>
        <v>0.4</v>
      </c>
      <c r="J39" s="47">
        <f t="shared" si="5"/>
        <v>1.32</v>
      </c>
      <c r="K39" s="47">
        <f t="shared" si="6"/>
        <v>2</v>
      </c>
      <c r="L39" s="5"/>
      <c r="M39" s="5"/>
      <c r="N39" s="5"/>
      <c r="O39" s="5"/>
      <c r="P39" s="5"/>
      <c r="Q39" s="5"/>
      <c r="R39" s="5"/>
      <c r="S39" s="5"/>
      <c r="T39" s="5"/>
      <c r="U39" s="5"/>
      <c r="V39" s="5"/>
      <c r="W39" s="5"/>
      <c r="X39" s="5"/>
      <c r="Y39" s="5"/>
      <c r="Z39" s="5"/>
    </row>
    <row r="40" ht="15.75" customHeight="1">
      <c r="A40" s="46" t="str">
        <f>archetype_prototypes!A40</f>
        <v>2</v>
      </c>
      <c r="B40" s="14" t="str">
        <f>archetype_prototypes!B40</f>
        <v>Spark Seeker</v>
      </c>
      <c r="C40" s="14" t="str">
        <f>archetype_prototypes!C40</f>
        <v>DIM_AVOIDANT</v>
      </c>
      <c r="D40" s="47">
        <f>archetype_prototypes!E40</f>
        <v>0.47</v>
      </c>
      <c r="E40" s="47">
        <f t="shared" si="1"/>
        <v>0.47</v>
      </c>
      <c r="F40" s="47">
        <f t="shared" si="2"/>
        <v>0.7491</v>
      </c>
      <c r="G40" s="47">
        <f t="shared" si="3"/>
        <v>1</v>
      </c>
      <c r="H40" s="48">
        <f t="array" ref="H40">INDEX(dimensions!$E$2:$E$22,MATCH(C40,dimensions!$A$2:$A$22,0))</f>
        <v>1.3</v>
      </c>
      <c r="I40" s="47">
        <f t="shared" si="4"/>
        <v>0.611</v>
      </c>
      <c r="J40" s="47">
        <f t="shared" si="5"/>
        <v>0.97383</v>
      </c>
      <c r="K40" s="47">
        <f t="shared" si="6"/>
        <v>1.3</v>
      </c>
      <c r="L40" s="5"/>
      <c r="M40" s="5"/>
      <c r="N40" s="5"/>
      <c r="O40" s="5"/>
      <c r="P40" s="5"/>
      <c r="Q40" s="5"/>
      <c r="R40" s="5"/>
      <c r="S40" s="5"/>
      <c r="T40" s="5"/>
      <c r="U40" s="5"/>
      <c r="V40" s="5"/>
      <c r="W40" s="5"/>
      <c r="X40" s="5"/>
      <c r="Y40" s="5"/>
      <c r="Z40" s="5"/>
    </row>
    <row r="41" ht="15.75" customHeight="1">
      <c r="A41" s="46" t="str">
        <f>archetype_prototypes!A41</f>
        <v>2</v>
      </c>
      <c r="B41" s="14" t="str">
        <f>archetype_prototypes!B41</f>
        <v>Spark Seeker</v>
      </c>
      <c r="C41" s="14" t="str">
        <f>archetype_prototypes!C41</f>
        <v>DIM_STRATEGY</v>
      </c>
      <c r="D41" s="47">
        <f>archetype_prototypes!E41</f>
        <v>0.23</v>
      </c>
      <c r="E41" s="47">
        <f t="shared" si="1"/>
        <v>0.23</v>
      </c>
      <c r="F41" s="47">
        <f t="shared" si="2"/>
        <v>0.6771</v>
      </c>
      <c r="G41" s="47">
        <f t="shared" si="3"/>
        <v>1</v>
      </c>
      <c r="H41" s="48">
        <f t="array" ref="H41">INDEX(dimensions!$E$2:$E$22,MATCH(C41,dimensions!$A$2:$A$22,0))</f>
        <v>1.2</v>
      </c>
      <c r="I41" s="47">
        <f t="shared" si="4"/>
        <v>0.276</v>
      </c>
      <c r="J41" s="47">
        <f t="shared" si="5"/>
        <v>0.81252</v>
      </c>
      <c r="K41" s="47">
        <f t="shared" si="6"/>
        <v>1.2</v>
      </c>
      <c r="L41" s="5"/>
      <c r="M41" s="5"/>
      <c r="N41" s="5"/>
      <c r="O41" s="5"/>
      <c r="P41" s="5"/>
      <c r="Q41" s="5"/>
      <c r="R41" s="5"/>
      <c r="S41" s="5"/>
      <c r="T41" s="5"/>
      <c r="U41" s="5"/>
      <c r="V41" s="5"/>
      <c r="W41" s="5"/>
      <c r="X41" s="5"/>
      <c r="Y41" s="5"/>
      <c r="Z41" s="5"/>
    </row>
    <row r="42" ht="15.75" customHeight="1">
      <c r="A42" s="46" t="str">
        <f>archetype_prototypes!A42</f>
        <v>2</v>
      </c>
      <c r="B42" s="14" t="str">
        <f>archetype_prototypes!B42</f>
        <v>Spark Seeker</v>
      </c>
      <c r="C42" s="14" t="str">
        <f>archetype_prototypes!C42</f>
        <v>DIM_CLOSENESS_ORIENTATION</v>
      </c>
      <c r="D42" s="47">
        <f>archetype_prototypes!E42</f>
        <v>0.35</v>
      </c>
      <c r="E42" s="47">
        <f t="shared" si="1"/>
        <v>0.35</v>
      </c>
      <c r="F42" s="47">
        <f t="shared" si="2"/>
        <v>0.7275</v>
      </c>
      <c r="G42" s="47">
        <f t="shared" si="3"/>
        <v>1</v>
      </c>
      <c r="H42" s="48">
        <f t="array" ref="H42">INDEX(dimensions!$E$2:$E$22,MATCH(C42,dimensions!$A$2:$A$22,0))</f>
        <v>1</v>
      </c>
      <c r="I42" s="47">
        <f t="shared" si="4"/>
        <v>0.35</v>
      </c>
      <c r="J42" s="47">
        <f t="shared" si="5"/>
        <v>0.7275</v>
      </c>
      <c r="K42" s="47">
        <f t="shared" si="6"/>
        <v>1</v>
      </c>
      <c r="L42" s="5"/>
      <c r="M42" s="5"/>
      <c r="N42" s="5"/>
      <c r="O42" s="5"/>
      <c r="P42" s="5"/>
      <c r="Q42" s="5"/>
      <c r="R42" s="5"/>
      <c r="S42" s="5"/>
      <c r="T42" s="5"/>
      <c r="U42" s="5"/>
      <c r="V42" s="5"/>
      <c r="W42" s="5"/>
      <c r="X42" s="5"/>
      <c r="Y42" s="5"/>
      <c r="Z42" s="5"/>
    </row>
    <row r="43" ht="15.75" customHeight="1">
      <c r="A43" s="46" t="str">
        <f>archetype_prototypes!A43</f>
        <v>2</v>
      </c>
      <c r="B43" s="14" t="str">
        <f>archetype_prototypes!B43</f>
        <v>Spark Seeker</v>
      </c>
      <c r="C43" s="14" t="str">
        <f>archetype_prototypes!C43</f>
        <v>DIM_PARTNER_FOCUS</v>
      </c>
      <c r="D43" s="47">
        <f>archetype_prototypes!E43</f>
        <v>0.3</v>
      </c>
      <c r="E43" s="47">
        <f t="shared" si="1"/>
        <v>0.3</v>
      </c>
      <c r="F43" s="47">
        <f t="shared" si="2"/>
        <v>0.71</v>
      </c>
      <c r="G43" s="47">
        <f t="shared" si="3"/>
        <v>1</v>
      </c>
      <c r="H43" s="48">
        <f t="array" ref="H43">INDEX(dimensions!$E$2:$E$22,MATCH(C43,dimensions!$A$2:$A$22,0))</f>
        <v>1.2</v>
      </c>
      <c r="I43" s="47">
        <f t="shared" si="4"/>
        <v>0.36</v>
      </c>
      <c r="J43" s="47">
        <f t="shared" si="5"/>
        <v>0.852</v>
      </c>
      <c r="K43" s="47">
        <f t="shared" si="6"/>
        <v>1.2</v>
      </c>
      <c r="L43" s="5"/>
      <c r="M43" s="5"/>
      <c r="N43" s="5"/>
      <c r="O43" s="5"/>
      <c r="P43" s="5"/>
      <c r="Q43" s="5"/>
      <c r="R43" s="5"/>
      <c r="S43" s="5"/>
      <c r="T43" s="5"/>
      <c r="U43" s="5"/>
      <c r="V43" s="5"/>
      <c r="W43" s="5"/>
      <c r="X43" s="5"/>
      <c r="Y43" s="5"/>
      <c r="Z43" s="5"/>
    </row>
    <row r="44" ht="15.75" customHeight="1">
      <c r="A44" s="46" t="str">
        <f>archetype_prototypes!A44</f>
        <v>3</v>
      </c>
      <c r="B44" s="14" t="str">
        <f>archetype_prototypes!B44</f>
        <v>Relational Nurturer</v>
      </c>
      <c r="C44" s="14" t="str">
        <f>archetype_prototypes!C44</f>
        <v>DIM_NOVELTY</v>
      </c>
      <c r="D44" s="47">
        <f>archetype_prototypes!E44</f>
        <v>0.27</v>
      </c>
      <c r="E44" s="47">
        <f t="shared" si="1"/>
        <v>0.27</v>
      </c>
      <c r="F44" s="47">
        <f t="shared" si="2"/>
        <v>0.6971</v>
      </c>
      <c r="G44" s="47">
        <f t="shared" si="3"/>
        <v>1</v>
      </c>
      <c r="H44" s="48">
        <f t="array" ref="H44">INDEX(dimensions!$E$2:$E$22,MATCH(C44,dimensions!$A$2:$A$22,0))</f>
        <v>1.4</v>
      </c>
      <c r="I44" s="47">
        <f t="shared" si="4"/>
        <v>0.378</v>
      </c>
      <c r="J44" s="47">
        <f t="shared" si="5"/>
        <v>0.97594</v>
      </c>
      <c r="K44" s="47">
        <f t="shared" si="6"/>
        <v>1.4</v>
      </c>
      <c r="L44" s="5"/>
      <c r="M44" s="5"/>
      <c r="N44" s="5"/>
      <c r="O44" s="5"/>
      <c r="P44" s="5"/>
      <c r="Q44" s="5"/>
      <c r="R44" s="5"/>
      <c r="S44" s="5"/>
      <c r="T44" s="5"/>
      <c r="U44" s="5"/>
      <c r="V44" s="5"/>
      <c r="W44" s="5"/>
      <c r="X44" s="5"/>
      <c r="Y44" s="5"/>
      <c r="Z44" s="5"/>
    </row>
    <row r="45" ht="15.75" customHeight="1">
      <c r="A45" s="46" t="str">
        <f>archetype_prototypes!A45</f>
        <v>3</v>
      </c>
      <c r="B45" s="14" t="str">
        <f>archetype_prototypes!B45</f>
        <v>Relational Nurturer</v>
      </c>
      <c r="C45" s="14" t="str">
        <f>archetype_prototypes!C45</f>
        <v>DIM_RESPONSIVE</v>
      </c>
      <c r="D45" s="47">
        <f>archetype_prototypes!E45</f>
        <v>0.8</v>
      </c>
      <c r="E45" s="47">
        <f t="shared" si="1"/>
        <v>0.2</v>
      </c>
      <c r="F45" s="47">
        <f t="shared" si="2"/>
        <v>0.66</v>
      </c>
      <c r="G45" s="47">
        <f t="shared" si="3"/>
        <v>1</v>
      </c>
      <c r="H45" s="48">
        <f t="array" ref="H45">INDEX(dimensions!$E$2:$E$22,MATCH(C45,dimensions!$A$2:$A$22,0))</f>
        <v>1.6</v>
      </c>
      <c r="I45" s="47">
        <f t="shared" si="4"/>
        <v>0.32</v>
      </c>
      <c r="J45" s="47">
        <f t="shared" si="5"/>
        <v>1.056</v>
      </c>
      <c r="K45" s="47">
        <f t="shared" si="6"/>
        <v>1.6</v>
      </c>
      <c r="L45" s="5"/>
      <c r="M45" s="5"/>
      <c r="N45" s="5"/>
      <c r="O45" s="5"/>
      <c r="P45" s="5"/>
      <c r="Q45" s="5"/>
      <c r="R45" s="5"/>
      <c r="S45" s="5"/>
      <c r="T45" s="5"/>
      <c r="U45" s="5"/>
      <c r="V45" s="5"/>
      <c r="W45" s="5"/>
      <c r="X45" s="5"/>
      <c r="Y45" s="5"/>
      <c r="Z45" s="5"/>
    </row>
    <row r="46" ht="15.75" customHeight="1">
      <c r="A46" s="46" t="str">
        <f>archetype_prototypes!A46</f>
        <v>3</v>
      </c>
      <c r="B46" s="14" t="str">
        <f>archetype_prototypes!B46</f>
        <v>Relational Nurturer</v>
      </c>
      <c r="C46" s="14" t="str">
        <f>archetype_prototypes!C46</f>
        <v>DIM_PLANNED</v>
      </c>
      <c r="D46" s="47">
        <f>archetype_prototypes!E46</f>
        <v>0.42</v>
      </c>
      <c r="E46" s="47">
        <f t="shared" si="1"/>
        <v>0.42</v>
      </c>
      <c r="F46" s="47">
        <f t="shared" si="2"/>
        <v>0.7436</v>
      </c>
      <c r="G46" s="47">
        <f t="shared" si="3"/>
        <v>1</v>
      </c>
      <c r="H46" s="48">
        <f t="array" ref="H46">INDEX(dimensions!$E$2:$E$22,MATCH(C46,dimensions!$A$2:$A$22,0))</f>
        <v>1.3</v>
      </c>
      <c r="I46" s="47">
        <f t="shared" si="4"/>
        <v>0.546</v>
      </c>
      <c r="J46" s="47">
        <f t="shared" si="5"/>
        <v>0.96668</v>
      </c>
      <c r="K46" s="47">
        <f t="shared" si="6"/>
        <v>1.3</v>
      </c>
      <c r="L46" s="5"/>
      <c r="M46" s="5"/>
      <c r="N46" s="5"/>
      <c r="O46" s="5"/>
      <c r="P46" s="5"/>
      <c r="Q46" s="5"/>
      <c r="R46" s="5"/>
      <c r="S46" s="5"/>
      <c r="T46" s="5"/>
      <c r="U46" s="5"/>
      <c r="V46" s="5"/>
      <c r="W46" s="5"/>
      <c r="X46" s="5"/>
      <c r="Y46" s="5"/>
      <c r="Z46" s="5"/>
    </row>
    <row r="47" ht="15.75" customHeight="1">
      <c r="A47" s="46" t="str">
        <f>archetype_prototypes!A47</f>
        <v>3</v>
      </c>
      <c r="B47" s="14" t="str">
        <f>archetype_prototypes!B47</f>
        <v>Relational Nurturer</v>
      </c>
      <c r="C47" s="14" t="str">
        <f>archetype_prototypes!C47</f>
        <v>DIM_EMO_CONNECTION</v>
      </c>
      <c r="D47" s="47">
        <f>archetype_prototypes!E47</f>
        <v>0.81</v>
      </c>
      <c r="E47" s="47">
        <f t="shared" si="1"/>
        <v>0.19</v>
      </c>
      <c r="F47" s="47">
        <f t="shared" si="2"/>
        <v>0.6539</v>
      </c>
      <c r="G47" s="47">
        <f t="shared" si="3"/>
        <v>1</v>
      </c>
      <c r="H47" s="48">
        <f t="array" ref="H47">INDEX(dimensions!$E$2:$E$22,MATCH(C47,dimensions!$A$2:$A$22,0))</f>
        <v>1.4</v>
      </c>
      <c r="I47" s="47">
        <f t="shared" si="4"/>
        <v>0.266</v>
      </c>
      <c r="J47" s="47">
        <f t="shared" si="5"/>
        <v>0.91546</v>
      </c>
      <c r="K47" s="47">
        <f t="shared" si="6"/>
        <v>1.4</v>
      </c>
      <c r="L47" s="5"/>
      <c r="M47" s="5"/>
      <c r="N47" s="5"/>
      <c r="O47" s="5"/>
      <c r="P47" s="5"/>
      <c r="Q47" s="5"/>
      <c r="R47" s="5"/>
      <c r="S47" s="5"/>
      <c r="T47" s="5"/>
      <c r="U47" s="5"/>
      <c r="V47" s="5"/>
      <c r="W47" s="5"/>
      <c r="X47" s="5"/>
      <c r="Y47" s="5"/>
      <c r="Z47" s="5"/>
    </row>
    <row r="48" ht="15.75" customHeight="1">
      <c r="A48" s="46" t="str">
        <f>archetype_prototypes!A48</f>
        <v>3</v>
      </c>
      <c r="B48" s="14" t="str">
        <f>archetype_prototypes!B48</f>
        <v>Relational Nurturer</v>
      </c>
      <c r="C48" s="14" t="str">
        <f>archetype_prototypes!C48</f>
        <v>DIM_INTENSITY</v>
      </c>
      <c r="D48" s="47">
        <f>archetype_prototypes!E48</f>
        <v>0.37</v>
      </c>
      <c r="E48" s="47">
        <f t="shared" si="1"/>
        <v>0.37</v>
      </c>
      <c r="F48" s="47">
        <f t="shared" si="2"/>
        <v>0.7331</v>
      </c>
      <c r="G48" s="47">
        <f t="shared" si="3"/>
        <v>1</v>
      </c>
      <c r="H48" s="48">
        <f t="array" ref="H48">INDEX(dimensions!$E$2:$E$22,MATCH(C48,dimensions!$A$2:$A$22,0))</f>
        <v>1.4</v>
      </c>
      <c r="I48" s="47">
        <f t="shared" si="4"/>
        <v>0.518</v>
      </c>
      <c r="J48" s="47">
        <f t="shared" si="5"/>
        <v>1.02634</v>
      </c>
      <c r="K48" s="47">
        <f t="shared" si="6"/>
        <v>1.4</v>
      </c>
      <c r="L48" s="5"/>
      <c r="M48" s="5"/>
      <c r="N48" s="5"/>
      <c r="O48" s="5"/>
      <c r="P48" s="5"/>
      <c r="Q48" s="5"/>
      <c r="R48" s="5"/>
      <c r="S48" s="5"/>
      <c r="T48" s="5"/>
      <c r="U48" s="5"/>
      <c r="V48" s="5"/>
      <c r="W48" s="5"/>
      <c r="X48" s="5"/>
      <c r="Y48" s="5"/>
      <c r="Z48" s="5"/>
    </row>
    <row r="49" ht="15.75" customHeight="1">
      <c r="A49" s="46" t="str">
        <f>archetype_prototypes!A49</f>
        <v>3</v>
      </c>
      <c r="B49" s="14" t="str">
        <f>archetype_prototypes!B49</f>
        <v>Relational Nurturer</v>
      </c>
      <c r="C49" s="14" t="str">
        <f>archetype_prototypes!C49</f>
        <v>DIM_PURSUIT</v>
      </c>
      <c r="D49" s="47">
        <f>archetype_prototypes!E49</f>
        <v>0.22</v>
      </c>
      <c r="E49" s="47">
        <f t="shared" si="1"/>
        <v>0.22</v>
      </c>
      <c r="F49" s="47">
        <f t="shared" si="2"/>
        <v>0.6716</v>
      </c>
      <c r="G49" s="47">
        <f t="shared" si="3"/>
        <v>1</v>
      </c>
      <c r="H49" s="48">
        <f t="array" ref="H49">INDEX(dimensions!$E$2:$E$22,MATCH(C49,dimensions!$A$2:$A$22,0))</f>
        <v>1.4</v>
      </c>
      <c r="I49" s="47">
        <f t="shared" si="4"/>
        <v>0.308</v>
      </c>
      <c r="J49" s="47">
        <f t="shared" si="5"/>
        <v>0.94024</v>
      </c>
      <c r="K49" s="47">
        <f t="shared" si="6"/>
        <v>1.4</v>
      </c>
      <c r="L49" s="5"/>
      <c r="M49" s="5"/>
      <c r="N49" s="5"/>
      <c r="O49" s="5"/>
      <c r="P49" s="5"/>
      <c r="Q49" s="5"/>
      <c r="R49" s="5"/>
      <c r="S49" s="5"/>
      <c r="T49" s="5"/>
      <c r="U49" s="5"/>
      <c r="V49" s="5"/>
      <c r="W49" s="5"/>
      <c r="X49" s="5"/>
      <c r="Y49" s="5"/>
      <c r="Z49" s="5"/>
    </row>
    <row r="50" ht="15.75" customHeight="1">
      <c r="A50" s="46" t="str">
        <f>archetype_prototypes!A50</f>
        <v>3</v>
      </c>
      <c r="B50" s="14" t="str">
        <f>archetype_prototypes!B50</f>
        <v>Relational Nurturer</v>
      </c>
      <c r="C50" s="14" t="str">
        <f>archetype_prototypes!C50</f>
        <v>DIM_EDGE_NEED</v>
      </c>
      <c r="D50" s="47">
        <f>archetype_prototypes!E50</f>
        <v>0.2</v>
      </c>
      <c r="E50" s="47">
        <f t="shared" si="1"/>
        <v>0.2</v>
      </c>
      <c r="F50" s="47">
        <f t="shared" si="2"/>
        <v>0.66</v>
      </c>
      <c r="G50" s="47">
        <f t="shared" si="3"/>
        <v>1</v>
      </c>
      <c r="H50" s="48">
        <f t="array" ref="H50">INDEX(dimensions!$E$2:$E$22,MATCH(C50,dimensions!$A$2:$A$22,0))</f>
        <v>1.8</v>
      </c>
      <c r="I50" s="47">
        <f t="shared" si="4"/>
        <v>0.36</v>
      </c>
      <c r="J50" s="47">
        <f t="shared" si="5"/>
        <v>1.188</v>
      </c>
      <c r="K50" s="47">
        <f t="shared" si="6"/>
        <v>1.8</v>
      </c>
      <c r="L50" s="5"/>
      <c r="M50" s="5"/>
      <c r="N50" s="5"/>
      <c r="O50" s="5"/>
      <c r="P50" s="5"/>
      <c r="Q50" s="5"/>
      <c r="R50" s="5"/>
      <c r="S50" s="5"/>
      <c r="T50" s="5"/>
      <c r="U50" s="5"/>
      <c r="V50" s="5"/>
      <c r="W50" s="5"/>
      <c r="X50" s="5"/>
      <c r="Y50" s="5"/>
      <c r="Z50" s="5"/>
    </row>
    <row r="51" ht="15.75" customHeight="1">
      <c r="A51" s="46" t="str">
        <f>archetype_prototypes!A51</f>
        <v>3</v>
      </c>
      <c r="B51" s="14" t="str">
        <f>archetype_prototypes!B51</f>
        <v>Relational Nurturer</v>
      </c>
      <c r="C51" s="14" t="str">
        <f>archetype_prototypes!C51</f>
        <v>DIM_SACRED</v>
      </c>
      <c r="D51" s="47">
        <f>archetype_prototypes!E51</f>
        <v>0.41</v>
      </c>
      <c r="E51" s="47">
        <f t="shared" si="1"/>
        <v>0.41</v>
      </c>
      <c r="F51" s="47">
        <f t="shared" si="2"/>
        <v>0.7419</v>
      </c>
      <c r="G51" s="47">
        <f t="shared" si="3"/>
        <v>1</v>
      </c>
      <c r="H51" s="48">
        <f t="array" ref="H51">INDEX(dimensions!$E$2:$E$22,MATCH(C51,dimensions!$A$2:$A$22,0))</f>
        <v>2</v>
      </c>
      <c r="I51" s="47">
        <f t="shared" si="4"/>
        <v>0.82</v>
      </c>
      <c r="J51" s="47">
        <f t="shared" si="5"/>
        <v>1.4838</v>
      </c>
      <c r="K51" s="47">
        <f t="shared" si="6"/>
        <v>2</v>
      </c>
      <c r="L51" s="5"/>
      <c r="M51" s="5"/>
      <c r="N51" s="5"/>
      <c r="O51" s="5"/>
      <c r="P51" s="5"/>
      <c r="Q51" s="5"/>
      <c r="R51" s="5"/>
      <c r="S51" s="5"/>
      <c r="T51" s="5"/>
      <c r="U51" s="5"/>
      <c r="V51" s="5"/>
      <c r="W51" s="5"/>
      <c r="X51" s="5"/>
      <c r="Y51" s="5"/>
      <c r="Z51" s="5"/>
    </row>
    <row r="52" ht="15.75" customHeight="1">
      <c r="A52" s="46" t="str">
        <f>archetype_prototypes!A52</f>
        <v>3</v>
      </c>
      <c r="B52" s="14" t="str">
        <f>archetype_prototypes!B52</f>
        <v>Relational Nurturer</v>
      </c>
      <c r="C52" s="14" t="str">
        <f>archetype_prototypes!C52</f>
        <v>DIM_RISK_PREF</v>
      </c>
      <c r="D52" s="47">
        <f>archetype_prototypes!E52</f>
        <v>0.17</v>
      </c>
      <c r="E52" s="47">
        <f t="shared" si="1"/>
        <v>0.17</v>
      </c>
      <c r="F52" s="47">
        <f t="shared" si="2"/>
        <v>0.6411</v>
      </c>
      <c r="G52" s="47">
        <f t="shared" si="3"/>
        <v>1</v>
      </c>
      <c r="H52" s="48">
        <f t="array" ref="H52">INDEX(dimensions!$E$2:$E$22,MATCH(C52,dimensions!$A$2:$A$22,0))</f>
        <v>1.6</v>
      </c>
      <c r="I52" s="47">
        <f t="shared" si="4"/>
        <v>0.272</v>
      </c>
      <c r="J52" s="47">
        <f t="shared" si="5"/>
        <v>1.02576</v>
      </c>
      <c r="K52" s="47">
        <f t="shared" si="6"/>
        <v>1.6</v>
      </c>
      <c r="L52" s="5"/>
      <c r="M52" s="5"/>
      <c r="N52" s="5"/>
      <c r="O52" s="5"/>
      <c r="P52" s="5"/>
      <c r="Q52" s="5"/>
      <c r="R52" s="5"/>
      <c r="S52" s="5"/>
      <c r="T52" s="5"/>
      <c r="U52" s="5"/>
      <c r="V52" s="5"/>
      <c r="W52" s="5"/>
      <c r="X52" s="5"/>
      <c r="Y52" s="5"/>
      <c r="Z52" s="5"/>
    </row>
    <row r="53" ht="15.75" customHeight="1">
      <c r="A53" s="46" t="str">
        <f>archetype_prototypes!A53</f>
        <v>3</v>
      </c>
      <c r="B53" s="14" t="str">
        <f>archetype_prototypes!B53</f>
        <v>Relational Nurturer</v>
      </c>
      <c r="C53" s="14" t="str">
        <f>archetype_prototypes!C53</f>
        <v>DIM_FEEDBACK_DEP</v>
      </c>
      <c r="D53" s="47">
        <f>archetype_prototypes!E53</f>
        <v>0.32</v>
      </c>
      <c r="E53" s="47">
        <f t="shared" si="1"/>
        <v>0.32</v>
      </c>
      <c r="F53" s="47">
        <f t="shared" si="2"/>
        <v>0.7176</v>
      </c>
      <c r="G53" s="47">
        <f t="shared" si="3"/>
        <v>1</v>
      </c>
      <c r="H53" s="48">
        <f t="array" ref="H53">INDEX(dimensions!$E$2:$E$22,MATCH(C53,dimensions!$A$2:$A$22,0))</f>
        <v>2</v>
      </c>
      <c r="I53" s="47">
        <f t="shared" si="4"/>
        <v>0.64</v>
      </c>
      <c r="J53" s="47">
        <f t="shared" si="5"/>
        <v>1.4352</v>
      </c>
      <c r="K53" s="47">
        <f t="shared" si="6"/>
        <v>2</v>
      </c>
      <c r="L53" s="5"/>
      <c r="M53" s="5"/>
      <c r="N53" s="5"/>
      <c r="O53" s="5"/>
      <c r="P53" s="5"/>
      <c r="Q53" s="5"/>
      <c r="R53" s="5"/>
      <c r="S53" s="5"/>
      <c r="T53" s="5"/>
      <c r="U53" s="5"/>
      <c r="V53" s="5"/>
      <c r="W53" s="5"/>
      <c r="X53" s="5"/>
      <c r="Y53" s="5"/>
      <c r="Z53" s="5"/>
    </row>
    <row r="54" ht="15.75" customHeight="1">
      <c r="A54" s="46" t="str">
        <f>archetype_prototypes!A54</f>
        <v>3</v>
      </c>
      <c r="B54" s="14" t="str">
        <f>archetype_prototypes!B54</f>
        <v>Relational Nurturer</v>
      </c>
      <c r="C54" s="14" t="str">
        <f>archetype_prototypes!C54</f>
        <v>DIM_TURNON_EXPRESS</v>
      </c>
      <c r="D54" s="47">
        <f>archetype_prototypes!E54</f>
        <v>0.43</v>
      </c>
      <c r="E54" s="47">
        <f t="shared" si="1"/>
        <v>0.43</v>
      </c>
      <c r="F54" s="47">
        <f t="shared" si="2"/>
        <v>0.7451</v>
      </c>
      <c r="G54" s="47">
        <f t="shared" si="3"/>
        <v>1</v>
      </c>
      <c r="H54" s="48">
        <f t="array" ref="H54">INDEX(dimensions!$E$2:$E$22,MATCH(C54,dimensions!$A$2:$A$22,0))</f>
        <v>1.3</v>
      </c>
      <c r="I54" s="47">
        <f t="shared" si="4"/>
        <v>0.559</v>
      </c>
      <c r="J54" s="47">
        <f t="shared" si="5"/>
        <v>0.96863</v>
      </c>
      <c r="K54" s="47">
        <f t="shared" si="6"/>
        <v>1.3</v>
      </c>
      <c r="L54" s="5"/>
      <c r="M54" s="5"/>
      <c r="N54" s="5"/>
      <c r="O54" s="5"/>
      <c r="P54" s="5"/>
      <c r="Q54" s="5"/>
      <c r="R54" s="5"/>
      <c r="S54" s="5"/>
      <c r="T54" s="5"/>
      <c r="U54" s="5"/>
      <c r="V54" s="5"/>
      <c r="W54" s="5"/>
      <c r="X54" s="5"/>
      <c r="Y54" s="5"/>
      <c r="Z54" s="5"/>
    </row>
    <row r="55" ht="15.75" customHeight="1">
      <c r="A55" s="46" t="str">
        <f>archetype_prototypes!A55</f>
        <v>3</v>
      </c>
      <c r="B55" s="14" t="str">
        <f>archetype_prototypes!B55</f>
        <v>Relational Nurturer</v>
      </c>
      <c r="C55" s="14" t="str">
        <f>archetype_prototypes!C55</f>
        <v>DIM_BOUNDARY_EXPRESS</v>
      </c>
      <c r="D55" s="47">
        <f>archetype_prototypes!E55</f>
        <v>0.45</v>
      </c>
      <c r="E55" s="47">
        <f t="shared" si="1"/>
        <v>0.45</v>
      </c>
      <c r="F55" s="47">
        <f t="shared" si="2"/>
        <v>0.7475</v>
      </c>
      <c r="G55" s="47">
        <f t="shared" si="3"/>
        <v>1</v>
      </c>
      <c r="H55" s="48">
        <f t="array" ref="H55">INDEX(dimensions!$E$2:$E$22,MATCH(C55,dimensions!$A$2:$A$22,0))</f>
        <v>1.3</v>
      </c>
      <c r="I55" s="47">
        <f t="shared" si="4"/>
        <v>0.585</v>
      </c>
      <c r="J55" s="47">
        <f t="shared" si="5"/>
        <v>0.97175</v>
      </c>
      <c r="K55" s="47">
        <f t="shared" si="6"/>
        <v>1.3</v>
      </c>
      <c r="L55" s="5"/>
      <c r="M55" s="5"/>
      <c r="N55" s="5"/>
      <c r="O55" s="5"/>
      <c r="P55" s="5"/>
      <c r="Q55" s="5"/>
      <c r="R55" s="5"/>
      <c r="S55" s="5"/>
      <c r="T55" s="5"/>
      <c r="U55" s="5"/>
      <c r="V55" s="5"/>
      <c r="W55" s="5"/>
      <c r="X55" s="5"/>
      <c r="Y55" s="5"/>
      <c r="Z55" s="5"/>
    </row>
    <row r="56" ht="15.75" customHeight="1">
      <c r="A56" s="46" t="str">
        <f>archetype_prototypes!A56</f>
        <v>3</v>
      </c>
      <c r="B56" s="14" t="str">
        <f>archetype_prototypes!B56</f>
        <v>Relational Nurturer</v>
      </c>
      <c r="C56" s="14" t="str">
        <f>archetype_prototypes!C56</f>
        <v>DIM_PROTOCOL</v>
      </c>
      <c r="D56" s="47">
        <f>archetype_prototypes!E56</f>
        <v>0.2</v>
      </c>
      <c r="E56" s="47">
        <f t="shared" si="1"/>
        <v>0.2</v>
      </c>
      <c r="F56" s="47">
        <f t="shared" si="2"/>
        <v>0.66</v>
      </c>
      <c r="G56" s="47">
        <f t="shared" si="3"/>
        <v>1</v>
      </c>
      <c r="H56" s="48">
        <f t="array" ref="H56">INDEX(dimensions!$E$2:$E$22,MATCH(C56,dimensions!$A$2:$A$22,0))</f>
        <v>1.6</v>
      </c>
      <c r="I56" s="47">
        <f t="shared" si="4"/>
        <v>0.32</v>
      </c>
      <c r="J56" s="47">
        <f t="shared" si="5"/>
        <v>1.056</v>
      </c>
      <c r="K56" s="47">
        <f t="shared" si="6"/>
        <v>1.6</v>
      </c>
      <c r="L56" s="5"/>
      <c r="M56" s="5"/>
      <c r="N56" s="5"/>
      <c r="O56" s="5"/>
      <c r="P56" s="5"/>
      <c r="Q56" s="5"/>
      <c r="R56" s="5"/>
      <c r="S56" s="5"/>
      <c r="T56" s="5"/>
      <c r="U56" s="5"/>
      <c r="V56" s="5"/>
      <c r="W56" s="5"/>
      <c r="X56" s="5"/>
      <c r="Y56" s="5"/>
      <c r="Z56" s="5"/>
    </row>
    <row r="57" ht="15.75" customHeight="1">
      <c r="A57" s="46" t="str">
        <f>archetype_prototypes!A57</f>
        <v>3</v>
      </c>
      <c r="B57" s="14" t="str">
        <f>archetype_prototypes!B57</f>
        <v>Relational Nurturer</v>
      </c>
      <c r="C57" s="14" t="str">
        <f>archetype_prototypes!C57</f>
        <v>DIM_SOOTHING</v>
      </c>
      <c r="D57" s="47">
        <f>archetype_prototypes!E57</f>
        <v>0.83</v>
      </c>
      <c r="E57" s="47">
        <f t="shared" si="1"/>
        <v>0.17</v>
      </c>
      <c r="F57" s="47">
        <f t="shared" si="2"/>
        <v>0.6411</v>
      </c>
      <c r="G57" s="47">
        <f t="shared" si="3"/>
        <v>1</v>
      </c>
      <c r="H57" s="48">
        <f t="array" ref="H57">INDEX(dimensions!$E$2:$E$22,MATCH(C57,dimensions!$A$2:$A$22,0))</f>
        <v>1.9</v>
      </c>
      <c r="I57" s="47">
        <f t="shared" si="4"/>
        <v>0.323</v>
      </c>
      <c r="J57" s="47">
        <f t="shared" si="5"/>
        <v>1.21809</v>
      </c>
      <c r="K57" s="47">
        <f t="shared" si="6"/>
        <v>1.9</v>
      </c>
      <c r="L57" s="5"/>
      <c r="M57" s="5"/>
      <c r="N57" s="5"/>
      <c r="O57" s="5"/>
      <c r="P57" s="5"/>
      <c r="Q57" s="5"/>
      <c r="R57" s="5"/>
      <c r="S57" s="5"/>
      <c r="T57" s="5"/>
      <c r="U57" s="5"/>
      <c r="V57" s="5"/>
      <c r="W57" s="5"/>
      <c r="X57" s="5"/>
      <c r="Y57" s="5"/>
      <c r="Z57" s="5"/>
    </row>
    <row r="58" ht="15.75" customHeight="1">
      <c r="A58" s="46" t="str">
        <f>archetype_prototypes!A58</f>
        <v>3</v>
      </c>
      <c r="B58" s="14" t="str">
        <f>archetype_prototypes!B58</f>
        <v>Relational Nurturer</v>
      </c>
      <c r="C58" s="14" t="str">
        <f>archetype_prototypes!C58</f>
        <v>DIM_SECURE</v>
      </c>
      <c r="D58" s="47">
        <f>archetype_prototypes!E58</f>
        <v>0.58</v>
      </c>
      <c r="E58" s="47">
        <f t="shared" si="1"/>
        <v>0.42</v>
      </c>
      <c r="F58" s="47">
        <f t="shared" si="2"/>
        <v>0.7436</v>
      </c>
      <c r="G58" s="47">
        <f t="shared" si="3"/>
        <v>1</v>
      </c>
      <c r="H58" s="48">
        <f t="array" ref="H58">INDEX(dimensions!$E$2:$E$22,MATCH(C58,dimensions!$A$2:$A$22,0))</f>
        <v>1</v>
      </c>
      <c r="I58" s="47">
        <f t="shared" si="4"/>
        <v>0.42</v>
      </c>
      <c r="J58" s="47">
        <f t="shared" si="5"/>
        <v>0.7436</v>
      </c>
      <c r="K58" s="47">
        <f t="shared" si="6"/>
        <v>1</v>
      </c>
      <c r="L58" s="5"/>
      <c r="M58" s="5"/>
      <c r="N58" s="5"/>
      <c r="O58" s="5"/>
      <c r="P58" s="5"/>
      <c r="Q58" s="5"/>
      <c r="R58" s="5"/>
      <c r="S58" s="5"/>
      <c r="T58" s="5"/>
      <c r="U58" s="5"/>
      <c r="V58" s="5"/>
      <c r="W58" s="5"/>
      <c r="X58" s="5"/>
      <c r="Y58" s="5"/>
      <c r="Z58" s="5"/>
    </row>
    <row r="59" ht="15.75" customHeight="1">
      <c r="A59" s="46" t="str">
        <f>archetype_prototypes!A59</f>
        <v>3</v>
      </c>
      <c r="B59" s="14" t="str">
        <f>archetype_prototypes!B59</f>
        <v>Relational Nurturer</v>
      </c>
      <c r="C59" s="14" t="str">
        <f>archetype_prototypes!C59</f>
        <v>DIM_REPAIR_EROTICISM</v>
      </c>
      <c r="D59" s="47">
        <f>archetype_prototypes!E59</f>
        <v>0.73</v>
      </c>
      <c r="E59" s="47">
        <f t="shared" si="1"/>
        <v>0.27</v>
      </c>
      <c r="F59" s="47">
        <f t="shared" si="2"/>
        <v>0.6971</v>
      </c>
      <c r="G59" s="47">
        <f t="shared" si="3"/>
        <v>1</v>
      </c>
      <c r="H59" s="48">
        <f t="array" ref="H59">INDEX(dimensions!$E$2:$E$22,MATCH(C59,dimensions!$A$2:$A$22,0))</f>
        <v>1.6</v>
      </c>
      <c r="I59" s="47">
        <f t="shared" si="4"/>
        <v>0.432</v>
      </c>
      <c r="J59" s="47">
        <f t="shared" si="5"/>
        <v>1.11536</v>
      </c>
      <c r="K59" s="47">
        <f t="shared" si="6"/>
        <v>1.6</v>
      </c>
      <c r="L59" s="5"/>
      <c r="M59" s="5"/>
      <c r="N59" s="5"/>
      <c r="O59" s="5"/>
      <c r="P59" s="5"/>
      <c r="Q59" s="5"/>
      <c r="R59" s="5"/>
      <c r="S59" s="5"/>
      <c r="T59" s="5"/>
      <c r="U59" s="5"/>
      <c r="V59" s="5"/>
      <c r="W59" s="5"/>
      <c r="X59" s="5"/>
      <c r="Y59" s="5"/>
      <c r="Z59" s="5"/>
    </row>
    <row r="60" ht="15.75" customHeight="1">
      <c r="A60" s="46" t="str">
        <f>archetype_prototypes!A60</f>
        <v>3</v>
      </c>
      <c r="B60" s="14" t="str">
        <f>archetype_prototypes!B60</f>
        <v>Relational Nurturer</v>
      </c>
      <c r="C60" s="14" t="str">
        <f>archetype_prototypes!C60</f>
        <v>DIM_PRESSURE_SHUTDOWN</v>
      </c>
      <c r="D60" s="47">
        <f>archetype_prototypes!E60</f>
        <v>0.39</v>
      </c>
      <c r="E60" s="47">
        <f t="shared" si="1"/>
        <v>0.39</v>
      </c>
      <c r="F60" s="47">
        <f t="shared" si="2"/>
        <v>0.7379</v>
      </c>
      <c r="G60" s="47">
        <f t="shared" si="3"/>
        <v>1</v>
      </c>
      <c r="H60" s="48">
        <f t="array" ref="H60">INDEX(dimensions!$E$2:$E$22,MATCH(C60,dimensions!$A$2:$A$22,0))</f>
        <v>2</v>
      </c>
      <c r="I60" s="47">
        <f t="shared" si="4"/>
        <v>0.78</v>
      </c>
      <c r="J60" s="47">
        <f t="shared" si="5"/>
        <v>1.4758</v>
      </c>
      <c r="K60" s="47">
        <f t="shared" si="6"/>
        <v>2</v>
      </c>
      <c r="L60" s="5"/>
      <c r="M60" s="5"/>
      <c r="N60" s="5"/>
      <c r="O60" s="5"/>
      <c r="P60" s="5"/>
      <c r="Q60" s="5"/>
      <c r="R60" s="5"/>
      <c r="S60" s="5"/>
      <c r="T60" s="5"/>
      <c r="U60" s="5"/>
      <c r="V60" s="5"/>
      <c r="W60" s="5"/>
      <c r="X60" s="5"/>
      <c r="Y60" s="5"/>
      <c r="Z60" s="5"/>
    </row>
    <row r="61" ht="15.75" customHeight="1">
      <c r="A61" s="46" t="str">
        <f>archetype_prototypes!A61</f>
        <v>3</v>
      </c>
      <c r="B61" s="14" t="str">
        <f>archetype_prototypes!B61</f>
        <v>Relational Nurturer</v>
      </c>
      <c r="C61" s="14" t="str">
        <f>archetype_prototypes!C61</f>
        <v>DIM_AVOIDANT</v>
      </c>
      <c r="D61" s="47">
        <f>archetype_prototypes!E61</f>
        <v>0.2</v>
      </c>
      <c r="E61" s="47">
        <f t="shared" si="1"/>
        <v>0.2</v>
      </c>
      <c r="F61" s="47">
        <f t="shared" si="2"/>
        <v>0.66</v>
      </c>
      <c r="G61" s="47">
        <f t="shared" si="3"/>
        <v>1</v>
      </c>
      <c r="H61" s="48">
        <f t="array" ref="H61">INDEX(dimensions!$E$2:$E$22,MATCH(C61,dimensions!$A$2:$A$22,0))</f>
        <v>1.3</v>
      </c>
      <c r="I61" s="47">
        <f t="shared" si="4"/>
        <v>0.26</v>
      </c>
      <c r="J61" s="47">
        <f t="shared" si="5"/>
        <v>0.858</v>
      </c>
      <c r="K61" s="47">
        <f t="shared" si="6"/>
        <v>1.3</v>
      </c>
      <c r="L61" s="5"/>
      <c r="M61" s="5"/>
      <c r="N61" s="5"/>
      <c r="O61" s="5"/>
      <c r="P61" s="5"/>
      <c r="Q61" s="5"/>
      <c r="R61" s="5"/>
      <c r="S61" s="5"/>
      <c r="T61" s="5"/>
      <c r="U61" s="5"/>
      <c r="V61" s="5"/>
      <c r="W61" s="5"/>
      <c r="X61" s="5"/>
      <c r="Y61" s="5"/>
      <c r="Z61" s="5"/>
    </row>
    <row r="62" ht="15.75" customHeight="1">
      <c r="A62" s="46" t="str">
        <f>archetype_prototypes!A62</f>
        <v>3</v>
      </c>
      <c r="B62" s="14" t="str">
        <f>archetype_prototypes!B62</f>
        <v>Relational Nurturer</v>
      </c>
      <c r="C62" s="14" t="str">
        <f>archetype_prototypes!C62</f>
        <v>DIM_STRATEGY</v>
      </c>
      <c r="D62" s="47">
        <f>archetype_prototypes!E62</f>
        <v>0.07</v>
      </c>
      <c r="E62" s="47">
        <f t="shared" si="1"/>
        <v>0.07</v>
      </c>
      <c r="F62" s="47">
        <f t="shared" si="2"/>
        <v>0.5651</v>
      </c>
      <c r="G62" s="47">
        <f t="shared" si="3"/>
        <v>1</v>
      </c>
      <c r="H62" s="48">
        <f t="array" ref="H62">INDEX(dimensions!$E$2:$E$22,MATCH(C62,dimensions!$A$2:$A$22,0))</f>
        <v>1.2</v>
      </c>
      <c r="I62" s="47">
        <f t="shared" si="4"/>
        <v>0.084</v>
      </c>
      <c r="J62" s="47">
        <f t="shared" si="5"/>
        <v>0.67812</v>
      </c>
      <c r="K62" s="47">
        <f t="shared" si="6"/>
        <v>1.2</v>
      </c>
      <c r="L62" s="5"/>
      <c r="M62" s="5"/>
      <c r="N62" s="5"/>
      <c r="O62" s="5"/>
      <c r="P62" s="5"/>
      <c r="Q62" s="5"/>
      <c r="R62" s="5"/>
      <c r="S62" s="5"/>
      <c r="T62" s="5"/>
      <c r="U62" s="5"/>
      <c r="V62" s="5"/>
      <c r="W62" s="5"/>
      <c r="X62" s="5"/>
      <c r="Y62" s="5"/>
      <c r="Z62" s="5"/>
    </row>
    <row r="63" ht="15.75" customHeight="1">
      <c r="A63" s="46" t="str">
        <f>archetype_prototypes!A63</f>
        <v>3</v>
      </c>
      <c r="B63" s="14" t="str">
        <f>archetype_prototypes!B63</f>
        <v>Relational Nurturer</v>
      </c>
      <c r="C63" s="14" t="str">
        <f>archetype_prototypes!C63</f>
        <v>DIM_CLOSENESS_ORIENTATION</v>
      </c>
      <c r="D63" s="47">
        <f>archetype_prototypes!E63</f>
        <v>0.88</v>
      </c>
      <c r="E63" s="47">
        <f t="shared" si="1"/>
        <v>0.12</v>
      </c>
      <c r="F63" s="47">
        <f t="shared" si="2"/>
        <v>0.6056</v>
      </c>
      <c r="G63" s="47">
        <f t="shared" si="3"/>
        <v>1</v>
      </c>
      <c r="H63" s="48">
        <f t="array" ref="H63">INDEX(dimensions!$E$2:$E$22,MATCH(C63,dimensions!$A$2:$A$22,0))</f>
        <v>1</v>
      </c>
      <c r="I63" s="47">
        <f t="shared" si="4"/>
        <v>0.12</v>
      </c>
      <c r="J63" s="47">
        <f t="shared" si="5"/>
        <v>0.6056</v>
      </c>
      <c r="K63" s="47">
        <f t="shared" si="6"/>
        <v>1</v>
      </c>
      <c r="L63" s="5"/>
      <c r="M63" s="5"/>
      <c r="N63" s="5"/>
      <c r="O63" s="5"/>
      <c r="P63" s="5"/>
      <c r="Q63" s="5"/>
      <c r="R63" s="5"/>
      <c r="S63" s="5"/>
      <c r="T63" s="5"/>
      <c r="U63" s="5"/>
      <c r="V63" s="5"/>
      <c r="W63" s="5"/>
      <c r="X63" s="5"/>
      <c r="Y63" s="5"/>
      <c r="Z63" s="5"/>
    </row>
    <row r="64" ht="15.75" customHeight="1">
      <c r="A64" s="46" t="str">
        <f>archetype_prototypes!A64</f>
        <v>3</v>
      </c>
      <c r="B64" s="14" t="str">
        <f>archetype_prototypes!B64</f>
        <v>Relational Nurturer</v>
      </c>
      <c r="C64" s="14" t="str">
        <f>archetype_prototypes!C64</f>
        <v>DIM_PARTNER_FOCUS</v>
      </c>
      <c r="D64" s="47">
        <f>archetype_prototypes!E64</f>
        <v>0.92</v>
      </c>
      <c r="E64" s="47">
        <f t="shared" si="1"/>
        <v>0.08</v>
      </c>
      <c r="F64" s="47">
        <f t="shared" si="2"/>
        <v>0.5736</v>
      </c>
      <c r="G64" s="47">
        <f t="shared" si="3"/>
        <v>1</v>
      </c>
      <c r="H64" s="48">
        <f t="array" ref="H64">INDEX(dimensions!$E$2:$E$22,MATCH(C64,dimensions!$A$2:$A$22,0))</f>
        <v>1.2</v>
      </c>
      <c r="I64" s="47">
        <f t="shared" si="4"/>
        <v>0.096</v>
      </c>
      <c r="J64" s="47">
        <f t="shared" si="5"/>
        <v>0.68832</v>
      </c>
      <c r="K64" s="47">
        <f t="shared" si="6"/>
        <v>1.2</v>
      </c>
      <c r="L64" s="5"/>
      <c r="M64" s="5"/>
      <c r="N64" s="5"/>
      <c r="O64" s="5"/>
      <c r="P64" s="5"/>
      <c r="Q64" s="5"/>
      <c r="R64" s="5"/>
      <c r="S64" s="5"/>
      <c r="T64" s="5"/>
      <c r="U64" s="5"/>
      <c r="V64" s="5"/>
      <c r="W64" s="5"/>
      <c r="X64" s="5"/>
      <c r="Y64" s="5"/>
      <c r="Z64" s="5"/>
    </row>
    <row r="65" ht="15.75" customHeight="1">
      <c r="A65" s="46" t="str">
        <f>archetype_prototypes!A65</f>
        <v>4</v>
      </c>
      <c r="B65" s="14" t="str">
        <f>archetype_prototypes!B65</f>
        <v>Radiant Performer</v>
      </c>
      <c r="C65" s="14" t="str">
        <f>archetype_prototypes!C65</f>
        <v>DIM_NOVELTY</v>
      </c>
      <c r="D65" s="47">
        <f>archetype_prototypes!E65</f>
        <v>0.7</v>
      </c>
      <c r="E65" s="47">
        <f t="shared" si="1"/>
        <v>0.3</v>
      </c>
      <c r="F65" s="47">
        <f t="shared" si="2"/>
        <v>0.71</v>
      </c>
      <c r="G65" s="47">
        <f t="shared" si="3"/>
        <v>1</v>
      </c>
      <c r="H65" s="48">
        <f t="array" ref="H65">INDEX(dimensions!$E$2:$E$22,MATCH(C65,dimensions!$A$2:$A$22,0))</f>
        <v>1.4</v>
      </c>
      <c r="I65" s="47">
        <f t="shared" si="4"/>
        <v>0.42</v>
      </c>
      <c r="J65" s="47">
        <f t="shared" si="5"/>
        <v>0.994</v>
      </c>
      <c r="K65" s="47">
        <f t="shared" si="6"/>
        <v>1.4</v>
      </c>
      <c r="L65" s="5"/>
      <c r="M65" s="5"/>
      <c r="N65" s="5"/>
      <c r="O65" s="5"/>
      <c r="P65" s="5"/>
      <c r="Q65" s="5"/>
      <c r="R65" s="5"/>
      <c r="S65" s="5"/>
      <c r="T65" s="5"/>
      <c r="U65" s="5"/>
      <c r="V65" s="5"/>
      <c r="W65" s="5"/>
      <c r="X65" s="5"/>
      <c r="Y65" s="5"/>
      <c r="Z65" s="5"/>
    </row>
    <row r="66" ht="15.75" customHeight="1">
      <c r="A66" s="46" t="str">
        <f>archetype_prototypes!A66</f>
        <v>4</v>
      </c>
      <c r="B66" s="14" t="str">
        <f>archetype_prototypes!B66</f>
        <v>Radiant Performer</v>
      </c>
      <c r="C66" s="14" t="str">
        <f>archetype_prototypes!C66</f>
        <v>DIM_RESPONSIVE</v>
      </c>
      <c r="D66" s="47">
        <f>archetype_prototypes!E66</f>
        <v>0.35</v>
      </c>
      <c r="E66" s="47">
        <f t="shared" si="1"/>
        <v>0.35</v>
      </c>
      <c r="F66" s="47">
        <f t="shared" si="2"/>
        <v>0.7275</v>
      </c>
      <c r="G66" s="47">
        <f t="shared" si="3"/>
        <v>1</v>
      </c>
      <c r="H66" s="48">
        <f t="array" ref="H66">INDEX(dimensions!$E$2:$E$22,MATCH(C66,dimensions!$A$2:$A$22,0))</f>
        <v>1.6</v>
      </c>
      <c r="I66" s="47">
        <f t="shared" si="4"/>
        <v>0.56</v>
      </c>
      <c r="J66" s="47">
        <f t="shared" si="5"/>
        <v>1.164</v>
      </c>
      <c r="K66" s="47">
        <f t="shared" si="6"/>
        <v>1.6</v>
      </c>
      <c r="L66" s="5"/>
      <c r="M66" s="5"/>
      <c r="N66" s="5"/>
      <c r="O66" s="5"/>
      <c r="P66" s="5"/>
      <c r="Q66" s="5"/>
      <c r="R66" s="5"/>
      <c r="S66" s="5"/>
      <c r="T66" s="5"/>
      <c r="U66" s="5"/>
      <c r="V66" s="5"/>
      <c r="W66" s="5"/>
      <c r="X66" s="5"/>
      <c r="Y66" s="5"/>
      <c r="Z66" s="5"/>
    </row>
    <row r="67" ht="15.75" customHeight="1">
      <c r="A67" s="46" t="str">
        <f>archetype_prototypes!A67</f>
        <v>4</v>
      </c>
      <c r="B67" s="14" t="str">
        <f>archetype_prototypes!B67</f>
        <v>Radiant Performer</v>
      </c>
      <c r="C67" s="14" t="str">
        <f>archetype_prototypes!C67</f>
        <v>DIM_PLANNED</v>
      </c>
      <c r="D67" s="47">
        <f>archetype_prototypes!E67</f>
        <v>0.25</v>
      </c>
      <c r="E67" s="47">
        <f t="shared" si="1"/>
        <v>0.25</v>
      </c>
      <c r="F67" s="47">
        <f t="shared" si="2"/>
        <v>0.6875</v>
      </c>
      <c r="G67" s="47">
        <f t="shared" si="3"/>
        <v>1</v>
      </c>
      <c r="H67" s="48">
        <f t="array" ref="H67">INDEX(dimensions!$E$2:$E$22,MATCH(C67,dimensions!$A$2:$A$22,0))</f>
        <v>1.3</v>
      </c>
      <c r="I67" s="47">
        <f t="shared" si="4"/>
        <v>0.325</v>
      </c>
      <c r="J67" s="47">
        <f t="shared" si="5"/>
        <v>0.89375</v>
      </c>
      <c r="K67" s="47">
        <f t="shared" si="6"/>
        <v>1.3</v>
      </c>
      <c r="L67" s="5"/>
      <c r="M67" s="5"/>
      <c r="N67" s="5"/>
      <c r="O67" s="5"/>
      <c r="P67" s="5"/>
      <c r="Q67" s="5"/>
      <c r="R67" s="5"/>
      <c r="S67" s="5"/>
      <c r="T67" s="5"/>
      <c r="U67" s="5"/>
      <c r="V67" s="5"/>
      <c r="W67" s="5"/>
      <c r="X67" s="5"/>
      <c r="Y67" s="5"/>
      <c r="Z67" s="5"/>
    </row>
    <row r="68" ht="15.75" customHeight="1">
      <c r="A68" s="46" t="str">
        <f>archetype_prototypes!A68</f>
        <v>4</v>
      </c>
      <c r="B68" s="14" t="str">
        <f>archetype_prototypes!B68</f>
        <v>Radiant Performer</v>
      </c>
      <c r="C68" s="14" t="str">
        <f>archetype_prototypes!C68</f>
        <v>DIM_EMO_CONNECTION</v>
      </c>
      <c r="D68" s="47">
        <f>archetype_prototypes!E68</f>
        <v>0.35</v>
      </c>
      <c r="E68" s="47">
        <f t="shared" si="1"/>
        <v>0.35</v>
      </c>
      <c r="F68" s="47">
        <f t="shared" si="2"/>
        <v>0.7275</v>
      </c>
      <c r="G68" s="47">
        <f t="shared" si="3"/>
        <v>1</v>
      </c>
      <c r="H68" s="48">
        <f t="array" ref="H68">INDEX(dimensions!$E$2:$E$22,MATCH(C68,dimensions!$A$2:$A$22,0))</f>
        <v>1.4</v>
      </c>
      <c r="I68" s="47">
        <f t="shared" si="4"/>
        <v>0.49</v>
      </c>
      <c r="J68" s="47">
        <f t="shared" si="5"/>
        <v>1.0185</v>
      </c>
      <c r="K68" s="47">
        <f t="shared" si="6"/>
        <v>1.4</v>
      </c>
      <c r="L68" s="5"/>
      <c r="M68" s="5"/>
      <c r="N68" s="5"/>
      <c r="O68" s="5"/>
      <c r="P68" s="5"/>
      <c r="Q68" s="5"/>
      <c r="R68" s="5"/>
      <c r="S68" s="5"/>
      <c r="T68" s="5"/>
      <c r="U68" s="5"/>
      <c r="V68" s="5"/>
      <c r="W68" s="5"/>
      <c r="X68" s="5"/>
      <c r="Y68" s="5"/>
      <c r="Z68" s="5"/>
    </row>
    <row r="69" ht="15.75" customHeight="1">
      <c r="A69" s="46" t="str">
        <f>archetype_prototypes!A69</f>
        <v>4</v>
      </c>
      <c r="B69" s="14" t="str">
        <f>archetype_prototypes!B69</f>
        <v>Radiant Performer</v>
      </c>
      <c r="C69" s="14" t="str">
        <f>archetype_prototypes!C69</f>
        <v>DIM_INTENSITY</v>
      </c>
      <c r="D69" s="47">
        <f>archetype_prototypes!E69</f>
        <v>0.8</v>
      </c>
      <c r="E69" s="47">
        <f t="shared" si="1"/>
        <v>0.2</v>
      </c>
      <c r="F69" s="47">
        <f t="shared" si="2"/>
        <v>0.66</v>
      </c>
      <c r="G69" s="47">
        <f t="shared" si="3"/>
        <v>1</v>
      </c>
      <c r="H69" s="48">
        <f t="array" ref="H69">INDEX(dimensions!$E$2:$E$22,MATCH(C69,dimensions!$A$2:$A$22,0))</f>
        <v>1.4</v>
      </c>
      <c r="I69" s="47">
        <f t="shared" si="4"/>
        <v>0.28</v>
      </c>
      <c r="J69" s="47">
        <f t="shared" si="5"/>
        <v>0.924</v>
      </c>
      <c r="K69" s="47">
        <f t="shared" si="6"/>
        <v>1.4</v>
      </c>
      <c r="L69" s="5"/>
      <c r="M69" s="5"/>
      <c r="N69" s="5"/>
      <c r="O69" s="5"/>
      <c r="P69" s="5"/>
      <c r="Q69" s="5"/>
      <c r="R69" s="5"/>
      <c r="S69" s="5"/>
      <c r="T69" s="5"/>
      <c r="U69" s="5"/>
      <c r="V69" s="5"/>
      <c r="W69" s="5"/>
      <c r="X69" s="5"/>
      <c r="Y69" s="5"/>
      <c r="Z69" s="5"/>
    </row>
    <row r="70" ht="15.75" customHeight="1">
      <c r="A70" s="46" t="str">
        <f>archetype_prototypes!A70</f>
        <v>4</v>
      </c>
      <c r="B70" s="14" t="str">
        <f>archetype_prototypes!B70</f>
        <v>Radiant Performer</v>
      </c>
      <c r="C70" s="14" t="str">
        <f>archetype_prototypes!C70</f>
        <v>DIM_PURSUIT</v>
      </c>
      <c r="D70" s="47">
        <f>archetype_prototypes!E70</f>
        <v>0.6</v>
      </c>
      <c r="E70" s="47">
        <f t="shared" si="1"/>
        <v>0.4</v>
      </c>
      <c r="F70" s="47">
        <f t="shared" si="2"/>
        <v>0.74</v>
      </c>
      <c r="G70" s="47">
        <f t="shared" si="3"/>
        <v>1</v>
      </c>
      <c r="H70" s="48">
        <f t="array" ref="H70">INDEX(dimensions!$E$2:$E$22,MATCH(C70,dimensions!$A$2:$A$22,0))</f>
        <v>1.4</v>
      </c>
      <c r="I70" s="47">
        <f t="shared" si="4"/>
        <v>0.56</v>
      </c>
      <c r="J70" s="47">
        <f t="shared" si="5"/>
        <v>1.036</v>
      </c>
      <c r="K70" s="47">
        <f t="shared" si="6"/>
        <v>1.4</v>
      </c>
      <c r="L70" s="5"/>
      <c r="M70" s="5"/>
      <c r="N70" s="5"/>
      <c r="O70" s="5"/>
      <c r="P70" s="5"/>
      <c r="Q70" s="5"/>
      <c r="R70" s="5"/>
      <c r="S70" s="5"/>
      <c r="T70" s="5"/>
      <c r="U70" s="5"/>
      <c r="V70" s="5"/>
      <c r="W70" s="5"/>
      <c r="X70" s="5"/>
      <c r="Y70" s="5"/>
      <c r="Z70" s="5"/>
    </row>
    <row r="71" ht="15.75" customHeight="1">
      <c r="A71" s="46" t="str">
        <f>archetype_prototypes!A71</f>
        <v>4</v>
      </c>
      <c r="B71" s="14" t="str">
        <f>archetype_prototypes!B71</f>
        <v>Radiant Performer</v>
      </c>
      <c r="C71" s="14" t="str">
        <f>archetype_prototypes!C71</f>
        <v>DIM_EDGE_NEED</v>
      </c>
      <c r="D71" s="47">
        <f>archetype_prototypes!E71</f>
        <v>0.55</v>
      </c>
      <c r="E71" s="47">
        <f t="shared" si="1"/>
        <v>0.45</v>
      </c>
      <c r="F71" s="47">
        <f t="shared" si="2"/>
        <v>0.7475</v>
      </c>
      <c r="G71" s="47">
        <f t="shared" si="3"/>
        <v>1</v>
      </c>
      <c r="H71" s="48">
        <f t="array" ref="H71">INDEX(dimensions!$E$2:$E$22,MATCH(C71,dimensions!$A$2:$A$22,0))</f>
        <v>1.8</v>
      </c>
      <c r="I71" s="47">
        <f t="shared" si="4"/>
        <v>0.81</v>
      </c>
      <c r="J71" s="47">
        <f t="shared" si="5"/>
        <v>1.3455</v>
      </c>
      <c r="K71" s="47">
        <f t="shared" si="6"/>
        <v>1.8</v>
      </c>
      <c r="L71" s="5"/>
      <c r="M71" s="5"/>
      <c r="N71" s="5"/>
      <c r="O71" s="5"/>
      <c r="P71" s="5"/>
      <c r="Q71" s="5"/>
      <c r="R71" s="5"/>
      <c r="S71" s="5"/>
      <c r="T71" s="5"/>
      <c r="U71" s="5"/>
      <c r="V71" s="5"/>
      <c r="W71" s="5"/>
      <c r="X71" s="5"/>
      <c r="Y71" s="5"/>
      <c r="Z71" s="5"/>
    </row>
    <row r="72" ht="15.75" customHeight="1">
      <c r="A72" s="46" t="str">
        <f>archetype_prototypes!A72</f>
        <v>4</v>
      </c>
      <c r="B72" s="14" t="str">
        <f>archetype_prototypes!B72</f>
        <v>Radiant Performer</v>
      </c>
      <c r="C72" s="14" t="str">
        <f>archetype_prototypes!C72</f>
        <v>DIM_SACRED</v>
      </c>
      <c r="D72" s="47">
        <f>archetype_prototypes!E72</f>
        <v>0.15</v>
      </c>
      <c r="E72" s="47">
        <f t="shared" si="1"/>
        <v>0.15</v>
      </c>
      <c r="F72" s="47">
        <f t="shared" si="2"/>
        <v>0.6275</v>
      </c>
      <c r="G72" s="47">
        <f t="shared" si="3"/>
        <v>1</v>
      </c>
      <c r="H72" s="48">
        <f t="array" ref="H72">INDEX(dimensions!$E$2:$E$22,MATCH(C72,dimensions!$A$2:$A$22,0))</f>
        <v>2</v>
      </c>
      <c r="I72" s="47">
        <f t="shared" si="4"/>
        <v>0.3</v>
      </c>
      <c r="J72" s="47">
        <f t="shared" si="5"/>
        <v>1.255</v>
      </c>
      <c r="K72" s="47">
        <f t="shared" si="6"/>
        <v>2</v>
      </c>
      <c r="L72" s="5"/>
      <c r="M72" s="5"/>
      <c r="N72" s="5"/>
      <c r="O72" s="5"/>
      <c r="P72" s="5"/>
      <c r="Q72" s="5"/>
      <c r="R72" s="5"/>
      <c r="S72" s="5"/>
      <c r="T72" s="5"/>
      <c r="U72" s="5"/>
      <c r="V72" s="5"/>
      <c r="W72" s="5"/>
      <c r="X72" s="5"/>
      <c r="Y72" s="5"/>
      <c r="Z72" s="5"/>
    </row>
    <row r="73" ht="15.75" customHeight="1">
      <c r="A73" s="46" t="str">
        <f>archetype_prototypes!A73</f>
        <v>4</v>
      </c>
      <c r="B73" s="14" t="str">
        <f>archetype_prototypes!B73</f>
        <v>Radiant Performer</v>
      </c>
      <c r="C73" s="14" t="str">
        <f>archetype_prototypes!C73</f>
        <v>DIM_RISK_PREF</v>
      </c>
      <c r="D73" s="47">
        <f>archetype_prototypes!E73</f>
        <v>0.7</v>
      </c>
      <c r="E73" s="47">
        <f t="shared" si="1"/>
        <v>0.3</v>
      </c>
      <c r="F73" s="47">
        <f t="shared" si="2"/>
        <v>0.71</v>
      </c>
      <c r="G73" s="47">
        <f t="shared" si="3"/>
        <v>1</v>
      </c>
      <c r="H73" s="48">
        <f t="array" ref="H73">INDEX(dimensions!$E$2:$E$22,MATCH(C73,dimensions!$A$2:$A$22,0))</f>
        <v>1.6</v>
      </c>
      <c r="I73" s="47">
        <f t="shared" si="4"/>
        <v>0.48</v>
      </c>
      <c r="J73" s="47">
        <f t="shared" si="5"/>
        <v>1.136</v>
      </c>
      <c r="K73" s="47">
        <f t="shared" si="6"/>
        <v>1.6</v>
      </c>
      <c r="L73" s="5"/>
      <c r="M73" s="5"/>
      <c r="N73" s="5"/>
      <c r="O73" s="5"/>
      <c r="P73" s="5"/>
      <c r="Q73" s="5"/>
      <c r="R73" s="5"/>
      <c r="S73" s="5"/>
      <c r="T73" s="5"/>
      <c r="U73" s="5"/>
      <c r="V73" s="5"/>
      <c r="W73" s="5"/>
      <c r="X73" s="5"/>
      <c r="Y73" s="5"/>
      <c r="Z73" s="5"/>
    </row>
    <row r="74" ht="15.75" customHeight="1">
      <c r="A74" s="46" t="str">
        <f>archetype_prototypes!A74</f>
        <v>4</v>
      </c>
      <c r="B74" s="14" t="str">
        <f>archetype_prototypes!B74</f>
        <v>Radiant Performer</v>
      </c>
      <c r="C74" s="14" t="str">
        <f>archetype_prototypes!C74</f>
        <v>DIM_FEEDBACK_DEP</v>
      </c>
      <c r="D74" s="47">
        <f>archetype_prototypes!E74</f>
        <v>0.9</v>
      </c>
      <c r="E74" s="47">
        <f t="shared" si="1"/>
        <v>0.1</v>
      </c>
      <c r="F74" s="47">
        <f t="shared" si="2"/>
        <v>0.59</v>
      </c>
      <c r="G74" s="47">
        <f t="shared" si="3"/>
        <v>1</v>
      </c>
      <c r="H74" s="48">
        <f t="array" ref="H74">INDEX(dimensions!$E$2:$E$22,MATCH(C74,dimensions!$A$2:$A$22,0))</f>
        <v>2</v>
      </c>
      <c r="I74" s="47">
        <f t="shared" si="4"/>
        <v>0.2</v>
      </c>
      <c r="J74" s="47">
        <f t="shared" si="5"/>
        <v>1.18</v>
      </c>
      <c r="K74" s="47">
        <f t="shared" si="6"/>
        <v>2</v>
      </c>
      <c r="L74" s="5"/>
      <c r="M74" s="5"/>
      <c r="N74" s="5"/>
      <c r="O74" s="5"/>
      <c r="P74" s="5"/>
      <c r="Q74" s="5"/>
      <c r="R74" s="5"/>
      <c r="S74" s="5"/>
      <c r="T74" s="5"/>
      <c r="U74" s="5"/>
      <c r="V74" s="5"/>
      <c r="W74" s="5"/>
      <c r="X74" s="5"/>
      <c r="Y74" s="5"/>
      <c r="Z74" s="5"/>
    </row>
    <row r="75" ht="15.75" customHeight="1">
      <c r="A75" s="46" t="str">
        <f>archetype_prototypes!A75</f>
        <v>4</v>
      </c>
      <c r="B75" s="14" t="str">
        <f>archetype_prototypes!B75</f>
        <v>Radiant Performer</v>
      </c>
      <c r="C75" s="14" t="str">
        <f>archetype_prototypes!C75</f>
        <v>DIM_TURNON_EXPRESS</v>
      </c>
      <c r="D75" s="47">
        <f>archetype_prototypes!E75</f>
        <v>0.85</v>
      </c>
      <c r="E75" s="47">
        <f t="shared" si="1"/>
        <v>0.15</v>
      </c>
      <c r="F75" s="47">
        <f t="shared" si="2"/>
        <v>0.6275</v>
      </c>
      <c r="G75" s="47">
        <f t="shared" si="3"/>
        <v>1</v>
      </c>
      <c r="H75" s="48">
        <f t="array" ref="H75">INDEX(dimensions!$E$2:$E$22,MATCH(C75,dimensions!$A$2:$A$22,0))</f>
        <v>1.3</v>
      </c>
      <c r="I75" s="47">
        <f t="shared" si="4"/>
        <v>0.195</v>
      </c>
      <c r="J75" s="47">
        <f t="shared" si="5"/>
        <v>0.81575</v>
      </c>
      <c r="K75" s="47">
        <f t="shared" si="6"/>
        <v>1.3</v>
      </c>
      <c r="L75" s="5"/>
      <c r="M75" s="5"/>
      <c r="N75" s="5"/>
      <c r="O75" s="5"/>
      <c r="P75" s="5"/>
      <c r="Q75" s="5"/>
      <c r="R75" s="5"/>
      <c r="S75" s="5"/>
      <c r="T75" s="5"/>
      <c r="U75" s="5"/>
      <c r="V75" s="5"/>
      <c r="W75" s="5"/>
      <c r="X75" s="5"/>
      <c r="Y75" s="5"/>
      <c r="Z75" s="5"/>
    </row>
    <row r="76" ht="15.75" customHeight="1">
      <c r="A76" s="46" t="str">
        <f>archetype_prototypes!A76</f>
        <v>4</v>
      </c>
      <c r="B76" s="14" t="str">
        <f>archetype_prototypes!B76</f>
        <v>Radiant Performer</v>
      </c>
      <c r="C76" s="14" t="str">
        <f>archetype_prototypes!C76</f>
        <v>DIM_BOUNDARY_EXPRESS</v>
      </c>
      <c r="D76" s="47">
        <f>archetype_prototypes!E76</f>
        <v>0.55</v>
      </c>
      <c r="E76" s="47">
        <f t="shared" si="1"/>
        <v>0.45</v>
      </c>
      <c r="F76" s="47">
        <f t="shared" si="2"/>
        <v>0.7475</v>
      </c>
      <c r="G76" s="47">
        <f t="shared" si="3"/>
        <v>1</v>
      </c>
      <c r="H76" s="48">
        <f t="array" ref="H76">INDEX(dimensions!$E$2:$E$22,MATCH(C76,dimensions!$A$2:$A$22,0))</f>
        <v>1.3</v>
      </c>
      <c r="I76" s="47">
        <f t="shared" si="4"/>
        <v>0.585</v>
      </c>
      <c r="J76" s="47">
        <f t="shared" si="5"/>
        <v>0.97175</v>
      </c>
      <c r="K76" s="47">
        <f t="shared" si="6"/>
        <v>1.3</v>
      </c>
      <c r="L76" s="5"/>
      <c r="M76" s="5"/>
      <c r="N76" s="5"/>
      <c r="O76" s="5"/>
      <c r="P76" s="5"/>
      <c r="Q76" s="5"/>
      <c r="R76" s="5"/>
      <c r="S76" s="5"/>
      <c r="T76" s="5"/>
      <c r="U76" s="5"/>
      <c r="V76" s="5"/>
      <c r="W76" s="5"/>
      <c r="X76" s="5"/>
      <c r="Y76" s="5"/>
      <c r="Z76" s="5"/>
    </row>
    <row r="77" ht="15.75" customHeight="1">
      <c r="A77" s="46" t="str">
        <f>archetype_prototypes!A77</f>
        <v>4</v>
      </c>
      <c r="B77" s="14" t="str">
        <f>archetype_prototypes!B77</f>
        <v>Radiant Performer</v>
      </c>
      <c r="C77" s="14" t="str">
        <f>archetype_prototypes!C77</f>
        <v>DIM_PROTOCOL</v>
      </c>
      <c r="D77" s="47">
        <f>archetype_prototypes!E77</f>
        <v>0.3</v>
      </c>
      <c r="E77" s="47">
        <f t="shared" si="1"/>
        <v>0.3</v>
      </c>
      <c r="F77" s="47">
        <f t="shared" si="2"/>
        <v>0.71</v>
      </c>
      <c r="G77" s="47">
        <f t="shared" si="3"/>
        <v>1</v>
      </c>
      <c r="H77" s="48">
        <f t="array" ref="H77">INDEX(dimensions!$E$2:$E$22,MATCH(C77,dimensions!$A$2:$A$22,0))</f>
        <v>1.6</v>
      </c>
      <c r="I77" s="47">
        <f t="shared" si="4"/>
        <v>0.48</v>
      </c>
      <c r="J77" s="47">
        <f t="shared" si="5"/>
        <v>1.136</v>
      </c>
      <c r="K77" s="47">
        <f t="shared" si="6"/>
        <v>1.6</v>
      </c>
      <c r="L77" s="5"/>
      <c r="M77" s="5"/>
      <c r="N77" s="5"/>
      <c r="O77" s="5"/>
      <c r="P77" s="5"/>
      <c r="Q77" s="5"/>
      <c r="R77" s="5"/>
      <c r="S77" s="5"/>
      <c r="T77" s="5"/>
      <c r="U77" s="5"/>
      <c r="V77" s="5"/>
      <c r="W77" s="5"/>
      <c r="X77" s="5"/>
      <c r="Y77" s="5"/>
      <c r="Z77" s="5"/>
    </row>
    <row r="78" ht="15.75" customHeight="1">
      <c r="A78" s="46" t="str">
        <f>archetype_prototypes!A78</f>
        <v>4</v>
      </c>
      <c r="B78" s="14" t="str">
        <f>archetype_prototypes!B78</f>
        <v>Radiant Performer</v>
      </c>
      <c r="C78" s="14" t="str">
        <f>archetype_prototypes!C78</f>
        <v>DIM_SOOTHING</v>
      </c>
      <c r="D78" s="47">
        <f>archetype_prototypes!E78</f>
        <v>0.15</v>
      </c>
      <c r="E78" s="47">
        <f t="shared" si="1"/>
        <v>0.15</v>
      </c>
      <c r="F78" s="47">
        <f t="shared" si="2"/>
        <v>0.6275</v>
      </c>
      <c r="G78" s="47">
        <f t="shared" si="3"/>
        <v>1</v>
      </c>
      <c r="H78" s="48">
        <f t="array" ref="H78">INDEX(dimensions!$E$2:$E$22,MATCH(C78,dimensions!$A$2:$A$22,0))</f>
        <v>1.9</v>
      </c>
      <c r="I78" s="47">
        <f t="shared" si="4"/>
        <v>0.285</v>
      </c>
      <c r="J78" s="47">
        <f t="shared" si="5"/>
        <v>1.19225</v>
      </c>
      <c r="K78" s="47">
        <f t="shared" si="6"/>
        <v>1.9</v>
      </c>
      <c r="L78" s="5"/>
      <c r="M78" s="5"/>
      <c r="N78" s="5"/>
      <c r="O78" s="5"/>
      <c r="P78" s="5"/>
      <c r="Q78" s="5"/>
      <c r="R78" s="5"/>
      <c r="S78" s="5"/>
      <c r="T78" s="5"/>
      <c r="U78" s="5"/>
      <c r="V78" s="5"/>
      <c r="W78" s="5"/>
      <c r="X78" s="5"/>
      <c r="Y78" s="5"/>
      <c r="Z78" s="5"/>
    </row>
    <row r="79" ht="15.75" customHeight="1">
      <c r="A79" s="46" t="str">
        <f>archetype_prototypes!A79</f>
        <v>4</v>
      </c>
      <c r="B79" s="14" t="str">
        <f>archetype_prototypes!B79</f>
        <v>Radiant Performer</v>
      </c>
      <c r="C79" s="14" t="str">
        <f>archetype_prototypes!C79</f>
        <v>DIM_SECURE</v>
      </c>
      <c r="D79" s="47">
        <f>archetype_prototypes!E79</f>
        <v>0.45</v>
      </c>
      <c r="E79" s="47">
        <f t="shared" si="1"/>
        <v>0.45</v>
      </c>
      <c r="F79" s="47">
        <f t="shared" si="2"/>
        <v>0.7475</v>
      </c>
      <c r="G79" s="47">
        <f t="shared" si="3"/>
        <v>1</v>
      </c>
      <c r="H79" s="48">
        <f t="array" ref="H79">INDEX(dimensions!$E$2:$E$22,MATCH(C79,dimensions!$A$2:$A$22,0))</f>
        <v>1</v>
      </c>
      <c r="I79" s="47">
        <f t="shared" si="4"/>
        <v>0.45</v>
      </c>
      <c r="J79" s="47">
        <f t="shared" si="5"/>
        <v>0.7475</v>
      </c>
      <c r="K79" s="47">
        <f t="shared" si="6"/>
        <v>1</v>
      </c>
      <c r="L79" s="5"/>
      <c r="M79" s="5"/>
      <c r="N79" s="5"/>
      <c r="O79" s="5"/>
      <c r="P79" s="5"/>
      <c r="Q79" s="5"/>
      <c r="R79" s="5"/>
      <c r="S79" s="5"/>
      <c r="T79" s="5"/>
      <c r="U79" s="5"/>
      <c r="V79" s="5"/>
      <c r="W79" s="5"/>
      <c r="X79" s="5"/>
      <c r="Y79" s="5"/>
      <c r="Z79" s="5"/>
    </row>
    <row r="80" ht="15.75" customHeight="1">
      <c r="A80" s="46" t="str">
        <f>archetype_prototypes!A80</f>
        <v>4</v>
      </c>
      <c r="B80" s="14" t="str">
        <f>archetype_prototypes!B80</f>
        <v>Radiant Performer</v>
      </c>
      <c r="C80" s="14" t="str">
        <f>archetype_prototypes!C80</f>
        <v>DIM_REPAIR_EROTICISM</v>
      </c>
      <c r="D80" s="47">
        <f>archetype_prototypes!E80</f>
        <v>0.2</v>
      </c>
      <c r="E80" s="47">
        <f t="shared" si="1"/>
        <v>0.2</v>
      </c>
      <c r="F80" s="47">
        <f t="shared" si="2"/>
        <v>0.66</v>
      </c>
      <c r="G80" s="47">
        <f t="shared" si="3"/>
        <v>1</v>
      </c>
      <c r="H80" s="48">
        <f t="array" ref="H80">INDEX(dimensions!$E$2:$E$22,MATCH(C80,dimensions!$A$2:$A$22,0))</f>
        <v>1.6</v>
      </c>
      <c r="I80" s="47">
        <f t="shared" si="4"/>
        <v>0.32</v>
      </c>
      <c r="J80" s="47">
        <f t="shared" si="5"/>
        <v>1.056</v>
      </c>
      <c r="K80" s="47">
        <f t="shared" si="6"/>
        <v>1.6</v>
      </c>
      <c r="L80" s="5"/>
      <c r="M80" s="5"/>
      <c r="N80" s="5"/>
      <c r="O80" s="5"/>
      <c r="P80" s="5"/>
      <c r="Q80" s="5"/>
      <c r="R80" s="5"/>
      <c r="S80" s="5"/>
      <c r="T80" s="5"/>
      <c r="U80" s="5"/>
      <c r="V80" s="5"/>
      <c r="W80" s="5"/>
      <c r="X80" s="5"/>
      <c r="Y80" s="5"/>
      <c r="Z80" s="5"/>
    </row>
    <row r="81" ht="15.75" customHeight="1">
      <c r="A81" s="46" t="str">
        <f>archetype_prototypes!A81</f>
        <v>4</v>
      </c>
      <c r="B81" s="14" t="str">
        <f>archetype_prototypes!B81</f>
        <v>Radiant Performer</v>
      </c>
      <c r="C81" s="14" t="str">
        <f>archetype_prototypes!C81</f>
        <v>DIM_PRESSURE_SHUTDOWN</v>
      </c>
      <c r="D81" s="47">
        <f>archetype_prototypes!E81</f>
        <v>0.25</v>
      </c>
      <c r="E81" s="47">
        <f t="shared" si="1"/>
        <v>0.25</v>
      </c>
      <c r="F81" s="47">
        <f t="shared" si="2"/>
        <v>0.6875</v>
      </c>
      <c r="G81" s="47">
        <f t="shared" si="3"/>
        <v>1</v>
      </c>
      <c r="H81" s="48">
        <f t="array" ref="H81">INDEX(dimensions!$E$2:$E$22,MATCH(C81,dimensions!$A$2:$A$22,0))</f>
        <v>2</v>
      </c>
      <c r="I81" s="47">
        <f t="shared" si="4"/>
        <v>0.5</v>
      </c>
      <c r="J81" s="47">
        <f t="shared" si="5"/>
        <v>1.375</v>
      </c>
      <c r="K81" s="47">
        <f t="shared" si="6"/>
        <v>2</v>
      </c>
      <c r="L81" s="5"/>
      <c r="M81" s="5"/>
      <c r="N81" s="5"/>
      <c r="O81" s="5"/>
      <c r="P81" s="5"/>
      <c r="Q81" s="5"/>
      <c r="R81" s="5"/>
      <c r="S81" s="5"/>
      <c r="T81" s="5"/>
      <c r="U81" s="5"/>
      <c r="V81" s="5"/>
      <c r="W81" s="5"/>
      <c r="X81" s="5"/>
      <c r="Y81" s="5"/>
      <c r="Z81" s="5"/>
    </row>
    <row r="82" ht="15.75" customHeight="1">
      <c r="A82" s="46" t="str">
        <f>archetype_prototypes!A82</f>
        <v>4</v>
      </c>
      <c r="B82" s="14" t="str">
        <f>archetype_prototypes!B82</f>
        <v>Radiant Performer</v>
      </c>
      <c r="C82" s="14" t="str">
        <f>archetype_prototypes!C82</f>
        <v>DIM_AVOIDANT</v>
      </c>
      <c r="D82" s="47">
        <f>archetype_prototypes!E82</f>
        <v>0.45</v>
      </c>
      <c r="E82" s="47">
        <f t="shared" si="1"/>
        <v>0.45</v>
      </c>
      <c r="F82" s="47">
        <f t="shared" si="2"/>
        <v>0.7475</v>
      </c>
      <c r="G82" s="47">
        <f t="shared" si="3"/>
        <v>1</v>
      </c>
      <c r="H82" s="48">
        <f t="array" ref="H82">INDEX(dimensions!$E$2:$E$22,MATCH(C82,dimensions!$A$2:$A$22,0))</f>
        <v>1.3</v>
      </c>
      <c r="I82" s="47">
        <f t="shared" si="4"/>
        <v>0.585</v>
      </c>
      <c r="J82" s="47">
        <f t="shared" si="5"/>
        <v>0.97175</v>
      </c>
      <c r="K82" s="47">
        <f t="shared" si="6"/>
        <v>1.3</v>
      </c>
      <c r="L82" s="5"/>
      <c r="M82" s="5"/>
      <c r="N82" s="5"/>
      <c r="O82" s="5"/>
      <c r="P82" s="5"/>
      <c r="Q82" s="5"/>
      <c r="R82" s="5"/>
      <c r="S82" s="5"/>
      <c r="T82" s="5"/>
      <c r="U82" s="5"/>
      <c r="V82" s="5"/>
      <c r="W82" s="5"/>
      <c r="X82" s="5"/>
      <c r="Y82" s="5"/>
      <c r="Z82" s="5"/>
    </row>
    <row r="83" ht="15.75" customHeight="1">
      <c r="A83" s="46" t="str">
        <f>archetype_prototypes!A83</f>
        <v>4</v>
      </c>
      <c r="B83" s="14" t="str">
        <f>archetype_prototypes!B83</f>
        <v>Radiant Performer</v>
      </c>
      <c r="C83" s="14" t="str">
        <f>archetype_prototypes!C83</f>
        <v>DIM_STRATEGY</v>
      </c>
      <c r="D83" s="47">
        <f>archetype_prototypes!E83</f>
        <v>0.3</v>
      </c>
      <c r="E83" s="47">
        <f t="shared" si="1"/>
        <v>0.3</v>
      </c>
      <c r="F83" s="47">
        <f t="shared" si="2"/>
        <v>0.71</v>
      </c>
      <c r="G83" s="47">
        <f t="shared" si="3"/>
        <v>1</v>
      </c>
      <c r="H83" s="48">
        <f t="array" ref="H83">INDEX(dimensions!$E$2:$E$22,MATCH(C83,dimensions!$A$2:$A$22,0))</f>
        <v>1.2</v>
      </c>
      <c r="I83" s="47">
        <f t="shared" si="4"/>
        <v>0.36</v>
      </c>
      <c r="J83" s="47">
        <f t="shared" si="5"/>
        <v>0.852</v>
      </c>
      <c r="K83" s="47">
        <f t="shared" si="6"/>
        <v>1.2</v>
      </c>
      <c r="L83" s="5"/>
      <c r="M83" s="5"/>
      <c r="N83" s="5"/>
      <c r="O83" s="5"/>
      <c r="P83" s="5"/>
      <c r="Q83" s="5"/>
      <c r="R83" s="5"/>
      <c r="S83" s="5"/>
      <c r="T83" s="5"/>
      <c r="U83" s="5"/>
      <c r="V83" s="5"/>
      <c r="W83" s="5"/>
      <c r="X83" s="5"/>
      <c r="Y83" s="5"/>
      <c r="Z83" s="5"/>
    </row>
    <row r="84" ht="15.75" customHeight="1">
      <c r="A84" s="46" t="str">
        <f>archetype_prototypes!A84</f>
        <v>4</v>
      </c>
      <c r="B84" s="14" t="str">
        <f>archetype_prototypes!B84</f>
        <v>Radiant Performer</v>
      </c>
      <c r="C84" s="14" t="str">
        <f>archetype_prototypes!C84</f>
        <v>DIM_CLOSENESS_ORIENTATION</v>
      </c>
      <c r="D84" s="47">
        <f>archetype_prototypes!E84</f>
        <v>0.45</v>
      </c>
      <c r="E84" s="47">
        <f t="shared" si="1"/>
        <v>0.45</v>
      </c>
      <c r="F84" s="47">
        <f t="shared" si="2"/>
        <v>0.7475</v>
      </c>
      <c r="G84" s="47">
        <f t="shared" si="3"/>
        <v>1</v>
      </c>
      <c r="H84" s="48">
        <f t="array" ref="H84">INDEX(dimensions!$E$2:$E$22,MATCH(C84,dimensions!$A$2:$A$22,0))</f>
        <v>1</v>
      </c>
      <c r="I84" s="47">
        <f t="shared" si="4"/>
        <v>0.45</v>
      </c>
      <c r="J84" s="47">
        <f t="shared" si="5"/>
        <v>0.7475</v>
      </c>
      <c r="K84" s="47">
        <f t="shared" si="6"/>
        <v>1</v>
      </c>
      <c r="L84" s="5"/>
      <c r="M84" s="5"/>
      <c r="N84" s="5"/>
      <c r="O84" s="5"/>
      <c r="P84" s="5"/>
      <c r="Q84" s="5"/>
      <c r="R84" s="5"/>
      <c r="S84" s="5"/>
      <c r="T84" s="5"/>
      <c r="U84" s="5"/>
      <c r="V84" s="5"/>
      <c r="W84" s="5"/>
      <c r="X84" s="5"/>
      <c r="Y84" s="5"/>
      <c r="Z84" s="5"/>
    </row>
    <row r="85" ht="15.75" customHeight="1">
      <c r="A85" s="46" t="str">
        <f>archetype_prototypes!A85</f>
        <v>4</v>
      </c>
      <c r="B85" s="14" t="str">
        <f>archetype_prototypes!B85</f>
        <v>Radiant Performer</v>
      </c>
      <c r="C85" s="14" t="str">
        <f>archetype_prototypes!C85</f>
        <v>DIM_PARTNER_FOCUS</v>
      </c>
      <c r="D85" s="47">
        <f>archetype_prototypes!E85</f>
        <v>0.18</v>
      </c>
      <c r="E85" s="47">
        <f t="shared" si="1"/>
        <v>0.18</v>
      </c>
      <c r="F85" s="47">
        <f t="shared" si="2"/>
        <v>0.6476</v>
      </c>
      <c r="G85" s="47">
        <f t="shared" si="3"/>
        <v>1</v>
      </c>
      <c r="H85" s="48">
        <f t="array" ref="H85">INDEX(dimensions!$E$2:$E$22,MATCH(C85,dimensions!$A$2:$A$22,0))</f>
        <v>1.2</v>
      </c>
      <c r="I85" s="47">
        <f t="shared" si="4"/>
        <v>0.216</v>
      </c>
      <c r="J85" s="47">
        <f t="shared" si="5"/>
        <v>0.77712</v>
      </c>
      <c r="K85" s="47">
        <f t="shared" si="6"/>
        <v>1.2</v>
      </c>
      <c r="L85" s="5"/>
      <c r="M85" s="5"/>
      <c r="N85" s="5"/>
      <c r="O85" s="5"/>
      <c r="P85" s="5"/>
      <c r="Q85" s="5"/>
      <c r="R85" s="5"/>
      <c r="S85" s="5"/>
      <c r="T85" s="5"/>
      <c r="U85" s="5"/>
      <c r="V85" s="5"/>
      <c r="W85" s="5"/>
      <c r="X85" s="5"/>
      <c r="Y85" s="5"/>
      <c r="Z85" s="5"/>
    </row>
    <row r="86" ht="15.75" customHeight="1">
      <c r="A86" s="46" t="str">
        <f>archetype_prototypes!A86</f>
        <v>5</v>
      </c>
      <c r="B86" s="14" t="str">
        <f>archetype_prototypes!B86</f>
        <v>Explorer of Edges</v>
      </c>
      <c r="C86" s="14" t="str">
        <f>archetype_prototypes!C86</f>
        <v>DIM_NOVELTY</v>
      </c>
      <c r="D86" s="47">
        <f>archetype_prototypes!E86</f>
        <v>0.85</v>
      </c>
      <c r="E86" s="47">
        <f t="shared" si="1"/>
        <v>0.15</v>
      </c>
      <c r="F86" s="47">
        <f t="shared" si="2"/>
        <v>0.6275</v>
      </c>
      <c r="G86" s="47">
        <f t="shared" si="3"/>
        <v>1</v>
      </c>
      <c r="H86" s="48">
        <f t="array" ref="H86">INDEX(dimensions!$E$2:$E$22,MATCH(C86,dimensions!$A$2:$A$22,0))</f>
        <v>1.4</v>
      </c>
      <c r="I86" s="47">
        <f t="shared" si="4"/>
        <v>0.21</v>
      </c>
      <c r="J86" s="47">
        <f t="shared" si="5"/>
        <v>0.8785</v>
      </c>
      <c r="K86" s="47">
        <f t="shared" si="6"/>
        <v>1.4</v>
      </c>
      <c r="L86" s="5"/>
      <c r="M86" s="5"/>
      <c r="N86" s="5"/>
      <c r="O86" s="5"/>
      <c r="P86" s="5"/>
      <c r="Q86" s="5"/>
      <c r="R86" s="5"/>
      <c r="S86" s="5"/>
      <c r="T86" s="5"/>
      <c r="U86" s="5"/>
      <c r="V86" s="5"/>
      <c r="W86" s="5"/>
      <c r="X86" s="5"/>
      <c r="Y86" s="5"/>
      <c r="Z86" s="5"/>
    </row>
    <row r="87" ht="15.75" customHeight="1">
      <c r="A87" s="46" t="str">
        <f>archetype_prototypes!A87</f>
        <v>5</v>
      </c>
      <c r="B87" s="14" t="str">
        <f>archetype_prototypes!B87</f>
        <v>Explorer of Edges</v>
      </c>
      <c r="C87" s="14" t="str">
        <f>archetype_prototypes!C87</f>
        <v>DIM_RESPONSIVE</v>
      </c>
      <c r="D87" s="47">
        <f>archetype_prototypes!E87</f>
        <v>0.25</v>
      </c>
      <c r="E87" s="47">
        <f t="shared" si="1"/>
        <v>0.25</v>
      </c>
      <c r="F87" s="47">
        <f t="shared" si="2"/>
        <v>0.6875</v>
      </c>
      <c r="G87" s="47">
        <f t="shared" si="3"/>
        <v>1</v>
      </c>
      <c r="H87" s="48">
        <f t="array" ref="H87">INDEX(dimensions!$E$2:$E$22,MATCH(C87,dimensions!$A$2:$A$22,0))</f>
        <v>1.6</v>
      </c>
      <c r="I87" s="47">
        <f t="shared" si="4"/>
        <v>0.4</v>
      </c>
      <c r="J87" s="47">
        <f t="shared" si="5"/>
        <v>1.1</v>
      </c>
      <c r="K87" s="47">
        <f t="shared" si="6"/>
        <v>1.6</v>
      </c>
      <c r="L87" s="5"/>
      <c r="M87" s="5"/>
      <c r="N87" s="5"/>
      <c r="O87" s="5"/>
      <c r="P87" s="5"/>
      <c r="Q87" s="5"/>
      <c r="R87" s="5"/>
      <c r="S87" s="5"/>
      <c r="T87" s="5"/>
      <c r="U87" s="5"/>
      <c r="V87" s="5"/>
      <c r="W87" s="5"/>
      <c r="X87" s="5"/>
      <c r="Y87" s="5"/>
      <c r="Z87" s="5"/>
    </row>
    <row r="88" ht="15.75" customHeight="1">
      <c r="A88" s="46" t="str">
        <f>archetype_prototypes!A88</f>
        <v>5</v>
      </c>
      <c r="B88" s="14" t="str">
        <f>archetype_prototypes!B88</f>
        <v>Explorer of Edges</v>
      </c>
      <c r="C88" s="14" t="str">
        <f>archetype_prototypes!C88</f>
        <v>DIM_PLANNED</v>
      </c>
      <c r="D88" s="47">
        <f>archetype_prototypes!E88</f>
        <v>0.25</v>
      </c>
      <c r="E88" s="47">
        <f t="shared" si="1"/>
        <v>0.25</v>
      </c>
      <c r="F88" s="47">
        <f t="shared" si="2"/>
        <v>0.6875</v>
      </c>
      <c r="G88" s="47">
        <f t="shared" si="3"/>
        <v>1</v>
      </c>
      <c r="H88" s="48">
        <f t="array" ref="H88">INDEX(dimensions!$E$2:$E$22,MATCH(C88,dimensions!$A$2:$A$22,0))</f>
        <v>1.3</v>
      </c>
      <c r="I88" s="47">
        <f t="shared" si="4"/>
        <v>0.325</v>
      </c>
      <c r="J88" s="47">
        <f t="shared" si="5"/>
        <v>0.89375</v>
      </c>
      <c r="K88" s="47">
        <f t="shared" si="6"/>
        <v>1.3</v>
      </c>
      <c r="L88" s="5"/>
      <c r="M88" s="5"/>
      <c r="N88" s="5"/>
      <c r="O88" s="5"/>
      <c r="P88" s="5"/>
      <c r="Q88" s="5"/>
      <c r="R88" s="5"/>
      <c r="S88" s="5"/>
      <c r="T88" s="5"/>
      <c r="U88" s="5"/>
      <c r="V88" s="5"/>
      <c r="W88" s="5"/>
      <c r="X88" s="5"/>
      <c r="Y88" s="5"/>
      <c r="Z88" s="5"/>
    </row>
    <row r="89" ht="15.75" customHeight="1">
      <c r="A89" s="46" t="str">
        <f>archetype_prototypes!A89</f>
        <v>5</v>
      </c>
      <c r="B89" s="14" t="str">
        <f>archetype_prototypes!B89</f>
        <v>Explorer of Edges</v>
      </c>
      <c r="C89" s="14" t="str">
        <f>archetype_prototypes!C89</f>
        <v>DIM_EMO_CONNECTION</v>
      </c>
      <c r="D89" s="47">
        <f>archetype_prototypes!E89</f>
        <v>0.4</v>
      </c>
      <c r="E89" s="47">
        <f t="shared" si="1"/>
        <v>0.4</v>
      </c>
      <c r="F89" s="47">
        <f t="shared" si="2"/>
        <v>0.74</v>
      </c>
      <c r="G89" s="47">
        <f t="shared" si="3"/>
        <v>1</v>
      </c>
      <c r="H89" s="48">
        <f t="array" ref="H89">INDEX(dimensions!$E$2:$E$22,MATCH(C89,dimensions!$A$2:$A$22,0))</f>
        <v>1.4</v>
      </c>
      <c r="I89" s="47">
        <f t="shared" si="4"/>
        <v>0.56</v>
      </c>
      <c r="J89" s="47">
        <f t="shared" si="5"/>
        <v>1.036</v>
      </c>
      <c r="K89" s="47">
        <f t="shared" si="6"/>
        <v>1.4</v>
      </c>
      <c r="L89" s="5"/>
      <c r="M89" s="5"/>
      <c r="N89" s="5"/>
      <c r="O89" s="5"/>
      <c r="P89" s="5"/>
      <c r="Q89" s="5"/>
      <c r="R89" s="5"/>
      <c r="S89" s="5"/>
      <c r="T89" s="5"/>
      <c r="U89" s="5"/>
      <c r="V89" s="5"/>
      <c r="W89" s="5"/>
      <c r="X89" s="5"/>
      <c r="Y89" s="5"/>
      <c r="Z89" s="5"/>
    </row>
    <row r="90" ht="15.75" customHeight="1">
      <c r="A90" s="46" t="str">
        <f>archetype_prototypes!A90</f>
        <v>5</v>
      </c>
      <c r="B90" s="14" t="str">
        <f>archetype_prototypes!B90</f>
        <v>Explorer of Edges</v>
      </c>
      <c r="C90" s="14" t="str">
        <f>archetype_prototypes!C90</f>
        <v>DIM_INTENSITY</v>
      </c>
      <c r="D90" s="47">
        <f>archetype_prototypes!E90</f>
        <v>0.9</v>
      </c>
      <c r="E90" s="47">
        <f t="shared" si="1"/>
        <v>0.1</v>
      </c>
      <c r="F90" s="47">
        <f t="shared" si="2"/>
        <v>0.59</v>
      </c>
      <c r="G90" s="47">
        <f t="shared" si="3"/>
        <v>1</v>
      </c>
      <c r="H90" s="48">
        <f t="array" ref="H90">INDEX(dimensions!$E$2:$E$22,MATCH(C90,dimensions!$A$2:$A$22,0))</f>
        <v>1.4</v>
      </c>
      <c r="I90" s="47">
        <f t="shared" si="4"/>
        <v>0.14</v>
      </c>
      <c r="J90" s="47">
        <f t="shared" si="5"/>
        <v>0.826</v>
      </c>
      <c r="K90" s="47">
        <f t="shared" si="6"/>
        <v>1.4</v>
      </c>
      <c r="L90" s="5"/>
      <c r="M90" s="5"/>
      <c r="N90" s="5"/>
      <c r="O90" s="5"/>
      <c r="P90" s="5"/>
      <c r="Q90" s="5"/>
      <c r="R90" s="5"/>
      <c r="S90" s="5"/>
      <c r="T90" s="5"/>
      <c r="U90" s="5"/>
      <c r="V90" s="5"/>
      <c r="W90" s="5"/>
      <c r="X90" s="5"/>
      <c r="Y90" s="5"/>
      <c r="Z90" s="5"/>
    </row>
    <row r="91" ht="15.75" customHeight="1">
      <c r="A91" s="46" t="str">
        <f>archetype_prototypes!A91</f>
        <v>5</v>
      </c>
      <c r="B91" s="14" t="str">
        <f>archetype_prototypes!B91</f>
        <v>Explorer of Edges</v>
      </c>
      <c r="C91" s="14" t="str">
        <f>archetype_prototypes!C91</f>
        <v>DIM_PURSUIT</v>
      </c>
      <c r="D91" s="47">
        <f>archetype_prototypes!E91</f>
        <v>0.7</v>
      </c>
      <c r="E91" s="47">
        <f t="shared" si="1"/>
        <v>0.3</v>
      </c>
      <c r="F91" s="47">
        <f t="shared" si="2"/>
        <v>0.71</v>
      </c>
      <c r="G91" s="47">
        <f t="shared" si="3"/>
        <v>1</v>
      </c>
      <c r="H91" s="48">
        <f t="array" ref="H91">INDEX(dimensions!$E$2:$E$22,MATCH(C91,dimensions!$A$2:$A$22,0))</f>
        <v>1.4</v>
      </c>
      <c r="I91" s="47">
        <f t="shared" si="4"/>
        <v>0.42</v>
      </c>
      <c r="J91" s="47">
        <f t="shared" si="5"/>
        <v>0.994</v>
      </c>
      <c r="K91" s="47">
        <f t="shared" si="6"/>
        <v>1.4</v>
      </c>
      <c r="L91" s="5"/>
      <c r="M91" s="5"/>
      <c r="N91" s="5"/>
      <c r="O91" s="5"/>
      <c r="P91" s="5"/>
      <c r="Q91" s="5"/>
      <c r="R91" s="5"/>
      <c r="S91" s="5"/>
      <c r="T91" s="5"/>
      <c r="U91" s="5"/>
      <c r="V91" s="5"/>
      <c r="W91" s="5"/>
      <c r="X91" s="5"/>
      <c r="Y91" s="5"/>
      <c r="Z91" s="5"/>
    </row>
    <row r="92" ht="15.75" customHeight="1">
      <c r="A92" s="46" t="str">
        <f>archetype_prototypes!A92</f>
        <v>5</v>
      </c>
      <c r="B92" s="14" t="str">
        <f>archetype_prototypes!B92</f>
        <v>Explorer of Edges</v>
      </c>
      <c r="C92" s="14" t="str">
        <f>archetype_prototypes!C92</f>
        <v>DIM_EDGE_NEED</v>
      </c>
      <c r="D92" s="47">
        <f>archetype_prototypes!E92</f>
        <v>0.9</v>
      </c>
      <c r="E92" s="47">
        <f t="shared" si="1"/>
        <v>0.1</v>
      </c>
      <c r="F92" s="47">
        <f t="shared" si="2"/>
        <v>0.59</v>
      </c>
      <c r="G92" s="47">
        <f t="shared" si="3"/>
        <v>1</v>
      </c>
      <c r="H92" s="48">
        <f t="array" ref="H92">INDEX(dimensions!$E$2:$E$22,MATCH(C92,dimensions!$A$2:$A$22,0))</f>
        <v>1.8</v>
      </c>
      <c r="I92" s="47">
        <f t="shared" si="4"/>
        <v>0.18</v>
      </c>
      <c r="J92" s="47">
        <f t="shared" si="5"/>
        <v>1.062</v>
      </c>
      <c r="K92" s="47">
        <f t="shared" si="6"/>
        <v>1.8</v>
      </c>
      <c r="L92" s="5"/>
      <c r="M92" s="5"/>
      <c r="N92" s="5"/>
      <c r="O92" s="5"/>
      <c r="P92" s="5"/>
      <c r="Q92" s="5"/>
      <c r="R92" s="5"/>
      <c r="S92" s="5"/>
      <c r="T92" s="5"/>
      <c r="U92" s="5"/>
      <c r="V92" s="5"/>
      <c r="W92" s="5"/>
      <c r="X92" s="5"/>
      <c r="Y92" s="5"/>
      <c r="Z92" s="5"/>
    </row>
    <row r="93" ht="15.75" customHeight="1">
      <c r="A93" s="46" t="str">
        <f>archetype_prototypes!A93</f>
        <v>5</v>
      </c>
      <c r="B93" s="14" t="str">
        <f>archetype_prototypes!B93</f>
        <v>Explorer of Edges</v>
      </c>
      <c r="C93" s="14" t="str">
        <f>archetype_prototypes!C93</f>
        <v>DIM_SACRED</v>
      </c>
      <c r="D93" s="47">
        <f>archetype_prototypes!E93</f>
        <v>0.2</v>
      </c>
      <c r="E93" s="47">
        <f t="shared" si="1"/>
        <v>0.2</v>
      </c>
      <c r="F93" s="47">
        <f t="shared" si="2"/>
        <v>0.66</v>
      </c>
      <c r="G93" s="47">
        <f t="shared" si="3"/>
        <v>1</v>
      </c>
      <c r="H93" s="48">
        <f t="array" ref="H93">INDEX(dimensions!$E$2:$E$22,MATCH(C93,dimensions!$A$2:$A$22,0))</f>
        <v>2</v>
      </c>
      <c r="I93" s="47">
        <f t="shared" si="4"/>
        <v>0.4</v>
      </c>
      <c r="J93" s="47">
        <f t="shared" si="5"/>
        <v>1.32</v>
      </c>
      <c r="K93" s="47">
        <f t="shared" si="6"/>
        <v>2</v>
      </c>
      <c r="L93" s="5"/>
      <c r="M93" s="5"/>
      <c r="N93" s="5"/>
      <c r="O93" s="5"/>
      <c r="P93" s="5"/>
      <c r="Q93" s="5"/>
      <c r="R93" s="5"/>
      <c r="S93" s="5"/>
      <c r="T93" s="5"/>
      <c r="U93" s="5"/>
      <c r="V93" s="5"/>
      <c r="W93" s="5"/>
      <c r="X93" s="5"/>
      <c r="Y93" s="5"/>
      <c r="Z93" s="5"/>
    </row>
    <row r="94" ht="15.75" customHeight="1">
      <c r="A94" s="46" t="str">
        <f>archetype_prototypes!A94</f>
        <v>5</v>
      </c>
      <c r="B94" s="14" t="str">
        <f>archetype_prototypes!B94</f>
        <v>Explorer of Edges</v>
      </c>
      <c r="C94" s="14" t="str">
        <f>archetype_prototypes!C94</f>
        <v>DIM_RISK_PREF</v>
      </c>
      <c r="D94" s="47">
        <f>archetype_prototypes!E94</f>
        <v>0.9</v>
      </c>
      <c r="E94" s="47">
        <f t="shared" si="1"/>
        <v>0.1</v>
      </c>
      <c r="F94" s="47">
        <f t="shared" si="2"/>
        <v>0.59</v>
      </c>
      <c r="G94" s="47">
        <f t="shared" si="3"/>
        <v>1</v>
      </c>
      <c r="H94" s="48">
        <f t="array" ref="H94">INDEX(dimensions!$E$2:$E$22,MATCH(C94,dimensions!$A$2:$A$22,0))</f>
        <v>1.6</v>
      </c>
      <c r="I94" s="47">
        <f t="shared" si="4"/>
        <v>0.16</v>
      </c>
      <c r="J94" s="47">
        <f t="shared" si="5"/>
        <v>0.944</v>
      </c>
      <c r="K94" s="47">
        <f t="shared" si="6"/>
        <v>1.6</v>
      </c>
      <c r="L94" s="5"/>
      <c r="M94" s="5"/>
      <c r="N94" s="5"/>
      <c r="O94" s="5"/>
      <c r="P94" s="5"/>
      <c r="Q94" s="5"/>
      <c r="R94" s="5"/>
      <c r="S94" s="5"/>
      <c r="T94" s="5"/>
      <c r="U94" s="5"/>
      <c r="V94" s="5"/>
      <c r="W94" s="5"/>
      <c r="X94" s="5"/>
      <c r="Y94" s="5"/>
      <c r="Z94" s="5"/>
    </row>
    <row r="95" ht="15.75" customHeight="1">
      <c r="A95" s="46" t="str">
        <f>archetype_prototypes!A95</f>
        <v>5</v>
      </c>
      <c r="B95" s="14" t="str">
        <f>archetype_prototypes!B95</f>
        <v>Explorer of Edges</v>
      </c>
      <c r="C95" s="14" t="str">
        <f>archetype_prototypes!C95</f>
        <v>DIM_FEEDBACK_DEP</v>
      </c>
      <c r="D95" s="47">
        <f>archetype_prototypes!E95</f>
        <v>0.45</v>
      </c>
      <c r="E95" s="47">
        <f t="shared" si="1"/>
        <v>0.45</v>
      </c>
      <c r="F95" s="47">
        <f t="shared" si="2"/>
        <v>0.7475</v>
      </c>
      <c r="G95" s="47">
        <f t="shared" si="3"/>
        <v>1</v>
      </c>
      <c r="H95" s="48">
        <f t="array" ref="H95">INDEX(dimensions!$E$2:$E$22,MATCH(C95,dimensions!$A$2:$A$22,0))</f>
        <v>2</v>
      </c>
      <c r="I95" s="47">
        <f t="shared" si="4"/>
        <v>0.9</v>
      </c>
      <c r="J95" s="47">
        <f t="shared" si="5"/>
        <v>1.495</v>
      </c>
      <c r="K95" s="47">
        <f t="shared" si="6"/>
        <v>2</v>
      </c>
      <c r="L95" s="5"/>
      <c r="M95" s="5"/>
      <c r="N95" s="5"/>
      <c r="O95" s="5"/>
      <c r="P95" s="5"/>
      <c r="Q95" s="5"/>
      <c r="R95" s="5"/>
      <c r="S95" s="5"/>
      <c r="T95" s="5"/>
      <c r="U95" s="5"/>
      <c r="V95" s="5"/>
      <c r="W95" s="5"/>
      <c r="X95" s="5"/>
      <c r="Y95" s="5"/>
      <c r="Z95" s="5"/>
    </row>
    <row r="96" ht="15.75" customHeight="1">
      <c r="A96" s="46" t="str">
        <f>archetype_prototypes!A96</f>
        <v>5</v>
      </c>
      <c r="B96" s="14" t="str">
        <f>archetype_prototypes!B96</f>
        <v>Explorer of Edges</v>
      </c>
      <c r="C96" s="14" t="str">
        <f>archetype_prototypes!C96</f>
        <v>DIM_TURNON_EXPRESS</v>
      </c>
      <c r="D96" s="47">
        <f>archetype_prototypes!E96</f>
        <v>0.8</v>
      </c>
      <c r="E96" s="47">
        <f t="shared" si="1"/>
        <v>0.2</v>
      </c>
      <c r="F96" s="47">
        <f t="shared" si="2"/>
        <v>0.66</v>
      </c>
      <c r="G96" s="47">
        <f t="shared" si="3"/>
        <v>1</v>
      </c>
      <c r="H96" s="48">
        <f t="array" ref="H96">INDEX(dimensions!$E$2:$E$22,MATCH(C96,dimensions!$A$2:$A$22,0))</f>
        <v>1.3</v>
      </c>
      <c r="I96" s="47">
        <f t="shared" si="4"/>
        <v>0.26</v>
      </c>
      <c r="J96" s="47">
        <f t="shared" si="5"/>
        <v>0.858</v>
      </c>
      <c r="K96" s="47">
        <f t="shared" si="6"/>
        <v>1.3</v>
      </c>
      <c r="L96" s="5"/>
      <c r="M96" s="5"/>
      <c r="N96" s="5"/>
      <c r="O96" s="5"/>
      <c r="P96" s="5"/>
      <c r="Q96" s="5"/>
      <c r="R96" s="5"/>
      <c r="S96" s="5"/>
      <c r="T96" s="5"/>
      <c r="U96" s="5"/>
      <c r="V96" s="5"/>
      <c r="W96" s="5"/>
      <c r="X96" s="5"/>
      <c r="Y96" s="5"/>
      <c r="Z96" s="5"/>
    </row>
    <row r="97" ht="15.75" customHeight="1">
      <c r="A97" s="46" t="str">
        <f>archetype_prototypes!A97</f>
        <v>5</v>
      </c>
      <c r="B97" s="14" t="str">
        <f>archetype_prototypes!B97</f>
        <v>Explorer of Edges</v>
      </c>
      <c r="C97" s="14" t="str">
        <f>archetype_prototypes!C97</f>
        <v>DIM_BOUNDARY_EXPRESS</v>
      </c>
      <c r="D97" s="47">
        <f>archetype_prototypes!E97</f>
        <v>0.85</v>
      </c>
      <c r="E97" s="47">
        <f t="shared" si="1"/>
        <v>0.15</v>
      </c>
      <c r="F97" s="47">
        <f t="shared" si="2"/>
        <v>0.6275</v>
      </c>
      <c r="G97" s="47">
        <f t="shared" si="3"/>
        <v>1</v>
      </c>
      <c r="H97" s="48">
        <f t="array" ref="H97">INDEX(dimensions!$E$2:$E$22,MATCH(C97,dimensions!$A$2:$A$22,0))</f>
        <v>1.3</v>
      </c>
      <c r="I97" s="47">
        <f t="shared" si="4"/>
        <v>0.195</v>
      </c>
      <c r="J97" s="47">
        <f t="shared" si="5"/>
        <v>0.81575</v>
      </c>
      <c r="K97" s="47">
        <f t="shared" si="6"/>
        <v>1.3</v>
      </c>
      <c r="L97" s="5"/>
      <c r="M97" s="5"/>
      <c r="N97" s="5"/>
      <c r="O97" s="5"/>
      <c r="P97" s="5"/>
      <c r="Q97" s="5"/>
      <c r="R97" s="5"/>
      <c r="S97" s="5"/>
      <c r="T97" s="5"/>
      <c r="U97" s="5"/>
      <c r="V97" s="5"/>
      <c r="W97" s="5"/>
      <c r="X97" s="5"/>
      <c r="Y97" s="5"/>
      <c r="Z97" s="5"/>
    </row>
    <row r="98" ht="15.75" customHeight="1">
      <c r="A98" s="46" t="str">
        <f>archetype_prototypes!A98</f>
        <v>5</v>
      </c>
      <c r="B98" s="14" t="str">
        <f>archetype_prototypes!B98</f>
        <v>Explorer of Edges</v>
      </c>
      <c r="C98" s="14" t="str">
        <f>archetype_prototypes!C98</f>
        <v>DIM_PROTOCOL</v>
      </c>
      <c r="D98" s="47">
        <f>archetype_prototypes!E98</f>
        <v>0.55</v>
      </c>
      <c r="E98" s="47">
        <f t="shared" si="1"/>
        <v>0.45</v>
      </c>
      <c r="F98" s="47">
        <f t="shared" si="2"/>
        <v>0.7475</v>
      </c>
      <c r="G98" s="47">
        <f t="shared" si="3"/>
        <v>1</v>
      </c>
      <c r="H98" s="48">
        <f t="array" ref="H98">INDEX(dimensions!$E$2:$E$22,MATCH(C98,dimensions!$A$2:$A$22,0))</f>
        <v>1.6</v>
      </c>
      <c r="I98" s="47">
        <f t="shared" si="4"/>
        <v>0.72</v>
      </c>
      <c r="J98" s="47">
        <f t="shared" si="5"/>
        <v>1.196</v>
      </c>
      <c r="K98" s="47">
        <f t="shared" si="6"/>
        <v>1.6</v>
      </c>
      <c r="L98" s="5"/>
      <c r="M98" s="5"/>
      <c r="N98" s="5"/>
      <c r="O98" s="5"/>
      <c r="P98" s="5"/>
      <c r="Q98" s="5"/>
      <c r="R98" s="5"/>
      <c r="S98" s="5"/>
      <c r="T98" s="5"/>
      <c r="U98" s="5"/>
      <c r="V98" s="5"/>
      <c r="W98" s="5"/>
      <c r="X98" s="5"/>
      <c r="Y98" s="5"/>
      <c r="Z98" s="5"/>
    </row>
    <row r="99" ht="15.75" customHeight="1">
      <c r="A99" s="46" t="str">
        <f>archetype_prototypes!A99</f>
        <v>5</v>
      </c>
      <c r="B99" s="14" t="str">
        <f>archetype_prototypes!B99</f>
        <v>Explorer of Edges</v>
      </c>
      <c r="C99" s="14" t="str">
        <f>archetype_prototypes!C99</f>
        <v>DIM_SOOTHING</v>
      </c>
      <c r="D99" s="47">
        <f>archetype_prototypes!E99</f>
        <v>0.15</v>
      </c>
      <c r="E99" s="47">
        <f t="shared" si="1"/>
        <v>0.15</v>
      </c>
      <c r="F99" s="47">
        <f t="shared" si="2"/>
        <v>0.6275</v>
      </c>
      <c r="G99" s="47">
        <f t="shared" si="3"/>
        <v>1</v>
      </c>
      <c r="H99" s="48">
        <f t="array" ref="H99">INDEX(dimensions!$E$2:$E$22,MATCH(C99,dimensions!$A$2:$A$22,0))</f>
        <v>1.9</v>
      </c>
      <c r="I99" s="47">
        <f t="shared" si="4"/>
        <v>0.285</v>
      </c>
      <c r="J99" s="47">
        <f t="shared" si="5"/>
        <v>1.19225</v>
      </c>
      <c r="K99" s="47">
        <f t="shared" si="6"/>
        <v>1.9</v>
      </c>
      <c r="L99" s="5"/>
      <c r="M99" s="5"/>
      <c r="N99" s="5"/>
      <c r="O99" s="5"/>
      <c r="P99" s="5"/>
      <c r="Q99" s="5"/>
      <c r="R99" s="5"/>
      <c r="S99" s="5"/>
      <c r="T99" s="5"/>
      <c r="U99" s="5"/>
      <c r="V99" s="5"/>
      <c r="W99" s="5"/>
      <c r="X99" s="5"/>
      <c r="Y99" s="5"/>
      <c r="Z99" s="5"/>
    </row>
    <row r="100" ht="15.75" customHeight="1">
      <c r="A100" s="46" t="str">
        <f>archetype_prototypes!A100</f>
        <v>5</v>
      </c>
      <c r="B100" s="14" t="str">
        <f>archetype_prototypes!B100</f>
        <v>Explorer of Edges</v>
      </c>
      <c r="C100" s="14" t="str">
        <f>archetype_prototypes!C100</f>
        <v>DIM_SECURE</v>
      </c>
      <c r="D100" s="47">
        <f>archetype_prototypes!E100</f>
        <v>0.4</v>
      </c>
      <c r="E100" s="47">
        <f t="shared" si="1"/>
        <v>0.4</v>
      </c>
      <c r="F100" s="47">
        <f t="shared" si="2"/>
        <v>0.74</v>
      </c>
      <c r="G100" s="47">
        <f t="shared" si="3"/>
        <v>1</v>
      </c>
      <c r="H100" s="48">
        <f t="array" ref="H100">INDEX(dimensions!$E$2:$E$22,MATCH(C100,dimensions!$A$2:$A$22,0))</f>
        <v>1</v>
      </c>
      <c r="I100" s="47">
        <f t="shared" si="4"/>
        <v>0.4</v>
      </c>
      <c r="J100" s="47">
        <f t="shared" si="5"/>
        <v>0.74</v>
      </c>
      <c r="K100" s="47">
        <f t="shared" si="6"/>
        <v>1</v>
      </c>
      <c r="L100" s="5"/>
      <c r="M100" s="5"/>
      <c r="N100" s="5"/>
      <c r="O100" s="5"/>
      <c r="P100" s="5"/>
      <c r="Q100" s="5"/>
      <c r="R100" s="5"/>
      <c r="S100" s="5"/>
      <c r="T100" s="5"/>
      <c r="U100" s="5"/>
      <c r="V100" s="5"/>
      <c r="W100" s="5"/>
      <c r="X100" s="5"/>
      <c r="Y100" s="5"/>
      <c r="Z100" s="5"/>
    </row>
    <row r="101" ht="15.75" customHeight="1">
      <c r="A101" s="46" t="str">
        <f>archetype_prototypes!A101</f>
        <v>5</v>
      </c>
      <c r="B101" s="14" t="str">
        <f>archetype_prototypes!B101</f>
        <v>Explorer of Edges</v>
      </c>
      <c r="C101" s="14" t="str">
        <f>archetype_prototypes!C101</f>
        <v>DIM_REPAIR_EROTICISM</v>
      </c>
      <c r="D101" s="47">
        <f>archetype_prototypes!E101</f>
        <v>0.2</v>
      </c>
      <c r="E101" s="47">
        <f t="shared" si="1"/>
        <v>0.2</v>
      </c>
      <c r="F101" s="47">
        <f t="shared" si="2"/>
        <v>0.66</v>
      </c>
      <c r="G101" s="47">
        <f t="shared" si="3"/>
        <v>1</v>
      </c>
      <c r="H101" s="48">
        <f t="array" ref="H101">INDEX(dimensions!$E$2:$E$22,MATCH(C101,dimensions!$A$2:$A$22,0))</f>
        <v>1.6</v>
      </c>
      <c r="I101" s="47">
        <f t="shared" si="4"/>
        <v>0.32</v>
      </c>
      <c r="J101" s="47">
        <f t="shared" si="5"/>
        <v>1.056</v>
      </c>
      <c r="K101" s="47">
        <f t="shared" si="6"/>
        <v>1.6</v>
      </c>
      <c r="L101" s="5"/>
      <c r="M101" s="5"/>
      <c r="N101" s="5"/>
      <c r="O101" s="5"/>
      <c r="P101" s="5"/>
      <c r="Q101" s="5"/>
      <c r="R101" s="5"/>
      <c r="S101" s="5"/>
      <c r="T101" s="5"/>
      <c r="U101" s="5"/>
      <c r="V101" s="5"/>
      <c r="W101" s="5"/>
      <c r="X101" s="5"/>
      <c r="Y101" s="5"/>
      <c r="Z101" s="5"/>
    </row>
    <row r="102" ht="15.75" customHeight="1">
      <c r="A102" s="46" t="str">
        <f>archetype_prototypes!A102</f>
        <v>5</v>
      </c>
      <c r="B102" s="14" t="str">
        <f>archetype_prototypes!B102</f>
        <v>Explorer of Edges</v>
      </c>
      <c r="C102" s="14" t="str">
        <f>archetype_prototypes!C102</f>
        <v>DIM_PRESSURE_SHUTDOWN</v>
      </c>
      <c r="D102" s="47">
        <f>archetype_prototypes!E102</f>
        <v>0.2</v>
      </c>
      <c r="E102" s="47">
        <f t="shared" si="1"/>
        <v>0.2</v>
      </c>
      <c r="F102" s="47">
        <f t="shared" si="2"/>
        <v>0.66</v>
      </c>
      <c r="G102" s="47">
        <f t="shared" si="3"/>
        <v>1</v>
      </c>
      <c r="H102" s="48">
        <f t="array" ref="H102">INDEX(dimensions!$E$2:$E$22,MATCH(C102,dimensions!$A$2:$A$22,0))</f>
        <v>2</v>
      </c>
      <c r="I102" s="47">
        <f t="shared" si="4"/>
        <v>0.4</v>
      </c>
      <c r="J102" s="47">
        <f t="shared" si="5"/>
        <v>1.32</v>
      </c>
      <c r="K102" s="47">
        <f t="shared" si="6"/>
        <v>2</v>
      </c>
      <c r="L102" s="5"/>
      <c r="M102" s="5"/>
      <c r="N102" s="5"/>
      <c r="O102" s="5"/>
      <c r="P102" s="5"/>
      <c r="Q102" s="5"/>
      <c r="R102" s="5"/>
      <c r="S102" s="5"/>
      <c r="T102" s="5"/>
      <c r="U102" s="5"/>
      <c r="V102" s="5"/>
      <c r="W102" s="5"/>
      <c r="X102" s="5"/>
      <c r="Y102" s="5"/>
      <c r="Z102" s="5"/>
    </row>
    <row r="103" ht="15.75" customHeight="1">
      <c r="A103" s="46" t="str">
        <f>archetype_prototypes!A103</f>
        <v>5</v>
      </c>
      <c r="B103" s="14" t="str">
        <f>archetype_prototypes!B103</f>
        <v>Explorer of Edges</v>
      </c>
      <c r="C103" s="14" t="str">
        <f>archetype_prototypes!C103</f>
        <v>DIM_AVOIDANT</v>
      </c>
      <c r="D103" s="47">
        <f>archetype_prototypes!E103</f>
        <v>0.6</v>
      </c>
      <c r="E103" s="47">
        <f t="shared" si="1"/>
        <v>0.4</v>
      </c>
      <c r="F103" s="47">
        <f t="shared" si="2"/>
        <v>0.74</v>
      </c>
      <c r="G103" s="47">
        <f t="shared" si="3"/>
        <v>1</v>
      </c>
      <c r="H103" s="48">
        <f t="array" ref="H103">INDEX(dimensions!$E$2:$E$22,MATCH(C103,dimensions!$A$2:$A$22,0))</f>
        <v>1.3</v>
      </c>
      <c r="I103" s="47">
        <f t="shared" si="4"/>
        <v>0.52</v>
      </c>
      <c r="J103" s="47">
        <f t="shared" si="5"/>
        <v>0.962</v>
      </c>
      <c r="K103" s="47">
        <f t="shared" si="6"/>
        <v>1.3</v>
      </c>
      <c r="L103" s="5"/>
      <c r="M103" s="5"/>
      <c r="N103" s="5"/>
      <c r="O103" s="5"/>
      <c r="P103" s="5"/>
      <c r="Q103" s="5"/>
      <c r="R103" s="5"/>
      <c r="S103" s="5"/>
      <c r="T103" s="5"/>
      <c r="U103" s="5"/>
      <c r="V103" s="5"/>
      <c r="W103" s="5"/>
      <c r="X103" s="5"/>
      <c r="Y103" s="5"/>
      <c r="Z103" s="5"/>
    </row>
    <row r="104" ht="15.75" customHeight="1">
      <c r="A104" s="46" t="str">
        <f>archetype_prototypes!A104</f>
        <v>5</v>
      </c>
      <c r="B104" s="14" t="str">
        <f>archetype_prototypes!B104</f>
        <v>Explorer of Edges</v>
      </c>
      <c r="C104" s="14" t="str">
        <f>archetype_prototypes!C104</f>
        <v>DIM_STRATEGY</v>
      </c>
      <c r="D104" s="47">
        <f>archetype_prototypes!E104</f>
        <v>0.25</v>
      </c>
      <c r="E104" s="47">
        <f t="shared" si="1"/>
        <v>0.25</v>
      </c>
      <c r="F104" s="47">
        <f t="shared" si="2"/>
        <v>0.6875</v>
      </c>
      <c r="G104" s="47">
        <f t="shared" si="3"/>
        <v>1</v>
      </c>
      <c r="H104" s="48">
        <f t="array" ref="H104">INDEX(dimensions!$E$2:$E$22,MATCH(C104,dimensions!$A$2:$A$22,0))</f>
        <v>1.2</v>
      </c>
      <c r="I104" s="47">
        <f t="shared" si="4"/>
        <v>0.3</v>
      </c>
      <c r="J104" s="47">
        <f t="shared" si="5"/>
        <v>0.825</v>
      </c>
      <c r="K104" s="47">
        <f t="shared" si="6"/>
        <v>1.2</v>
      </c>
      <c r="L104" s="5"/>
      <c r="M104" s="5"/>
      <c r="N104" s="5"/>
      <c r="O104" s="5"/>
      <c r="P104" s="5"/>
      <c r="Q104" s="5"/>
      <c r="R104" s="5"/>
      <c r="S104" s="5"/>
      <c r="T104" s="5"/>
      <c r="U104" s="5"/>
      <c r="V104" s="5"/>
      <c r="W104" s="5"/>
      <c r="X104" s="5"/>
      <c r="Y104" s="5"/>
      <c r="Z104" s="5"/>
    </row>
    <row r="105" ht="15.75" customHeight="1">
      <c r="A105" s="46" t="str">
        <f>archetype_prototypes!A105</f>
        <v>5</v>
      </c>
      <c r="B105" s="14" t="str">
        <f>archetype_prototypes!B105</f>
        <v>Explorer of Edges</v>
      </c>
      <c r="C105" s="14" t="str">
        <f>archetype_prototypes!C105</f>
        <v>DIM_CLOSENESS_ORIENTATION</v>
      </c>
      <c r="D105" s="47">
        <f>archetype_prototypes!E105</f>
        <v>0.2</v>
      </c>
      <c r="E105" s="47">
        <f t="shared" si="1"/>
        <v>0.2</v>
      </c>
      <c r="F105" s="47">
        <f t="shared" si="2"/>
        <v>0.66</v>
      </c>
      <c r="G105" s="47">
        <f t="shared" si="3"/>
        <v>1</v>
      </c>
      <c r="H105" s="48">
        <f t="array" ref="H105">INDEX(dimensions!$E$2:$E$22,MATCH(C105,dimensions!$A$2:$A$22,0))</f>
        <v>1</v>
      </c>
      <c r="I105" s="47">
        <f t="shared" si="4"/>
        <v>0.2</v>
      </c>
      <c r="J105" s="47">
        <f t="shared" si="5"/>
        <v>0.66</v>
      </c>
      <c r="K105" s="47">
        <f t="shared" si="6"/>
        <v>1</v>
      </c>
      <c r="L105" s="5"/>
      <c r="M105" s="5"/>
      <c r="N105" s="5"/>
      <c r="O105" s="5"/>
      <c r="P105" s="5"/>
      <c r="Q105" s="5"/>
      <c r="R105" s="5"/>
      <c r="S105" s="5"/>
      <c r="T105" s="5"/>
      <c r="U105" s="5"/>
      <c r="V105" s="5"/>
      <c r="W105" s="5"/>
      <c r="X105" s="5"/>
      <c r="Y105" s="5"/>
      <c r="Z105" s="5"/>
    </row>
    <row r="106" ht="15.75" customHeight="1">
      <c r="A106" s="46" t="str">
        <f>archetype_prototypes!A106</f>
        <v>5</v>
      </c>
      <c r="B106" s="14" t="str">
        <f>archetype_prototypes!B106</f>
        <v>Explorer of Edges</v>
      </c>
      <c r="C106" s="14" t="str">
        <f>archetype_prototypes!C106</f>
        <v>DIM_PARTNER_FOCUS</v>
      </c>
      <c r="D106" s="47">
        <f>archetype_prototypes!E106</f>
        <v>0.25</v>
      </c>
      <c r="E106" s="47">
        <f t="shared" si="1"/>
        <v>0.25</v>
      </c>
      <c r="F106" s="47">
        <f t="shared" si="2"/>
        <v>0.6875</v>
      </c>
      <c r="G106" s="47">
        <f t="shared" si="3"/>
        <v>1</v>
      </c>
      <c r="H106" s="48">
        <f t="array" ref="H106">INDEX(dimensions!$E$2:$E$22,MATCH(C106,dimensions!$A$2:$A$22,0))</f>
        <v>1.2</v>
      </c>
      <c r="I106" s="47">
        <f t="shared" si="4"/>
        <v>0.3</v>
      </c>
      <c r="J106" s="47">
        <f t="shared" si="5"/>
        <v>0.825</v>
      </c>
      <c r="K106" s="47">
        <f t="shared" si="6"/>
        <v>1.2</v>
      </c>
      <c r="L106" s="5"/>
      <c r="M106" s="5"/>
      <c r="N106" s="5"/>
      <c r="O106" s="5"/>
      <c r="P106" s="5"/>
      <c r="Q106" s="5"/>
      <c r="R106" s="5"/>
      <c r="S106" s="5"/>
      <c r="T106" s="5"/>
      <c r="U106" s="5"/>
      <c r="V106" s="5"/>
      <c r="W106" s="5"/>
      <c r="X106" s="5"/>
      <c r="Y106" s="5"/>
      <c r="Z106" s="5"/>
    </row>
    <row r="107" ht="15.75" customHeight="1">
      <c r="A107" s="46" t="str">
        <f>archetype_prototypes!A107</f>
        <v>6</v>
      </c>
      <c r="B107" s="14" t="str">
        <f>archetype_prototypes!B107</f>
        <v>Curious Apprentice</v>
      </c>
      <c r="C107" s="14" t="str">
        <f>archetype_prototypes!C107</f>
        <v>DIM_NOVELTY</v>
      </c>
      <c r="D107" s="47">
        <f>archetype_prototypes!E107</f>
        <v>0.55</v>
      </c>
      <c r="E107" s="47">
        <f t="shared" si="1"/>
        <v>0.45</v>
      </c>
      <c r="F107" s="47">
        <f t="shared" si="2"/>
        <v>0.7475</v>
      </c>
      <c r="G107" s="47">
        <f t="shared" si="3"/>
        <v>1</v>
      </c>
      <c r="H107" s="48">
        <f t="array" ref="H107">INDEX(dimensions!$E$2:$E$22,MATCH(C107,dimensions!$A$2:$A$22,0))</f>
        <v>1.4</v>
      </c>
      <c r="I107" s="47">
        <f t="shared" si="4"/>
        <v>0.63</v>
      </c>
      <c r="J107" s="47">
        <f t="shared" si="5"/>
        <v>1.0465</v>
      </c>
      <c r="K107" s="47">
        <f t="shared" si="6"/>
        <v>1.4</v>
      </c>
      <c r="L107" s="5"/>
      <c r="M107" s="5"/>
      <c r="N107" s="5"/>
      <c r="O107" s="5"/>
      <c r="P107" s="5"/>
      <c r="Q107" s="5"/>
      <c r="R107" s="5"/>
      <c r="S107" s="5"/>
      <c r="T107" s="5"/>
      <c r="U107" s="5"/>
      <c r="V107" s="5"/>
      <c r="W107" s="5"/>
      <c r="X107" s="5"/>
      <c r="Y107" s="5"/>
      <c r="Z107" s="5"/>
    </row>
    <row r="108" ht="15.75" customHeight="1">
      <c r="A108" s="46" t="str">
        <f>archetype_prototypes!A108</f>
        <v>6</v>
      </c>
      <c r="B108" s="14" t="str">
        <f>archetype_prototypes!B108</f>
        <v>Curious Apprentice</v>
      </c>
      <c r="C108" s="14" t="str">
        <f>archetype_prototypes!C108</f>
        <v>DIM_RESPONSIVE</v>
      </c>
      <c r="D108" s="47">
        <f>archetype_prototypes!E108</f>
        <v>0.55</v>
      </c>
      <c r="E108" s="47">
        <f t="shared" si="1"/>
        <v>0.45</v>
      </c>
      <c r="F108" s="47">
        <f t="shared" si="2"/>
        <v>0.7475</v>
      </c>
      <c r="G108" s="47">
        <f t="shared" si="3"/>
        <v>1</v>
      </c>
      <c r="H108" s="48">
        <f t="array" ref="H108">INDEX(dimensions!$E$2:$E$22,MATCH(C108,dimensions!$A$2:$A$22,0))</f>
        <v>1.6</v>
      </c>
      <c r="I108" s="47">
        <f t="shared" si="4"/>
        <v>0.72</v>
      </c>
      <c r="J108" s="47">
        <f t="shared" si="5"/>
        <v>1.196</v>
      </c>
      <c r="K108" s="47">
        <f t="shared" si="6"/>
        <v>1.6</v>
      </c>
      <c r="L108" s="5"/>
      <c r="M108" s="5"/>
      <c r="N108" s="5"/>
      <c r="O108" s="5"/>
      <c r="P108" s="5"/>
      <c r="Q108" s="5"/>
      <c r="R108" s="5"/>
      <c r="S108" s="5"/>
      <c r="T108" s="5"/>
      <c r="U108" s="5"/>
      <c r="V108" s="5"/>
      <c r="W108" s="5"/>
      <c r="X108" s="5"/>
      <c r="Y108" s="5"/>
      <c r="Z108" s="5"/>
    </row>
    <row r="109" ht="15.75" customHeight="1">
      <c r="A109" s="46" t="str">
        <f>archetype_prototypes!A109</f>
        <v>6</v>
      </c>
      <c r="B109" s="14" t="str">
        <f>archetype_prototypes!B109</f>
        <v>Curious Apprentice</v>
      </c>
      <c r="C109" s="14" t="str">
        <f>archetype_prototypes!C109</f>
        <v>DIM_PLANNED</v>
      </c>
      <c r="D109" s="47">
        <f>archetype_prototypes!E109</f>
        <v>0.55</v>
      </c>
      <c r="E109" s="47">
        <f t="shared" si="1"/>
        <v>0.45</v>
      </c>
      <c r="F109" s="47">
        <f t="shared" si="2"/>
        <v>0.7475</v>
      </c>
      <c r="G109" s="47">
        <f t="shared" si="3"/>
        <v>1</v>
      </c>
      <c r="H109" s="48">
        <f t="array" ref="H109">INDEX(dimensions!$E$2:$E$22,MATCH(C109,dimensions!$A$2:$A$22,0))</f>
        <v>1.3</v>
      </c>
      <c r="I109" s="47">
        <f t="shared" si="4"/>
        <v>0.585</v>
      </c>
      <c r="J109" s="47">
        <f t="shared" si="5"/>
        <v>0.97175</v>
      </c>
      <c r="K109" s="47">
        <f t="shared" si="6"/>
        <v>1.3</v>
      </c>
      <c r="L109" s="5"/>
      <c r="M109" s="5"/>
      <c r="N109" s="5"/>
      <c r="O109" s="5"/>
      <c r="P109" s="5"/>
      <c r="Q109" s="5"/>
      <c r="R109" s="5"/>
      <c r="S109" s="5"/>
      <c r="T109" s="5"/>
      <c r="U109" s="5"/>
      <c r="V109" s="5"/>
      <c r="W109" s="5"/>
      <c r="X109" s="5"/>
      <c r="Y109" s="5"/>
      <c r="Z109" s="5"/>
    </row>
    <row r="110" ht="15.75" customHeight="1">
      <c r="A110" s="46" t="str">
        <f>archetype_prototypes!A110</f>
        <v>6</v>
      </c>
      <c r="B110" s="14" t="str">
        <f>archetype_prototypes!B110</f>
        <v>Curious Apprentice</v>
      </c>
      <c r="C110" s="14" t="str">
        <f>archetype_prototypes!C110</f>
        <v>DIM_EMO_CONNECTION</v>
      </c>
      <c r="D110" s="47">
        <f>archetype_prototypes!E110</f>
        <v>0.55</v>
      </c>
      <c r="E110" s="47">
        <f t="shared" si="1"/>
        <v>0.45</v>
      </c>
      <c r="F110" s="47">
        <f t="shared" si="2"/>
        <v>0.7475</v>
      </c>
      <c r="G110" s="47">
        <f t="shared" si="3"/>
        <v>1</v>
      </c>
      <c r="H110" s="48">
        <f t="array" ref="H110">INDEX(dimensions!$E$2:$E$22,MATCH(C110,dimensions!$A$2:$A$22,0))</f>
        <v>1.4</v>
      </c>
      <c r="I110" s="47">
        <f t="shared" si="4"/>
        <v>0.63</v>
      </c>
      <c r="J110" s="47">
        <f t="shared" si="5"/>
        <v>1.0465</v>
      </c>
      <c r="K110" s="47">
        <f t="shared" si="6"/>
        <v>1.4</v>
      </c>
      <c r="L110" s="5"/>
      <c r="M110" s="5"/>
      <c r="N110" s="5"/>
      <c r="O110" s="5"/>
      <c r="P110" s="5"/>
      <c r="Q110" s="5"/>
      <c r="R110" s="5"/>
      <c r="S110" s="5"/>
      <c r="T110" s="5"/>
      <c r="U110" s="5"/>
      <c r="V110" s="5"/>
      <c r="W110" s="5"/>
      <c r="X110" s="5"/>
      <c r="Y110" s="5"/>
      <c r="Z110" s="5"/>
    </row>
    <row r="111" ht="15.75" customHeight="1">
      <c r="A111" s="46" t="str">
        <f>archetype_prototypes!A111</f>
        <v>6</v>
      </c>
      <c r="B111" s="14" t="str">
        <f>archetype_prototypes!B111</f>
        <v>Curious Apprentice</v>
      </c>
      <c r="C111" s="14" t="str">
        <f>archetype_prototypes!C111</f>
        <v>DIM_INTENSITY</v>
      </c>
      <c r="D111" s="47">
        <f>archetype_prototypes!E111</f>
        <v>0.55</v>
      </c>
      <c r="E111" s="47">
        <f t="shared" si="1"/>
        <v>0.45</v>
      </c>
      <c r="F111" s="47">
        <f t="shared" si="2"/>
        <v>0.7475</v>
      </c>
      <c r="G111" s="47">
        <f t="shared" si="3"/>
        <v>1</v>
      </c>
      <c r="H111" s="48">
        <f t="array" ref="H111">INDEX(dimensions!$E$2:$E$22,MATCH(C111,dimensions!$A$2:$A$22,0))</f>
        <v>1.4</v>
      </c>
      <c r="I111" s="47">
        <f t="shared" si="4"/>
        <v>0.63</v>
      </c>
      <c r="J111" s="47">
        <f t="shared" si="5"/>
        <v>1.0465</v>
      </c>
      <c r="K111" s="47">
        <f t="shared" si="6"/>
        <v>1.4</v>
      </c>
      <c r="L111" s="5"/>
      <c r="M111" s="5"/>
      <c r="N111" s="5"/>
      <c r="O111" s="5"/>
      <c r="P111" s="5"/>
      <c r="Q111" s="5"/>
      <c r="R111" s="5"/>
      <c r="S111" s="5"/>
      <c r="T111" s="5"/>
      <c r="U111" s="5"/>
      <c r="V111" s="5"/>
      <c r="W111" s="5"/>
      <c r="X111" s="5"/>
      <c r="Y111" s="5"/>
      <c r="Z111" s="5"/>
    </row>
    <row r="112" ht="15.75" customHeight="1">
      <c r="A112" s="46" t="str">
        <f>archetype_prototypes!A112</f>
        <v>6</v>
      </c>
      <c r="B112" s="14" t="str">
        <f>archetype_prototypes!B112</f>
        <v>Curious Apprentice</v>
      </c>
      <c r="C112" s="14" t="str">
        <f>archetype_prototypes!C112</f>
        <v>DIM_PURSUIT</v>
      </c>
      <c r="D112" s="47">
        <f>archetype_prototypes!E112</f>
        <v>0.45</v>
      </c>
      <c r="E112" s="47">
        <f t="shared" si="1"/>
        <v>0.45</v>
      </c>
      <c r="F112" s="47">
        <f t="shared" si="2"/>
        <v>0.7475</v>
      </c>
      <c r="G112" s="47">
        <f t="shared" si="3"/>
        <v>1</v>
      </c>
      <c r="H112" s="48">
        <f t="array" ref="H112">INDEX(dimensions!$E$2:$E$22,MATCH(C112,dimensions!$A$2:$A$22,0))</f>
        <v>1.4</v>
      </c>
      <c r="I112" s="47">
        <f t="shared" si="4"/>
        <v>0.63</v>
      </c>
      <c r="J112" s="47">
        <f t="shared" si="5"/>
        <v>1.0465</v>
      </c>
      <c r="K112" s="47">
        <f t="shared" si="6"/>
        <v>1.4</v>
      </c>
      <c r="L112" s="5"/>
      <c r="M112" s="5"/>
      <c r="N112" s="5"/>
      <c r="O112" s="5"/>
      <c r="P112" s="5"/>
      <c r="Q112" s="5"/>
      <c r="R112" s="5"/>
      <c r="S112" s="5"/>
      <c r="T112" s="5"/>
      <c r="U112" s="5"/>
      <c r="V112" s="5"/>
      <c r="W112" s="5"/>
      <c r="X112" s="5"/>
      <c r="Y112" s="5"/>
      <c r="Z112" s="5"/>
    </row>
    <row r="113" ht="15.75" customHeight="1">
      <c r="A113" s="46" t="str">
        <f>archetype_prototypes!A113</f>
        <v>6</v>
      </c>
      <c r="B113" s="14" t="str">
        <f>archetype_prototypes!B113</f>
        <v>Curious Apprentice</v>
      </c>
      <c r="C113" s="14" t="str">
        <f>archetype_prototypes!C113</f>
        <v>DIM_EDGE_NEED</v>
      </c>
      <c r="D113" s="47">
        <f>archetype_prototypes!E113</f>
        <v>0.35</v>
      </c>
      <c r="E113" s="47">
        <f t="shared" si="1"/>
        <v>0.35</v>
      </c>
      <c r="F113" s="47">
        <f t="shared" si="2"/>
        <v>0.7275</v>
      </c>
      <c r="G113" s="47">
        <f t="shared" si="3"/>
        <v>1</v>
      </c>
      <c r="H113" s="48">
        <f t="array" ref="H113">INDEX(dimensions!$E$2:$E$22,MATCH(C113,dimensions!$A$2:$A$22,0))</f>
        <v>1.8</v>
      </c>
      <c r="I113" s="47">
        <f t="shared" si="4"/>
        <v>0.63</v>
      </c>
      <c r="J113" s="47">
        <f t="shared" si="5"/>
        <v>1.3095</v>
      </c>
      <c r="K113" s="47">
        <f t="shared" si="6"/>
        <v>1.8</v>
      </c>
      <c r="L113" s="5"/>
      <c r="M113" s="5"/>
      <c r="N113" s="5"/>
      <c r="O113" s="5"/>
      <c r="P113" s="5"/>
      <c r="Q113" s="5"/>
      <c r="R113" s="5"/>
      <c r="S113" s="5"/>
      <c r="T113" s="5"/>
      <c r="U113" s="5"/>
      <c r="V113" s="5"/>
      <c r="W113" s="5"/>
      <c r="X113" s="5"/>
      <c r="Y113" s="5"/>
      <c r="Z113" s="5"/>
    </row>
    <row r="114" ht="15.75" customHeight="1">
      <c r="A114" s="46" t="str">
        <f>archetype_prototypes!A114</f>
        <v>6</v>
      </c>
      <c r="B114" s="14" t="str">
        <f>archetype_prototypes!B114</f>
        <v>Curious Apprentice</v>
      </c>
      <c r="C114" s="14" t="str">
        <f>archetype_prototypes!C114</f>
        <v>DIM_SACRED</v>
      </c>
      <c r="D114" s="47">
        <f>archetype_prototypes!E114</f>
        <v>0.25</v>
      </c>
      <c r="E114" s="47">
        <f t="shared" si="1"/>
        <v>0.25</v>
      </c>
      <c r="F114" s="47">
        <f t="shared" si="2"/>
        <v>0.6875</v>
      </c>
      <c r="G114" s="47">
        <f t="shared" si="3"/>
        <v>1</v>
      </c>
      <c r="H114" s="48">
        <f t="array" ref="H114">INDEX(dimensions!$E$2:$E$22,MATCH(C114,dimensions!$A$2:$A$22,0))</f>
        <v>2</v>
      </c>
      <c r="I114" s="47">
        <f t="shared" si="4"/>
        <v>0.5</v>
      </c>
      <c r="J114" s="47">
        <f t="shared" si="5"/>
        <v>1.375</v>
      </c>
      <c r="K114" s="47">
        <f t="shared" si="6"/>
        <v>2</v>
      </c>
      <c r="L114" s="5"/>
      <c r="M114" s="5"/>
      <c r="N114" s="5"/>
      <c r="O114" s="5"/>
      <c r="P114" s="5"/>
      <c r="Q114" s="5"/>
      <c r="R114" s="5"/>
      <c r="S114" s="5"/>
      <c r="T114" s="5"/>
      <c r="U114" s="5"/>
      <c r="V114" s="5"/>
      <c r="W114" s="5"/>
      <c r="X114" s="5"/>
      <c r="Y114" s="5"/>
      <c r="Z114" s="5"/>
    </row>
    <row r="115" ht="15.75" customHeight="1">
      <c r="A115" s="46" t="str">
        <f>archetype_prototypes!A115</f>
        <v>6</v>
      </c>
      <c r="B115" s="14" t="str">
        <f>archetype_prototypes!B115</f>
        <v>Curious Apprentice</v>
      </c>
      <c r="C115" s="14" t="str">
        <f>archetype_prototypes!C115</f>
        <v>DIM_RISK_PREF</v>
      </c>
      <c r="D115" s="47">
        <f>archetype_prototypes!E115</f>
        <v>0.45</v>
      </c>
      <c r="E115" s="47">
        <f t="shared" si="1"/>
        <v>0.45</v>
      </c>
      <c r="F115" s="47">
        <f t="shared" si="2"/>
        <v>0.7475</v>
      </c>
      <c r="G115" s="47">
        <f t="shared" si="3"/>
        <v>1</v>
      </c>
      <c r="H115" s="48">
        <f t="array" ref="H115">INDEX(dimensions!$E$2:$E$22,MATCH(C115,dimensions!$A$2:$A$22,0))</f>
        <v>1.6</v>
      </c>
      <c r="I115" s="47">
        <f t="shared" si="4"/>
        <v>0.72</v>
      </c>
      <c r="J115" s="47">
        <f t="shared" si="5"/>
        <v>1.196</v>
      </c>
      <c r="K115" s="47">
        <f t="shared" si="6"/>
        <v>1.6</v>
      </c>
      <c r="L115" s="5"/>
      <c r="M115" s="5"/>
      <c r="N115" s="5"/>
      <c r="O115" s="5"/>
      <c r="P115" s="5"/>
      <c r="Q115" s="5"/>
      <c r="R115" s="5"/>
      <c r="S115" s="5"/>
      <c r="T115" s="5"/>
      <c r="U115" s="5"/>
      <c r="V115" s="5"/>
      <c r="W115" s="5"/>
      <c r="X115" s="5"/>
      <c r="Y115" s="5"/>
      <c r="Z115" s="5"/>
    </row>
    <row r="116" ht="15.75" customHeight="1">
      <c r="A116" s="46" t="str">
        <f>archetype_prototypes!A116</f>
        <v>6</v>
      </c>
      <c r="B116" s="14" t="str">
        <f>archetype_prototypes!B116</f>
        <v>Curious Apprentice</v>
      </c>
      <c r="C116" s="14" t="str">
        <f>archetype_prototypes!C116</f>
        <v>DIM_FEEDBACK_DEP</v>
      </c>
      <c r="D116" s="47">
        <f>archetype_prototypes!E116</f>
        <v>0.4</v>
      </c>
      <c r="E116" s="47">
        <f t="shared" si="1"/>
        <v>0.4</v>
      </c>
      <c r="F116" s="47">
        <f t="shared" si="2"/>
        <v>0.74</v>
      </c>
      <c r="G116" s="47">
        <f t="shared" si="3"/>
        <v>1</v>
      </c>
      <c r="H116" s="48">
        <f t="array" ref="H116">INDEX(dimensions!$E$2:$E$22,MATCH(C116,dimensions!$A$2:$A$22,0))</f>
        <v>2</v>
      </c>
      <c r="I116" s="47">
        <f t="shared" si="4"/>
        <v>0.8</v>
      </c>
      <c r="J116" s="47">
        <f t="shared" si="5"/>
        <v>1.48</v>
      </c>
      <c r="K116" s="47">
        <f t="shared" si="6"/>
        <v>2</v>
      </c>
      <c r="L116" s="5"/>
      <c r="M116" s="5"/>
      <c r="N116" s="5"/>
      <c r="O116" s="5"/>
      <c r="P116" s="5"/>
      <c r="Q116" s="5"/>
      <c r="R116" s="5"/>
      <c r="S116" s="5"/>
      <c r="T116" s="5"/>
      <c r="U116" s="5"/>
      <c r="V116" s="5"/>
      <c r="W116" s="5"/>
      <c r="X116" s="5"/>
      <c r="Y116" s="5"/>
      <c r="Z116" s="5"/>
    </row>
    <row r="117" ht="15.75" customHeight="1">
      <c r="A117" s="46" t="str">
        <f>archetype_prototypes!A117</f>
        <v>6</v>
      </c>
      <c r="B117" s="14" t="str">
        <f>archetype_prototypes!B117</f>
        <v>Curious Apprentice</v>
      </c>
      <c r="C117" s="14" t="str">
        <f>archetype_prototypes!C117</f>
        <v>DIM_TURNON_EXPRESS</v>
      </c>
      <c r="D117" s="47">
        <f>archetype_prototypes!E117</f>
        <v>0.55</v>
      </c>
      <c r="E117" s="47">
        <f t="shared" si="1"/>
        <v>0.45</v>
      </c>
      <c r="F117" s="47">
        <f t="shared" si="2"/>
        <v>0.7475</v>
      </c>
      <c r="G117" s="47">
        <f t="shared" si="3"/>
        <v>1</v>
      </c>
      <c r="H117" s="48">
        <f t="array" ref="H117">INDEX(dimensions!$E$2:$E$22,MATCH(C117,dimensions!$A$2:$A$22,0))</f>
        <v>1.3</v>
      </c>
      <c r="I117" s="47">
        <f t="shared" si="4"/>
        <v>0.585</v>
      </c>
      <c r="J117" s="47">
        <f t="shared" si="5"/>
        <v>0.97175</v>
      </c>
      <c r="K117" s="47">
        <f t="shared" si="6"/>
        <v>1.3</v>
      </c>
      <c r="L117" s="5"/>
      <c r="M117" s="5"/>
      <c r="N117" s="5"/>
      <c r="O117" s="5"/>
      <c r="P117" s="5"/>
      <c r="Q117" s="5"/>
      <c r="R117" s="5"/>
      <c r="S117" s="5"/>
      <c r="T117" s="5"/>
      <c r="U117" s="5"/>
      <c r="V117" s="5"/>
      <c r="W117" s="5"/>
      <c r="X117" s="5"/>
      <c r="Y117" s="5"/>
      <c r="Z117" s="5"/>
    </row>
    <row r="118" ht="15.75" customHeight="1">
      <c r="A118" s="46" t="str">
        <f>archetype_prototypes!A118</f>
        <v>6</v>
      </c>
      <c r="B118" s="14" t="str">
        <f>archetype_prototypes!B118</f>
        <v>Curious Apprentice</v>
      </c>
      <c r="C118" s="14" t="str">
        <f>archetype_prototypes!C118</f>
        <v>DIM_BOUNDARY_EXPRESS</v>
      </c>
      <c r="D118" s="47">
        <f>archetype_prototypes!E118</f>
        <v>0.55</v>
      </c>
      <c r="E118" s="47">
        <f t="shared" si="1"/>
        <v>0.45</v>
      </c>
      <c r="F118" s="47">
        <f t="shared" si="2"/>
        <v>0.7475</v>
      </c>
      <c r="G118" s="47">
        <f t="shared" si="3"/>
        <v>1</v>
      </c>
      <c r="H118" s="48">
        <f t="array" ref="H118">INDEX(dimensions!$E$2:$E$22,MATCH(C118,dimensions!$A$2:$A$22,0))</f>
        <v>1.3</v>
      </c>
      <c r="I118" s="47">
        <f t="shared" si="4"/>
        <v>0.585</v>
      </c>
      <c r="J118" s="47">
        <f t="shared" si="5"/>
        <v>0.97175</v>
      </c>
      <c r="K118" s="47">
        <f t="shared" si="6"/>
        <v>1.3</v>
      </c>
      <c r="L118" s="5"/>
      <c r="M118" s="5"/>
      <c r="N118" s="5"/>
      <c r="O118" s="5"/>
      <c r="P118" s="5"/>
      <c r="Q118" s="5"/>
      <c r="R118" s="5"/>
      <c r="S118" s="5"/>
      <c r="T118" s="5"/>
      <c r="U118" s="5"/>
      <c r="V118" s="5"/>
      <c r="W118" s="5"/>
      <c r="X118" s="5"/>
      <c r="Y118" s="5"/>
      <c r="Z118" s="5"/>
    </row>
    <row r="119" ht="15.75" customHeight="1">
      <c r="A119" s="46" t="str">
        <f>archetype_prototypes!A119</f>
        <v>6</v>
      </c>
      <c r="B119" s="14" t="str">
        <f>archetype_prototypes!B119</f>
        <v>Curious Apprentice</v>
      </c>
      <c r="C119" s="14" t="str">
        <f>archetype_prototypes!C119</f>
        <v>DIM_PROTOCOL</v>
      </c>
      <c r="D119" s="47">
        <f>archetype_prototypes!E119</f>
        <v>0.3</v>
      </c>
      <c r="E119" s="47">
        <f t="shared" si="1"/>
        <v>0.3</v>
      </c>
      <c r="F119" s="47">
        <f t="shared" si="2"/>
        <v>0.71</v>
      </c>
      <c r="G119" s="47">
        <f t="shared" si="3"/>
        <v>1</v>
      </c>
      <c r="H119" s="48">
        <f t="array" ref="H119">INDEX(dimensions!$E$2:$E$22,MATCH(C119,dimensions!$A$2:$A$22,0))</f>
        <v>1.6</v>
      </c>
      <c r="I119" s="47">
        <f t="shared" si="4"/>
        <v>0.48</v>
      </c>
      <c r="J119" s="47">
        <f t="shared" si="5"/>
        <v>1.136</v>
      </c>
      <c r="K119" s="47">
        <f t="shared" si="6"/>
        <v>1.6</v>
      </c>
      <c r="L119" s="5"/>
      <c r="M119" s="5"/>
      <c r="N119" s="5"/>
      <c r="O119" s="5"/>
      <c r="P119" s="5"/>
      <c r="Q119" s="5"/>
      <c r="R119" s="5"/>
      <c r="S119" s="5"/>
      <c r="T119" s="5"/>
      <c r="U119" s="5"/>
      <c r="V119" s="5"/>
      <c r="W119" s="5"/>
      <c r="X119" s="5"/>
      <c r="Y119" s="5"/>
      <c r="Z119" s="5"/>
    </row>
    <row r="120" ht="15.75" customHeight="1">
      <c r="A120" s="46" t="str">
        <f>archetype_prototypes!A120</f>
        <v>6</v>
      </c>
      <c r="B120" s="14" t="str">
        <f>archetype_prototypes!B120</f>
        <v>Curious Apprentice</v>
      </c>
      <c r="C120" s="14" t="str">
        <f>archetype_prototypes!C120</f>
        <v>DIM_SOOTHING</v>
      </c>
      <c r="D120" s="47">
        <f>archetype_prototypes!E120</f>
        <v>0.25</v>
      </c>
      <c r="E120" s="47">
        <f t="shared" si="1"/>
        <v>0.25</v>
      </c>
      <c r="F120" s="47">
        <f t="shared" si="2"/>
        <v>0.6875</v>
      </c>
      <c r="G120" s="47">
        <f t="shared" si="3"/>
        <v>1</v>
      </c>
      <c r="H120" s="48">
        <f t="array" ref="H120">INDEX(dimensions!$E$2:$E$22,MATCH(C120,dimensions!$A$2:$A$22,0))</f>
        <v>1.9</v>
      </c>
      <c r="I120" s="47">
        <f t="shared" si="4"/>
        <v>0.475</v>
      </c>
      <c r="J120" s="47">
        <f t="shared" si="5"/>
        <v>1.30625</v>
      </c>
      <c r="K120" s="47">
        <f t="shared" si="6"/>
        <v>1.9</v>
      </c>
      <c r="L120" s="5"/>
      <c r="M120" s="5"/>
      <c r="N120" s="5"/>
      <c r="O120" s="5"/>
      <c r="P120" s="5"/>
      <c r="Q120" s="5"/>
      <c r="R120" s="5"/>
      <c r="S120" s="5"/>
      <c r="T120" s="5"/>
      <c r="U120" s="5"/>
      <c r="V120" s="5"/>
      <c r="W120" s="5"/>
      <c r="X120" s="5"/>
      <c r="Y120" s="5"/>
      <c r="Z120" s="5"/>
    </row>
    <row r="121" ht="15.75" customHeight="1">
      <c r="A121" s="46" t="str">
        <f>archetype_prototypes!A121</f>
        <v>6</v>
      </c>
      <c r="B121" s="14" t="str">
        <f>archetype_prototypes!B121</f>
        <v>Curious Apprentice</v>
      </c>
      <c r="C121" s="14" t="str">
        <f>archetype_prototypes!C121</f>
        <v>DIM_SECURE</v>
      </c>
      <c r="D121" s="47">
        <f>archetype_prototypes!E121</f>
        <v>0.7</v>
      </c>
      <c r="E121" s="47">
        <f t="shared" si="1"/>
        <v>0.3</v>
      </c>
      <c r="F121" s="47">
        <f t="shared" si="2"/>
        <v>0.71</v>
      </c>
      <c r="G121" s="47">
        <f t="shared" si="3"/>
        <v>1</v>
      </c>
      <c r="H121" s="48">
        <f t="array" ref="H121">INDEX(dimensions!$E$2:$E$22,MATCH(C121,dimensions!$A$2:$A$22,0))</f>
        <v>1</v>
      </c>
      <c r="I121" s="47">
        <f t="shared" si="4"/>
        <v>0.3</v>
      </c>
      <c r="J121" s="47">
        <f t="shared" si="5"/>
        <v>0.71</v>
      </c>
      <c r="K121" s="47">
        <f t="shared" si="6"/>
        <v>1</v>
      </c>
      <c r="L121" s="5"/>
      <c r="M121" s="5"/>
      <c r="N121" s="5"/>
      <c r="O121" s="5"/>
      <c r="P121" s="5"/>
      <c r="Q121" s="5"/>
      <c r="R121" s="5"/>
      <c r="S121" s="5"/>
      <c r="T121" s="5"/>
      <c r="U121" s="5"/>
      <c r="V121" s="5"/>
      <c r="W121" s="5"/>
      <c r="X121" s="5"/>
      <c r="Y121" s="5"/>
      <c r="Z121" s="5"/>
    </row>
    <row r="122" ht="15.75" customHeight="1">
      <c r="A122" s="46" t="str">
        <f>archetype_prototypes!A122</f>
        <v>6</v>
      </c>
      <c r="B122" s="14" t="str">
        <f>archetype_prototypes!B122</f>
        <v>Curious Apprentice</v>
      </c>
      <c r="C122" s="14" t="str">
        <f>archetype_prototypes!C122</f>
        <v>DIM_REPAIR_EROTICISM</v>
      </c>
      <c r="D122" s="47">
        <f>archetype_prototypes!E122</f>
        <v>0.35</v>
      </c>
      <c r="E122" s="47">
        <f t="shared" si="1"/>
        <v>0.35</v>
      </c>
      <c r="F122" s="47">
        <f t="shared" si="2"/>
        <v>0.7275</v>
      </c>
      <c r="G122" s="47">
        <f t="shared" si="3"/>
        <v>1</v>
      </c>
      <c r="H122" s="48">
        <f t="array" ref="H122">INDEX(dimensions!$E$2:$E$22,MATCH(C122,dimensions!$A$2:$A$22,0))</f>
        <v>1.6</v>
      </c>
      <c r="I122" s="47">
        <f t="shared" si="4"/>
        <v>0.56</v>
      </c>
      <c r="J122" s="47">
        <f t="shared" si="5"/>
        <v>1.164</v>
      </c>
      <c r="K122" s="47">
        <f t="shared" si="6"/>
        <v>1.6</v>
      </c>
      <c r="L122" s="5"/>
      <c r="M122" s="5"/>
      <c r="N122" s="5"/>
      <c r="O122" s="5"/>
      <c r="P122" s="5"/>
      <c r="Q122" s="5"/>
      <c r="R122" s="5"/>
      <c r="S122" s="5"/>
      <c r="T122" s="5"/>
      <c r="U122" s="5"/>
      <c r="V122" s="5"/>
      <c r="W122" s="5"/>
      <c r="X122" s="5"/>
      <c r="Y122" s="5"/>
      <c r="Z122" s="5"/>
    </row>
    <row r="123" ht="15.75" customHeight="1">
      <c r="A123" s="46" t="str">
        <f>archetype_prototypes!A123</f>
        <v>6</v>
      </c>
      <c r="B123" s="14" t="str">
        <f>archetype_prototypes!B123</f>
        <v>Curious Apprentice</v>
      </c>
      <c r="C123" s="14" t="str">
        <f>archetype_prototypes!C123</f>
        <v>DIM_PRESSURE_SHUTDOWN</v>
      </c>
      <c r="D123" s="47">
        <f>archetype_prototypes!E123</f>
        <v>0.35</v>
      </c>
      <c r="E123" s="47">
        <f t="shared" si="1"/>
        <v>0.35</v>
      </c>
      <c r="F123" s="47">
        <f t="shared" si="2"/>
        <v>0.7275</v>
      </c>
      <c r="G123" s="47">
        <f t="shared" si="3"/>
        <v>1</v>
      </c>
      <c r="H123" s="48">
        <f t="array" ref="H123">INDEX(dimensions!$E$2:$E$22,MATCH(C123,dimensions!$A$2:$A$22,0))</f>
        <v>2</v>
      </c>
      <c r="I123" s="47">
        <f t="shared" si="4"/>
        <v>0.7</v>
      </c>
      <c r="J123" s="47">
        <f t="shared" si="5"/>
        <v>1.455</v>
      </c>
      <c r="K123" s="47">
        <f t="shared" si="6"/>
        <v>2</v>
      </c>
      <c r="L123" s="5"/>
      <c r="M123" s="5"/>
      <c r="N123" s="5"/>
      <c r="O123" s="5"/>
      <c r="P123" s="5"/>
      <c r="Q123" s="5"/>
      <c r="R123" s="5"/>
      <c r="S123" s="5"/>
      <c r="T123" s="5"/>
      <c r="U123" s="5"/>
      <c r="V123" s="5"/>
      <c r="W123" s="5"/>
      <c r="X123" s="5"/>
      <c r="Y123" s="5"/>
      <c r="Z123" s="5"/>
    </row>
    <row r="124" ht="15.75" customHeight="1">
      <c r="A124" s="46" t="str">
        <f>archetype_prototypes!A124</f>
        <v>6</v>
      </c>
      <c r="B124" s="14" t="str">
        <f>archetype_prototypes!B124</f>
        <v>Curious Apprentice</v>
      </c>
      <c r="C124" s="14" t="str">
        <f>archetype_prototypes!C124</f>
        <v>DIM_AVOIDANT</v>
      </c>
      <c r="D124" s="47">
        <f>archetype_prototypes!E124</f>
        <v>0.3</v>
      </c>
      <c r="E124" s="47">
        <f t="shared" si="1"/>
        <v>0.3</v>
      </c>
      <c r="F124" s="47">
        <f t="shared" si="2"/>
        <v>0.71</v>
      </c>
      <c r="G124" s="47">
        <f t="shared" si="3"/>
        <v>1</v>
      </c>
      <c r="H124" s="48">
        <f t="array" ref="H124">INDEX(dimensions!$E$2:$E$22,MATCH(C124,dimensions!$A$2:$A$22,0))</f>
        <v>1.3</v>
      </c>
      <c r="I124" s="47">
        <f t="shared" si="4"/>
        <v>0.39</v>
      </c>
      <c r="J124" s="47">
        <f t="shared" si="5"/>
        <v>0.923</v>
      </c>
      <c r="K124" s="47">
        <f t="shared" si="6"/>
        <v>1.3</v>
      </c>
      <c r="L124" s="5"/>
      <c r="M124" s="5"/>
      <c r="N124" s="5"/>
      <c r="O124" s="5"/>
      <c r="P124" s="5"/>
      <c r="Q124" s="5"/>
      <c r="R124" s="5"/>
      <c r="S124" s="5"/>
      <c r="T124" s="5"/>
      <c r="U124" s="5"/>
      <c r="V124" s="5"/>
      <c r="W124" s="5"/>
      <c r="X124" s="5"/>
      <c r="Y124" s="5"/>
      <c r="Z124" s="5"/>
    </row>
    <row r="125" ht="15.75" customHeight="1">
      <c r="A125" s="46" t="str">
        <f>archetype_prototypes!A125</f>
        <v>6</v>
      </c>
      <c r="B125" s="14" t="str">
        <f>archetype_prototypes!B125</f>
        <v>Curious Apprentice</v>
      </c>
      <c r="C125" s="14" t="str">
        <f>archetype_prototypes!C125</f>
        <v>DIM_STRATEGY</v>
      </c>
      <c r="D125" s="47">
        <f>archetype_prototypes!E125</f>
        <v>0.1</v>
      </c>
      <c r="E125" s="47">
        <f t="shared" si="1"/>
        <v>0.1</v>
      </c>
      <c r="F125" s="47">
        <f t="shared" si="2"/>
        <v>0.59</v>
      </c>
      <c r="G125" s="47">
        <f t="shared" si="3"/>
        <v>1</v>
      </c>
      <c r="H125" s="48">
        <f t="array" ref="H125">INDEX(dimensions!$E$2:$E$22,MATCH(C125,dimensions!$A$2:$A$22,0))</f>
        <v>1.2</v>
      </c>
      <c r="I125" s="47">
        <f t="shared" si="4"/>
        <v>0.12</v>
      </c>
      <c r="J125" s="47">
        <f t="shared" si="5"/>
        <v>0.708</v>
      </c>
      <c r="K125" s="47">
        <f t="shared" si="6"/>
        <v>1.2</v>
      </c>
      <c r="L125" s="5"/>
      <c r="M125" s="5"/>
      <c r="N125" s="5"/>
      <c r="O125" s="5"/>
      <c r="P125" s="5"/>
      <c r="Q125" s="5"/>
      <c r="R125" s="5"/>
      <c r="S125" s="5"/>
      <c r="T125" s="5"/>
      <c r="U125" s="5"/>
      <c r="V125" s="5"/>
      <c r="W125" s="5"/>
      <c r="X125" s="5"/>
      <c r="Y125" s="5"/>
      <c r="Z125" s="5"/>
    </row>
    <row r="126" ht="15.75" customHeight="1">
      <c r="A126" s="46" t="str">
        <f>archetype_prototypes!A126</f>
        <v>6</v>
      </c>
      <c r="B126" s="14" t="str">
        <f>archetype_prototypes!B126</f>
        <v>Curious Apprentice</v>
      </c>
      <c r="C126" s="14" t="str">
        <f>archetype_prototypes!C126</f>
        <v>DIM_CLOSENESS_ORIENTATION</v>
      </c>
      <c r="D126" s="47">
        <f>archetype_prototypes!E126</f>
        <v>0.5</v>
      </c>
      <c r="E126" s="47">
        <f t="shared" si="1"/>
        <v>0.5</v>
      </c>
      <c r="F126" s="47">
        <f t="shared" si="2"/>
        <v>0.75</v>
      </c>
      <c r="G126" s="47">
        <f t="shared" si="3"/>
        <v>1</v>
      </c>
      <c r="H126" s="48">
        <f t="array" ref="H126">INDEX(dimensions!$E$2:$E$22,MATCH(C126,dimensions!$A$2:$A$22,0))</f>
        <v>1</v>
      </c>
      <c r="I126" s="47">
        <f t="shared" si="4"/>
        <v>0.5</v>
      </c>
      <c r="J126" s="47">
        <f t="shared" si="5"/>
        <v>0.75</v>
      </c>
      <c r="K126" s="47">
        <f t="shared" si="6"/>
        <v>1</v>
      </c>
      <c r="L126" s="5"/>
      <c r="M126" s="5"/>
      <c r="N126" s="5"/>
      <c r="O126" s="5"/>
      <c r="P126" s="5"/>
      <c r="Q126" s="5"/>
      <c r="R126" s="5"/>
      <c r="S126" s="5"/>
      <c r="T126" s="5"/>
      <c r="U126" s="5"/>
      <c r="V126" s="5"/>
      <c r="W126" s="5"/>
      <c r="X126" s="5"/>
      <c r="Y126" s="5"/>
      <c r="Z126" s="5"/>
    </row>
    <row r="127" ht="15.75" customHeight="1">
      <c r="A127" s="46" t="str">
        <f>archetype_prototypes!A127</f>
        <v>6</v>
      </c>
      <c r="B127" s="14" t="str">
        <f>archetype_prototypes!B127</f>
        <v>Curious Apprentice</v>
      </c>
      <c r="C127" s="14" t="str">
        <f>archetype_prototypes!C127</f>
        <v>DIM_PARTNER_FOCUS</v>
      </c>
      <c r="D127" s="47">
        <f>archetype_prototypes!E127</f>
        <v>0.45</v>
      </c>
      <c r="E127" s="47">
        <f t="shared" si="1"/>
        <v>0.45</v>
      </c>
      <c r="F127" s="47">
        <f t="shared" si="2"/>
        <v>0.7475</v>
      </c>
      <c r="G127" s="47">
        <f t="shared" si="3"/>
        <v>1</v>
      </c>
      <c r="H127" s="48">
        <f t="array" ref="H127">INDEX(dimensions!$E$2:$E$22,MATCH(C127,dimensions!$A$2:$A$22,0))</f>
        <v>1.2</v>
      </c>
      <c r="I127" s="47">
        <f t="shared" si="4"/>
        <v>0.54</v>
      </c>
      <c r="J127" s="47">
        <f t="shared" si="5"/>
        <v>0.897</v>
      </c>
      <c r="K127" s="47">
        <f t="shared" si="6"/>
        <v>1.2</v>
      </c>
      <c r="L127" s="5"/>
      <c r="M127" s="5"/>
      <c r="N127" s="5"/>
      <c r="O127" s="5"/>
      <c r="P127" s="5"/>
      <c r="Q127" s="5"/>
      <c r="R127" s="5"/>
      <c r="S127" s="5"/>
      <c r="T127" s="5"/>
      <c r="U127" s="5"/>
      <c r="V127" s="5"/>
      <c r="W127" s="5"/>
      <c r="X127" s="5"/>
      <c r="Y127" s="5"/>
      <c r="Z127" s="5"/>
    </row>
    <row r="128" ht="15.75" customHeight="1">
      <c r="A128" s="46" t="str">
        <f>archetype_prototypes!A128</f>
        <v>7</v>
      </c>
      <c r="B128" s="14" t="str">
        <f>archetype_prototypes!B128</f>
        <v>Spiritual Lover</v>
      </c>
      <c r="C128" s="14" t="str">
        <f>archetype_prototypes!C128</f>
        <v>DIM_NOVELTY</v>
      </c>
      <c r="D128" s="47">
        <f>archetype_prototypes!E128</f>
        <v>0.25</v>
      </c>
      <c r="E128" s="47">
        <f t="shared" si="1"/>
        <v>0.25</v>
      </c>
      <c r="F128" s="47">
        <f t="shared" si="2"/>
        <v>0.6875</v>
      </c>
      <c r="G128" s="47">
        <f t="shared" si="3"/>
        <v>1</v>
      </c>
      <c r="H128" s="48">
        <f t="array" ref="H128">INDEX(dimensions!$E$2:$E$22,MATCH(C128,dimensions!$A$2:$A$22,0))</f>
        <v>1.4</v>
      </c>
      <c r="I128" s="47">
        <f t="shared" si="4"/>
        <v>0.35</v>
      </c>
      <c r="J128" s="47">
        <f t="shared" si="5"/>
        <v>0.9625</v>
      </c>
      <c r="K128" s="47">
        <f t="shared" si="6"/>
        <v>1.4</v>
      </c>
      <c r="L128" s="5"/>
      <c r="M128" s="5"/>
      <c r="N128" s="5"/>
      <c r="O128" s="5"/>
      <c r="P128" s="5"/>
      <c r="Q128" s="5"/>
      <c r="R128" s="5"/>
      <c r="S128" s="5"/>
      <c r="T128" s="5"/>
      <c r="U128" s="5"/>
      <c r="V128" s="5"/>
      <c r="W128" s="5"/>
      <c r="X128" s="5"/>
      <c r="Y128" s="5"/>
      <c r="Z128" s="5"/>
    </row>
    <row r="129" ht="15.75" customHeight="1">
      <c r="A129" s="46" t="str">
        <f>archetype_prototypes!A129</f>
        <v>7</v>
      </c>
      <c r="B129" s="14" t="str">
        <f>archetype_prototypes!B129</f>
        <v>Spiritual Lover</v>
      </c>
      <c r="C129" s="14" t="str">
        <f>archetype_prototypes!C129</f>
        <v>DIM_RESPONSIVE</v>
      </c>
      <c r="D129" s="47">
        <f>archetype_prototypes!E129</f>
        <v>0.85</v>
      </c>
      <c r="E129" s="47">
        <f t="shared" si="1"/>
        <v>0.15</v>
      </c>
      <c r="F129" s="47">
        <f t="shared" si="2"/>
        <v>0.6275</v>
      </c>
      <c r="G129" s="47">
        <f t="shared" si="3"/>
        <v>1</v>
      </c>
      <c r="H129" s="48">
        <f t="array" ref="H129">INDEX(dimensions!$E$2:$E$22,MATCH(C129,dimensions!$A$2:$A$22,0))</f>
        <v>1.6</v>
      </c>
      <c r="I129" s="47">
        <f t="shared" si="4"/>
        <v>0.24</v>
      </c>
      <c r="J129" s="47">
        <f t="shared" si="5"/>
        <v>1.004</v>
      </c>
      <c r="K129" s="47">
        <f t="shared" si="6"/>
        <v>1.6</v>
      </c>
      <c r="L129" s="5"/>
      <c r="M129" s="5"/>
      <c r="N129" s="5"/>
      <c r="O129" s="5"/>
      <c r="P129" s="5"/>
      <c r="Q129" s="5"/>
      <c r="R129" s="5"/>
      <c r="S129" s="5"/>
      <c r="T129" s="5"/>
      <c r="U129" s="5"/>
      <c r="V129" s="5"/>
      <c r="W129" s="5"/>
      <c r="X129" s="5"/>
      <c r="Y129" s="5"/>
      <c r="Z129" s="5"/>
    </row>
    <row r="130" ht="15.75" customHeight="1">
      <c r="A130" s="46" t="str">
        <f>archetype_prototypes!A130</f>
        <v>7</v>
      </c>
      <c r="B130" s="14" t="str">
        <f>archetype_prototypes!B130</f>
        <v>Spiritual Lover</v>
      </c>
      <c r="C130" s="14" t="str">
        <f>archetype_prototypes!C130</f>
        <v>DIM_PLANNED</v>
      </c>
      <c r="D130" s="47">
        <f>archetype_prototypes!E130</f>
        <v>0.4</v>
      </c>
      <c r="E130" s="47">
        <f t="shared" si="1"/>
        <v>0.4</v>
      </c>
      <c r="F130" s="47">
        <f t="shared" si="2"/>
        <v>0.74</v>
      </c>
      <c r="G130" s="47">
        <f t="shared" si="3"/>
        <v>1</v>
      </c>
      <c r="H130" s="48">
        <f t="array" ref="H130">INDEX(dimensions!$E$2:$E$22,MATCH(C130,dimensions!$A$2:$A$22,0))</f>
        <v>1.3</v>
      </c>
      <c r="I130" s="47">
        <f t="shared" si="4"/>
        <v>0.52</v>
      </c>
      <c r="J130" s="47">
        <f t="shared" si="5"/>
        <v>0.962</v>
      </c>
      <c r="K130" s="47">
        <f t="shared" si="6"/>
        <v>1.3</v>
      </c>
      <c r="L130" s="5"/>
      <c r="M130" s="5"/>
      <c r="N130" s="5"/>
      <c r="O130" s="5"/>
      <c r="P130" s="5"/>
      <c r="Q130" s="5"/>
      <c r="R130" s="5"/>
      <c r="S130" s="5"/>
      <c r="T130" s="5"/>
      <c r="U130" s="5"/>
      <c r="V130" s="5"/>
      <c r="W130" s="5"/>
      <c r="X130" s="5"/>
      <c r="Y130" s="5"/>
      <c r="Z130" s="5"/>
    </row>
    <row r="131" ht="15.75" customHeight="1">
      <c r="A131" s="46" t="str">
        <f>archetype_prototypes!A131</f>
        <v>7</v>
      </c>
      <c r="B131" s="14" t="str">
        <f>archetype_prototypes!B131</f>
        <v>Spiritual Lover</v>
      </c>
      <c r="C131" s="14" t="str">
        <f>archetype_prototypes!C131</f>
        <v>DIM_EMO_CONNECTION</v>
      </c>
      <c r="D131" s="47">
        <f>archetype_prototypes!E131</f>
        <v>0.9</v>
      </c>
      <c r="E131" s="47">
        <f t="shared" si="1"/>
        <v>0.1</v>
      </c>
      <c r="F131" s="47">
        <f t="shared" si="2"/>
        <v>0.59</v>
      </c>
      <c r="G131" s="47">
        <f t="shared" si="3"/>
        <v>1</v>
      </c>
      <c r="H131" s="48">
        <f t="array" ref="H131">INDEX(dimensions!$E$2:$E$22,MATCH(C131,dimensions!$A$2:$A$22,0))</f>
        <v>1.4</v>
      </c>
      <c r="I131" s="47">
        <f t="shared" si="4"/>
        <v>0.14</v>
      </c>
      <c r="J131" s="47">
        <f t="shared" si="5"/>
        <v>0.826</v>
      </c>
      <c r="K131" s="47">
        <f t="shared" si="6"/>
        <v>1.4</v>
      </c>
      <c r="L131" s="5"/>
      <c r="M131" s="5"/>
      <c r="N131" s="5"/>
      <c r="O131" s="5"/>
      <c r="P131" s="5"/>
      <c r="Q131" s="5"/>
      <c r="R131" s="5"/>
      <c r="S131" s="5"/>
      <c r="T131" s="5"/>
      <c r="U131" s="5"/>
      <c r="V131" s="5"/>
      <c r="W131" s="5"/>
      <c r="X131" s="5"/>
      <c r="Y131" s="5"/>
      <c r="Z131" s="5"/>
    </row>
    <row r="132" ht="15.75" customHeight="1">
      <c r="A132" s="46" t="str">
        <f>archetype_prototypes!A132</f>
        <v>7</v>
      </c>
      <c r="B132" s="14" t="str">
        <f>archetype_prototypes!B132</f>
        <v>Spiritual Lover</v>
      </c>
      <c r="C132" s="14" t="str">
        <f>archetype_prototypes!C132</f>
        <v>DIM_INTENSITY</v>
      </c>
      <c r="D132" s="47">
        <f>archetype_prototypes!E132</f>
        <v>0.3</v>
      </c>
      <c r="E132" s="47">
        <f t="shared" si="1"/>
        <v>0.3</v>
      </c>
      <c r="F132" s="47">
        <f t="shared" si="2"/>
        <v>0.71</v>
      </c>
      <c r="G132" s="47">
        <f t="shared" si="3"/>
        <v>1</v>
      </c>
      <c r="H132" s="48">
        <f t="array" ref="H132">INDEX(dimensions!$E$2:$E$22,MATCH(C132,dimensions!$A$2:$A$22,0))</f>
        <v>1.4</v>
      </c>
      <c r="I132" s="47">
        <f t="shared" si="4"/>
        <v>0.42</v>
      </c>
      <c r="J132" s="47">
        <f t="shared" si="5"/>
        <v>0.994</v>
      </c>
      <c r="K132" s="47">
        <f t="shared" si="6"/>
        <v>1.4</v>
      </c>
      <c r="L132" s="5"/>
      <c r="M132" s="5"/>
      <c r="N132" s="5"/>
      <c r="O132" s="5"/>
      <c r="P132" s="5"/>
      <c r="Q132" s="5"/>
      <c r="R132" s="5"/>
      <c r="S132" s="5"/>
      <c r="T132" s="5"/>
      <c r="U132" s="5"/>
      <c r="V132" s="5"/>
      <c r="W132" s="5"/>
      <c r="X132" s="5"/>
      <c r="Y132" s="5"/>
      <c r="Z132" s="5"/>
    </row>
    <row r="133" ht="15.75" customHeight="1">
      <c r="A133" s="46" t="str">
        <f>archetype_prototypes!A133</f>
        <v>7</v>
      </c>
      <c r="B133" s="14" t="str">
        <f>archetype_prototypes!B133</f>
        <v>Spiritual Lover</v>
      </c>
      <c r="C133" s="14" t="str">
        <f>archetype_prototypes!C133</f>
        <v>DIM_PURSUIT</v>
      </c>
      <c r="D133" s="47">
        <f>archetype_prototypes!E133</f>
        <v>0.2</v>
      </c>
      <c r="E133" s="47">
        <f t="shared" si="1"/>
        <v>0.2</v>
      </c>
      <c r="F133" s="47">
        <f t="shared" si="2"/>
        <v>0.66</v>
      </c>
      <c r="G133" s="47">
        <f t="shared" si="3"/>
        <v>1</v>
      </c>
      <c r="H133" s="48">
        <f t="array" ref="H133">INDEX(dimensions!$E$2:$E$22,MATCH(C133,dimensions!$A$2:$A$22,0))</f>
        <v>1.4</v>
      </c>
      <c r="I133" s="47">
        <f t="shared" si="4"/>
        <v>0.28</v>
      </c>
      <c r="J133" s="47">
        <f t="shared" si="5"/>
        <v>0.924</v>
      </c>
      <c r="K133" s="47">
        <f t="shared" si="6"/>
        <v>1.4</v>
      </c>
      <c r="L133" s="5"/>
      <c r="M133" s="5"/>
      <c r="N133" s="5"/>
      <c r="O133" s="5"/>
      <c r="P133" s="5"/>
      <c r="Q133" s="5"/>
      <c r="R133" s="5"/>
      <c r="S133" s="5"/>
      <c r="T133" s="5"/>
      <c r="U133" s="5"/>
      <c r="V133" s="5"/>
      <c r="W133" s="5"/>
      <c r="X133" s="5"/>
      <c r="Y133" s="5"/>
      <c r="Z133" s="5"/>
    </row>
    <row r="134" ht="15.75" customHeight="1">
      <c r="A134" s="46" t="str">
        <f>archetype_prototypes!A134</f>
        <v>7</v>
      </c>
      <c r="B134" s="14" t="str">
        <f>archetype_prototypes!B134</f>
        <v>Spiritual Lover</v>
      </c>
      <c r="C134" s="14" t="str">
        <f>archetype_prototypes!C134</f>
        <v>DIM_EDGE_NEED</v>
      </c>
      <c r="D134" s="47">
        <f>archetype_prototypes!E134</f>
        <v>0.2</v>
      </c>
      <c r="E134" s="47">
        <f t="shared" si="1"/>
        <v>0.2</v>
      </c>
      <c r="F134" s="47">
        <f t="shared" si="2"/>
        <v>0.66</v>
      </c>
      <c r="G134" s="47">
        <f t="shared" si="3"/>
        <v>1</v>
      </c>
      <c r="H134" s="48">
        <f t="array" ref="H134">INDEX(dimensions!$E$2:$E$22,MATCH(C134,dimensions!$A$2:$A$22,0))</f>
        <v>1.8</v>
      </c>
      <c r="I134" s="47">
        <f t="shared" si="4"/>
        <v>0.36</v>
      </c>
      <c r="J134" s="47">
        <f t="shared" si="5"/>
        <v>1.188</v>
      </c>
      <c r="K134" s="47">
        <f t="shared" si="6"/>
        <v>1.8</v>
      </c>
      <c r="L134" s="5"/>
      <c r="M134" s="5"/>
      <c r="N134" s="5"/>
      <c r="O134" s="5"/>
      <c r="P134" s="5"/>
      <c r="Q134" s="5"/>
      <c r="R134" s="5"/>
      <c r="S134" s="5"/>
      <c r="T134" s="5"/>
      <c r="U134" s="5"/>
      <c r="V134" s="5"/>
      <c r="W134" s="5"/>
      <c r="X134" s="5"/>
      <c r="Y134" s="5"/>
      <c r="Z134" s="5"/>
    </row>
    <row r="135" ht="15.75" customHeight="1">
      <c r="A135" s="46" t="str">
        <f>archetype_prototypes!A135</f>
        <v>7</v>
      </c>
      <c r="B135" s="14" t="str">
        <f>archetype_prototypes!B135</f>
        <v>Spiritual Lover</v>
      </c>
      <c r="C135" s="14" t="str">
        <f>archetype_prototypes!C135</f>
        <v>DIM_SACRED</v>
      </c>
      <c r="D135" s="47">
        <f>archetype_prototypes!E135</f>
        <v>0.95</v>
      </c>
      <c r="E135" s="47">
        <f t="shared" si="1"/>
        <v>0.05</v>
      </c>
      <c r="F135" s="47">
        <f t="shared" si="2"/>
        <v>0.5475</v>
      </c>
      <c r="G135" s="47">
        <f t="shared" si="3"/>
        <v>1</v>
      </c>
      <c r="H135" s="48">
        <f t="array" ref="H135">INDEX(dimensions!$E$2:$E$22,MATCH(C135,dimensions!$A$2:$A$22,0))</f>
        <v>2</v>
      </c>
      <c r="I135" s="47">
        <f t="shared" si="4"/>
        <v>0.1</v>
      </c>
      <c r="J135" s="47">
        <f t="shared" si="5"/>
        <v>1.095</v>
      </c>
      <c r="K135" s="47">
        <f t="shared" si="6"/>
        <v>2</v>
      </c>
      <c r="L135" s="5"/>
      <c r="M135" s="5"/>
      <c r="N135" s="5"/>
      <c r="O135" s="5"/>
      <c r="P135" s="5"/>
      <c r="Q135" s="5"/>
      <c r="R135" s="5"/>
      <c r="S135" s="5"/>
      <c r="T135" s="5"/>
      <c r="U135" s="5"/>
      <c r="V135" s="5"/>
      <c r="W135" s="5"/>
      <c r="X135" s="5"/>
      <c r="Y135" s="5"/>
      <c r="Z135" s="5"/>
    </row>
    <row r="136" ht="15.75" customHeight="1">
      <c r="A136" s="46" t="str">
        <f>archetype_prototypes!A136</f>
        <v>7</v>
      </c>
      <c r="B136" s="14" t="str">
        <f>archetype_prototypes!B136</f>
        <v>Spiritual Lover</v>
      </c>
      <c r="C136" s="14" t="str">
        <f>archetype_prototypes!C136</f>
        <v>DIM_RISK_PREF</v>
      </c>
      <c r="D136" s="47">
        <f>archetype_prototypes!E136</f>
        <v>0.15</v>
      </c>
      <c r="E136" s="47">
        <f t="shared" si="1"/>
        <v>0.15</v>
      </c>
      <c r="F136" s="47">
        <f t="shared" si="2"/>
        <v>0.6275</v>
      </c>
      <c r="G136" s="47">
        <f t="shared" si="3"/>
        <v>1</v>
      </c>
      <c r="H136" s="48">
        <f t="array" ref="H136">INDEX(dimensions!$E$2:$E$22,MATCH(C136,dimensions!$A$2:$A$22,0))</f>
        <v>1.6</v>
      </c>
      <c r="I136" s="47">
        <f t="shared" si="4"/>
        <v>0.24</v>
      </c>
      <c r="J136" s="47">
        <f t="shared" si="5"/>
        <v>1.004</v>
      </c>
      <c r="K136" s="47">
        <f t="shared" si="6"/>
        <v>1.6</v>
      </c>
      <c r="L136" s="5"/>
      <c r="M136" s="5"/>
      <c r="N136" s="5"/>
      <c r="O136" s="5"/>
      <c r="P136" s="5"/>
      <c r="Q136" s="5"/>
      <c r="R136" s="5"/>
      <c r="S136" s="5"/>
      <c r="T136" s="5"/>
      <c r="U136" s="5"/>
      <c r="V136" s="5"/>
      <c r="W136" s="5"/>
      <c r="X136" s="5"/>
      <c r="Y136" s="5"/>
      <c r="Z136" s="5"/>
    </row>
    <row r="137" ht="15.75" customHeight="1">
      <c r="A137" s="46" t="str">
        <f>archetype_prototypes!A137</f>
        <v>7</v>
      </c>
      <c r="B137" s="14" t="str">
        <f>archetype_prototypes!B137</f>
        <v>Spiritual Lover</v>
      </c>
      <c r="C137" s="14" t="str">
        <f>archetype_prototypes!C137</f>
        <v>DIM_FEEDBACK_DEP</v>
      </c>
      <c r="D137" s="47">
        <f>archetype_prototypes!E137</f>
        <v>0.25</v>
      </c>
      <c r="E137" s="47">
        <f t="shared" si="1"/>
        <v>0.25</v>
      </c>
      <c r="F137" s="47">
        <f t="shared" si="2"/>
        <v>0.6875</v>
      </c>
      <c r="G137" s="47">
        <f t="shared" si="3"/>
        <v>1</v>
      </c>
      <c r="H137" s="48">
        <f t="array" ref="H137">INDEX(dimensions!$E$2:$E$22,MATCH(C137,dimensions!$A$2:$A$22,0))</f>
        <v>2</v>
      </c>
      <c r="I137" s="47">
        <f t="shared" si="4"/>
        <v>0.5</v>
      </c>
      <c r="J137" s="47">
        <f t="shared" si="5"/>
        <v>1.375</v>
      </c>
      <c r="K137" s="47">
        <f t="shared" si="6"/>
        <v>2</v>
      </c>
      <c r="L137" s="5"/>
      <c r="M137" s="5"/>
      <c r="N137" s="5"/>
      <c r="O137" s="5"/>
      <c r="P137" s="5"/>
      <c r="Q137" s="5"/>
      <c r="R137" s="5"/>
      <c r="S137" s="5"/>
      <c r="T137" s="5"/>
      <c r="U137" s="5"/>
      <c r="V137" s="5"/>
      <c r="W137" s="5"/>
      <c r="X137" s="5"/>
      <c r="Y137" s="5"/>
      <c r="Z137" s="5"/>
    </row>
    <row r="138" ht="15.75" customHeight="1">
      <c r="A138" s="46" t="str">
        <f>archetype_prototypes!A138</f>
        <v>7</v>
      </c>
      <c r="B138" s="14" t="str">
        <f>archetype_prototypes!B138</f>
        <v>Spiritual Lover</v>
      </c>
      <c r="C138" s="14" t="str">
        <f>archetype_prototypes!C138</f>
        <v>DIM_TURNON_EXPRESS</v>
      </c>
      <c r="D138" s="47">
        <f>archetype_prototypes!E138</f>
        <v>0.4</v>
      </c>
      <c r="E138" s="47">
        <f t="shared" si="1"/>
        <v>0.4</v>
      </c>
      <c r="F138" s="47">
        <f t="shared" si="2"/>
        <v>0.74</v>
      </c>
      <c r="G138" s="47">
        <f t="shared" si="3"/>
        <v>1</v>
      </c>
      <c r="H138" s="48">
        <f t="array" ref="H138">INDEX(dimensions!$E$2:$E$22,MATCH(C138,dimensions!$A$2:$A$22,0))</f>
        <v>1.3</v>
      </c>
      <c r="I138" s="47">
        <f t="shared" si="4"/>
        <v>0.52</v>
      </c>
      <c r="J138" s="47">
        <f t="shared" si="5"/>
        <v>0.962</v>
      </c>
      <c r="K138" s="47">
        <f t="shared" si="6"/>
        <v>1.3</v>
      </c>
      <c r="L138" s="5"/>
      <c r="M138" s="5"/>
      <c r="N138" s="5"/>
      <c r="O138" s="5"/>
      <c r="P138" s="5"/>
      <c r="Q138" s="5"/>
      <c r="R138" s="5"/>
      <c r="S138" s="5"/>
      <c r="T138" s="5"/>
      <c r="U138" s="5"/>
      <c r="V138" s="5"/>
      <c r="W138" s="5"/>
      <c r="X138" s="5"/>
      <c r="Y138" s="5"/>
      <c r="Z138" s="5"/>
    </row>
    <row r="139" ht="15.75" customHeight="1">
      <c r="A139" s="46" t="str">
        <f>archetype_prototypes!A139</f>
        <v>7</v>
      </c>
      <c r="B139" s="14" t="str">
        <f>archetype_prototypes!B139</f>
        <v>Spiritual Lover</v>
      </c>
      <c r="C139" s="14" t="str">
        <f>archetype_prototypes!C139</f>
        <v>DIM_BOUNDARY_EXPRESS</v>
      </c>
      <c r="D139" s="47">
        <f>archetype_prototypes!E139</f>
        <v>0.55</v>
      </c>
      <c r="E139" s="47">
        <f t="shared" si="1"/>
        <v>0.45</v>
      </c>
      <c r="F139" s="47">
        <f t="shared" si="2"/>
        <v>0.7475</v>
      </c>
      <c r="G139" s="47">
        <f t="shared" si="3"/>
        <v>1</v>
      </c>
      <c r="H139" s="48">
        <f t="array" ref="H139">INDEX(dimensions!$E$2:$E$22,MATCH(C139,dimensions!$A$2:$A$22,0))</f>
        <v>1.3</v>
      </c>
      <c r="I139" s="47">
        <f t="shared" si="4"/>
        <v>0.585</v>
      </c>
      <c r="J139" s="47">
        <f t="shared" si="5"/>
        <v>0.97175</v>
      </c>
      <c r="K139" s="47">
        <f t="shared" si="6"/>
        <v>1.3</v>
      </c>
      <c r="L139" s="5"/>
      <c r="M139" s="5"/>
      <c r="N139" s="5"/>
      <c r="O139" s="5"/>
      <c r="P139" s="5"/>
      <c r="Q139" s="5"/>
      <c r="R139" s="5"/>
      <c r="S139" s="5"/>
      <c r="T139" s="5"/>
      <c r="U139" s="5"/>
      <c r="V139" s="5"/>
      <c r="W139" s="5"/>
      <c r="X139" s="5"/>
      <c r="Y139" s="5"/>
      <c r="Z139" s="5"/>
    </row>
    <row r="140" ht="15.75" customHeight="1">
      <c r="A140" s="46" t="str">
        <f>archetype_prototypes!A140</f>
        <v>7</v>
      </c>
      <c r="B140" s="14" t="str">
        <f>archetype_prototypes!B140</f>
        <v>Spiritual Lover</v>
      </c>
      <c r="C140" s="14" t="str">
        <f>archetype_prototypes!C140</f>
        <v>DIM_PROTOCOL</v>
      </c>
      <c r="D140" s="47">
        <f>archetype_prototypes!E140</f>
        <v>0.25</v>
      </c>
      <c r="E140" s="47">
        <f t="shared" si="1"/>
        <v>0.25</v>
      </c>
      <c r="F140" s="47">
        <f t="shared" si="2"/>
        <v>0.6875</v>
      </c>
      <c r="G140" s="47">
        <f t="shared" si="3"/>
        <v>1</v>
      </c>
      <c r="H140" s="48">
        <f t="array" ref="H140">INDEX(dimensions!$E$2:$E$22,MATCH(C140,dimensions!$A$2:$A$22,0))</f>
        <v>1.6</v>
      </c>
      <c r="I140" s="47">
        <f t="shared" si="4"/>
        <v>0.4</v>
      </c>
      <c r="J140" s="47">
        <f t="shared" si="5"/>
        <v>1.1</v>
      </c>
      <c r="K140" s="47">
        <f t="shared" si="6"/>
        <v>1.6</v>
      </c>
      <c r="L140" s="5"/>
      <c r="M140" s="5"/>
      <c r="N140" s="5"/>
      <c r="O140" s="5"/>
      <c r="P140" s="5"/>
      <c r="Q140" s="5"/>
      <c r="R140" s="5"/>
      <c r="S140" s="5"/>
      <c r="T140" s="5"/>
      <c r="U140" s="5"/>
      <c r="V140" s="5"/>
      <c r="W140" s="5"/>
      <c r="X140" s="5"/>
      <c r="Y140" s="5"/>
      <c r="Z140" s="5"/>
    </row>
    <row r="141" ht="15.75" customHeight="1">
      <c r="A141" s="46" t="str">
        <f>archetype_prototypes!A141</f>
        <v>7</v>
      </c>
      <c r="B141" s="14" t="str">
        <f>archetype_prototypes!B141</f>
        <v>Spiritual Lover</v>
      </c>
      <c r="C141" s="14" t="str">
        <f>archetype_prototypes!C141</f>
        <v>DIM_SOOTHING</v>
      </c>
      <c r="D141" s="47">
        <f>archetype_prototypes!E141</f>
        <v>0.5</v>
      </c>
      <c r="E141" s="47">
        <f t="shared" si="1"/>
        <v>0.5</v>
      </c>
      <c r="F141" s="47">
        <f t="shared" si="2"/>
        <v>0.75</v>
      </c>
      <c r="G141" s="47">
        <f t="shared" si="3"/>
        <v>1</v>
      </c>
      <c r="H141" s="48">
        <f t="array" ref="H141">INDEX(dimensions!$E$2:$E$22,MATCH(C141,dimensions!$A$2:$A$22,0))</f>
        <v>1.9</v>
      </c>
      <c r="I141" s="47">
        <f t="shared" si="4"/>
        <v>0.95</v>
      </c>
      <c r="J141" s="47">
        <f t="shared" si="5"/>
        <v>1.425</v>
      </c>
      <c r="K141" s="47">
        <f t="shared" si="6"/>
        <v>1.9</v>
      </c>
      <c r="L141" s="5"/>
      <c r="M141" s="5"/>
      <c r="N141" s="5"/>
      <c r="O141" s="5"/>
      <c r="P141" s="5"/>
      <c r="Q141" s="5"/>
      <c r="R141" s="5"/>
      <c r="S141" s="5"/>
      <c r="T141" s="5"/>
      <c r="U141" s="5"/>
      <c r="V141" s="5"/>
      <c r="W141" s="5"/>
      <c r="X141" s="5"/>
      <c r="Y141" s="5"/>
      <c r="Z141" s="5"/>
    </row>
    <row r="142" ht="15.75" customHeight="1">
      <c r="A142" s="46" t="str">
        <f>archetype_prototypes!A142</f>
        <v>7</v>
      </c>
      <c r="B142" s="14" t="str">
        <f>archetype_prototypes!B142</f>
        <v>Spiritual Lover</v>
      </c>
      <c r="C142" s="14" t="str">
        <f>archetype_prototypes!C142</f>
        <v>DIM_SECURE</v>
      </c>
      <c r="D142" s="47">
        <f>archetype_prototypes!E142</f>
        <v>0.75</v>
      </c>
      <c r="E142" s="47">
        <f t="shared" si="1"/>
        <v>0.25</v>
      </c>
      <c r="F142" s="47">
        <f t="shared" si="2"/>
        <v>0.6875</v>
      </c>
      <c r="G142" s="47">
        <f t="shared" si="3"/>
        <v>1</v>
      </c>
      <c r="H142" s="48">
        <f t="array" ref="H142">INDEX(dimensions!$E$2:$E$22,MATCH(C142,dimensions!$A$2:$A$22,0))</f>
        <v>1</v>
      </c>
      <c r="I142" s="47">
        <f t="shared" si="4"/>
        <v>0.25</v>
      </c>
      <c r="J142" s="47">
        <f t="shared" si="5"/>
        <v>0.6875</v>
      </c>
      <c r="K142" s="47">
        <f t="shared" si="6"/>
        <v>1</v>
      </c>
      <c r="L142" s="5"/>
      <c r="M142" s="5"/>
      <c r="N142" s="5"/>
      <c r="O142" s="5"/>
      <c r="P142" s="5"/>
      <c r="Q142" s="5"/>
      <c r="R142" s="5"/>
      <c r="S142" s="5"/>
      <c r="T142" s="5"/>
      <c r="U142" s="5"/>
      <c r="V142" s="5"/>
      <c r="W142" s="5"/>
      <c r="X142" s="5"/>
      <c r="Y142" s="5"/>
      <c r="Z142" s="5"/>
    </row>
    <row r="143" ht="15.75" customHeight="1">
      <c r="A143" s="46" t="str">
        <f>archetype_prototypes!A143</f>
        <v>7</v>
      </c>
      <c r="B143" s="14" t="str">
        <f>archetype_prototypes!B143</f>
        <v>Spiritual Lover</v>
      </c>
      <c r="C143" s="14" t="str">
        <f>archetype_prototypes!C143</f>
        <v>DIM_REPAIR_EROTICISM</v>
      </c>
      <c r="D143" s="47">
        <f>archetype_prototypes!E143</f>
        <v>0.6</v>
      </c>
      <c r="E143" s="47">
        <f t="shared" si="1"/>
        <v>0.4</v>
      </c>
      <c r="F143" s="47">
        <f t="shared" si="2"/>
        <v>0.74</v>
      </c>
      <c r="G143" s="47">
        <f t="shared" si="3"/>
        <v>1</v>
      </c>
      <c r="H143" s="48">
        <f t="array" ref="H143">INDEX(dimensions!$E$2:$E$22,MATCH(C143,dimensions!$A$2:$A$22,0))</f>
        <v>1.6</v>
      </c>
      <c r="I143" s="47">
        <f t="shared" si="4"/>
        <v>0.64</v>
      </c>
      <c r="J143" s="47">
        <f t="shared" si="5"/>
        <v>1.184</v>
      </c>
      <c r="K143" s="47">
        <f t="shared" si="6"/>
        <v>1.6</v>
      </c>
      <c r="L143" s="5"/>
      <c r="M143" s="5"/>
      <c r="N143" s="5"/>
      <c r="O143" s="5"/>
      <c r="P143" s="5"/>
      <c r="Q143" s="5"/>
      <c r="R143" s="5"/>
      <c r="S143" s="5"/>
      <c r="T143" s="5"/>
      <c r="U143" s="5"/>
      <c r="V143" s="5"/>
      <c r="W143" s="5"/>
      <c r="X143" s="5"/>
      <c r="Y143" s="5"/>
      <c r="Z143" s="5"/>
    </row>
    <row r="144" ht="15.75" customHeight="1">
      <c r="A144" s="46" t="str">
        <f>archetype_prototypes!A144</f>
        <v>7</v>
      </c>
      <c r="B144" s="14" t="str">
        <f>archetype_prototypes!B144</f>
        <v>Spiritual Lover</v>
      </c>
      <c r="C144" s="14" t="str">
        <f>archetype_prototypes!C144</f>
        <v>DIM_PRESSURE_SHUTDOWN</v>
      </c>
      <c r="D144" s="47">
        <f>archetype_prototypes!E144</f>
        <v>0.4</v>
      </c>
      <c r="E144" s="47">
        <f t="shared" si="1"/>
        <v>0.4</v>
      </c>
      <c r="F144" s="47">
        <f t="shared" si="2"/>
        <v>0.74</v>
      </c>
      <c r="G144" s="47">
        <f t="shared" si="3"/>
        <v>1</v>
      </c>
      <c r="H144" s="48">
        <f t="array" ref="H144">INDEX(dimensions!$E$2:$E$22,MATCH(C144,dimensions!$A$2:$A$22,0))</f>
        <v>2</v>
      </c>
      <c r="I144" s="47">
        <f t="shared" si="4"/>
        <v>0.8</v>
      </c>
      <c r="J144" s="47">
        <f t="shared" si="5"/>
        <v>1.48</v>
      </c>
      <c r="K144" s="47">
        <f t="shared" si="6"/>
        <v>2</v>
      </c>
      <c r="L144" s="5"/>
      <c r="M144" s="5"/>
      <c r="N144" s="5"/>
      <c r="O144" s="5"/>
      <c r="P144" s="5"/>
      <c r="Q144" s="5"/>
      <c r="R144" s="5"/>
      <c r="S144" s="5"/>
      <c r="T144" s="5"/>
      <c r="U144" s="5"/>
      <c r="V144" s="5"/>
      <c r="W144" s="5"/>
      <c r="X144" s="5"/>
      <c r="Y144" s="5"/>
      <c r="Z144" s="5"/>
    </row>
    <row r="145" ht="15.75" customHeight="1">
      <c r="A145" s="46" t="str">
        <f>archetype_prototypes!A145</f>
        <v>7</v>
      </c>
      <c r="B145" s="14" t="str">
        <f>archetype_prototypes!B145</f>
        <v>Spiritual Lover</v>
      </c>
      <c r="C145" s="14" t="str">
        <f>archetype_prototypes!C145</f>
        <v>DIM_AVOIDANT</v>
      </c>
      <c r="D145" s="47">
        <f>archetype_prototypes!E145</f>
        <v>0.2</v>
      </c>
      <c r="E145" s="47">
        <f t="shared" si="1"/>
        <v>0.2</v>
      </c>
      <c r="F145" s="47">
        <f t="shared" si="2"/>
        <v>0.66</v>
      </c>
      <c r="G145" s="47">
        <f t="shared" si="3"/>
        <v>1</v>
      </c>
      <c r="H145" s="48">
        <f t="array" ref="H145">INDEX(dimensions!$E$2:$E$22,MATCH(C145,dimensions!$A$2:$A$22,0))</f>
        <v>1.3</v>
      </c>
      <c r="I145" s="47">
        <f t="shared" si="4"/>
        <v>0.26</v>
      </c>
      <c r="J145" s="47">
        <f t="shared" si="5"/>
        <v>0.858</v>
      </c>
      <c r="K145" s="47">
        <f t="shared" si="6"/>
        <v>1.3</v>
      </c>
      <c r="L145" s="5"/>
      <c r="M145" s="5"/>
      <c r="N145" s="5"/>
      <c r="O145" s="5"/>
      <c r="P145" s="5"/>
      <c r="Q145" s="5"/>
      <c r="R145" s="5"/>
      <c r="S145" s="5"/>
      <c r="T145" s="5"/>
      <c r="U145" s="5"/>
      <c r="V145" s="5"/>
      <c r="W145" s="5"/>
      <c r="X145" s="5"/>
      <c r="Y145" s="5"/>
      <c r="Z145" s="5"/>
    </row>
    <row r="146" ht="15.75" customHeight="1">
      <c r="A146" s="46" t="str">
        <f>archetype_prototypes!A146</f>
        <v>7</v>
      </c>
      <c r="B146" s="14" t="str">
        <f>archetype_prototypes!B146</f>
        <v>Spiritual Lover</v>
      </c>
      <c r="C146" s="14" t="str">
        <f>archetype_prototypes!C146</f>
        <v>DIM_STRATEGY</v>
      </c>
      <c r="D146" s="47">
        <f>archetype_prototypes!E146</f>
        <v>0.05</v>
      </c>
      <c r="E146" s="47">
        <f t="shared" si="1"/>
        <v>0.05</v>
      </c>
      <c r="F146" s="47">
        <f t="shared" si="2"/>
        <v>0.5475</v>
      </c>
      <c r="G146" s="47">
        <f t="shared" si="3"/>
        <v>1</v>
      </c>
      <c r="H146" s="48">
        <f t="array" ref="H146">INDEX(dimensions!$E$2:$E$22,MATCH(C146,dimensions!$A$2:$A$22,0))</f>
        <v>1.2</v>
      </c>
      <c r="I146" s="47">
        <f t="shared" si="4"/>
        <v>0.06</v>
      </c>
      <c r="J146" s="47">
        <f t="shared" si="5"/>
        <v>0.657</v>
      </c>
      <c r="K146" s="47">
        <f t="shared" si="6"/>
        <v>1.2</v>
      </c>
      <c r="L146" s="5"/>
      <c r="M146" s="5"/>
      <c r="N146" s="5"/>
      <c r="O146" s="5"/>
      <c r="P146" s="5"/>
      <c r="Q146" s="5"/>
      <c r="R146" s="5"/>
      <c r="S146" s="5"/>
      <c r="T146" s="5"/>
      <c r="U146" s="5"/>
      <c r="V146" s="5"/>
      <c r="W146" s="5"/>
      <c r="X146" s="5"/>
      <c r="Y146" s="5"/>
      <c r="Z146" s="5"/>
    </row>
    <row r="147" ht="15.75" customHeight="1">
      <c r="A147" s="46" t="str">
        <f>archetype_prototypes!A147</f>
        <v>7</v>
      </c>
      <c r="B147" s="14" t="str">
        <f>archetype_prototypes!B147</f>
        <v>Spiritual Lover</v>
      </c>
      <c r="C147" s="14" t="str">
        <f>archetype_prototypes!C147</f>
        <v>DIM_CLOSENESS_ORIENTATION</v>
      </c>
      <c r="D147" s="47">
        <f>archetype_prototypes!E147</f>
        <v>0.68</v>
      </c>
      <c r="E147" s="47">
        <f t="shared" si="1"/>
        <v>0.32</v>
      </c>
      <c r="F147" s="47">
        <f t="shared" si="2"/>
        <v>0.7176</v>
      </c>
      <c r="G147" s="47">
        <f t="shared" si="3"/>
        <v>1</v>
      </c>
      <c r="H147" s="48">
        <f t="array" ref="H147">INDEX(dimensions!$E$2:$E$22,MATCH(C147,dimensions!$A$2:$A$22,0))</f>
        <v>1</v>
      </c>
      <c r="I147" s="47">
        <f t="shared" si="4"/>
        <v>0.32</v>
      </c>
      <c r="J147" s="47">
        <f t="shared" si="5"/>
        <v>0.7176</v>
      </c>
      <c r="K147" s="47">
        <f t="shared" si="6"/>
        <v>1</v>
      </c>
      <c r="L147" s="5"/>
      <c r="M147" s="5"/>
      <c r="N147" s="5"/>
      <c r="O147" s="5"/>
      <c r="P147" s="5"/>
      <c r="Q147" s="5"/>
      <c r="R147" s="5"/>
      <c r="S147" s="5"/>
      <c r="T147" s="5"/>
      <c r="U147" s="5"/>
      <c r="V147" s="5"/>
      <c r="W147" s="5"/>
      <c r="X147" s="5"/>
      <c r="Y147" s="5"/>
      <c r="Z147" s="5"/>
    </row>
    <row r="148" ht="15.75" customHeight="1">
      <c r="A148" s="46" t="str">
        <f>archetype_prototypes!A148</f>
        <v>7</v>
      </c>
      <c r="B148" s="14" t="str">
        <f>archetype_prototypes!B148</f>
        <v>Spiritual Lover</v>
      </c>
      <c r="C148" s="14" t="str">
        <f>archetype_prototypes!C148</f>
        <v>DIM_PARTNER_FOCUS</v>
      </c>
      <c r="D148" s="47">
        <f>archetype_prototypes!E148</f>
        <v>0.62</v>
      </c>
      <c r="E148" s="47">
        <f t="shared" si="1"/>
        <v>0.38</v>
      </c>
      <c r="F148" s="47">
        <f t="shared" si="2"/>
        <v>0.7356</v>
      </c>
      <c r="G148" s="47">
        <f t="shared" si="3"/>
        <v>1</v>
      </c>
      <c r="H148" s="48">
        <f t="array" ref="H148">INDEX(dimensions!$E$2:$E$22,MATCH(C148,dimensions!$A$2:$A$22,0))</f>
        <v>1.2</v>
      </c>
      <c r="I148" s="47">
        <f t="shared" si="4"/>
        <v>0.456</v>
      </c>
      <c r="J148" s="47">
        <f t="shared" si="5"/>
        <v>0.88272</v>
      </c>
      <c r="K148" s="47">
        <f t="shared" si="6"/>
        <v>1.2</v>
      </c>
      <c r="L148" s="5"/>
      <c r="M148" s="5"/>
      <c r="N148" s="5"/>
      <c r="O148" s="5"/>
      <c r="P148" s="5"/>
      <c r="Q148" s="5"/>
      <c r="R148" s="5"/>
      <c r="S148" s="5"/>
      <c r="T148" s="5"/>
      <c r="U148" s="5"/>
      <c r="V148" s="5"/>
      <c r="W148" s="5"/>
      <c r="X148" s="5"/>
      <c r="Y148" s="5"/>
      <c r="Z148" s="5"/>
    </row>
    <row r="149" ht="15.75" customHeight="1">
      <c r="A149" s="46" t="str">
        <f>archetype_prototypes!A149</f>
        <v>8</v>
      </c>
      <c r="B149" s="14" t="str">
        <f>archetype_prototypes!B149</f>
        <v>Minimalist Companion</v>
      </c>
      <c r="C149" s="14" t="str">
        <f>archetype_prototypes!C149</f>
        <v>DIM_NOVELTY</v>
      </c>
      <c r="D149" s="47">
        <f>archetype_prototypes!E149</f>
        <v>0.15</v>
      </c>
      <c r="E149" s="47">
        <f t="shared" si="1"/>
        <v>0.15</v>
      </c>
      <c r="F149" s="47">
        <f t="shared" si="2"/>
        <v>0.6275</v>
      </c>
      <c r="G149" s="47">
        <f t="shared" si="3"/>
        <v>1</v>
      </c>
      <c r="H149" s="48">
        <f t="array" ref="H149">INDEX(dimensions!$E$2:$E$22,MATCH(C149,dimensions!$A$2:$A$22,0))</f>
        <v>1.4</v>
      </c>
      <c r="I149" s="47">
        <f t="shared" si="4"/>
        <v>0.21</v>
      </c>
      <c r="J149" s="47">
        <f t="shared" si="5"/>
        <v>0.8785</v>
      </c>
      <c r="K149" s="47">
        <f t="shared" si="6"/>
        <v>1.4</v>
      </c>
      <c r="L149" s="5"/>
      <c r="M149" s="5"/>
      <c r="N149" s="5"/>
      <c r="O149" s="5"/>
      <c r="P149" s="5"/>
      <c r="Q149" s="5"/>
      <c r="R149" s="5"/>
      <c r="S149" s="5"/>
      <c r="T149" s="5"/>
      <c r="U149" s="5"/>
      <c r="V149" s="5"/>
      <c r="W149" s="5"/>
      <c r="X149" s="5"/>
      <c r="Y149" s="5"/>
      <c r="Z149" s="5"/>
    </row>
    <row r="150" ht="15.75" customHeight="1">
      <c r="A150" s="46" t="str">
        <f>archetype_prototypes!A150</f>
        <v>8</v>
      </c>
      <c r="B150" s="14" t="str">
        <f>archetype_prototypes!B150</f>
        <v>Minimalist Companion</v>
      </c>
      <c r="C150" s="14" t="str">
        <f>archetype_prototypes!C150</f>
        <v>DIM_RESPONSIVE</v>
      </c>
      <c r="D150" s="47">
        <f>archetype_prototypes!E150</f>
        <v>0.6</v>
      </c>
      <c r="E150" s="47">
        <f t="shared" si="1"/>
        <v>0.4</v>
      </c>
      <c r="F150" s="47">
        <f t="shared" si="2"/>
        <v>0.74</v>
      </c>
      <c r="G150" s="47">
        <f t="shared" si="3"/>
        <v>1</v>
      </c>
      <c r="H150" s="48">
        <f t="array" ref="H150">INDEX(dimensions!$E$2:$E$22,MATCH(C150,dimensions!$A$2:$A$22,0))</f>
        <v>1.6</v>
      </c>
      <c r="I150" s="47">
        <f t="shared" si="4"/>
        <v>0.64</v>
      </c>
      <c r="J150" s="47">
        <f t="shared" si="5"/>
        <v>1.184</v>
      </c>
      <c r="K150" s="47">
        <f t="shared" si="6"/>
        <v>1.6</v>
      </c>
      <c r="L150" s="5"/>
      <c r="M150" s="5"/>
      <c r="N150" s="5"/>
      <c r="O150" s="5"/>
      <c r="P150" s="5"/>
      <c r="Q150" s="5"/>
      <c r="R150" s="5"/>
      <c r="S150" s="5"/>
      <c r="T150" s="5"/>
      <c r="U150" s="5"/>
      <c r="V150" s="5"/>
      <c r="W150" s="5"/>
      <c r="X150" s="5"/>
      <c r="Y150" s="5"/>
      <c r="Z150" s="5"/>
    </row>
    <row r="151" ht="15.75" customHeight="1">
      <c r="A151" s="46" t="str">
        <f>archetype_prototypes!A151</f>
        <v>8</v>
      </c>
      <c r="B151" s="14" t="str">
        <f>archetype_prototypes!B151</f>
        <v>Minimalist Companion</v>
      </c>
      <c r="C151" s="14" t="str">
        <f>archetype_prototypes!C151</f>
        <v>DIM_PLANNED</v>
      </c>
      <c r="D151" s="47">
        <f>archetype_prototypes!E151</f>
        <v>0.65</v>
      </c>
      <c r="E151" s="47">
        <f t="shared" si="1"/>
        <v>0.35</v>
      </c>
      <c r="F151" s="47">
        <f t="shared" si="2"/>
        <v>0.7275</v>
      </c>
      <c r="G151" s="47">
        <f t="shared" si="3"/>
        <v>1</v>
      </c>
      <c r="H151" s="48">
        <f t="array" ref="H151">INDEX(dimensions!$E$2:$E$22,MATCH(C151,dimensions!$A$2:$A$22,0))</f>
        <v>1.3</v>
      </c>
      <c r="I151" s="47">
        <f t="shared" si="4"/>
        <v>0.455</v>
      </c>
      <c r="J151" s="47">
        <f t="shared" si="5"/>
        <v>0.94575</v>
      </c>
      <c r="K151" s="47">
        <f t="shared" si="6"/>
        <v>1.3</v>
      </c>
      <c r="L151" s="5"/>
      <c r="M151" s="5"/>
      <c r="N151" s="5"/>
      <c r="O151" s="5"/>
      <c r="P151" s="5"/>
      <c r="Q151" s="5"/>
      <c r="R151" s="5"/>
      <c r="S151" s="5"/>
      <c r="T151" s="5"/>
      <c r="U151" s="5"/>
      <c r="V151" s="5"/>
      <c r="W151" s="5"/>
      <c r="X151" s="5"/>
      <c r="Y151" s="5"/>
      <c r="Z151" s="5"/>
    </row>
    <row r="152" ht="15.75" customHeight="1">
      <c r="A152" s="46" t="str">
        <f>archetype_prototypes!A152</f>
        <v>8</v>
      </c>
      <c r="B152" s="14" t="str">
        <f>archetype_prototypes!B152</f>
        <v>Minimalist Companion</v>
      </c>
      <c r="C152" s="14" t="str">
        <f>archetype_prototypes!C152</f>
        <v>DIM_EMO_CONNECTION</v>
      </c>
      <c r="D152" s="47">
        <f>archetype_prototypes!E152</f>
        <v>0.55</v>
      </c>
      <c r="E152" s="47">
        <f t="shared" si="1"/>
        <v>0.45</v>
      </c>
      <c r="F152" s="47">
        <f t="shared" si="2"/>
        <v>0.7475</v>
      </c>
      <c r="G152" s="47">
        <f t="shared" si="3"/>
        <v>1</v>
      </c>
      <c r="H152" s="48">
        <f t="array" ref="H152">INDEX(dimensions!$E$2:$E$22,MATCH(C152,dimensions!$A$2:$A$22,0))</f>
        <v>1.4</v>
      </c>
      <c r="I152" s="47">
        <f t="shared" si="4"/>
        <v>0.63</v>
      </c>
      <c r="J152" s="47">
        <f t="shared" si="5"/>
        <v>1.0465</v>
      </c>
      <c r="K152" s="47">
        <f t="shared" si="6"/>
        <v>1.4</v>
      </c>
      <c r="L152" s="5"/>
      <c r="M152" s="5"/>
      <c r="N152" s="5"/>
      <c r="O152" s="5"/>
      <c r="P152" s="5"/>
      <c r="Q152" s="5"/>
      <c r="R152" s="5"/>
      <c r="S152" s="5"/>
      <c r="T152" s="5"/>
      <c r="U152" s="5"/>
      <c r="V152" s="5"/>
      <c r="W152" s="5"/>
      <c r="X152" s="5"/>
      <c r="Y152" s="5"/>
      <c r="Z152" s="5"/>
    </row>
    <row r="153" ht="15.75" customHeight="1">
      <c r="A153" s="46" t="str">
        <f>archetype_prototypes!A153</f>
        <v>8</v>
      </c>
      <c r="B153" s="14" t="str">
        <f>archetype_prototypes!B153</f>
        <v>Minimalist Companion</v>
      </c>
      <c r="C153" s="14" t="str">
        <f>archetype_prototypes!C153</f>
        <v>DIM_INTENSITY</v>
      </c>
      <c r="D153" s="47">
        <f>archetype_prototypes!E153</f>
        <v>0.15</v>
      </c>
      <c r="E153" s="47">
        <f t="shared" si="1"/>
        <v>0.15</v>
      </c>
      <c r="F153" s="47">
        <f t="shared" si="2"/>
        <v>0.6275</v>
      </c>
      <c r="G153" s="47">
        <f t="shared" si="3"/>
        <v>1</v>
      </c>
      <c r="H153" s="48">
        <f t="array" ref="H153">INDEX(dimensions!$E$2:$E$22,MATCH(C153,dimensions!$A$2:$A$22,0))</f>
        <v>1.4</v>
      </c>
      <c r="I153" s="47">
        <f t="shared" si="4"/>
        <v>0.21</v>
      </c>
      <c r="J153" s="47">
        <f t="shared" si="5"/>
        <v>0.8785</v>
      </c>
      <c r="K153" s="47">
        <f t="shared" si="6"/>
        <v>1.4</v>
      </c>
      <c r="L153" s="5"/>
      <c r="M153" s="5"/>
      <c r="N153" s="5"/>
      <c r="O153" s="5"/>
      <c r="P153" s="5"/>
      <c r="Q153" s="5"/>
      <c r="R153" s="5"/>
      <c r="S153" s="5"/>
      <c r="T153" s="5"/>
      <c r="U153" s="5"/>
      <c r="V153" s="5"/>
      <c r="W153" s="5"/>
      <c r="X153" s="5"/>
      <c r="Y153" s="5"/>
      <c r="Z153" s="5"/>
    </row>
    <row r="154" ht="15.75" customHeight="1">
      <c r="A154" s="46" t="str">
        <f>archetype_prototypes!A154</f>
        <v>8</v>
      </c>
      <c r="B154" s="14" t="str">
        <f>archetype_prototypes!B154</f>
        <v>Minimalist Companion</v>
      </c>
      <c r="C154" s="14" t="str">
        <f>archetype_prototypes!C154</f>
        <v>DIM_PURSUIT</v>
      </c>
      <c r="D154" s="47">
        <f>archetype_prototypes!E154</f>
        <v>0.15</v>
      </c>
      <c r="E154" s="47">
        <f t="shared" si="1"/>
        <v>0.15</v>
      </c>
      <c r="F154" s="47">
        <f t="shared" si="2"/>
        <v>0.6275</v>
      </c>
      <c r="G154" s="47">
        <f t="shared" si="3"/>
        <v>1</v>
      </c>
      <c r="H154" s="48">
        <f t="array" ref="H154">INDEX(dimensions!$E$2:$E$22,MATCH(C154,dimensions!$A$2:$A$22,0))</f>
        <v>1.4</v>
      </c>
      <c r="I154" s="47">
        <f t="shared" si="4"/>
        <v>0.21</v>
      </c>
      <c r="J154" s="47">
        <f t="shared" si="5"/>
        <v>0.8785</v>
      </c>
      <c r="K154" s="47">
        <f t="shared" si="6"/>
        <v>1.4</v>
      </c>
      <c r="L154" s="5"/>
      <c r="M154" s="5"/>
      <c r="N154" s="5"/>
      <c r="O154" s="5"/>
      <c r="P154" s="5"/>
      <c r="Q154" s="5"/>
      <c r="R154" s="5"/>
      <c r="S154" s="5"/>
      <c r="T154" s="5"/>
      <c r="U154" s="5"/>
      <c r="V154" s="5"/>
      <c r="W154" s="5"/>
      <c r="X154" s="5"/>
      <c r="Y154" s="5"/>
      <c r="Z154" s="5"/>
    </row>
    <row r="155" ht="15.75" customHeight="1">
      <c r="A155" s="46" t="str">
        <f>archetype_prototypes!A155</f>
        <v>8</v>
      </c>
      <c r="B155" s="14" t="str">
        <f>archetype_prototypes!B155</f>
        <v>Minimalist Companion</v>
      </c>
      <c r="C155" s="14" t="str">
        <f>archetype_prototypes!C155</f>
        <v>DIM_EDGE_NEED</v>
      </c>
      <c r="D155" s="47">
        <f>archetype_prototypes!E155</f>
        <v>0.1</v>
      </c>
      <c r="E155" s="47">
        <f t="shared" si="1"/>
        <v>0.1</v>
      </c>
      <c r="F155" s="47">
        <f t="shared" si="2"/>
        <v>0.59</v>
      </c>
      <c r="G155" s="47">
        <f t="shared" si="3"/>
        <v>1</v>
      </c>
      <c r="H155" s="48">
        <f t="array" ref="H155">INDEX(dimensions!$E$2:$E$22,MATCH(C155,dimensions!$A$2:$A$22,0))</f>
        <v>1.8</v>
      </c>
      <c r="I155" s="47">
        <f t="shared" si="4"/>
        <v>0.18</v>
      </c>
      <c r="J155" s="47">
        <f t="shared" si="5"/>
        <v>1.062</v>
      </c>
      <c r="K155" s="47">
        <f t="shared" si="6"/>
        <v>1.8</v>
      </c>
      <c r="L155" s="5"/>
      <c r="M155" s="5"/>
      <c r="N155" s="5"/>
      <c r="O155" s="5"/>
      <c r="P155" s="5"/>
      <c r="Q155" s="5"/>
      <c r="R155" s="5"/>
      <c r="S155" s="5"/>
      <c r="T155" s="5"/>
      <c r="U155" s="5"/>
      <c r="V155" s="5"/>
      <c r="W155" s="5"/>
      <c r="X155" s="5"/>
      <c r="Y155" s="5"/>
      <c r="Z155" s="5"/>
    </row>
    <row r="156" ht="15.75" customHeight="1">
      <c r="A156" s="46" t="str">
        <f>archetype_prototypes!A156</f>
        <v>8</v>
      </c>
      <c r="B156" s="14" t="str">
        <f>archetype_prototypes!B156</f>
        <v>Minimalist Companion</v>
      </c>
      <c r="C156" s="14" t="str">
        <f>archetype_prototypes!C156</f>
        <v>DIM_SACRED</v>
      </c>
      <c r="D156" s="47">
        <f>archetype_prototypes!E156</f>
        <v>0.2</v>
      </c>
      <c r="E156" s="47">
        <f t="shared" si="1"/>
        <v>0.2</v>
      </c>
      <c r="F156" s="47">
        <f t="shared" si="2"/>
        <v>0.66</v>
      </c>
      <c r="G156" s="47">
        <f t="shared" si="3"/>
        <v>1</v>
      </c>
      <c r="H156" s="48">
        <f t="array" ref="H156">INDEX(dimensions!$E$2:$E$22,MATCH(C156,dimensions!$A$2:$A$22,0))</f>
        <v>2</v>
      </c>
      <c r="I156" s="47">
        <f t="shared" si="4"/>
        <v>0.4</v>
      </c>
      <c r="J156" s="47">
        <f t="shared" si="5"/>
        <v>1.32</v>
      </c>
      <c r="K156" s="47">
        <f t="shared" si="6"/>
        <v>2</v>
      </c>
      <c r="L156" s="5"/>
      <c r="M156" s="5"/>
      <c r="N156" s="5"/>
      <c r="O156" s="5"/>
      <c r="P156" s="5"/>
      <c r="Q156" s="5"/>
      <c r="R156" s="5"/>
      <c r="S156" s="5"/>
      <c r="T156" s="5"/>
      <c r="U156" s="5"/>
      <c r="V156" s="5"/>
      <c r="W156" s="5"/>
      <c r="X156" s="5"/>
      <c r="Y156" s="5"/>
      <c r="Z156" s="5"/>
    </row>
    <row r="157" ht="15.75" customHeight="1">
      <c r="A157" s="46" t="str">
        <f>archetype_prototypes!A157</f>
        <v>8</v>
      </c>
      <c r="B157" s="14" t="str">
        <f>archetype_prototypes!B157</f>
        <v>Minimalist Companion</v>
      </c>
      <c r="C157" s="14" t="str">
        <f>archetype_prototypes!C157</f>
        <v>DIM_RISK_PREF</v>
      </c>
      <c r="D157" s="47">
        <f>archetype_prototypes!E157</f>
        <v>0.05</v>
      </c>
      <c r="E157" s="47">
        <f t="shared" si="1"/>
        <v>0.05</v>
      </c>
      <c r="F157" s="47">
        <f t="shared" si="2"/>
        <v>0.5475</v>
      </c>
      <c r="G157" s="47">
        <f t="shared" si="3"/>
        <v>1</v>
      </c>
      <c r="H157" s="48">
        <f t="array" ref="H157">INDEX(dimensions!$E$2:$E$22,MATCH(C157,dimensions!$A$2:$A$22,0))</f>
        <v>1.6</v>
      </c>
      <c r="I157" s="47">
        <f t="shared" si="4"/>
        <v>0.08</v>
      </c>
      <c r="J157" s="47">
        <f t="shared" si="5"/>
        <v>0.876</v>
      </c>
      <c r="K157" s="47">
        <f t="shared" si="6"/>
        <v>1.6</v>
      </c>
      <c r="L157" s="5"/>
      <c r="M157" s="5"/>
      <c r="N157" s="5"/>
      <c r="O157" s="5"/>
      <c r="P157" s="5"/>
      <c r="Q157" s="5"/>
      <c r="R157" s="5"/>
      <c r="S157" s="5"/>
      <c r="T157" s="5"/>
      <c r="U157" s="5"/>
      <c r="V157" s="5"/>
      <c r="W157" s="5"/>
      <c r="X157" s="5"/>
      <c r="Y157" s="5"/>
      <c r="Z157" s="5"/>
    </row>
    <row r="158" ht="15.75" customHeight="1">
      <c r="A158" s="46" t="str">
        <f>archetype_prototypes!A158</f>
        <v>8</v>
      </c>
      <c r="B158" s="14" t="str">
        <f>archetype_prototypes!B158</f>
        <v>Minimalist Companion</v>
      </c>
      <c r="C158" s="14" t="str">
        <f>archetype_prototypes!C158</f>
        <v>DIM_FEEDBACK_DEP</v>
      </c>
      <c r="D158" s="47">
        <f>archetype_prototypes!E158</f>
        <v>0.2</v>
      </c>
      <c r="E158" s="47">
        <f t="shared" si="1"/>
        <v>0.2</v>
      </c>
      <c r="F158" s="47">
        <f t="shared" si="2"/>
        <v>0.66</v>
      </c>
      <c r="G158" s="47">
        <f t="shared" si="3"/>
        <v>1</v>
      </c>
      <c r="H158" s="48">
        <f t="array" ref="H158">INDEX(dimensions!$E$2:$E$22,MATCH(C158,dimensions!$A$2:$A$22,0))</f>
        <v>2</v>
      </c>
      <c r="I158" s="47">
        <f t="shared" si="4"/>
        <v>0.4</v>
      </c>
      <c r="J158" s="47">
        <f t="shared" si="5"/>
        <v>1.32</v>
      </c>
      <c r="K158" s="47">
        <f t="shared" si="6"/>
        <v>2</v>
      </c>
      <c r="L158" s="5"/>
      <c r="M158" s="5"/>
      <c r="N158" s="5"/>
      <c r="O158" s="5"/>
      <c r="P158" s="5"/>
      <c r="Q158" s="5"/>
      <c r="R158" s="5"/>
      <c r="S158" s="5"/>
      <c r="T158" s="5"/>
      <c r="U158" s="5"/>
      <c r="V158" s="5"/>
      <c r="W158" s="5"/>
      <c r="X158" s="5"/>
      <c r="Y158" s="5"/>
      <c r="Z158" s="5"/>
    </row>
    <row r="159" ht="15.75" customHeight="1">
      <c r="A159" s="46" t="str">
        <f>archetype_prototypes!A159</f>
        <v>8</v>
      </c>
      <c r="B159" s="14" t="str">
        <f>archetype_prototypes!B159</f>
        <v>Minimalist Companion</v>
      </c>
      <c r="C159" s="14" t="str">
        <f>archetype_prototypes!C159</f>
        <v>DIM_TURNON_EXPRESS</v>
      </c>
      <c r="D159" s="47">
        <f>archetype_prototypes!E159</f>
        <v>0.25</v>
      </c>
      <c r="E159" s="47">
        <f t="shared" si="1"/>
        <v>0.25</v>
      </c>
      <c r="F159" s="47">
        <f t="shared" si="2"/>
        <v>0.6875</v>
      </c>
      <c r="G159" s="47">
        <f t="shared" si="3"/>
        <v>1</v>
      </c>
      <c r="H159" s="48">
        <f t="array" ref="H159">INDEX(dimensions!$E$2:$E$22,MATCH(C159,dimensions!$A$2:$A$22,0))</f>
        <v>1.3</v>
      </c>
      <c r="I159" s="47">
        <f t="shared" si="4"/>
        <v>0.325</v>
      </c>
      <c r="J159" s="47">
        <f t="shared" si="5"/>
        <v>0.89375</v>
      </c>
      <c r="K159" s="47">
        <f t="shared" si="6"/>
        <v>1.3</v>
      </c>
      <c r="L159" s="5"/>
      <c r="M159" s="5"/>
      <c r="N159" s="5"/>
      <c r="O159" s="5"/>
      <c r="P159" s="5"/>
      <c r="Q159" s="5"/>
      <c r="R159" s="5"/>
      <c r="S159" s="5"/>
      <c r="T159" s="5"/>
      <c r="U159" s="5"/>
      <c r="V159" s="5"/>
      <c r="W159" s="5"/>
      <c r="X159" s="5"/>
      <c r="Y159" s="5"/>
      <c r="Z159" s="5"/>
    </row>
    <row r="160" ht="15.75" customHeight="1">
      <c r="A160" s="46" t="str">
        <f>archetype_prototypes!A160</f>
        <v>8</v>
      </c>
      <c r="B160" s="14" t="str">
        <f>archetype_prototypes!B160</f>
        <v>Minimalist Companion</v>
      </c>
      <c r="C160" s="14" t="str">
        <f>archetype_prototypes!C160</f>
        <v>DIM_BOUNDARY_EXPRESS</v>
      </c>
      <c r="D160" s="47">
        <f>archetype_prototypes!E160</f>
        <v>0.4</v>
      </c>
      <c r="E160" s="47">
        <f t="shared" si="1"/>
        <v>0.4</v>
      </c>
      <c r="F160" s="47">
        <f t="shared" si="2"/>
        <v>0.74</v>
      </c>
      <c r="G160" s="47">
        <f t="shared" si="3"/>
        <v>1</v>
      </c>
      <c r="H160" s="48">
        <f t="array" ref="H160">INDEX(dimensions!$E$2:$E$22,MATCH(C160,dimensions!$A$2:$A$22,0))</f>
        <v>1.3</v>
      </c>
      <c r="I160" s="47">
        <f t="shared" si="4"/>
        <v>0.52</v>
      </c>
      <c r="J160" s="47">
        <f t="shared" si="5"/>
        <v>0.962</v>
      </c>
      <c r="K160" s="47">
        <f t="shared" si="6"/>
        <v>1.3</v>
      </c>
      <c r="L160" s="5"/>
      <c r="M160" s="5"/>
      <c r="N160" s="5"/>
      <c r="O160" s="5"/>
      <c r="P160" s="5"/>
      <c r="Q160" s="5"/>
      <c r="R160" s="5"/>
      <c r="S160" s="5"/>
      <c r="T160" s="5"/>
      <c r="U160" s="5"/>
      <c r="V160" s="5"/>
      <c r="W160" s="5"/>
      <c r="X160" s="5"/>
      <c r="Y160" s="5"/>
      <c r="Z160" s="5"/>
    </row>
    <row r="161" ht="15.75" customHeight="1">
      <c r="A161" s="46" t="str">
        <f>archetype_prototypes!A161</f>
        <v>8</v>
      </c>
      <c r="B161" s="14" t="str">
        <f>archetype_prototypes!B161</f>
        <v>Minimalist Companion</v>
      </c>
      <c r="C161" s="14" t="str">
        <f>archetype_prototypes!C161</f>
        <v>DIM_PROTOCOL</v>
      </c>
      <c r="D161" s="47">
        <f>archetype_prototypes!E161</f>
        <v>0.35</v>
      </c>
      <c r="E161" s="47">
        <f t="shared" si="1"/>
        <v>0.35</v>
      </c>
      <c r="F161" s="47">
        <f t="shared" si="2"/>
        <v>0.7275</v>
      </c>
      <c r="G161" s="47">
        <f t="shared" si="3"/>
        <v>1</v>
      </c>
      <c r="H161" s="48">
        <f t="array" ref="H161">INDEX(dimensions!$E$2:$E$22,MATCH(C161,dimensions!$A$2:$A$22,0))</f>
        <v>1.6</v>
      </c>
      <c r="I161" s="47">
        <f t="shared" si="4"/>
        <v>0.56</v>
      </c>
      <c r="J161" s="47">
        <f t="shared" si="5"/>
        <v>1.164</v>
      </c>
      <c r="K161" s="47">
        <f t="shared" si="6"/>
        <v>1.6</v>
      </c>
      <c r="L161" s="5"/>
      <c r="M161" s="5"/>
      <c r="N161" s="5"/>
      <c r="O161" s="5"/>
      <c r="P161" s="5"/>
      <c r="Q161" s="5"/>
      <c r="R161" s="5"/>
      <c r="S161" s="5"/>
      <c r="T161" s="5"/>
      <c r="U161" s="5"/>
      <c r="V161" s="5"/>
      <c r="W161" s="5"/>
      <c r="X161" s="5"/>
      <c r="Y161" s="5"/>
      <c r="Z161" s="5"/>
    </row>
    <row r="162" ht="15.75" customHeight="1">
      <c r="A162" s="46" t="str">
        <f>archetype_prototypes!A162</f>
        <v>8</v>
      </c>
      <c r="B162" s="14" t="str">
        <f>archetype_prototypes!B162</f>
        <v>Minimalist Companion</v>
      </c>
      <c r="C162" s="14" t="str">
        <f>archetype_prototypes!C162</f>
        <v>DIM_SOOTHING</v>
      </c>
      <c r="D162" s="47">
        <f>archetype_prototypes!E162</f>
        <v>0.25</v>
      </c>
      <c r="E162" s="47">
        <f t="shared" si="1"/>
        <v>0.25</v>
      </c>
      <c r="F162" s="47">
        <f t="shared" si="2"/>
        <v>0.6875</v>
      </c>
      <c r="G162" s="47">
        <f t="shared" si="3"/>
        <v>1</v>
      </c>
      <c r="H162" s="48">
        <f t="array" ref="H162">INDEX(dimensions!$E$2:$E$22,MATCH(C162,dimensions!$A$2:$A$22,0))</f>
        <v>1.9</v>
      </c>
      <c r="I162" s="47">
        <f t="shared" si="4"/>
        <v>0.475</v>
      </c>
      <c r="J162" s="47">
        <f t="shared" si="5"/>
        <v>1.30625</v>
      </c>
      <c r="K162" s="47">
        <f t="shared" si="6"/>
        <v>1.9</v>
      </c>
      <c r="L162" s="5"/>
      <c r="M162" s="5"/>
      <c r="N162" s="5"/>
      <c r="O162" s="5"/>
      <c r="P162" s="5"/>
      <c r="Q162" s="5"/>
      <c r="R162" s="5"/>
      <c r="S162" s="5"/>
      <c r="T162" s="5"/>
      <c r="U162" s="5"/>
      <c r="V162" s="5"/>
      <c r="W162" s="5"/>
      <c r="X162" s="5"/>
      <c r="Y162" s="5"/>
      <c r="Z162" s="5"/>
    </row>
    <row r="163" ht="15.75" customHeight="1">
      <c r="A163" s="46" t="str">
        <f>archetype_prototypes!A163</f>
        <v>8</v>
      </c>
      <c r="B163" s="14" t="str">
        <f>archetype_prototypes!B163</f>
        <v>Minimalist Companion</v>
      </c>
      <c r="C163" s="14" t="str">
        <f>archetype_prototypes!C163</f>
        <v>DIM_SECURE</v>
      </c>
      <c r="D163" s="47">
        <f>archetype_prototypes!E163</f>
        <v>0.4</v>
      </c>
      <c r="E163" s="47">
        <f t="shared" si="1"/>
        <v>0.4</v>
      </c>
      <c r="F163" s="47">
        <f t="shared" si="2"/>
        <v>0.74</v>
      </c>
      <c r="G163" s="47">
        <f t="shared" si="3"/>
        <v>1</v>
      </c>
      <c r="H163" s="48">
        <f t="array" ref="H163">INDEX(dimensions!$E$2:$E$22,MATCH(C163,dimensions!$A$2:$A$22,0))</f>
        <v>1</v>
      </c>
      <c r="I163" s="47">
        <f t="shared" si="4"/>
        <v>0.4</v>
      </c>
      <c r="J163" s="47">
        <f t="shared" si="5"/>
        <v>0.74</v>
      </c>
      <c r="K163" s="47">
        <f t="shared" si="6"/>
        <v>1</v>
      </c>
      <c r="L163" s="5"/>
      <c r="M163" s="5"/>
      <c r="N163" s="5"/>
      <c r="O163" s="5"/>
      <c r="P163" s="5"/>
      <c r="Q163" s="5"/>
      <c r="R163" s="5"/>
      <c r="S163" s="5"/>
      <c r="T163" s="5"/>
      <c r="U163" s="5"/>
      <c r="V163" s="5"/>
      <c r="W163" s="5"/>
      <c r="X163" s="5"/>
      <c r="Y163" s="5"/>
      <c r="Z163" s="5"/>
    </row>
    <row r="164" ht="15.75" customHeight="1">
      <c r="A164" s="46" t="str">
        <f>archetype_prototypes!A164</f>
        <v>8</v>
      </c>
      <c r="B164" s="14" t="str">
        <f>archetype_prototypes!B164</f>
        <v>Minimalist Companion</v>
      </c>
      <c r="C164" s="14" t="str">
        <f>archetype_prototypes!C164</f>
        <v>DIM_REPAIR_EROTICISM</v>
      </c>
      <c r="D164" s="47">
        <f>archetype_prototypes!E164</f>
        <v>0.25</v>
      </c>
      <c r="E164" s="47">
        <f t="shared" si="1"/>
        <v>0.25</v>
      </c>
      <c r="F164" s="47">
        <f t="shared" si="2"/>
        <v>0.6875</v>
      </c>
      <c r="G164" s="47">
        <f t="shared" si="3"/>
        <v>1</v>
      </c>
      <c r="H164" s="48">
        <f t="array" ref="H164">INDEX(dimensions!$E$2:$E$22,MATCH(C164,dimensions!$A$2:$A$22,0))</f>
        <v>1.6</v>
      </c>
      <c r="I164" s="47">
        <f t="shared" si="4"/>
        <v>0.4</v>
      </c>
      <c r="J164" s="47">
        <f t="shared" si="5"/>
        <v>1.1</v>
      </c>
      <c r="K164" s="47">
        <f t="shared" si="6"/>
        <v>1.6</v>
      </c>
      <c r="L164" s="5"/>
      <c r="M164" s="5"/>
      <c r="N164" s="5"/>
      <c r="O164" s="5"/>
      <c r="P164" s="5"/>
      <c r="Q164" s="5"/>
      <c r="R164" s="5"/>
      <c r="S164" s="5"/>
      <c r="T164" s="5"/>
      <c r="U164" s="5"/>
      <c r="V164" s="5"/>
      <c r="W164" s="5"/>
      <c r="X164" s="5"/>
      <c r="Y164" s="5"/>
      <c r="Z164" s="5"/>
    </row>
    <row r="165" ht="15.75" customHeight="1">
      <c r="A165" s="46" t="str">
        <f>archetype_prototypes!A165</f>
        <v>8</v>
      </c>
      <c r="B165" s="14" t="str">
        <f>archetype_prototypes!B165</f>
        <v>Minimalist Companion</v>
      </c>
      <c r="C165" s="14" t="str">
        <f>archetype_prototypes!C165</f>
        <v>DIM_PRESSURE_SHUTDOWN</v>
      </c>
      <c r="D165" s="47">
        <f>archetype_prototypes!E165</f>
        <v>0.55</v>
      </c>
      <c r="E165" s="47">
        <f t="shared" si="1"/>
        <v>0.45</v>
      </c>
      <c r="F165" s="47">
        <f t="shared" si="2"/>
        <v>0.7475</v>
      </c>
      <c r="G165" s="47">
        <f t="shared" si="3"/>
        <v>1</v>
      </c>
      <c r="H165" s="48">
        <f t="array" ref="H165">INDEX(dimensions!$E$2:$E$22,MATCH(C165,dimensions!$A$2:$A$22,0))</f>
        <v>2</v>
      </c>
      <c r="I165" s="47">
        <f t="shared" si="4"/>
        <v>0.9</v>
      </c>
      <c r="J165" s="47">
        <f t="shared" si="5"/>
        <v>1.495</v>
      </c>
      <c r="K165" s="47">
        <f t="shared" si="6"/>
        <v>2</v>
      </c>
      <c r="L165" s="5"/>
      <c r="M165" s="5"/>
      <c r="N165" s="5"/>
      <c r="O165" s="5"/>
      <c r="P165" s="5"/>
      <c r="Q165" s="5"/>
      <c r="R165" s="5"/>
      <c r="S165" s="5"/>
      <c r="T165" s="5"/>
      <c r="U165" s="5"/>
      <c r="V165" s="5"/>
      <c r="W165" s="5"/>
      <c r="X165" s="5"/>
      <c r="Y165" s="5"/>
      <c r="Z165" s="5"/>
    </row>
    <row r="166" ht="15.75" customHeight="1">
      <c r="A166" s="46" t="str">
        <f>archetype_prototypes!A166</f>
        <v>8</v>
      </c>
      <c r="B166" s="14" t="str">
        <f>archetype_prototypes!B166</f>
        <v>Minimalist Companion</v>
      </c>
      <c r="C166" s="14" t="str">
        <f>archetype_prototypes!C166</f>
        <v>DIM_AVOIDANT</v>
      </c>
      <c r="D166" s="47">
        <f>archetype_prototypes!E166</f>
        <v>0.65</v>
      </c>
      <c r="E166" s="47">
        <f t="shared" si="1"/>
        <v>0.35</v>
      </c>
      <c r="F166" s="47">
        <f t="shared" si="2"/>
        <v>0.7275</v>
      </c>
      <c r="G166" s="47">
        <f t="shared" si="3"/>
        <v>1</v>
      </c>
      <c r="H166" s="48">
        <f t="array" ref="H166">INDEX(dimensions!$E$2:$E$22,MATCH(C166,dimensions!$A$2:$A$22,0))</f>
        <v>1.3</v>
      </c>
      <c r="I166" s="47">
        <f t="shared" si="4"/>
        <v>0.455</v>
      </c>
      <c r="J166" s="47">
        <f t="shared" si="5"/>
        <v>0.94575</v>
      </c>
      <c r="K166" s="47">
        <f t="shared" si="6"/>
        <v>1.3</v>
      </c>
      <c r="L166" s="5"/>
      <c r="M166" s="5"/>
      <c r="N166" s="5"/>
      <c r="O166" s="5"/>
      <c r="P166" s="5"/>
      <c r="Q166" s="5"/>
      <c r="R166" s="5"/>
      <c r="S166" s="5"/>
      <c r="T166" s="5"/>
      <c r="U166" s="5"/>
      <c r="V166" s="5"/>
      <c r="W166" s="5"/>
      <c r="X166" s="5"/>
      <c r="Y166" s="5"/>
      <c r="Z166" s="5"/>
    </row>
    <row r="167" ht="15.75" customHeight="1">
      <c r="A167" s="46" t="str">
        <f>archetype_prototypes!A167</f>
        <v>8</v>
      </c>
      <c r="B167" s="14" t="str">
        <f>archetype_prototypes!B167</f>
        <v>Minimalist Companion</v>
      </c>
      <c r="C167" s="14" t="str">
        <f>archetype_prototypes!C167</f>
        <v>DIM_STRATEGY</v>
      </c>
      <c r="D167" s="47">
        <f>archetype_prototypes!E167</f>
        <v>0.05</v>
      </c>
      <c r="E167" s="47">
        <f t="shared" si="1"/>
        <v>0.05</v>
      </c>
      <c r="F167" s="47">
        <f t="shared" si="2"/>
        <v>0.5475</v>
      </c>
      <c r="G167" s="47">
        <f t="shared" si="3"/>
        <v>1</v>
      </c>
      <c r="H167" s="48">
        <f t="array" ref="H167">INDEX(dimensions!$E$2:$E$22,MATCH(C167,dimensions!$A$2:$A$22,0))</f>
        <v>1.2</v>
      </c>
      <c r="I167" s="47">
        <f t="shared" si="4"/>
        <v>0.06</v>
      </c>
      <c r="J167" s="47">
        <f t="shared" si="5"/>
        <v>0.657</v>
      </c>
      <c r="K167" s="47">
        <f t="shared" si="6"/>
        <v>1.2</v>
      </c>
      <c r="L167" s="5"/>
      <c r="M167" s="5"/>
      <c r="N167" s="5"/>
      <c r="O167" s="5"/>
      <c r="P167" s="5"/>
      <c r="Q167" s="5"/>
      <c r="R167" s="5"/>
      <c r="S167" s="5"/>
      <c r="T167" s="5"/>
      <c r="U167" s="5"/>
      <c r="V167" s="5"/>
      <c r="W167" s="5"/>
      <c r="X167" s="5"/>
      <c r="Y167" s="5"/>
      <c r="Z167" s="5"/>
    </row>
    <row r="168" ht="15.75" customHeight="1">
      <c r="A168" s="46" t="str">
        <f>archetype_prototypes!A168</f>
        <v>8</v>
      </c>
      <c r="B168" s="14" t="str">
        <f>archetype_prototypes!B168</f>
        <v>Minimalist Companion</v>
      </c>
      <c r="C168" s="14" t="str">
        <f>archetype_prototypes!C168</f>
        <v>DIM_CLOSENESS_ORIENTATION</v>
      </c>
      <c r="D168" s="47">
        <f>archetype_prototypes!E168</f>
        <v>0.25</v>
      </c>
      <c r="E168" s="47">
        <f t="shared" si="1"/>
        <v>0.25</v>
      </c>
      <c r="F168" s="47">
        <f t="shared" si="2"/>
        <v>0.6875</v>
      </c>
      <c r="G168" s="47">
        <f t="shared" si="3"/>
        <v>1</v>
      </c>
      <c r="H168" s="48">
        <f t="array" ref="H168">INDEX(dimensions!$E$2:$E$22,MATCH(C168,dimensions!$A$2:$A$22,0))</f>
        <v>1</v>
      </c>
      <c r="I168" s="47">
        <f t="shared" si="4"/>
        <v>0.25</v>
      </c>
      <c r="J168" s="47">
        <f t="shared" si="5"/>
        <v>0.6875</v>
      </c>
      <c r="K168" s="47">
        <f t="shared" si="6"/>
        <v>1</v>
      </c>
      <c r="L168" s="5"/>
      <c r="M168" s="5"/>
      <c r="N168" s="5"/>
      <c r="O168" s="5"/>
      <c r="P168" s="5"/>
      <c r="Q168" s="5"/>
      <c r="R168" s="5"/>
      <c r="S168" s="5"/>
      <c r="T168" s="5"/>
      <c r="U168" s="5"/>
      <c r="V168" s="5"/>
      <c r="W168" s="5"/>
      <c r="X168" s="5"/>
      <c r="Y168" s="5"/>
      <c r="Z168" s="5"/>
    </row>
    <row r="169" ht="15.75" customHeight="1">
      <c r="A169" s="46" t="str">
        <f>archetype_prototypes!A169</f>
        <v>8</v>
      </c>
      <c r="B169" s="14" t="str">
        <f>archetype_prototypes!B169</f>
        <v>Minimalist Companion</v>
      </c>
      <c r="C169" s="14" t="str">
        <f>archetype_prototypes!C169</f>
        <v>DIM_PARTNER_FOCUS</v>
      </c>
      <c r="D169" s="47">
        <f>archetype_prototypes!E169</f>
        <v>0.4</v>
      </c>
      <c r="E169" s="47">
        <f t="shared" si="1"/>
        <v>0.4</v>
      </c>
      <c r="F169" s="47">
        <f t="shared" si="2"/>
        <v>0.74</v>
      </c>
      <c r="G169" s="47">
        <f t="shared" si="3"/>
        <v>1</v>
      </c>
      <c r="H169" s="48">
        <f t="array" ref="H169">INDEX(dimensions!$E$2:$E$22,MATCH(C169,dimensions!$A$2:$A$22,0))</f>
        <v>1.2</v>
      </c>
      <c r="I169" s="47">
        <f t="shared" si="4"/>
        <v>0.48</v>
      </c>
      <c r="J169" s="47">
        <f t="shared" si="5"/>
        <v>0.888</v>
      </c>
      <c r="K169" s="47">
        <f t="shared" si="6"/>
        <v>1.2</v>
      </c>
      <c r="L169" s="5"/>
      <c r="M169" s="5"/>
      <c r="N169" s="5"/>
      <c r="O169" s="5"/>
      <c r="P169" s="5"/>
      <c r="Q169" s="5"/>
      <c r="R169" s="5"/>
      <c r="S169" s="5"/>
      <c r="T169" s="5"/>
      <c r="U169" s="5"/>
      <c r="V169" s="5"/>
      <c r="W169" s="5"/>
      <c r="X169" s="5"/>
      <c r="Y169" s="5"/>
      <c r="Z169" s="5"/>
    </row>
    <row r="170" ht="15.75" customHeight="1">
      <c r="A170" s="46" t="str">
        <f>archetype_prototypes!A170</f>
        <v>9</v>
      </c>
      <c r="B170" s="14" t="str">
        <f>archetype_prototypes!B170</f>
        <v>Emotional Voyeur</v>
      </c>
      <c r="C170" s="14" t="str">
        <f>archetype_prototypes!C170</f>
        <v>DIM_NOVELTY</v>
      </c>
      <c r="D170" s="47">
        <f>archetype_prototypes!E170</f>
        <v>0.4</v>
      </c>
      <c r="E170" s="47">
        <f t="shared" si="1"/>
        <v>0.4</v>
      </c>
      <c r="F170" s="47">
        <f t="shared" si="2"/>
        <v>0.74</v>
      </c>
      <c r="G170" s="47">
        <f t="shared" si="3"/>
        <v>1</v>
      </c>
      <c r="H170" s="48">
        <f t="array" ref="H170">INDEX(dimensions!$E$2:$E$22,MATCH(C170,dimensions!$A$2:$A$22,0))</f>
        <v>1.4</v>
      </c>
      <c r="I170" s="47">
        <f t="shared" si="4"/>
        <v>0.56</v>
      </c>
      <c r="J170" s="47">
        <f t="shared" si="5"/>
        <v>1.036</v>
      </c>
      <c r="K170" s="47">
        <f t="shared" si="6"/>
        <v>1.4</v>
      </c>
      <c r="L170" s="5"/>
      <c r="M170" s="5"/>
      <c r="N170" s="5"/>
      <c r="O170" s="5"/>
      <c r="P170" s="5"/>
      <c r="Q170" s="5"/>
      <c r="R170" s="5"/>
      <c r="S170" s="5"/>
      <c r="T170" s="5"/>
      <c r="U170" s="5"/>
      <c r="V170" s="5"/>
      <c r="W170" s="5"/>
      <c r="X170" s="5"/>
      <c r="Y170" s="5"/>
      <c r="Z170" s="5"/>
    </row>
    <row r="171" ht="15.75" customHeight="1">
      <c r="A171" s="46" t="str">
        <f>archetype_prototypes!A171</f>
        <v>9</v>
      </c>
      <c r="B171" s="14" t="str">
        <f>archetype_prototypes!B171</f>
        <v>Emotional Voyeur</v>
      </c>
      <c r="C171" s="14" t="str">
        <f>archetype_prototypes!C171</f>
        <v>DIM_RESPONSIVE</v>
      </c>
      <c r="D171" s="47">
        <f>archetype_prototypes!E171</f>
        <v>0.5</v>
      </c>
      <c r="E171" s="47">
        <f t="shared" si="1"/>
        <v>0.5</v>
      </c>
      <c r="F171" s="47">
        <f t="shared" si="2"/>
        <v>0.75</v>
      </c>
      <c r="G171" s="47">
        <f t="shared" si="3"/>
        <v>1</v>
      </c>
      <c r="H171" s="48">
        <f t="array" ref="H171">INDEX(dimensions!$E$2:$E$22,MATCH(C171,dimensions!$A$2:$A$22,0))</f>
        <v>1.6</v>
      </c>
      <c r="I171" s="47">
        <f t="shared" si="4"/>
        <v>0.8</v>
      </c>
      <c r="J171" s="47">
        <f t="shared" si="5"/>
        <v>1.2</v>
      </c>
      <c r="K171" s="47">
        <f t="shared" si="6"/>
        <v>1.6</v>
      </c>
      <c r="L171" s="5"/>
      <c r="M171" s="5"/>
      <c r="N171" s="5"/>
      <c r="O171" s="5"/>
      <c r="P171" s="5"/>
      <c r="Q171" s="5"/>
      <c r="R171" s="5"/>
      <c r="S171" s="5"/>
      <c r="T171" s="5"/>
      <c r="U171" s="5"/>
      <c r="V171" s="5"/>
      <c r="W171" s="5"/>
      <c r="X171" s="5"/>
      <c r="Y171" s="5"/>
      <c r="Z171" s="5"/>
    </row>
    <row r="172" ht="15.75" customHeight="1">
      <c r="A172" s="46" t="str">
        <f>archetype_prototypes!A172</f>
        <v>9</v>
      </c>
      <c r="B172" s="14" t="str">
        <f>archetype_prototypes!B172</f>
        <v>Emotional Voyeur</v>
      </c>
      <c r="C172" s="14" t="str">
        <f>archetype_prototypes!C172</f>
        <v>DIM_PLANNED</v>
      </c>
      <c r="D172" s="47">
        <f>archetype_prototypes!E172</f>
        <v>0.5</v>
      </c>
      <c r="E172" s="47">
        <f t="shared" si="1"/>
        <v>0.5</v>
      </c>
      <c r="F172" s="47">
        <f t="shared" si="2"/>
        <v>0.75</v>
      </c>
      <c r="G172" s="47">
        <f t="shared" si="3"/>
        <v>1</v>
      </c>
      <c r="H172" s="48">
        <f t="array" ref="H172">INDEX(dimensions!$E$2:$E$22,MATCH(C172,dimensions!$A$2:$A$22,0))</f>
        <v>1.3</v>
      </c>
      <c r="I172" s="47">
        <f t="shared" si="4"/>
        <v>0.65</v>
      </c>
      <c r="J172" s="47">
        <f t="shared" si="5"/>
        <v>0.975</v>
      </c>
      <c r="K172" s="47">
        <f t="shared" si="6"/>
        <v>1.3</v>
      </c>
      <c r="L172" s="5"/>
      <c r="M172" s="5"/>
      <c r="N172" s="5"/>
      <c r="O172" s="5"/>
      <c r="P172" s="5"/>
      <c r="Q172" s="5"/>
      <c r="R172" s="5"/>
      <c r="S172" s="5"/>
      <c r="T172" s="5"/>
      <c r="U172" s="5"/>
      <c r="V172" s="5"/>
      <c r="W172" s="5"/>
      <c r="X172" s="5"/>
      <c r="Y172" s="5"/>
      <c r="Z172" s="5"/>
    </row>
    <row r="173" ht="15.75" customHeight="1">
      <c r="A173" s="46" t="str">
        <f>archetype_prototypes!A173</f>
        <v>9</v>
      </c>
      <c r="B173" s="14" t="str">
        <f>archetype_prototypes!B173</f>
        <v>Emotional Voyeur</v>
      </c>
      <c r="C173" s="14" t="str">
        <f>archetype_prototypes!C173</f>
        <v>DIM_EMO_CONNECTION</v>
      </c>
      <c r="D173" s="47">
        <f>archetype_prototypes!E173</f>
        <v>0.45</v>
      </c>
      <c r="E173" s="47">
        <f t="shared" si="1"/>
        <v>0.45</v>
      </c>
      <c r="F173" s="47">
        <f t="shared" si="2"/>
        <v>0.7475</v>
      </c>
      <c r="G173" s="47">
        <f t="shared" si="3"/>
        <v>1</v>
      </c>
      <c r="H173" s="48">
        <f t="array" ref="H173">INDEX(dimensions!$E$2:$E$22,MATCH(C173,dimensions!$A$2:$A$22,0))</f>
        <v>1.4</v>
      </c>
      <c r="I173" s="47">
        <f t="shared" si="4"/>
        <v>0.63</v>
      </c>
      <c r="J173" s="47">
        <f t="shared" si="5"/>
        <v>1.0465</v>
      </c>
      <c r="K173" s="47">
        <f t="shared" si="6"/>
        <v>1.4</v>
      </c>
      <c r="L173" s="5"/>
      <c r="M173" s="5"/>
      <c r="N173" s="5"/>
      <c r="O173" s="5"/>
      <c r="P173" s="5"/>
      <c r="Q173" s="5"/>
      <c r="R173" s="5"/>
      <c r="S173" s="5"/>
      <c r="T173" s="5"/>
      <c r="U173" s="5"/>
      <c r="V173" s="5"/>
      <c r="W173" s="5"/>
      <c r="X173" s="5"/>
      <c r="Y173" s="5"/>
      <c r="Z173" s="5"/>
    </row>
    <row r="174" ht="15.75" customHeight="1">
      <c r="A174" s="46" t="str">
        <f>archetype_prototypes!A174</f>
        <v>9</v>
      </c>
      <c r="B174" s="14" t="str">
        <f>archetype_prototypes!B174</f>
        <v>Emotional Voyeur</v>
      </c>
      <c r="C174" s="14" t="str">
        <f>archetype_prototypes!C174</f>
        <v>DIM_INTENSITY</v>
      </c>
      <c r="D174" s="47">
        <f>archetype_prototypes!E174</f>
        <v>0.3</v>
      </c>
      <c r="E174" s="47">
        <f t="shared" si="1"/>
        <v>0.3</v>
      </c>
      <c r="F174" s="47">
        <f t="shared" si="2"/>
        <v>0.71</v>
      </c>
      <c r="G174" s="47">
        <f t="shared" si="3"/>
        <v>1</v>
      </c>
      <c r="H174" s="48">
        <f t="array" ref="H174">INDEX(dimensions!$E$2:$E$22,MATCH(C174,dimensions!$A$2:$A$22,0))</f>
        <v>1.4</v>
      </c>
      <c r="I174" s="47">
        <f t="shared" si="4"/>
        <v>0.42</v>
      </c>
      <c r="J174" s="47">
        <f t="shared" si="5"/>
        <v>0.994</v>
      </c>
      <c r="K174" s="47">
        <f t="shared" si="6"/>
        <v>1.4</v>
      </c>
      <c r="L174" s="5"/>
      <c r="M174" s="5"/>
      <c r="N174" s="5"/>
      <c r="O174" s="5"/>
      <c r="P174" s="5"/>
      <c r="Q174" s="5"/>
      <c r="R174" s="5"/>
      <c r="S174" s="5"/>
      <c r="T174" s="5"/>
      <c r="U174" s="5"/>
      <c r="V174" s="5"/>
      <c r="W174" s="5"/>
      <c r="X174" s="5"/>
      <c r="Y174" s="5"/>
      <c r="Z174" s="5"/>
    </row>
    <row r="175" ht="15.75" customHeight="1">
      <c r="A175" s="46" t="str">
        <f>archetype_prototypes!A175</f>
        <v>9</v>
      </c>
      <c r="B175" s="14" t="str">
        <f>archetype_prototypes!B175</f>
        <v>Emotional Voyeur</v>
      </c>
      <c r="C175" s="14" t="str">
        <f>archetype_prototypes!C175</f>
        <v>DIM_PURSUIT</v>
      </c>
      <c r="D175" s="47">
        <f>archetype_prototypes!E175</f>
        <v>0.25</v>
      </c>
      <c r="E175" s="47">
        <f t="shared" si="1"/>
        <v>0.25</v>
      </c>
      <c r="F175" s="47">
        <f t="shared" si="2"/>
        <v>0.6875</v>
      </c>
      <c r="G175" s="47">
        <f t="shared" si="3"/>
        <v>1</v>
      </c>
      <c r="H175" s="48">
        <f t="array" ref="H175">INDEX(dimensions!$E$2:$E$22,MATCH(C175,dimensions!$A$2:$A$22,0))</f>
        <v>1.4</v>
      </c>
      <c r="I175" s="47">
        <f t="shared" si="4"/>
        <v>0.35</v>
      </c>
      <c r="J175" s="47">
        <f t="shared" si="5"/>
        <v>0.9625</v>
      </c>
      <c r="K175" s="47">
        <f t="shared" si="6"/>
        <v>1.4</v>
      </c>
      <c r="L175" s="5"/>
      <c r="M175" s="5"/>
      <c r="N175" s="5"/>
      <c r="O175" s="5"/>
      <c r="P175" s="5"/>
      <c r="Q175" s="5"/>
      <c r="R175" s="5"/>
      <c r="S175" s="5"/>
      <c r="T175" s="5"/>
      <c r="U175" s="5"/>
      <c r="V175" s="5"/>
      <c r="W175" s="5"/>
      <c r="X175" s="5"/>
      <c r="Y175" s="5"/>
      <c r="Z175" s="5"/>
    </row>
    <row r="176" ht="15.75" customHeight="1">
      <c r="A176" s="46" t="str">
        <f>archetype_prototypes!A176</f>
        <v>9</v>
      </c>
      <c r="B176" s="14" t="str">
        <f>archetype_prototypes!B176</f>
        <v>Emotional Voyeur</v>
      </c>
      <c r="C176" s="14" t="str">
        <f>archetype_prototypes!C176</f>
        <v>DIM_EDGE_NEED</v>
      </c>
      <c r="D176" s="47">
        <f>archetype_prototypes!E176</f>
        <v>0.3</v>
      </c>
      <c r="E176" s="47">
        <f t="shared" si="1"/>
        <v>0.3</v>
      </c>
      <c r="F176" s="47">
        <f t="shared" si="2"/>
        <v>0.71</v>
      </c>
      <c r="G176" s="47">
        <f t="shared" si="3"/>
        <v>1</v>
      </c>
      <c r="H176" s="48">
        <f t="array" ref="H176">INDEX(dimensions!$E$2:$E$22,MATCH(C176,dimensions!$A$2:$A$22,0))</f>
        <v>1.8</v>
      </c>
      <c r="I176" s="47">
        <f t="shared" si="4"/>
        <v>0.54</v>
      </c>
      <c r="J176" s="47">
        <f t="shared" si="5"/>
        <v>1.278</v>
      </c>
      <c r="K176" s="47">
        <f t="shared" si="6"/>
        <v>1.8</v>
      </c>
      <c r="L176" s="5"/>
      <c r="M176" s="5"/>
      <c r="N176" s="5"/>
      <c r="O176" s="5"/>
      <c r="P176" s="5"/>
      <c r="Q176" s="5"/>
      <c r="R176" s="5"/>
      <c r="S176" s="5"/>
      <c r="T176" s="5"/>
      <c r="U176" s="5"/>
      <c r="V176" s="5"/>
      <c r="W176" s="5"/>
      <c r="X176" s="5"/>
      <c r="Y176" s="5"/>
      <c r="Z176" s="5"/>
    </row>
    <row r="177" ht="15.75" customHeight="1">
      <c r="A177" s="46" t="str">
        <f>archetype_prototypes!A177</f>
        <v>9</v>
      </c>
      <c r="B177" s="14" t="str">
        <f>archetype_prototypes!B177</f>
        <v>Emotional Voyeur</v>
      </c>
      <c r="C177" s="14" t="str">
        <f>archetype_prototypes!C177</f>
        <v>DIM_SACRED</v>
      </c>
      <c r="D177" s="47">
        <f>archetype_prototypes!E177</f>
        <v>0.2</v>
      </c>
      <c r="E177" s="47">
        <f t="shared" si="1"/>
        <v>0.2</v>
      </c>
      <c r="F177" s="47">
        <f t="shared" si="2"/>
        <v>0.66</v>
      </c>
      <c r="G177" s="47">
        <f t="shared" si="3"/>
        <v>1</v>
      </c>
      <c r="H177" s="48">
        <f t="array" ref="H177">INDEX(dimensions!$E$2:$E$22,MATCH(C177,dimensions!$A$2:$A$22,0))</f>
        <v>2</v>
      </c>
      <c r="I177" s="47">
        <f t="shared" si="4"/>
        <v>0.4</v>
      </c>
      <c r="J177" s="47">
        <f t="shared" si="5"/>
        <v>1.32</v>
      </c>
      <c r="K177" s="47">
        <f t="shared" si="6"/>
        <v>2</v>
      </c>
      <c r="L177" s="5"/>
      <c r="M177" s="5"/>
      <c r="N177" s="5"/>
      <c r="O177" s="5"/>
      <c r="P177" s="5"/>
      <c r="Q177" s="5"/>
      <c r="R177" s="5"/>
      <c r="S177" s="5"/>
      <c r="T177" s="5"/>
      <c r="U177" s="5"/>
      <c r="V177" s="5"/>
      <c r="W177" s="5"/>
      <c r="X177" s="5"/>
      <c r="Y177" s="5"/>
      <c r="Z177" s="5"/>
    </row>
    <row r="178" ht="15.75" customHeight="1">
      <c r="A178" s="46" t="str">
        <f>archetype_prototypes!A178</f>
        <v>9</v>
      </c>
      <c r="B178" s="14" t="str">
        <f>archetype_prototypes!B178</f>
        <v>Emotional Voyeur</v>
      </c>
      <c r="C178" s="14" t="str">
        <f>archetype_prototypes!C178</f>
        <v>DIM_RISK_PREF</v>
      </c>
      <c r="D178" s="47">
        <f>archetype_prototypes!E178</f>
        <v>0.25</v>
      </c>
      <c r="E178" s="47">
        <f t="shared" si="1"/>
        <v>0.25</v>
      </c>
      <c r="F178" s="47">
        <f t="shared" si="2"/>
        <v>0.6875</v>
      </c>
      <c r="G178" s="47">
        <f t="shared" si="3"/>
        <v>1</v>
      </c>
      <c r="H178" s="48">
        <f t="array" ref="H178">INDEX(dimensions!$E$2:$E$22,MATCH(C178,dimensions!$A$2:$A$22,0))</f>
        <v>1.6</v>
      </c>
      <c r="I178" s="47">
        <f t="shared" si="4"/>
        <v>0.4</v>
      </c>
      <c r="J178" s="47">
        <f t="shared" si="5"/>
        <v>1.1</v>
      </c>
      <c r="K178" s="47">
        <f t="shared" si="6"/>
        <v>1.6</v>
      </c>
      <c r="L178" s="5"/>
      <c r="M178" s="5"/>
      <c r="N178" s="5"/>
      <c r="O178" s="5"/>
      <c r="P178" s="5"/>
      <c r="Q178" s="5"/>
      <c r="R178" s="5"/>
      <c r="S178" s="5"/>
      <c r="T178" s="5"/>
      <c r="U178" s="5"/>
      <c r="V178" s="5"/>
      <c r="W178" s="5"/>
      <c r="X178" s="5"/>
      <c r="Y178" s="5"/>
      <c r="Z178" s="5"/>
    </row>
    <row r="179" ht="15.75" customHeight="1">
      <c r="A179" s="46" t="str">
        <f>archetype_prototypes!A179</f>
        <v>9</v>
      </c>
      <c r="B179" s="14" t="str">
        <f>archetype_prototypes!B179</f>
        <v>Emotional Voyeur</v>
      </c>
      <c r="C179" s="14" t="str">
        <f>archetype_prototypes!C179</f>
        <v>DIM_FEEDBACK_DEP</v>
      </c>
      <c r="D179" s="47">
        <f>archetype_prototypes!E179</f>
        <v>0.2</v>
      </c>
      <c r="E179" s="47">
        <f t="shared" si="1"/>
        <v>0.2</v>
      </c>
      <c r="F179" s="47">
        <f t="shared" si="2"/>
        <v>0.66</v>
      </c>
      <c r="G179" s="47">
        <f t="shared" si="3"/>
        <v>1</v>
      </c>
      <c r="H179" s="48">
        <f t="array" ref="H179">INDEX(dimensions!$E$2:$E$22,MATCH(C179,dimensions!$A$2:$A$22,0))</f>
        <v>2</v>
      </c>
      <c r="I179" s="47">
        <f t="shared" si="4"/>
        <v>0.4</v>
      </c>
      <c r="J179" s="47">
        <f t="shared" si="5"/>
        <v>1.32</v>
      </c>
      <c r="K179" s="47">
        <f t="shared" si="6"/>
        <v>2</v>
      </c>
      <c r="L179" s="5"/>
      <c r="M179" s="5"/>
      <c r="N179" s="5"/>
      <c r="O179" s="5"/>
      <c r="P179" s="5"/>
      <c r="Q179" s="5"/>
      <c r="R179" s="5"/>
      <c r="S179" s="5"/>
      <c r="T179" s="5"/>
      <c r="U179" s="5"/>
      <c r="V179" s="5"/>
      <c r="W179" s="5"/>
      <c r="X179" s="5"/>
      <c r="Y179" s="5"/>
      <c r="Z179" s="5"/>
    </row>
    <row r="180" ht="15.75" customHeight="1">
      <c r="A180" s="46" t="str">
        <f>archetype_prototypes!A180</f>
        <v>9</v>
      </c>
      <c r="B180" s="14" t="str">
        <f>archetype_prototypes!B180</f>
        <v>Emotional Voyeur</v>
      </c>
      <c r="C180" s="14" t="str">
        <f>archetype_prototypes!C180</f>
        <v>DIM_TURNON_EXPRESS</v>
      </c>
      <c r="D180" s="47">
        <f>archetype_prototypes!E180</f>
        <v>0.3</v>
      </c>
      <c r="E180" s="47">
        <f t="shared" si="1"/>
        <v>0.3</v>
      </c>
      <c r="F180" s="47">
        <f t="shared" si="2"/>
        <v>0.71</v>
      </c>
      <c r="G180" s="47">
        <f t="shared" si="3"/>
        <v>1</v>
      </c>
      <c r="H180" s="48">
        <f t="array" ref="H180">INDEX(dimensions!$E$2:$E$22,MATCH(C180,dimensions!$A$2:$A$22,0))</f>
        <v>1.3</v>
      </c>
      <c r="I180" s="47">
        <f t="shared" si="4"/>
        <v>0.39</v>
      </c>
      <c r="J180" s="47">
        <f t="shared" si="5"/>
        <v>0.923</v>
      </c>
      <c r="K180" s="47">
        <f t="shared" si="6"/>
        <v>1.3</v>
      </c>
      <c r="L180" s="5"/>
      <c r="M180" s="5"/>
      <c r="N180" s="5"/>
      <c r="O180" s="5"/>
      <c r="P180" s="5"/>
      <c r="Q180" s="5"/>
      <c r="R180" s="5"/>
      <c r="S180" s="5"/>
      <c r="T180" s="5"/>
      <c r="U180" s="5"/>
      <c r="V180" s="5"/>
      <c r="W180" s="5"/>
      <c r="X180" s="5"/>
      <c r="Y180" s="5"/>
      <c r="Z180" s="5"/>
    </row>
    <row r="181" ht="15.75" customHeight="1">
      <c r="A181" s="46" t="str">
        <f>archetype_prototypes!A181</f>
        <v>9</v>
      </c>
      <c r="B181" s="14" t="str">
        <f>archetype_prototypes!B181</f>
        <v>Emotional Voyeur</v>
      </c>
      <c r="C181" s="14" t="str">
        <f>archetype_prototypes!C181</f>
        <v>DIM_BOUNDARY_EXPRESS</v>
      </c>
      <c r="D181" s="47">
        <f>archetype_prototypes!E181</f>
        <v>0.45</v>
      </c>
      <c r="E181" s="47">
        <f t="shared" si="1"/>
        <v>0.45</v>
      </c>
      <c r="F181" s="47">
        <f t="shared" si="2"/>
        <v>0.7475</v>
      </c>
      <c r="G181" s="47">
        <f t="shared" si="3"/>
        <v>1</v>
      </c>
      <c r="H181" s="48">
        <f t="array" ref="H181">INDEX(dimensions!$E$2:$E$22,MATCH(C181,dimensions!$A$2:$A$22,0))</f>
        <v>1.3</v>
      </c>
      <c r="I181" s="47">
        <f t="shared" si="4"/>
        <v>0.585</v>
      </c>
      <c r="J181" s="47">
        <f t="shared" si="5"/>
        <v>0.97175</v>
      </c>
      <c r="K181" s="47">
        <f t="shared" si="6"/>
        <v>1.3</v>
      </c>
      <c r="L181" s="5"/>
      <c r="M181" s="5"/>
      <c r="N181" s="5"/>
      <c r="O181" s="5"/>
      <c r="P181" s="5"/>
      <c r="Q181" s="5"/>
      <c r="R181" s="5"/>
      <c r="S181" s="5"/>
      <c r="T181" s="5"/>
      <c r="U181" s="5"/>
      <c r="V181" s="5"/>
      <c r="W181" s="5"/>
      <c r="X181" s="5"/>
      <c r="Y181" s="5"/>
      <c r="Z181" s="5"/>
    </row>
    <row r="182" ht="15.75" customHeight="1">
      <c r="A182" s="46" t="str">
        <f>archetype_prototypes!A182</f>
        <v>9</v>
      </c>
      <c r="B182" s="14" t="str">
        <f>archetype_prototypes!B182</f>
        <v>Emotional Voyeur</v>
      </c>
      <c r="C182" s="14" t="str">
        <f>archetype_prototypes!C182</f>
        <v>DIM_PROTOCOL</v>
      </c>
      <c r="D182" s="47">
        <f>archetype_prototypes!E182</f>
        <v>0.25</v>
      </c>
      <c r="E182" s="47">
        <f t="shared" si="1"/>
        <v>0.25</v>
      </c>
      <c r="F182" s="47">
        <f t="shared" si="2"/>
        <v>0.6875</v>
      </c>
      <c r="G182" s="47">
        <f t="shared" si="3"/>
        <v>1</v>
      </c>
      <c r="H182" s="48">
        <f t="array" ref="H182">INDEX(dimensions!$E$2:$E$22,MATCH(C182,dimensions!$A$2:$A$22,0))</f>
        <v>1.6</v>
      </c>
      <c r="I182" s="47">
        <f t="shared" si="4"/>
        <v>0.4</v>
      </c>
      <c r="J182" s="47">
        <f t="shared" si="5"/>
        <v>1.1</v>
      </c>
      <c r="K182" s="47">
        <f t="shared" si="6"/>
        <v>1.6</v>
      </c>
      <c r="L182" s="5"/>
      <c r="M182" s="5"/>
      <c r="N182" s="5"/>
      <c r="O182" s="5"/>
      <c r="P182" s="5"/>
      <c r="Q182" s="5"/>
      <c r="R182" s="5"/>
      <c r="S182" s="5"/>
      <c r="T182" s="5"/>
      <c r="U182" s="5"/>
      <c r="V182" s="5"/>
      <c r="W182" s="5"/>
      <c r="X182" s="5"/>
      <c r="Y182" s="5"/>
      <c r="Z182" s="5"/>
    </row>
    <row r="183" ht="15.75" customHeight="1">
      <c r="A183" s="46" t="str">
        <f>archetype_prototypes!A183</f>
        <v>9</v>
      </c>
      <c r="B183" s="14" t="str">
        <f>archetype_prototypes!B183</f>
        <v>Emotional Voyeur</v>
      </c>
      <c r="C183" s="14" t="str">
        <f>archetype_prototypes!C183</f>
        <v>DIM_SOOTHING</v>
      </c>
      <c r="D183" s="47">
        <f>archetype_prototypes!E183</f>
        <v>0.2</v>
      </c>
      <c r="E183" s="47">
        <f t="shared" si="1"/>
        <v>0.2</v>
      </c>
      <c r="F183" s="47">
        <f t="shared" si="2"/>
        <v>0.66</v>
      </c>
      <c r="G183" s="47">
        <f t="shared" si="3"/>
        <v>1</v>
      </c>
      <c r="H183" s="48">
        <f t="array" ref="H183">INDEX(dimensions!$E$2:$E$22,MATCH(C183,dimensions!$A$2:$A$22,0))</f>
        <v>1.9</v>
      </c>
      <c r="I183" s="47">
        <f t="shared" si="4"/>
        <v>0.38</v>
      </c>
      <c r="J183" s="47">
        <f t="shared" si="5"/>
        <v>1.254</v>
      </c>
      <c r="K183" s="47">
        <f t="shared" si="6"/>
        <v>1.9</v>
      </c>
      <c r="L183" s="5"/>
      <c r="M183" s="5"/>
      <c r="N183" s="5"/>
      <c r="O183" s="5"/>
      <c r="P183" s="5"/>
      <c r="Q183" s="5"/>
      <c r="R183" s="5"/>
      <c r="S183" s="5"/>
      <c r="T183" s="5"/>
      <c r="U183" s="5"/>
      <c r="V183" s="5"/>
      <c r="W183" s="5"/>
      <c r="X183" s="5"/>
      <c r="Y183" s="5"/>
      <c r="Z183" s="5"/>
    </row>
    <row r="184" ht="15.75" customHeight="1">
      <c r="A184" s="46" t="str">
        <f>archetype_prototypes!A184</f>
        <v>9</v>
      </c>
      <c r="B184" s="14" t="str">
        <f>archetype_prototypes!B184</f>
        <v>Emotional Voyeur</v>
      </c>
      <c r="C184" s="14" t="str">
        <f>archetype_prototypes!C184</f>
        <v>DIM_SECURE</v>
      </c>
      <c r="D184" s="47">
        <f>archetype_prototypes!E184</f>
        <v>0.35</v>
      </c>
      <c r="E184" s="47">
        <f t="shared" si="1"/>
        <v>0.35</v>
      </c>
      <c r="F184" s="47">
        <f t="shared" si="2"/>
        <v>0.7275</v>
      </c>
      <c r="G184" s="47">
        <f t="shared" si="3"/>
        <v>1</v>
      </c>
      <c r="H184" s="48">
        <f t="array" ref="H184">INDEX(dimensions!$E$2:$E$22,MATCH(C184,dimensions!$A$2:$A$22,0))</f>
        <v>1</v>
      </c>
      <c r="I184" s="47">
        <f t="shared" si="4"/>
        <v>0.35</v>
      </c>
      <c r="J184" s="47">
        <f t="shared" si="5"/>
        <v>0.7275</v>
      </c>
      <c r="K184" s="47">
        <f t="shared" si="6"/>
        <v>1</v>
      </c>
      <c r="L184" s="5"/>
      <c r="M184" s="5"/>
      <c r="N184" s="5"/>
      <c r="O184" s="5"/>
      <c r="P184" s="5"/>
      <c r="Q184" s="5"/>
      <c r="R184" s="5"/>
      <c r="S184" s="5"/>
      <c r="T184" s="5"/>
      <c r="U184" s="5"/>
      <c r="V184" s="5"/>
      <c r="W184" s="5"/>
      <c r="X184" s="5"/>
      <c r="Y184" s="5"/>
      <c r="Z184" s="5"/>
    </row>
    <row r="185" ht="15.75" customHeight="1">
      <c r="A185" s="46" t="str">
        <f>archetype_prototypes!A185</f>
        <v>9</v>
      </c>
      <c r="B185" s="14" t="str">
        <f>archetype_prototypes!B185</f>
        <v>Emotional Voyeur</v>
      </c>
      <c r="C185" s="14" t="str">
        <f>archetype_prototypes!C185</f>
        <v>DIM_REPAIR_EROTICISM</v>
      </c>
      <c r="D185" s="47">
        <f>archetype_prototypes!E185</f>
        <v>0.2</v>
      </c>
      <c r="E185" s="47">
        <f t="shared" si="1"/>
        <v>0.2</v>
      </c>
      <c r="F185" s="47">
        <f t="shared" si="2"/>
        <v>0.66</v>
      </c>
      <c r="G185" s="47">
        <f t="shared" si="3"/>
        <v>1</v>
      </c>
      <c r="H185" s="48">
        <f t="array" ref="H185">INDEX(dimensions!$E$2:$E$22,MATCH(C185,dimensions!$A$2:$A$22,0))</f>
        <v>1.6</v>
      </c>
      <c r="I185" s="47">
        <f t="shared" si="4"/>
        <v>0.32</v>
      </c>
      <c r="J185" s="47">
        <f t="shared" si="5"/>
        <v>1.056</v>
      </c>
      <c r="K185" s="47">
        <f t="shared" si="6"/>
        <v>1.6</v>
      </c>
      <c r="L185" s="5"/>
      <c r="M185" s="5"/>
      <c r="N185" s="5"/>
      <c r="O185" s="5"/>
      <c r="P185" s="5"/>
      <c r="Q185" s="5"/>
      <c r="R185" s="5"/>
      <c r="S185" s="5"/>
      <c r="T185" s="5"/>
      <c r="U185" s="5"/>
      <c r="V185" s="5"/>
      <c r="W185" s="5"/>
      <c r="X185" s="5"/>
      <c r="Y185" s="5"/>
      <c r="Z185" s="5"/>
    </row>
    <row r="186" ht="15.75" customHeight="1">
      <c r="A186" s="46" t="str">
        <f>archetype_prototypes!A186</f>
        <v>9</v>
      </c>
      <c r="B186" s="14" t="str">
        <f>archetype_prototypes!B186</f>
        <v>Emotional Voyeur</v>
      </c>
      <c r="C186" s="14" t="str">
        <f>archetype_prototypes!C186</f>
        <v>DIM_PRESSURE_SHUTDOWN</v>
      </c>
      <c r="D186" s="47">
        <f>archetype_prototypes!E186</f>
        <v>0.45</v>
      </c>
      <c r="E186" s="47">
        <f t="shared" si="1"/>
        <v>0.45</v>
      </c>
      <c r="F186" s="47">
        <f t="shared" si="2"/>
        <v>0.7475</v>
      </c>
      <c r="G186" s="47">
        <f t="shared" si="3"/>
        <v>1</v>
      </c>
      <c r="H186" s="48">
        <f t="array" ref="H186">INDEX(dimensions!$E$2:$E$22,MATCH(C186,dimensions!$A$2:$A$22,0))</f>
        <v>2</v>
      </c>
      <c r="I186" s="47">
        <f t="shared" si="4"/>
        <v>0.9</v>
      </c>
      <c r="J186" s="47">
        <f t="shared" si="5"/>
        <v>1.495</v>
      </c>
      <c r="K186" s="47">
        <f t="shared" si="6"/>
        <v>2</v>
      </c>
      <c r="L186" s="5"/>
      <c r="M186" s="5"/>
      <c r="N186" s="5"/>
      <c r="O186" s="5"/>
      <c r="P186" s="5"/>
      <c r="Q186" s="5"/>
      <c r="R186" s="5"/>
      <c r="S186" s="5"/>
      <c r="T186" s="5"/>
      <c r="U186" s="5"/>
      <c r="V186" s="5"/>
      <c r="W186" s="5"/>
      <c r="X186" s="5"/>
      <c r="Y186" s="5"/>
      <c r="Z186" s="5"/>
    </row>
    <row r="187" ht="15.75" customHeight="1">
      <c r="A187" s="46" t="str">
        <f>archetype_prototypes!A187</f>
        <v>9</v>
      </c>
      <c r="B187" s="14" t="str">
        <f>archetype_prototypes!B187</f>
        <v>Emotional Voyeur</v>
      </c>
      <c r="C187" s="14" t="str">
        <f>archetype_prototypes!C187</f>
        <v>DIM_AVOIDANT</v>
      </c>
      <c r="D187" s="47">
        <f>archetype_prototypes!E187</f>
        <v>0.8</v>
      </c>
      <c r="E187" s="47">
        <f t="shared" si="1"/>
        <v>0.2</v>
      </c>
      <c r="F187" s="47">
        <f t="shared" si="2"/>
        <v>0.66</v>
      </c>
      <c r="G187" s="47">
        <f t="shared" si="3"/>
        <v>1</v>
      </c>
      <c r="H187" s="48">
        <f t="array" ref="H187">INDEX(dimensions!$E$2:$E$22,MATCH(C187,dimensions!$A$2:$A$22,0))</f>
        <v>1.3</v>
      </c>
      <c r="I187" s="47">
        <f t="shared" si="4"/>
        <v>0.26</v>
      </c>
      <c r="J187" s="47">
        <f t="shared" si="5"/>
        <v>0.858</v>
      </c>
      <c r="K187" s="47">
        <f t="shared" si="6"/>
        <v>1.3</v>
      </c>
      <c r="L187" s="5"/>
      <c r="M187" s="5"/>
      <c r="N187" s="5"/>
      <c r="O187" s="5"/>
      <c r="P187" s="5"/>
      <c r="Q187" s="5"/>
      <c r="R187" s="5"/>
      <c r="S187" s="5"/>
      <c r="T187" s="5"/>
      <c r="U187" s="5"/>
      <c r="V187" s="5"/>
      <c r="W187" s="5"/>
      <c r="X187" s="5"/>
      <c r="Y187" s="5"/>
      <c r="Z187" s="5"/>
    </row>
    <row r="188" ht="15.75" customHeight="1">
      <c r="A188" s="46" t="str">
        <f>archetype_prototypes!A188</f>
        <v>9</v>
      </c>
      <c r="B188" s="14" t="str">
        <f>archetype_prototypes!B188</f>
        <v>Emotional Voyeur</v>
      </c>
      <c r="C188" s="14" t="str">
        <f>archetype_prototypes!C188</f>
        <v>DIM_STRATEGY</v>
      </c>
      <c r="D188" s="47">
        <f>archetype_prototypes!E188</f>
        <v>0.1</v>
      </c>
      <c r="E188" s="47">
        <f t="shared" si="1"/>
        <v>0.1</v>
      </c>
      <c r="F188" s="47">
        <f t="shared" si="2"/>
        <v>0.59</v>
      </c>
      <c r="G188" s="47">
        <f t="shared" si="3"/>
        <v>1</v>
      </c>
      <c r="H188" s="48">
        <f t="array" ref="H188">INDEX(dimensions!$E$2:$E$22,MATCH(C188,dimensions!$A$2:$A$22,0))</f>
        <v>1.2</v>
      </c>
      <c r="I188" s="47">
        <f t="shared" si="4"/>
        <v>0.12</v>
      </c>
      <c r="J188" s="47">
        <f t="shared" si="5"/>
        <v>0.708</v>
      </c>
      <c r="K188" s="47">
        <f t="shared" si="6"/>
        <v>1.2</v>
      </c>
      <c r="L188" s="5"/>
      <c r="M188" s="5"/>
      <c r="N188" s="5"/>
      <c r="O188" s="5"/>
      <c r="P188" s="5"/>
      <c r="Q188" s="5"/>
      <c r="R188" s="5"/>
      <c r="S188" s="5"/>
      <c r="T188" s="5"/>
      <c r="U188" s="5"/>
      <c r="V188" s="5"/>
      <c r="W188" s="5"/>
      <c r="X188" s="5"/>
      <c r="Y188" s="5"/>
      <c r="Z188" s="5"/>
    </row>
    <row r="189" ht="15.75" customHeight="1">
      <c r="A189" s="46" t="str">
        <f>archetype_prototypes!A189</f>
        <v>9</v>
      </c>
      <c r="B189" s="14" t="str">
        <f>archetype_prototypes!B189</f>
        <v>Emotional Voyeur</v>
      </c>
      <c r="C189" s="14" t="str">
        <f>archetype_prototypes!C189</f>
        <v>DIM_CLOSENESS_ORIENTATION</v>
      </c>
      <c r="D189" s="47">
        <f>archetype_prototypes!E189</f>
        <v>0.2</v>
      </c>
      <c r="E189" s="47">
        <f t="shared" si="1"/>
        <v>0.2</v>
      </c>
      <c r="F189" s="47">
        <f t="shared" si="2"/>
        <v>0.66</v>
      </c>
      <c r="G189" s="47">
        <f t="shared" si="3"/>
        <v>1</v>
      </c>
      <c r="H189" s="48">
        <f t="array" ref="H189">INDEX(dimensions!$E$2:$E$22,MATCH(C189,dimensions!$A$2:$A$22,0))</f>
        <v>1</v>
      </c>
      <c r="I189" s="47">
        <f t="shared" si="4"/>
        <v>0.2</v>
      </c>
      <c r="J189" s="47">
        <f t="shared" si="5"/>
        <v>0.66</v>
      </c>
      <c r="K189" s="47">
        <f t="shared" si="6"/>
        <v>1</v>
      </c>
      <c r="L189" s="5"/>
      <c r="M189" s="5"/>
      <c r="N189" s="5"/>
      <c r="O189" s="5"/>
      <c r="P189" s="5"/>
      <c r="Q189" s="5"/>
      <c r="R189" s="5"/>
      <c r="S189" s="5"/>
      <c r="T189" s="5"/>
      <c r="U189" s="5"/>
      <c r="V189" s="5"/>
      <c r="W189" s="5"/>
      <c r="X189" s="5"/>
      <c r="Y189" s="5"/>
      <c r="Z189" s="5"/>
    </row>
    <row r="190" ht="15.75" customHeight="1">
      <c r="A190" s="46" t="str">
        <f>archetype_prototypes!A190</f>
        <v>9</v>
      </c>
      <c r="B190" s="14" t="str">
        <f>archetype_prototypes!B190</f>
        <v>Emotional Voyeur</v>
      </c>
      <c r="C190" s="14" t="str">
        <f>archetype_prototypes!C190</f>
        <v>DIM_PARTNER_FOCUS</v>
      </c>
      <c r="D190" s="47">
        <f>archetype_prototypes!E190</f>
        <v>0.25</v>
      </c>
      <c r="E190" s="47">
        <f t="shared" si="1"/>
        <v>0.25</v>
      </c>
      <c r="F190" s="47">
        <f t="shared" si="2"/>
        <v>0.6875</v>
      </c>
      <c r="G190" s="47">
        <f t="shared" si="3"/>
        <v>1</v>
      </c>
      <c r="H190" s="48">
        <f t="array" ref="H190">INDEX(dimensions!$E$2:$E$22,MATCH(C190,dimensions!$A$2:$A$22,0))</f>
        <v>1.2</v>
      </c>
      <c r="I190" s="47">
        <f t="shared" si="4"/>
        <v>0.3</v>
      </c>
      <c r="J190" s="47">
        <f t="shared" si="5"/>
        <v>0.825</v>
      </c>
      <c r="K190" s="47">
        <f t="shared" si="6"/>
        <v>1.2</v>
      </c>
      <c r="L190" s="5"/>
      <c r="M190" s="5"/>
      <c r="N190" s="5"/>
      <c r="O190" s="5"/>
      <c r="P190" s="5"/>
      <c r="Q190" s="5"/>
      <c r="R190" s="5"/>
      <c r="S190" s="5"/>
      <c r="T190" s="5"/>
      <c r="U190" s="5"/>
      <c r="V190" s="5"/>
      <c r="W190" s="5"/>
      <c r="X190" s="5"/>
      <c r="Y190" s="5"/>
      <c r="Z190" s="5"/>
    </row>
    <row r="191" ht="15.75" customHeight="1">
      <c r="A191" s="46" t="str">
        <f>archetype_prototypes!A191</f>
        <v>10</v>
      </c>
      <c r="B191" s="14" t="str">
        <f>archetype_prototypes!B191</f>
        <v>Authority Conductor</v>
      </c>
      <c r="C191" s="14" t="str">
        <f>archetype_prototypes!C191</f>
        <v>DIM_NOVELTY</v>
      </c>
      <c r="D191" s="47">
        <f>archetype_prototypes!E191</f>
        <v>0.48</v>
      </c>
      <c r="E191" s="47">
        <f t="shared" si="1"/>
        <v>0.48</v>
      </c>
      <c r="F191" s="47">
        <f t="shared" si="2"/>
        <v>0.7496</v>
      </c>
      <c r="G191" s="47">
        <f t="shared" si="3"/>
        <v>1</v>
      </c>
      <c r="H191" s="48">
        <f t="array" ref="H191">INDEX(dimensions!$E$2:$E$22,MATCH(C191,dimensions!$A$2:$A$22,0))</f>
        <v>1.4</v>
      </c>
      <c r="I191" s="47">
        <f t="shared" si="4"/>
        <v>0.672</v>
      </c>
      <c r="J191" s="47">
        <f t="shared" si="5"/>
        <v>1.04944</v>
      </c>
      <c r="K191" s="47">
        <f t="shared" si="6"/>
        <v>1.4</v>
      </c>
      <c r="L191" s="5"/>
      <c r="M191" s="5"/>
      <c r="N191" s="5"/>
      <c r="O191" s="5"/>
      <c r="P191" s="5"/>
      <c r="Q191" s="5"/>
      <c r="R191" s="5"/>
      <c r="S191" s="5"/>
      <c r="T191" s="5"/>
      <c r="U191" s="5"/>
      <c r="V191" s="5"/>
      <c r="W191" s="5"/>
      <c r="X191" s="5"/>
      <c r="Y191" s="5"/>
      <c r="Z191" s="5"/>
    </row>
    <row r="192" ht="15.75" customHeight="1">
      <c r="A192" s="46" t="str">
        <f>archetype_prototypes!A192</f>
        <v>10</v>
      </c>
      <c r="B192" s="14" t="str">
        <f>archetype_prototypes!B192</f>
        <v>Authority Conductor</v>
      </c>
      <c r="C192" s="14" t="str">
        <f>archetype_prototypes!C192</f>
        <v>DIM_RESPONSIVE</v>
      </c>
      <c r="D192" s="47">
        <f>archetype_prototypes!E192</f>
        <v>0.25</v>
      </c>
      <c r="E192" s="47">
        <f t="shared" si="1"/>
        <v>0.25</v>
      </c>
      <c r="F192" s="47">
        <f t="shared" si="2"/>
        <v>0.6875</v>
      </c>
      <c r="G192" s="47">
        <f t="shared" si="3"/>
        <v>1</v>
      </c>
      <c r="H192" s="48">
        <f t="array" ref="H192">INDEX(dimensions!$E$2:$E$22,MATCH(C192,dimensions!$A$2:$A$22,0))</f>
        <v>1.6</v>
      </c>
      <c r="I192" s="47">
        <f t="shared" si="4"/>
        <v>0.4</v>
      </c>
      <c r="J192" s="47">
        <f t="shared" si="5"/>
        <v>1.1</v>
      </c>
      <c r="K192" s="47">
        <f t="shared" si="6"/>
        <v>1.6</v>
      </c>
      <c r="L192" s="5"/>
      <c r="M192" s="5"/>
      <c r="N192" s="5"/>
      <c r="O192" s="5"/>
      <c r="P192" s="5"/>
      <c r="Q192" s="5"/>
      <c r="R192" s="5"/>
      <c r="S192" s="5"/>
      <c r="T192" s="5"/>
      <c r="U192" s="5"/>
      <c r="V192" s="5"/>
      <c r="W192" s="5"/>
      <c r="X192" s="5"/>
      <c r="Y192" s="5"/>
      <c r="Z192" s="5"/>
    </row>
    <row r="193" ht="15.75" customHeight="1">
      <c r="A193" s="46" t="str">
        <f>archetype_prototypes!A193</f>
        <v>10</v>
      </c>
      <c r="B193" s="14" t="str">
        <f>archetype_prototypes!B193</f>
        <v>Authority Conductor</v>
      </c>
      <c r="C193" s="14" t="str">
        <f>archetype_prototypes!C193</f>
        <v>DIM_PLANNED</v>
      </c>
      <c r="D193" s="47">
        <f>archetype_prototypes!E193</f>
        <v>0.43</v>
      </c>
      <c r="E193" s="47">
        <f t="shared" si="1"/>
        <v>0.43</v>
      </c>
      <c r="F193" s="47">
        <f t="shared" si="2"/>
        <v>0.7451</v>
      </c>
      <c r="G193" s="47">
        <f t="shared" si="3"/>
        <v>1</v>
      </c>
      <c r="H193" s="48">
        <f t="array" ref="H193">INDEX(dimensions!$E$2:$E$22,MATCH(C193,dimensions!$A$2:$A$22,0))</f>
        <v>1.3</v>
      </c>
      <c r="I193" s="47">
        <f t="shared" si="4"/>
        <v>0.559</v>
      </c>
      <c r="J193" s="47">
        <f t="shared" si="5"/>
        <v>0.96863</v>
      </c>
      <c r="K193" s="47">
        <f t="shared" si="6"/>
        <v>1.3</v>
      </c>
      <c r="L193" s="5"/>
      <c r="M193" s="5"/>
      <c r="N193" s="5"/>
      <c r="O193" s="5"/>
      <c r="P193" s="5"/>
      <c r="Q193" s="5"/>
      <c r="R193" s="5"/>
      <c r="S193" s="5"/>
      <c r="T193" s="5"/>
      <c r="U193" s="5"/>
      <c r="V193" s="5"/>
      <c r="W193" s="5"/>
      <c r="X193" s="5"/>
      <c r="Y193" s="5"/>
      <c r="Z193" s="5"/>
    </row>
    <row r="194" ht="15.75" customHeight="1">
      <c r="A194" s="46" t="str">
        <f>archetype_prototypes!A194</f>
        <v>10</v>
      </c>
      <c r="B194" s="14" t="str">
        <f>archetype_prototypes!B194</f>
        <v>Authority Conductor</v>
      </c>
      <c r="C194" s="14" t="str">
        <f>archetype_prototypes!C194</f>
        <v>DIM_EMO_CONNECTION</v>
      </c>
      <c r="D194" s="47">
        <f>archetype_prototypes!E194</f>
        <v>0.23</v>
      </c>
      <c r="E194" s="47">
        <f t="shared" si="1"/>
        <v>0.23</v>
      </c>
      <c r="F194" s="47">
        <f t="shared" si="2"/>
        <v>0.6771</v>
      </c>
      <c r="G194" s="47">
        <f t="shared" si="3"/>
        <v>1</v>
      </c>
      <c r="H194" s="48">
        <f t="array" ref="H194">INDEX(dimensions!$E$2:$E$22,MATCH(C194,dimensions!$A$2:$A$22,0))</f>
        <v>1.4</v>
      </c>
      <c r="I194" s="47">
        <f t="shared" si="4"/>
        <v>0.322</v>
      </c>
      <c r="J194" s="47">
        <f t="shared" si="5"/>
        <v>0.94794</v>
      </c>
      <c r="K194" s="47">
        <f t="shared" si="6"/>
        <v>1.4</v>
      </c>
      <c r="L194" s="5"/>
      <c r="M194" s="5"/>
      <c r="N194" s="5"/>
      <c r="O194" s="5"/>
      <c r="P194" s="5"/>
      <c r="Q194" s="5"/>
      <c r="R194" s="5"/>
      <c r="S194" s="5"/>
      <c r="T194" s="5"/>
      <c r="U194" s="5"/>
      <c r="V194" s="5"/>
      <c r="W194" s="5"/>
      <c r="X194" s="5"/>
      <c r="Y194" s="5"/>
      <c r="Z194" s="5"/>
    </row>
    <row r="195" ht="15.75" customHeight="1">
      <c r="A195" s="46" t="str">
        <f>archetype_prototypes!A195</f>
        <v>10</v>
      </c>
      <c r="B195" s="14" t="str">
        <f>archetype_prototypes!B195</f>
        <v>Authority Conductor</v>
      </c>
      <c r="C195" s="14" t="str">
        <f>archetype_prototypes!C195</f>
        <v>DIM_INTENSITY</v>
      </c>
      <c r="D195" s="47">
        <f>archetype_prototypes!E195</f>
        <v>0.76</v>
      </c>
      <c r="E195" s="47">
        <f t="shared" si="1"/>
        <v>0.24</v>
      </c>
      <c r="F195" s="47">
        <f t="shared" si="2"/>
        <v>0.6824</v>
      </c>
      <c r="G195" s="47">
        <f t="shared" si="3"/>
        <v>1</v>
      </c>
      <c r="H195" s="48">
        <f t="array" ref="H195">INDEX(dimensions!$E$2:$E$22,MATCH(C195,dimensions!$A$2:$A$22,0))</f>
        <v>1.4</v>
      </c>
      <c r="I195" s="47">
        <f t="shared" si="4"/>
        <v>0.336</v>
      </c>
      <c r="J195" s="47">
        <f t="shared" si="5"/>
        <v>0.95536</v>
      </c>
      <c r="K195" s="47">
        <f t="shared" si="6"/>
        <v>1.4</v>
      </c>
      <c r="L195" s="5"/>
      <c r="M195" s="5"/>
      <c r="N195" s="5"/>
      <c r="O195" s="5"/>
      <c r="P195" s="5"/>
      <c r="Q195" s="5"/>
      <c r="R195" s="5"/>
      <c r="S195" s="5"/>
      <c r="T195" s="5"/>
      <c r="U195" s="5"/>
      <c r="V195" s="5"/>
      <c r="W195" s="5"/>
      <c r="X195" s="5"/>
      <c r="Y195" s="5"/>
      <c r="Z195" s="5"/>
    </row>
    <row r="196" ht="15.75" customHeight="1">
      <c r="A196" s="46" t="str">
        <f>archetype_prototypes!A196</f>
        <v>10</v>
      </c>
      <c r="B196" s="14" t="str">
        <f>archetype_prototypes!B196</f>
        <v>Authority Conductor</v>
      </c>
      <c r="C196" s="14" t="str">
        <f>archetype_prototypes!C196</f>
        <v>DIM_PURSUIT</v>
      </c>
      <c r="D196" s="47">
        <f>archetype_prototypes!E196</f>
        <v>0.61</v>
      </c>
      <c r="E196" s="47">
        <f t="shared" si="1"/>
        <v>0.39</v>
      </c>
      <c r="F196" s="47">
        <f t="shared" si="2"/>
        <v>0.7379</v>
      </c>
      <c r="G196" s="47">
        <f t="shared" si="3"/>
        <v>1</v>
      </c>
      <c r="H196" s="48">
        <f t="array" ref="H196">INDEX(dimensions!$E$2:$E$22,MATCH(C196,dimensions!$A$2:$A$22,0))</f>
        <v>1.4</v>
      </c>
      <c r="I196" s="47">
        <f t="shared" si="4"/>
        <v>0.546</v>
      </c>
      <c r="J196" s="47">
        <f t="shared" si="5"/>
        <v>1.03306</v>
      </c>
      <c r="K196" s="47">
        <f t="shared" si="6"/>
        <v>1.4</v>
      </c>
      <c r="L196" s="5"/>
      <c r="M196" s="5"/>
      <c r="N196" s="5"/>
      <c r="O196" s="5"/>
      <c r="P196" s="5"/>
      <c r="Q196" s="5"/>
      <c r="R196" s="5"/>
      <c r="S196" s="5"/>
      <c r="T196" s="5"/>
      <c r="U196" s="5"/>
      <c r="V196" s="5"/>
      <c r="W196" s="5"/>
      <c r="X196" s="5"/>
      <c r="Y196" s="5"/>
      <c r="Z196" s="5"/>
    </row>
    <row r="197" ht="15.75" customHeight="1">
      <c r="A197" s="46" t="str">
        <f>archetype_prototypes!A197</f>
        <v>10</v>
      </c>
      <c r="B197" s="14" t="str">
        <f>archetype_prototypes!B197</f>
        <v>Authority Conductor</v>
      </c>
      <c r="C197" s="14" t="str">
        <f>archetype_prototypes!C197</f>
        <v>DIM_EDGE_NEED</v>
      </c>
      <c r="D197" s="47">
        <f>archetype_prototypes!E197</f>
        <v>0.54</v>
      </c>
      <c r="E197" s="47">
        <f t="shared" si="1"/>
        <v>0.46</v>
      </c>
      <c r="F197" s="47">
        <f t="shared" si="2"/>
        <v>0.7484</v>
      </c>
      <c r="G197" s="47">
        <f t="shared" si="3"/>
        <v>1</v>
      </c>
      <c r="H197" s="48">
        <f t="array" ref="H197">INDEX(dimensions!$E$2:$E$22,MATCH(C197,dimensions!$A$2:$A$22,0))</f>
        <v>1.8</v>
      </c>
      <c r="I197" s="47">
        <f t="shared" si="4"/>
        <v>0.828</v>
      </c>
      <c r="J197" s="47">
        <f t="shared" si="5"/>
        <v>1.34712</v>
      </c>
      <c r="K197" s="47">
        <f t="shared" si="6"/>
        <v>1.8</v>
      </c>
      <c r="L197" s="5"/>
      <c r="M197" s="5"/>
      <c r="N197" s="5"/>
      <c r="O197" s="5"/>
      <c r="P197" s="5"/>
      <c r="Q197" s="5"/>
      <c r="R197" s="5"/>
      <c r="S197" s="5"/>
      <c r="T197" s="5"/>
      <c r="U197" s="5"/>
      <c r="V197" s="5"/>
      <c r="W197" s="5"/>
      <c r="X197" s="5"/>
      <c r="Y197" s="5"/>
      <c r="Z197" s="5"/>
    </row>
    <row r="198" ht="15.75" customHeight="1">
      <c r="A198" s="46" t="str">
        <f>archetype_prototypes!A198</f>
        <v>10</v>
      </c>
      <c r="B198" s="14" t="str">
        <f>archetype_prototypes!B198</f>
        <v>Authority Conductor</v>
      </c>
      <c r="C198" s="14" t="str">
        <f>archetype_prototypes!C198</f>
        <v>DIM_SACRED</v>
      </c>
      <c r="D198" s="47">
        <f>archetype_prototypes!E198</f>
        <v>0.12</v>
      </c>
      <c r="E198" s="47">
        <f t="shared" si="1"/>
        <v>0.12</v>
      </c>
      <c r="F198" s="47">
        <f t="shared" si="2"/>
        <v>0.6056</v>
      </c>
      <c r="G198" s="47">
        <f t="shared" si="3"/>
        <v>1</v>
      </c>
      <c r="H198" s="48">
        <f t="array" ref="H198">INDEX(dimensions!$E$2:$E$22,MATCH(C198,dimensions!$A$2:$A$22,0))</f>
        <v>2</v>
      </c>
      <c r="I198" s="47">
        <f t="shared" si="4"/>
        <v>0.24</v>
      </c>
      <c r="J198" s="47">
        <f t="shared" si="5"/>
        <v>1.2112</v>
      </c>
      <c r="K198" s="47">
        <f t="shared" si="6"/>
        <v>2</v>
      </c>
      <c r="L198" s="5"/>
      <c r="M198" s="5"/>
      <c r="N198" s="5"/>
      <c r="O198" s="5"/>
      <c r="P198" s="5"/>
      <c r="Q198" s="5"/>
      <c r="R198" s="5"/>
      <c r="S198" s="5"/>
      <c r="T198" s="5"/>
      <c r="U198" s="5"/>
      <c r="V198" s="5"/>
      <c r="W198" s="5"/>
      <c r="X198" s="5"/>
      <c r="Y198" s="5"/>
      <c r="Z198" s="5"/>
    </row>
    <row r="199" ht="15.75" customHeight="1">
      <c r="A199" s="46" t="str">
        <f>archetype_prototypes!A199</f>
        <v>10</v>
      </c>
      <c r="B199" s="14" t="str">
        <f>archetype_prototypes!B199</f>
        <v>Authority Conductor</v>
      </c>
      <c r="C199" s="14" t="str">
        <f>archetype_prototypes!C199</f>
        <v>DIM_RISK_PREF</v>
      </c>
      <c r="D199" s="47">
        <f>archetype_prototypes!E199</f>
        <v>0.67</v>
      </c>
      <c r="E199" s="47">
        <f t="shared" si="1"/>
        <v>0.33</v>
      </c>
      <c r="F199" s="47">
        <f t="shared" si="2"/>
        <v>0.7211</v>
      </c>
      <c r="G199" s="47">
        <f t="shared" si="3"/>
        <v>1</v>
      </c>
      <c r="H199" s="48">
        <f t="array" ref="H199">INDEX(dimensions!$E$2:$E$22,MATCH(C199,dimensions!$A$2:$A$22,0))</f>
        <v>1.6</v>
      </c>
      <c r="I199" s="47">
        <f t="shared" si="4"/>
        <v>0.528</v>
      </c>
      <c r="J199" s="47">
        <f t="shared" si="5"/>
        <v>1.15376</v>
      </c>
      <c r="K199" s="47">
        <f t="shared" si="6"/>
        <v>1.6</v>
      </c>
      <c r="L199" s="5"/>
      <c r="M199" s="5"/>
      <c r="N199" s="5"/>
      <c r="O199" s="5"/>
      <c r="P199" s="5"/>
      <c r="Q199" s="5"/>
      <c r="R199" s="5"/>
      <c r="S199" s="5"/>
      <c r="T199" s="5"/>
      <c r="U199" s="5"/>
      <c r="V199" s="5"/>
      <c r="W199" s="5"/>
      <c r="X199" s="5"/>
      <c r="Y199" s="5"/>
      <c r="Z199" s="5"/>
    </row>
    <row r="200" ht="15.75" customHeight="1">
      <c r="A200" s="46" t="str">
        <f>archetype_prototypes!A200</f>
        <v>10</v>
      </c>
      <c r="B200" s="14" t="str">
        <f>archetype_prototypes!B200</f>
        <v>Authority Conductor</v>
      </c>
      <c r="C200" s="14" t="str">
        <f>archetype_prototypes!C200</f>
        <v>DIM_FEEDBACK_DEP</v>
      </c>
      <c r="D200" s="47">
        <f>archetype_prototypes!E200</f>
        <v>0.4</v>
      </c>
      <c r="E200" s="47">
        <f t="shared" si="1"/>
        <v>0.4</v>
      </c>
      <c r="F200" s="47">
        <f t="shared" si="2"/>
        <v>0.74</v>
      </c>
      <c r="G200" s="47">
        <f t="shared" si="3"/>
        <v>1</v>
      </c>
      <c r="H200" s="48">
        <f t="array" ref="H200">INDEX(dimensions!$E$2:$E$22,MATCH(C200,dimensions!$A$2:$A$22,0))</f>
        <v>2</v>
      </c>
      <c r="I200" s="47">
        <f t="shared" si="4"/>
        <v>0.8</v>
      </c>
      <c r="J200" s="47">
        <f t="shared" si="5"/>
        <v>1.48</v>
      </c>
      <c r="K200" s="47">
        <f t="shared" si="6"/>
        <v>2</v>
      </c>
      <c r="L200" s="5"/>
      <c r="M200" s="5"/>
      <c r="N200" s="5"/>
      <c r="O200" s="5"/>
      <c r="P200" s="5"/>
      <c r="Q200" s="5"/>
      <c r="R200" s="5"/>
      <c r="S200" s="5"/>
      <c r="T200" s="5"/>
      <c r="U200" s="5"/>
      <c r="V200" s="5"/>
      <c r="W200" s="5"/>
      <c r="X200" s="5"/>
      <c r="Y200" s="5"/>
      <c r="Z200" s="5"/>
    </row>
    <row r="201" ht="15.75" customHeight="1">
      <c r="A201" s="46" t="str">
        <f>archetype_prototypes!A201</f>
        <v>10</v>
      </c>
      <c r="B201" s="14" t="str">
        <f>archetype_prototypes!B201</f>
        <v>Authority Conductor</v>
      </c>
      <c r="C201" s="14" t="str">
        <f>archetype_prototypes!C201</f>
        <v>DIM_TURNON_EXPRESS</v>
      </c>
      <c r="D201" s="47">
        <f>archetype_prototypes!E201</f>
        <v>0.75</v>
      </c>
      <c r="E201" s="47">
        <f t="shared" si="1"/>
        <v>0.25</v>
      </c>
      <c r="F201" s="47">
        <f t="shared" si="2"/>
        <v>0.6875</v>
      </c>
      <c r="G201" s="47">
        <f t="shared" si="3"/>
        <v>1</v>
      </c>
      <c r="H201" s="48">
        <f t="array" ref="H201">INDEX(dimensions!$E$2:$E$22,MATCH(C201,dimensions!$A$2:$A$22,0))</f>
        <v>1.3</v>
      </c>
      <c r="I201" s="47">
        <f t="shared" si="4"/>
        <v>0.325</v>
      </c>
      <c r="J201" s="47">
        <f t="shared" si="5"/>
        <v>0.89375</v>
      </c>
      <c r="K201" s="47">
        <f t="shared" si="6"/>
        <v>1.3</v>
      </c>
      <c r="L201" s="5"/>
      <c r="M201" s="5"/>
      <c r="N201" s="5"/>
      <c r="O201" s="5"/>
      <c r="P201" s="5"/>
      <c r="Q201" s="5"/>
      <c r="R201" s="5"/>
      <c r="S201" s="5"/>
      <c r="T201" s="5"/>
      <c r="U201" s="5"/>
      <c r="V201" s="5"/>
      <c r="W201" s="5"/>
      <c r="X201" s="5"/>
      <c r="Y201" s="5"/>
      <c r="Z201" s="5"/>
    </row>
    <row r="202" ht="15.75" customHeight="1">
      <c r="A202" s="46" t="str">
        <f>archetype_prototypes!A202</f>
        <v>10</v>
      </c>
      <c r="B202" s="14" t="str">
        <f>archetype_prototypes!B202</f>
        <v>Authority Conductor</v>
      </c>
      <c r="C202" s="14" t="str">
        <f>archetype_prototypes!C202</f>
        <v>DIM_BOUNDARY_EXPRESS</v>
      </c>
      <c r="D202" s="47">
        <f>archetype_prototypes!E202</f>
        <v>0.82</v>
      </c>
      <c r="E202" s="47">
        <f t="shared" si="1"/>
        <v>0.18</v>
      </c>
      <c r="F202" s="47">
        <f t="shared" si="2"/>
        <v>0.6476</v>
      </c>
      <c r="G202" s="47">
        <f t="shared" si="3"/>
        <v>1</v>
      </c>
      <c r="H202" s="48">
        <f t="array" ref="H202">INDEX(dimensions!$E$2:$E$22,MATCH(C202,dimensions!$A$2:$A$22,0))</f>
        <v>1.3</v>
      </c>
      <c r="I202" s="47">
        <f t="shared" si="4"/>
        <v>0.234</v>
      </c>
      <c r="J202" s="47">
        <f t="shared" si="5"/>
        <v>0.84188</v>
      </c>
      <c r="K202" s="47">
        <f t="shared" si="6"/>
        <v>1.3</v>
      </c>
      <c r="L202" s="5"/>
      <c r="M202" s="5"/>
      <c r="N202" s="5"/>
      <c r="O202" s="5"/>
      <c r="P202" s="5"/>
      <c r="Q202" s="5"/>
      <c r="R202" s="5"/>
      <c r="S202" s="5"/>
      <c r="T202" s="5"/>
      <c r="U202" s="5"/>
      <c r="V202" s="5"/>
      <c r="W202" s="5"/>
      <c r="X202" s="5"/>
      <c r="Y202" s="5"/>
      <c r="Z202" s="5"/>
    </row>
    <row r="203" ht="15.75" customHeight="1">
      <c r="A203" s="46" t="str">
        <f>archetype_prototypes!A203</f>
        <v>10</v>
      </c>
      <c r="B203" s="14" t="str">
        <f>archetype_prototypes!B203</f>
        <v>Authority Conductor</v>
      </c>
      <c r="C203" s="14" t="str">
        <f>archetype_prototypes!C203</f>
        <v>DIM_PROTOCOL</v>
      </c>
      <c r="D203" s="47">
        <f>archetype_prototypes!E203</f>
        <v>0.81</v>
      </c>
      <c r="E203" s="47">
        <f t="shared" si="1"/>
        <v>0.19</v>
      </c>
      <c r="F203" s="47">
        <f t="shared" si="2"/>
        <v>0.6539</v>
      </c>
      <c r="G203" s="47">
        <f t="shared" si="3"/>
        <v>1</v>
      </c>
      <c r="H203" s="48">
        <f t="array" ref="H203">INDEX(dimensions!$E$2:$E$22,MATCH(C203,dimensions!$A$2:$A$22,0))</f>
        <v>1.6</v>
      </c>
      <c r="I203" s="47">
        <f t="shared" si="4"/>
        <v>0.304</v>
      </c>
      <c r="J203" s="47">
        <f t="shared" si="5"/>
        <v>1.04624</v>
      </c>
      <c r="K203" s="47">
        <f t="shared" si="6"/>
        <v>1.6</v>
      </c>
      <c r="L203" s="5"/>
      <c r="M203" s="5"/>
      <c r="N203" s="5"/>
      <c r="O203" s="5"/>
      <c r="P203" s="5"/>
      <c r="Q203" s="5"/>
      <c r="R203" s="5"/>
      <c r="S203" s="5"/>
      <c r="T203" s="5"/>
      <c r="U203" s="5"/>
      <c r="V203" s="5"/>
      <c r="W203" s="5"/>
      <c r="X203" s="5"/>
      <c r="Y203" s="5"/>
      <c r="Z203" s="5"/>
    </row>
    <row r="204" ht="15.75" customHeight="1">
      <c r="A204" s="46" t="str">
        <f>archetype_prototypes!A204</f>
        <v>10</v>
      </c>
      <c r="B204" s="14" t="str">
        <f>archetype_prototypes!B204</f>
        <v>Authority Conductor</v>
      </c>
      <c r="C204" s="14" t="str">
        <f>archetype_prototypes!C204</f>
        <v>DIM_SOOTHING</v>
      </c>
      <c r="D204" s="47">
        <f>archetype_prototypes!E204</f>
        <v>0.09</v>
      </c>
      <c r="E204" s="47">
        <f t="shared" si="1"/>
        <v>0.09</v>
      </c>
      <c r="F204" s="47">
        <f t="shared" si="2"/>
        <v>0.5819</v>
      </c>
      <c r="G204" s="47">
        <f t="shared" si="3"/>
        <v>1</v>
      </c>
      <c r="H204" s="48">
        <f t="array" ref="H204">INDEX(dimensions!$E$2:$E$22,MATCH(C204,dimensions!$A$2:$A$22,0))</f>
        <v>1.9</v>
      </c>
      <c r="I204" s="47">
        <f t="shared" si="4"/>
        <v>0.171</v>
      </c>
      <c r="J204" s="47">
        <f t="shared" si="5"/>
        <v>1.10561</v>
      </c>
      <c r="K204" s="47">
        <f t="shared" si="6"/>
        <v>1.9</v>
      </c>
      <c r="L204" s="5"/>
      <c r="M204" s="5"/>
      <c r="N204" s="5"/>
      <c r="O204" s="5"/>
      <c r="P204" s="5"/>
      <c r="Q204" s="5"/>
      <c r="R204" s="5"/>
      <c r="S204" s="5"/>
      <c r="T204" s="5"/>
      <c r="U204" s="5"/>
      <c r="V204" s="5"/>
      <c r="W204" s="5"/>
      <c r="X204" s="5"/>
      <c r="Y204" s="5"/>
      <c r="Z204" s="5"/>
    </row>
    <row r="205" ht="15.75" customHeight="1">
      <c r="A205" s="46" t="str">
        <f>archetype_prototypes!A205</f>
        <v>10</v>
      </c>
      <c r="B205" s="14" t="str">
        <f>archetype_prototypes!B205</f>
        <v>Authority Conductor</v>
      </c>
      <c r="C205" s="14" t="str">
        <f>archetype_prototypes!C205</f>
        <v>DIM_SECURE</v>
      </c>
      <c r="D205" s="47">
        <f>archetype_prototypes!E205</f>
        <v>0.39</v>
      </c>
      <c r="E205" s="47">
        <f t="shared" si="1"/>
        <v>0.39</v>
      </c>
      <c r="F205" s="47">
        <f t="shared" si="2"/>
        <v>0.7379</v>
      </c>
      <c r="G205" s="47">
        <f t="shared" si="3"/>
        <v>1</v>
      </c>
      <c r="H205" s="48">
        <f t="array" ref="H205">INDEX(dimensions!$E$2:$E$22,MATCH(C205,dimensions!$A$2:$A$22,0))</f>
        <v>1</v>
      </c>
      <c r="I205" s="47">
        <f t="shared" si="4"/>
        <v>0.39</v>
      </c>
      <c r="J205" s="47">
        <f t="shared" si="5"/>
        <v>0.7379</v>
      </c>
      <c r="K205" s="47">
        <f t="shared" si="6"/>
        <v>1</v>
      </c>
      <c r="L205" s="5"/>
      <c r="M205" s="5"/>
      <c r="N205" s="5"/>
      <c r="O205" s="5"/>
      <c r="P205" s="5"/>
      <c r="Q205" s="5"/>
      <c r="R205" s="5"/>
      <c r="S205" s="5"/>
      <c r="T205" s="5"/>
      <c r="U205" s="5"/>
      <c r="V205" s="5"/>
      <c r="W205" s="5"/>
      <c r="X205" s="5"/>
      <c r="Y205" s="5"/>
      <c r="Z205" s="5"/>
    </row>
    <row r="206" ht="15.75" customHeight="1">
      <c r="A206" s="46" t="str">
        <f>archetype_prototypes!A206</f>
        <v>10</v>
      </c>
      <c r="B206" s="14" t="str">
        <f>archetype_prototypes!B206</f>
        <v>Authority Conductor</v>
      </c>
      <c r="C206" s="14" t="str">
        <f>archetype_prototypes!C206</f>
        <v>DIM_REPAIR_EROTICISM</v>
      </c>
      <c r="D206" s="47">
        <f>archetype_prototypes!E206</f>
        <v>0.14</v>
      </c>
      <c r="E206" s="47">
        <f t="shared" si="1"/>
        <v>0.14</v>
      </c>
      <c r="F206" s="47">
        <f t="shared" si="2"/>
        <v>0.6204</v>
      </c>
      <c r="G206" s="47">
        <f t="shared" si="3"/>
        <v>1</v>
      </c>
      <c r="H206" s="48">
        <f t="array" ref="H206">INDEX(dimensions!$E$2:$E$22,MATCH(C206,dimensions!$A$2:$A$22,0))</f>
        <v>1.6</v>
      </c>
      <c r="I206" s="47">
        <f t="shared" si="4"/>
        <v>0.224</v>
      </c>
      <c r="J206" s="47">
        <f t="shared" si="5"/>
        <v>0.99264</v>
      </c>
      <c r="K206" s="47">
        <f t="shared" si="6"/>
        <v>1.6</v>
      </c>
      <c r="L206" s="5"/>
      <c r="M206" s="5"/>
      <c r="N206" s="5"/>
      <c r="O206" s="5"/>
      <c r="P206" s="5"/>
      <c r="Q206" s="5"/>
      <c r="R206" s="5"/>
      <c r="S206" s="5"/>
      <c r="T206" s="5"/>
      <c r="U206" s="5"/>
      <c r="V206" s="5"/>
      <c r="W206" s="5"/>
      <c r="X206" s="5"/>
      <c r="Y206" s="5"/>
      <c r="Z206" s="5"/>
    </row>
    <row r="207" ht="15.75" customHeight="1">
      <c r="A207" s="46" t="str">
        <f>archetype_prototypes!A207</f>
        <v>10</v>
      </c>
      <c r="B207" s="14" t="str">
        <f>archetype_prototypes!B207</f>
        <v>Authority Conductor</v>
      </c>
      <c r="C207" s="14" t="str">
        <f>archetype_prototypes!C207</f>
        <v>DIM_PRESSURE_SHUTDOWN</v>
      </c>
      <c r="D207" s="47">
        <f>archetype_prototypes!E207</f>
        <v>0.16</v>
      </c>
      <c r="E207" s="47">
        <f t="shared" si="1"/>
        <v>0.16</v>
      </c>
      <c r="F207" s="47">
        <f t="shared" si="2"/>
        <v>0.6344</v>
      </c>
      <c r="G207" s="47">
        <f t="shared" si="3"/>
        <v>1</v>
      </c>
      <c r="H207" s="48">
        <f t="array" ref="H207">INDEX(dimensions!$E$2:$E$22,MATCH(C207,dimensions!$A$2:$A$22,0))</f>
        <v>2</v>
      </c>
      <c r="I207" s="47">
        <f t="shared" si="4"/>
        <v>0.32</v>
      </c>
      <c r="J207" s="47">
        <f t="shared" si="5"/>
        <v>1.2688</v>
      </c>
      <c r="K207" s="47">
        <f t="shared" si="6"/>
        <v>2</v>
      </c>
      <c r="L207" s="5"/>
      <c r="M207" s="5"/>
      <c r="N207" s="5"/>
      <c r="O207" s="5"/>
      <c r="P207" s="5"/>
      <c r="Q207" s="5"/>
      <c r="R207" s="5"/>
      <c r="S207" s="5"/>
      <c r="T207" s="5"/>
      <c r="U207" s="5"/>
      <c r="V207" s="5"/>
      <c r="W207" s="5"/>
      <c r="X207" s="5"/>
      <c r="Y207" s="5"/>
      <c r="Z207" s="5"/>
    </row>
    <row r="208" ht="15.75" customHeight="1">
      <c r="A208" s="46" t="str">
        <f>archetype_prototypes!A208</f>
        <v>10</v>
      </c>
      <c r="B208" s="14" t="str">
        <f>archetype_prototypes!B208</f>
        <v>Authority Conductor</v>
      </c>
      <c r="C208" s="14" t="str">
        <f>archetype_prototypes!C208</f>
        <v>DIM_AVOIDANT</v>
      </c>
      <c r="D208" s="47">
        <f>archetype_prototypes!E208</f>
        <v>0.67</v>
      </c>
      <c r="E208" s="47">
        <f t="shared" si="1"/>
        <v>0.33</v>
      </c>
      <c r="F208" s="47">
        <f t="shared" si="2"/>
        <v>0.7211</v>
      </c>
      <c r="G208" s="47">
        <f t="shared" si="3"/>
        <v>1</v>
      </c>
      <c r="H208" s="48">
        <f t="array" ref="H208">INDEX(dimensions!$E$2:$E$22,MATCH(C208,dimensions!$A$2:$A$22,0))</f>
        <v>1.3</v>
      </c>
      <c r="I208" s="47">
        <f t="shared" si="4"/>
        <v>0.429</v>
      </c>
      <c r="J208" s="47">
        <f t="shared" si="5"/>
        <v>0.93743</v>
      </c>
      <c r="K208" s="47">
        <f t="shared" si="6"/>
        <v>1.3</v>
      </c>
      <c r="L208" s="5"/>
      <c r="M208" s="5"/>
      <c r="N208" s="5"/>
      <c r="O208" s="5"/>
      <c r="P208" s="5"/>
      <c r="Q208" s="5"/>
      <c r="R208" s="5"/>
      <c r="S208" s="5"/>
      <c r="T208" s="5"/>
      <c r="U208" s="5"/>
      <c r="V208" s="5"/>
      <c r="W208" s="5"/>
      <c r="X208" s="5"/>
      <c r="Y208" s="5"/>
      <c r="Z208" s="5"/>
    </row>
    <row r="209" ht="15.75" customHeight="1">
      <c r="A209" s="46" t="str">
        <f>archetype_prototypes!A209</f>
        <v>10</v>
      </c>
      <c r="B209" s="14" t="str">
        <f>archetype_prototypes!B209</f>
        <v>Authority Conductor</v>
      </c>
      <c r="C209" s="14" t="str">
        <f>archetype_prototypes!C209</f>
        <v>DIM_STRATEGY</v>
      </c>
      <c r="D209" s="47">
        <f>archetype_prototypes!E209</f>
        <v>0.38</v>
      </c>
      <c r="E209" s="47">
        <f t="shared" si="1"/>
        <v>0.38</v>
      </c>
      <c r="F209" s="47">
        <f t="shared" si="2"/>
        <v>0.7356</v>
      </c>
      <c r="G209" s="47">
        <f t="shared" si="3"/>
        <v>1</v>
      </c>
      <c r="H209" s="48">
        <f t="array" ref="H209">INDEX(dimensions!$E$2:$E$22,MATCH(C209,dimensions!$A$2:$A$22,0))</f>
        <v>1.2</v>
      </c>
      <c r="I209" s="47">
        <f t="shared" si="4"/>
        <v>0.456</v>
      </c>
      <c r="J209" s="47">
        <f t="shared" si="5"/>
        <v>0.88272</v>
      </c>
      <c r="K209" s="47">
        <f t="shared" si="6"/>
        <v>1.2</v>
      </c>
      <c r="L209" s="5"/>
      <c r="M209" s="5"/>
      <c r="N209" s="5"/>
      <c r="O209" s="5"/>
      <c r="P209" s="5"/>
      <c r="Q209" s="5"/>
      <c r="R209" s="5"/>
      <c r="S209" s="5"/>
      <c r="T209" s="5"/>
      <c r="U209" s="5"/>
      <c r="V209" s="5"/>
      <c r="W209" s="5"/>
      <c r="X209" s="5"/>
      <c r="Y209" s="5"/>
      <c r="Z209" s="5"/>
    </row>
    <row r="210" ht="15.75" customHeight="1">
      <c r="A210" s="46" t="str">
        <f>archetype_prototypes!A210</f>
        <v>10</v>
      </c>
      <c r="B210" s="14" t="str">
        <f>archetype_prototypes!B210</f>
        <v>Authority Conductor</v>
      </c>
      <c r="C210" s="14" t="str">
        <f>archetype_prototypes!C210</f>
        <v>DIM_CLOSENESS_ORIENTATION</v>
      </c>
      <c r="D210" s="47">
        <f>archetype_prototypes!E210</f>
        <v>0.18</v>
      </c>
      <c r="E210" s="47">
        <f t="shared" si="1"/>
        <v>0.18</v>
      </c>
      <c r="F210" s="47">
        <f t="shared" si="2"/>
        <v>0.6476</v>
      </c>
      <c r="G210" s="47">
        <f t="shared" si="3"/>
        <v>1</v>
      </c>
      <c r="H210" s="48">
        <f t="array" ref="H210">INDEX(dimensions!$E$2:$E$22,MATCH(C210,dimensions!$A$2:$A$22,0))</f>
        <v>1</v>
      </c>
      <c r="I210" s="47">
        <f t="shared" si="4"/>
        <v>0.18</v>
      </c>
      <c r="J210" s="47">
        <f t="shared" si="5"/>
        <v>0.6476</v>
      </c>
      <c r="K210" s="47">
        <f t="shared" si="6"/>
        <v>1</v>
      </c>
      <c r="L210" s="5"/>
      <c r="M210" s="5"/>
      <c r="N210" s="5"/>
      <c r="O210" s="5"/>
      <c r="P210" s="5"/>
      <c r="Q210" s="5"/>
      <c r="R210" s="5"/>
      <c r="S210" s="5"/>
      <c r="T210" s="5"/>
      <c r="U210" s="5"/>
      <c r="V210" s="5"/>
      <c r="W210" s="5"/>
      <c r="X210" s="5"/>
      <c r="Y210" s="5"/>
      <c r="Z210" s="5"/>
    </row>
    <row r="211" ht="15.75" customHeight="1">
      <c r="A211" s="46" t="str">
        <f>archetype_prototypes!A211</f>
        <v>10</v>
      </c>
      <c r="B211" s="14" t="str">
        <f>archetype_prototypes!B211</f>
        <v>Authority Conductor</v>
      </c>
      <c r="C211" s="14" t="str">
        <f>archetype_prototypes!C211</f>
        <v>DIM_PARTNER_FOCUS</v>
      </c>
      <c r="D211" s="47">
        <f>archetype_prototypes!E211</f>
        <v>0.28</v>
      </c>
      <c r="E211" s="47">
        <f t="shared" si="1"/>
        <v>0.28</v>
      </c>
      <c r="F211" s="47">
        <f t="shared" si="2"/>
        <v>0.7016</v>
      </c>
      <c r="G211" s="47">
        <f t="shared" si="3"/>
        <v>1</v>
      </c>
      <c r="H211" s="48">
        <f t="array" ref="H211">INDEX(dimensions!$E$2:$E$22,MATCH(C211,dimensions!$A$2:$A$22,0))</f>
        <v>1.2</v>
      </c>
      <c r="I211" s="47">
        <f t="shared" si="4"/>
        <v>0.336</v>
      </c>
      <c r="J211" s="47">
        <f t="shared" si="5"/>
        <v>0.84192</v>
      </c>
      <c r="K211" s="47">
        <f t="shared" si="6"/>
        <v>1.2</v>
      </c>
      <c r="L211" s="5"/>
      <c r="M211" s="5"/>
      <c r="N211" s="5"/>
      <c r="O211" s="5"/>
      <c r="P211" s="5"/>
      <c r="Q211" s="5"/>
      <c r="R211" s="5"/>
      <c r="S211" s="5"/>
      <c r="T211" s="5"/>
      <c r="U211" s="5"/>
      <c r="V211" s="5"/>
      <c r="W211" s="5"/>
      <c r="X211" s="5"/>
      <c r="Y211" s="5"/>
      <c r="Z211" s="5"/>
    </row>
    <row r="212" ht="15.75" customHeight="1">
      <c r="A212" s="46" t="str">
        <f>archetype_prototypes!A212</f>
        <v>11</v>
      </c>
      <c r="B212" s="14" t="str">
        <f>archetype_prototypes!B212</f>
        <v>Loyal Ritualist</v>
      </c>
      <c r="C212" s="14" t="str">
        <f>archetype_prototypes!C212</f>
        <v>DIM_NOVELTY</v>
      </c>
      <c r="D212" s="47">
        <f>archetype_prototypes!E212</f>
        <v>0.2</v>
      </c>
      <c r="E212" s="47">
        <f t="shared" si="1"/>
        <v>0.2</v>
      </c>
      <c r="F212" s="47">
        <f t="shared" si="2"/>
        <v>0.66</v>
      </c>
      <c r="G212" s="47">
        <f t="shared" si="3"/>
        <v>1</v>
      </c>
      <c r="H212" s="48">
        <f t="array" ref="H212">INDEX(dimensions!$E$2:$E$22,MATCH(C212,dimensions!$A$2:$A$22,0))</f>
        <v>1.4</v>
      </c>
      <c r="I212" s="47">
        <f t="shared" si="4"/>
        <v>0.28</v>
      </c>
      <c r="J212" s="47">
        <f t="shared" si="5"/>
        <v>0.924</v>
      </c>
      <c r="K212" s="47">
        <f t="shared" si="6"/>
        <v>1.4</v>
      </c>
      <c r="L212" s="5"/>
      <c r="M212" s="5"/>
      <c r="N212" s="5"/>
      <c r="O212" s="5"/>
      <c r="P212" s="5"/>
      <c r="Q212" s="5"/>
      <c r="R212" s="5"/>
      <c r="S212" s="5"/>
      <c r="T212" s="5"/>
      <c r="U212" s="5"/>
      <c r="V212" s="5"/>
      <c r="W212" s="5"/>
      <c r="X212" s="5"/>
      <c r="Y212" s="5"/>
      <c r="Z212" s="5"/>
    </row>
    <row r="213" ht="15.75" customHeight="1">
      <c r="A213" s="46" t="str">
        <f>archetype_prototypes!A213</f>
        <v>11</v>
      </c>
      <c r="B213" s="14" t="str">
        <f>archetype_prototypes!B213</f>
        <v>Loyal Ritualist</v>
      </c>
      <c r="C213" s="14" t="str">
        <f>archetype_prototypes!C213</f>
        <v>DIM_RESPONSIVE</v>
      </c>
      <c r="D213" s="47">
        <f>archetype_prototypes!E213</f>
        <v>0.55</v>
      </c>
      <c r="E213" s="47">
        <f t="shared" si="1"/>
        <v>0.45</v>
      </c>
      <c r="F213" s="47">
        <f t="shared" si="2"/>
        <v>0.7475</v>
      </c>
      <c r="G213" s="47">
        <f t="shared" si="3"/>
        <v>1</v>
      </c>
      <c r="H213" s="48">
        <f t="array" ref="H213">INDEX(dimensions!$E$2:$E$22,MATCH(C213,dimensions!$A$2:$A$22,0))</f>
        <v>1.6</v>
      </c>
      <c r="I213" s="47">
        <f t="shared" si="4"/>
        <v>0.72</v>
      </c>
      <c r="J213" s="47">
        <f t="shared" si="5"/>
        <v>1.196</v>
      </c>
      <c r="K213" s="47">
        <f t="shared" si="6"/>
        <v>1.6</v>
      </c>
      <c r="L213" s="5"/>
      <c r="M213" s="5"/>
      <c r="N213" s="5"/>
      <c r="O213" s="5"/>
      <c r="P213" s="5"/>
      <c r="Q213" s="5"/>
      <c r="R213" s="5"/>
      <c r="S213" s="5"/>
      <c r="T213" s="5"/>
      <c r="U213" s="5"/>
      <c r="V213" s="5"/>
      <c r="W213" s="5"/>
      <c r="X213" s="5"/>
      <c r="Y213" s="5"/>
      <c r="Z213" s="5"/>
    </row>
    <row r="214" ht="15.75" customHeight="1">
      <c r="A214" s="46" t="str">
        <f>archetype_prototypes!A214</f>
        <v>11</v>
      </c>
      <c r="B214" s="14" t="str">
        <f>archetype_prototypes!B214</f>
        <v>Loyal Ritualist</v>
      </c>
      <c r="C214" s="14" t="str">
        <f>archetype_prototypes!C214</f>
        <v>DIM_PLANNED</v>
      </c>
      <c r="D214" s="47">
        <f>archetype_prototypes!E214</f>
        <v>0.9</v>
      </c>
      <c r="E214" s="47">
        <f t="shared" si="1"/>
        <v>0.1</v>
      </c>
      <c r="F214" s="47">
        <f t="shared" si="2"/>
        <v>0.59</v>
      </c>
      <c r="G214" s="47">
        <f t="shared" si="3"/>
        <v>1</v>
      </c>
      <c r="H214" s="48">
        <f t="array" ref="H214">INDEX(dimensions!$E$2:$E$22,MATCH(C214,dimensions!$A$2:$A$22,0))</f>
        <v>1.3</v>
      </c>
      <c r="I214" s="47">
        <f t="shared" si="4"/>
        <v>0.13</v>
      </c>
      <c r="J214" s="47">
        <f t="shared" si="5"/>
        <v>0.767</v>
      </c>
      <c r="K214" s="47">
        <f t="shared" si="6"/>
        <v>1.3</v>
      </c>
      <c r="L214" s="5"/>
      <c r="M214" s="5"/>
      <c r="N214" s="5"/>
      <c r="O214" s="5"/>
      <c r="P214" s="5"/>
      <c r="Q214" s="5"/>
      <c r="R214" s="5"/>
      <c r="S214" s="5"/>
      <c r="T214" s="5"/>
      <c r="U214" s="5"/>
      <c r="V214" s="5"/>
      <c r="W214" s="5"/>
      <c r="X214" s="5"/>
      <c r="Y214" s="5"/>
      <c r="Z214" s="5"/>
    </row>
    <row r="215" ht="15.75" customHeight="1">
      <c r="A215" s="46" t="str">
        <f>archetype_prototypes!A215</f>
        <v>11</v>
      </c>
      <c r="B215" s="14" t="str">
        <f>archetype_prototypes!B215</f>
        <v>Loyal Ritualist</v>
      </c>
      <c r="C215" s="14" t="str">
        <f>archetype_prototypes!C215</f>
        <v>DIM_EMO_CONNECTION</v>
      </c>
      <c r="D215" s="47">
        <f>archetype_prototypes!E215</f>
        <v>0.55</v>
      </c>
      <c r="E215" s="47">
        <f t="shared" si="1"/>
        <v>0.45</v>
      </c>
      <c r="F215" s="47">
        <f t="shared" si="2"/>
        <v>0.7475</v>
      </c>
      <c r="G215" s="47">
        <f t="shared" si="3"/>
        <v>1</v>
      </c>
      <c r="H215" s="48">
        <f t="array" ref="H215">INDEX(dimensions!$E$2:$E$22,MATCH(C215,dimensions!$A$2:$A$22,0))</f>
        <v>1.4</v>
      </c>
      <c r="I215" s="47">
        <f t="shared" si="4"/>
        <v>0.63</v>
      </c>
      <c r="J215" s="47">
        <f t="shared" si="5"/>
        <v>1.0465</v>
      </c>
      <c r="K215" s="47">
        <f t="shared" si="6"/>
        <v>1.4</v>
      </c>
      <c r="L215" s="5"/>
      <c r="M215" s="5"/>
      <c r="N215" s="5"/>
      <c r="O215" s="5"/>
      <c r="P215" s="5"/>
      <c r="Q215" s="5"/>
      <c r="R215" s="5"/>
      <c r="S215" s="5"/>
      <c r="T215" s="5"/>
      <c r="U215" s="5"/>
      <c r="V215" s="5"/>
      <c r="W215" s="5"/>
      <c r="X215" s="5"/>
      <c r="Y215" s="5"/>
      <c r="Z215" s="5"/>
    </row>
    <row r="216" ht="15.75" customHeight="1">
      <c r="A216" s="46" t="str">
        <f>archetype_prototypes!A216</f>
        <v>11</v>
      </c>
      <c r="B216" s="14" t="str">
        <f>archetype_prototypes!B216</f>
        <v>Loyal Ritualist</v>
      </c>
      <c r="C216" s="14" t="str">
        <f>archetype_prototypes!C216</f>
        <v>DIM_INTENSITY</v>
      </c>
      <c r="D216" s="47">
        <f>archetype_prototypes!E216</f>
        <v>0.35</v>
      </c>
      <c r="E216" s="47">
        <f t="shared" si="1"/>
        <v>0.35</v>
      </c>
      <c r="F216" s="47">
        <f t="shared" si="2"/>
        <v>0.7275</v>
      </c>
      <c r="G216" s="47">
        <f t="shared" si="3"/>
        <v>1</v>
      </c>
      <c r="H216" s="48">
        <f t="array" ref="H216">INDEX(dimensions!$E$2:$E$22,MATCH(C216,dimensions!$A$2:$A$22,0))</f>
        <v>1.4</v>
      </c>
      <c r="I216" s="47">
        <f t="shared" si="4"/>
        <v>0.49</v>
      </c>
      <c r="J216" s="47">
        <f t="shared" si="5"/>
        <v>1.0185</v>
      </c>
      <c r="K216" s="47">
        <f t="shared" si="6"/>
        <v>1.4</v>
      </c>
      <c r="L216" s="5"/>
      <c r="M216" s="5"/>
      <c r="N216" s="5"/>
      <c r="O216" s="5"/>
      <c r="P216" s="5"/>
      <c r="Q216" s="5"/>
      <c r="R216" s="5"/>
      <c r="S216" s="5"/>
      <c r="T216" s="5"/>
      <c r="U216" s="5"/>
      <c r="V216" s="5"/>
      <c r="W216" s="5"/>
      <c r="X216" s="5"/>
      <c r="Y216" s="5"/>
      <c r="Z216" s="5"/>
    </row>
    <row r="217" ht="15.75" customHeight="1">
      <c r="A217" s="46" t="str">
        <f>archetype_prototypes!A217</f>
        <v>11</v>
      </c>
      <c r="B217" s="14" t="str">
        <f>archetype_prototypes!B217</f>
        <v>Loyal Ritualist</v>
      </c>
      <c r="C217" s="14" t="str">
        <f>archetype_prototypes!C217</f>
        <v>DIM_PURSUIT</v>
      </c>
      <c r="D217" s="47">
        <f>archetype_prototypes!E217</f>
        <v>0.2</v>
      </c>
      <c r="E217" s="47">
        <f t="shared" si="1"/>
        <v>0.2</v>
      </c>
      <c r="F217" s="47">
        <f t="shared" si="2"/>
        <v>0.66</v>
      </c>
      <c r="G217" s="47">
        <f t="shared" si="3"/>
        <v>1</v>
      </c>
      <c r="H217" s="48">
        <f t="array" ref="H217">INDEX(dimensions!$E$2:$E$22,MATCH(C217,dimensions!$A$2:$A$22,0))</f>
        <v>1.4</v>
      </c>
      <c r="I217" s="47">
        <f t="shared" si="4"/>
        <v>0.28</v>
      </c>
      <c r="J217" s="47">
        <f t="shared" si="5"/>
        <v>0.924</v>
      </c>
      <c r="K217" s="47">
        <f t="shared" si="6"/>
        <v>1.4</v>
      </c>
      <c r="L217" s="5"/>
      <c r="M217" s="5"/>
      <c r="N217" s="5"/>
      <c r="O217" s="5"/>
      <c r="P217" s="5"/>
      <c r="Q217" s="5"/>
      <c r="R217" s="5"/>
      <c r="S217" s="5"/>
      <c r="T217" s="5"/>
      <c r="U217" s="5"/>
      <c r="V217" s="5"/>
      <c r="W217" s="5"/>
      <c r="X217" s="5"/>
      <c r="Y217" s="5"/>
      <c r="Z217" s="5"/>
    </row>
    <row r="218" ht="15.75" customHeight="1">
      <c r="A218" s="46" t="str">
        <f>archetype_prototypes!A218</f>
        <v>11</v>
      </c>
      <c r="B218" s="14" t="str">
        <f>archetype_prototypes!B218</f>
        <v>Loyal Ritualist</v>
      </c>
      <c r="C218" s="14" t="str">
        <f>archetype_prototypes!C218</f>
        <v>DIM_EDGE_NEED</v>
      </c>
      <c r="D218" s="47">
        <f>archetype_prototypes!E218</f>
        <v>0.2</v>
      </c>
      <c r="E218" s="47">
        <f t="shared" si="1"/>
        <v>0.2</v>
      </c>
      <c r="F218" s="47">
        <f t="shared" si="2"/>
        <v>0.66</v>
      </c>
      <c r="G218" s="47">
        <f t="shared" si="3"/>
        <v>1</v>
      </c>
      <c r="H218" s="48">
        <f t="array" ref="H218">INDEX(dimensions!$E$2:$E$22,MATCH(C218,dimensions!$A$2:$A$22,0))</f>
        <v>1.8</v>
      </c>
      <c r="I218" s="47">
        <f t="shared" si="4"/>
        <v>0.36</v>
      </c>
      <c r="J218" s="47">
        <f t="shared" si="5"/>
        <v>1.188</v>
      </c>
      <c r="K218" s="47">
        <f t="shared" si="6"/>
        <v>1.8</v>
      </c>
      <c r="L218" s="5"/>
      <c r="M218" s="5"/>
      <c r="N218" s="5"/>
      <c r="O218" s="5"/>
      <c r="P218" s="5"/>
      <c r="Q218" s="5"/>
      <c r="R218" s="5"/>
      <c r="S218" s="5"/>
      <c r="T218" s="5"/>
      <c r="U218" s="5"/>
      <c r="V218" s="5"/>
      <c r="W218" s="5"/>
      <c r="X218" s="5"/>
      <c r="Y218" s="5"/>
      <c r="Z218" s="5"/>
    </row>
    <row r="219" ht="15.75" customHeight="1">
      <c r="A219" s="46" t="str">
        <f>archetype_prototypes!A219</f>
        <v>11</v>
      </c>
      <c r="B219" s="14" t="str">
        <f>archetype_prototypes!B219</f>
        <v>Loyal Ritualist</v>
      </c>
      <c r="C219" s="14" t="str">
        <f>archetype_prototypes!C219</f>
        <v>DIM_SACRED</v>
      </c>
      <c r="D219" s="47">
        <f>archetype_prototypes!E219</f>
        <v>0.4</v>
      </c>
      <c r="E219" s="47">
        <f t="shared" si="1"/>
        <v>0.4</v>
      </c>
      <c r="F219" s="47">
        <f t="shared" si="2"/>
        <v>0.74</v>
      </c>
      <c r="G219" s="47">
        <f t="shared" si="3"/>
        <v>1</v>
      </c>
      <c r="H219" s="48">
        <f t="array" ref="H219">INDEX(dimensions!$E$2:$E$22,MATCH(C219,dimensions!$A$2:$A$22,0))</f>
        <v>2</v>
      </c>
      <c r="I219" s="47">
        <f t="shared" si="4"/>
        <v>0.8</v>
      </c>
      <c r="J219" s="47">
        <f t="shared" si="5"/>
        <v>1.48</v>
      </c>
      <c r="K219" s="47">
        <f t="shared" si="6"/>
        <v>2</v>
      </c>
      <c r="L219" s="5"/>
      <c r="M219" s="5"/>
      <c r="N219" s="5"/>
      <c r="O219" s="5"/>
      <c r="P219" s="5"/>
      <c r="Q219" s="5"/>
      <c r="R219" s="5"/>
      <c r="S219" s="5"/>
      <c r="T219" s="5"/>
      <c r="U219" s="5"/>
      <c r="V219" s="5"/>
      <c r="W219" s="5"/>
      <c r="X219" s="5"/>
      <c r="Y219" s="5"/>
      <c r="Z219" s="5"/>
    </row>
    <row r="220" ht="15.75" customHeight="1">
      <c r="A220" s="46" t="str">
        <f>archetype_prototypes!A220</f>
        <v>11</v>
      </c>
      <c r="B220" s="14" t="str">
        <f>archetype_prototypes!B220</f>
        <v>Loyal Ritualist</v>
      </c>
      <c r="C220" s="14" t="str">
        <f>archetype_prototypes!C220</f>
        <v>DIM_RISK_PREF</v>
      </c>
      <c r="D220" s="47">
        <f>archetype_prototypes!E220</f>
        <v>0.15</v>
      </c>
      <c r="E220" s="47">
        <f t="shared" si="1"/>
        <v>0.15</v>
      </c>
      <c r="F220" s="47">
        <f t="shared" si="2"/>
        <v>0.6275</v>
      </c>
      <c r="G220" s="47">
        <f t="shared" si="3"/>
        <v>1</v>
      </c>
      <c r="H220" s="48">
        <f t="array" ref="H220">INDEX(dimensions!$E$2:$E$22,MATCH(C220,dimensions!$A$2:$A$22,0))</f>
        <v>1.6</v>
      </c>
      <c r="I220" s="47">
        <f t="shared" si="4"/>
        <v>0.24</v>
      </c>
      <c r="J220" s="47">
        <f t="shared" si="5"/>
        <v>1.004</v>
      </c>
      <c r="K220" s="47">
        <f t="shared" si="6"/>
        <v>1.6</v>
      </c>
      <c r="L220" s="5"/>
      <c r="M220" s="5"/>
      <c r="N220" s="5"/>
      <c r="O220" s="5"/>
      <c r="P220" s="5"/>
      <c r="Q220" s="5"/>
      <c r="R220" s="5"/>
      <c r="S220" s="5"/>
      <c r="T220" s="5"/>
      <c r="U220" s="5"/>
      <c r="V220" s="5"/>
      <c r="W220" s="5"/>
      <c r="X220" s="5"/>
      <c r="Y220" s="5"/>
      <c r="Z220" s="5"/>
    </row>
    <row r="221" ht="15.75" customHeight="1">
      <c r="A221" s="46" t="str">
        <f>archetype_prototypes!A221</f>
        <v>11</v>
      </c>
      <c r="B221" s="14" t="str">
        <f>archetype_prototypes!B221</f>
        <v>Loyal Ritualist</v>
      </c>
      <c r="C221" s="14" t="str">
        <f>archetype_prototypes!C221</f>
        <v>DIM_FEEDBACK_DEP</v>
      </c>
      <c r="D221" s="47">
        <f>archetype_prototypes!E221</f>
        <v>0.3</v>
      </c>
      <c r="E221" s="47">
        <f t="shared" si="1"/>
        <v>0.3</v>
      </c>
      <c r="F221" s="47">
        <f t="shared" si="2"/>
        <v>0.71</v>
      </c>
      <c r="G221" s="47">
        <f t="shared" si="3"/>
        <v>1</v>
      </c>
      <c r="H221" s="48">
        <f t="array" ref="H221">INDEX(dimensions!$E$2:$E$22,MATCH(C221,dimensions!$A$2:$A$22,0))</f>
        <v>2</v>
      </c>
      <c r="I221" s="47">
        <f t="shared" si="4"/>
        <v>0.6</v>
      </c>
      <c r="J221" s="47">
        <f t="shared" si="5"/>
        <v>1.42</v>
      </c>
      <c r="K221" s="47">
        <f t="shared" si="6"/>
        <v>2</v>
      </c>
      <c r="L221" s="5"/>
      <c r="M221" s="5"/>
      <c r="N221" s="5"/>
      <c r="O221" s="5"/>
      <c r="P221" s="5"/>
      <c r="Q221" s="5"/>
      <c r="R221" s="5"/>
      <c r="S221" s="5"/>
      <c r="T221" s="5"/>
      <c r="U221" s="5"/>
      <c r="V221" s="5"/>
      <c r="W221" s="5"/>
      <c r="X221" s="5"/>
      <c r="Y221" s="5"/>
      <c r="Z221" s="5"/>
    </row>
    <row r="222" ht="15.75" customHeight="1">
      <c r="A222" s="46" t="str">
        <f>archetype_prototypes!A222</f>
        <v>11</v>
      </c>
      <c r="B222" s="14" t="str">
        <f>archetype_prototypes!B222</f>
        <v>Loyal Ritualist</v>
      </c>
      <c r="C222" s="14" t="str">
        <f>archetype_prototypes!C222</f>
        <v>DIM_TURNON_EXPRESS</v>
      </c>
      <c r="D222" s="47">
        <f>archetype_prototypes!E222</f>
        <v>0.45</v>
      </c>
      <c r="E222" s="47">
        <f t="shared" si="1"/>
        <v>0.45</v>
      </c>
      <c r="F222" s="47">
        <f t="shared" si="2"/>
        <v>0.7475</v>
      </c>
      <c r="G222" s="47">
        <f t="shared" si="3"/>
        <v>1</v>
      </c>
      <c r="H222" s="48">
        <f t="array" ref="H222">INDEX(dimensions!$E$2:$E$22,MATCH(C222,dimensions!$A$2:$A$22,0))</f>
        <v>1.3</v>
      </c>
      <c r="I222" s="47">
        <f t="shared" si="4"/>
        <v>0.585</v>
      </c>
      <c r="J222" s="47">
        <f t="shared" si="5"/>
        <v>0.97175</v>
      </c>
      <c r="K222" s="47">
        <f t="shared" si="6"/>
        <v>1.3</v>
      </c>
      <c r="L222" s="5"/>
      <c r="M222" s="5"/>
      <c r="N222" s="5"/>
      <c r="O222" s="5"/>
      <c r="P222" s="5"/>
      <c r="Q222" s="5"/>
      <c r="R222" s="5"/>
      <c r="S222" s="5"/>
      <c r="T222" s="5"/>
      <c r="U222" s="5"/>
      <c r="V222" s="5"/>
      <c r="W222" s="5"/>
      <c r="X222" s="5"/>
      <c r="Y222" s="5"/>
      <c r="Z222" s="5"/>
    </row>
    <row r="223" ht="15.75" customHeight="1">
      <c r="A223" s="46" t="str">
        <f>archetype_prototypes!A223</f>
        <v>11</v>
      </c>
      <c r="B223" s="14" t="str">
        <f>archetype_prototypes!B223</f>
        <v>Loyal Ritualist</v>
      </c>
      <c r="C223" s="14" t="str">
        <f>archetype_prototypes!C223</f>
        <v>DIM_BOUNDARY_EXPRESS</v>
      </c>
      <c r="D223" s="47">
        <f>archetype_prototypes!E223</f>
        <v>0.55</v>
      </c>
      <c r="E223" s="47">
        <f t="shared" si="1"/>
        <v>0.45</v>
      </c>
      <c r="F223" s="47">
        <f t="shared" si="2"/>
        <v>0.7475</v>
      </c>
      <c r="G223" s="47">
        <f t="shared" si="3"/>
        <v>1</v>
      </c>
      <c r="H223" s="48">
        <f t="array" ref="H223">INDEX(dimensions!$E$2:$E$22,MATCH(C223,dimensions!$A$2:$A$22,0))</f>
        <v>1.3</v>
      </c>
      <c r="I223" s="47">
        <f t="shared" si="4"/>
        <v>0.585</v>
      </c>
      <c r="J223" s="47">
        <f t="shared" si="5"/>
        <v>0.97175</v>
      </c>
      <c r="K223" s="47">
        <f t="shared" si="6"/>
        <v>1.3</v>
      </c>
      <c r="L223" s="5"/>
      <c r="M223" s="5"/>
      <c r="N223" s="5"/>
      <c r="O223" s="5"/>
      <c r="P223" s="5"/>
      <c r="Q223" s="5"/>
      <c r="R223" s="5"/>
      <c r="S223" s="5"/>
      <c r="T223" s="5"/>
      <c r="U223" s="5"/>
      <c r="V223" s="5"/>
      <c r="W223" s="5"/>
      <c r="X223" s="5"/>
      <c r="Y223" s="5"/>
      <c r="Z223" s="5"/>
    </row>
    <row r="224" ht="15.75" customHeight="1">
      <c r="A224" s="46" t="str">
        <f>archetype_prototypes!A224</f>
        <v>11</v>
      </c>
      <c r="B224" s="14" t="str">
        <f>archetype_prototypes!B224</f>
        <v>Loyal Ritualist</v>
      </c>
      <c r="C224" s="14" t="str">
        <f>archetype_prototypes!C224</f>
        <v>DIM_PROTOCOL</v>
      </c>
      <c r="D224" s="47">
        <f>archetype_prototypes!E224</f>
        <v>0.65</v>
      </c>
      <c r="E224" s="47">
        <f t="shared" si="1"/>
        <v>0.35</v>
      </c>
      <c r="F224" s="47">
        <f t="shared" si="2"/>
        <v>0.7275</v>
      </c>
      <c r="G224" s="47">
        <f t="shared" si="3"/>
        <v>1</v>
      </c>
      <c r="H224" s="48">
        <f t="array" ref="H224">INDEX(dimensions!$E$2:$E$22,MATCH(C224,dimensions!$A$2:$A$22,0))</f>
        <v>1.6</v>
      </c>
      <c r="I224" s="47">
        <f t="shared" si="4"/>
        <v>0.56</v>
      </c>
      <c r="J224" s="47">
        <f t="shared" si="5"/>
        <v>1.164</v>
      </c>
      <c r="K224" s="47">
        <f t="shared" si="6"/>
        <v>1.6</v>
      </c>
      <c r="L224" s="5"/>
      <c r="M224" s="5"/>
      <c r="N224" s="5"/>
      <c r="O224" s="5"/>
      <c r="P224" s="5"/>
      <c r="Q224" s="5"/>
      <c r="R224" s="5"/>
      <c r="S224" s="5"/>
      <c r="T224" s="5"/>
      <c r="U224" s="5"/>
      <c r="V224" s="5"/>
      <c r="W224" s="5"/>
      <c r="X224" s="5"/>
      <c r="Y224" s="5"/>
      <c r="Z224" s="5"/>
    </row>
    <row r="225" ht="15.75" customHeight="1">
      <c r="A225" s="46" t="str">
        <f>archetype_prototypes!A225</f>
        <v>11</v>
      </c>
      <c r="B225" s="14" t="str">
        <f>archetype_prototypes!B225</f>
        <v>Loyal Ritualist</v>
      </c>
      <c r="C225" s="14" t="str">
        <f>archetype_prototypes!C225</f>
        <v>DIM_SOOTHING</v>
      </c>
      <c r="D225" s="47">
        <f>archetype_prototypes!E225</f>
        <v>0.2</v>
      </c>
      <c r="E225" s="47">
        <f t="shared" si="1"/>
        <v>0.2</v>
      </c>
      <c r="F225" s="47">
        <f t="shared" si="2"/>
        <v>0.66</v>
      </c>
      <c r="G225" s="47">
        <f t="shared" si="3"/>
        <v>1</v>
      </c>
      <c r="H225" s="48">
        <f t="array" ref="H225">INDEX(dimensions!$E$2:$E$22,MATCH(C225,dimensions!$A$2:$A$22,0))</f>
        <v>1.9</v>
      </c>
      <c r="I225" s="47">
        <f t="shared" si="4"/>
        <v>0.38</v>
      </c>
      <c r="J225" s="47">
        <f t="shared" si="5"/>
        <v>1.254</v>
      </c>
      <c r="K225" s="47">
        <f t="shared" si="6"/>
        <v>1.9</v>
      </c>
      <c r="L225" s="5"/>
      <c r="M225" s="5"/>
      <c r="N225" s="5"/>
      <c r="O225" s="5"/>
      <c r="P225" s="5"/>
      <c r="Q225" s="5"/>
      <c r="R225" s="5"/>
      <c r="S225" s="5"/>
      <c r="T225" s="5"/>
      <c r="U225" s="5"/>
      <c r="V225" s="5"/>
      <c r="W225" s="5"/>
      <c r="X225" s="5"/>
      <c r="Y225" s="5"/>
      <c r="Z225" s="5"/>
    </row>
    <row r="226" ht="15.75" customHeight="1">
      <c r="A226" s="46" t="str">
        <f>archetype_prototypes!A226</f>
        <v>11</v>
      </c>
      <c r="B226" s="14" t="str">
        <f>archetype_prototypes!B226</f>
        <v>Loyal Ritualist</v>
      </c>
      <c r="C226" s="14" t="str">
        <f>archetype_prototypes!C226</f>
        <v>DIM_SECURE</v>
      </c>
      <c r="D226" s="47">
        <f>archetype_prototypes!E226</f>
        <v>0.75</v>
      </c>
      <c r="E226" s="47">
        <f t="shared" si="1"/>
        <v>0.25</v>
      </c>
      <c r="F226" s="47">
        <f t="shared" si="2"/>
        <v>0.6875</v>
      </c>
      <c r="G226" s="47">
        <f t="shared" si="3"/>
        <v>1</v>
      </c>
      <c r="H226" s="48">
        <f t="array" ref="H226">INDEX(dimensions!$E$2:$E$22,MATCH(C226,dimensions!$A$2:$A$22,0))</f>
        <v>1</v>
      </c>
      <c r="I226" s="47">
        <f t="shared" si="4"/>
        <v>0.25</v>
      </c>
      <c r="J226" s="47">
        <f t="shared" si="5"/>
        <v>0.6875</v>
      </c>
      <c r="K226" s="47">
        <f t="shared" si="6"/>
        <v>1</v>
      </c>
      <c r="L226" s="5"/>
      <c r="M226" s="5"/>
      <c r="N226" s="5"/>
      <c r="O226" s="5"/>
      <c r="P226" s="5"/>
      <c r="Q226" s="5"/>
      <c r="R226" s="5"/>
      <c r="S226" s="5"/>
      <c r="T226" s="5"/>
      <c r="U226" s="5"/>
      <c r="V226" s="5"/>
      <c r="W226" s="5"/>
      <c r="X226" s="5"/>
      <c r="Y226" s="5"/>
      <c r="Z226" s="5"/>
    </row>
    <row r="227" ht="15.75" customHeight="1">
      <c r="A227" s="46" t="str">
        <f>archetype_prototypes!A227</f>
        <v>11</v>
      </c>
      <c r="B227" s="14" t="str">
        <f>archetype_prototypes!B227</f>
        <v>Loyal Ritualist</v>
      </c>
      <c r="C227" s="14" t="str">
        <f>archetype_prototypes!C227</f>
        <v>DIM_REPAIR_EROTICISM</v>
      </c>
      <c r="D227" s="47">
        <f>archetype_prototypes!E227</f>
        <v>0.35</v>
      </c>
      <c r="E227" s="47">
        <f t="shared" si="1"/>
        <v>0.35</v>
      </c>
      <c r="F227" s="47">
        <f t="shared" si="2"/>
        <v>0.7275</v>
      </c>
      <c r="G227" s="47">
        <f t="shared" si="3"/>
        <v>1</v>
      </c>
      <c r="H227" s="48">
        <f t="array" ref="H227">INDEX(dimensions!$E$2:$E$22,MATCH(C227,dimensions!$A$2:$A$22,0))</f>
        <v>1.6</v>
      </c>
      <c r="I227" s="47">
        <f t="shared" si="4"/>
        <v>0.56</v>
      </c>
      <c r="J227" s="47">
        <f t="shared" si="5"/>
        <v>1.164</v>
      </c>
      <c r="K227" s="47">
        <f t="shared" si="6"/>
        <v>1.6</v>
      </c>
      <c r="L227" s="5"/>
      <c r="M227" s="5"/>
      <c r="N227" s="5"/>
      <c r="O227" s="5"/>
      <c r="P227" s="5"/>
      <c r="Q227" s="5"/>
      <c r="R227" s="5"/>
      <c r="S227" s="5"/>
      <c r="T227" s="5"/>
      <c r="U227" s="5"/>
      <c r="V227" s="5"/>
      <c r="W227" s="5"/>
      <c r="X227" s="5"/>
      <c r="Y227" s="5"/>
      <c r="Z227" s="5"/>
    </row>
    <row r="228" ht="15.75" customHeight="1">
      <c r="A228" s="46" t="str">
        <f>archetype_prototypes!A228</f>
        <v>11</v>
      </c>
      <c r="B228" s="14" t="str">
        <f>archetype_prototypes!B228</f>
        <v>Loyal Ritualist</v>
      </c>
      <c r="C228" s="14" t="str">
        <f>archetype_prototypes!C228</f>
        <v>DIM_PRESSURE_SHUTDOWN</v>
      </c>
      <c r="D228" s="47">
        <f>archetype_prototypes!E228</f>
        <v>0.2</v>
      </c>
      <c r="E228" s="47">
        <f t="shared" si="1"/>
        <v>0.2</v>
      </c>
      <c r="F228" s="47">
        <f t="shared" si="2"/>
        <v>0.66</v>
      </c>
      <c r="G228" s="47">
        <f t="shared" si="3"/>
        <v>1</v>
      </c>
      <c r="H228" s="48">
        <f t="array" ref="H228">INDEX(dimensions!$E$2:$E$22,MATCH(C228,dimensions!$A$2:$A$22,0))</f>
        <v>2</v>
      </c>
      <c r="I228" s="47">
        <f t="shared" si="4"/>
        <v>0.4</v>
      </c>
      <c r="J228" s="47">
        <f t="shared" si="5"/>
        <v>1.32</v>
      </c>
      <c r="K228" s="47">
        <f t="shared" si="6"/>
        <v>2</v>
      </c>
      <c r="L228" s="5"/>
      <c r="M228" s="5"/>
      <c r="N228" s="5"/>
      <c r="O228" s="5"/>
      <c r="P228" s="5"/>
      <c r="Q228" s="5"/>
      <c r="R228" s="5"/>
      <c r="S228" s="5"/>
      <c r="T228" s="5"/>
      <c r="U228" s="5"/>
      <c r="V228" s="5"/>
      <c r="W228" s="5"/>
      <c r="X228" s="5"/>
      <c r="Y228" s="5"/>
      <c r="Z228" s="5"/>
    </row>
    <row r="229" ht="15.75" customHeight="1">
      <c r="A229" s="46" t="str">
        <f>archetype_prototypes!A229</f>
        <v>11</v>
      </c>
      <c r="B229" s="14" t="str">
        <f>archetype_prototypes!B229</f>
        <v>Loyal Ritualist</v>
      </c>
      <c r="C229" s="14" t="str">
        <f>archetype_prototypes!C229</f>
        <v>DIM_AVOIDANT</v>
      </c>
      <c r="D229" s="47">
        <f>archetype_prototypes!E229</f>
        <v>0.25</v>
      </c>
      <c r="E229" s="47">
        <f t="shared" si="1"/>
        <v>0.25</v>
      </c>
      <c r="F229" s="47">
        <f t="shared" si="2"/>
        <v>0.6875</v>
      </c>
      <c r="G229" s="47">
        <f t="shared" si="3"/>
        <v>1</v>
      </c>
      <c r="H229" s="48">
        <f t="array" ref="H229">INDEX(dimensions!$E$2:$E$22,MATCH(C229,dimensions!$A$2:$A$22,0))</f>
        <v>1.3</v>
      </c>
      <c r="I229" s="47">
        <f t="shared" si="4"/>
        <v>0.325</v>
      </c>
      <c r="J229" s="47">
        <f t="shared" si="5"/>
        <v>0.89375</v>
      </c>
      <c r="K229" s="47">
        <f t="shared" si="6"/>
        <v>1.3</v>
      </c>
      <c r="L229" s="5"/>
      <c r="M229" s="5"/>
      <c r="N229" s="5"/>
      <c r="O229" s="5"/>
      <c r="P229" s="5"/>
      <c r="Q229" s="5"/>
      <c r="R229" s="5"/>
      <c r="S229" s="5"/>
      <c r="T229" s="5"/>
      <c r="U229" s="5"/>
      <c r="V229" s="5"/>
      <c r="W229" s="5"/>
      <c r="X229" s="5"/>
      <c r="Y229" s="5"/>
      <c r="Z229" s="5"/>
    </row>
    <row r="230" ht="15.75" customHeight="1">
      <c r="A230" s="46" t="str">
        <f>archetype_prototypes!A230</f>
        <v>11</v>
      </c>
      <c r="B230" s="14" t="str">
        <f>archetype_prototypes!B230</f>
        <v>Loyal Ritualist</v>
      </c>
      <c r="C230" s="14" t="str">
        <f>archetype_prototypes!C230</f>
        <v>DIM_STRATEGY</v>
      </c>
      <c r="D230" s="47">
        <f>archetype_prototypes!E230</f>
        <v>0.05</v>
      </c>
      <c r="E230" s="47">
        <f t="shared" si="1"/>
        <v>0.05</v>
      </c>
      <c r="F230" s="47">
        <f t="shared" si="2"/>
        <v>0.5475</v>
      </c>
      <c r="G230" s="47">
        <f t="shared" si="3"/>
        <v>1</v>
      </c>
      <c r="H230" s="48">
        <f t="array" ref="H230">INDEX(dimensions!$E$2:$E$22,MATCH(C230,dimensions!$A$2:$A$22,0))</f>
        <v>1.2</v>
      </c>
      <c r="I230" s="47">
        <f t="shared" si="4"/>
        <v>0.06</v>
      </c>
      <c r="J230" s="47">
        <f t="shared" si="5"/>
        <v>0.657</v>
      </c>
      <c r="K230" s="47">
        <f t="shared" si="6"/>
        <v>1.2</v>
      </c>
      <c r="L230" s="5"/>
      <c r="M230" s="5"/>
      <c r="N230" s="5"/>
      <c r="O230" s="5"/>
      <c r="P230" s="5"/>
      <c r="Q230" s="5"/>
      <c r="R230" s="5"/>
      <c r="S230" s="5"/>
      <c r="T230" s="5"/>
      <c r="U230" s="5"/>
      <c r="V230" s="5"/>
      <c r="W230" s="5"/>
      <c r="X230" s="5"/>
      <c r="Y230" s="5"/>
      <c r="Z230" s="5"/>
    </row>
    <row r="231" ht="15.75" customHeight="1">
      <c r="A231" s="46" t="str">
        <f>archetype_prototypes!A231</f>
        <v>11</v>
      </c>
      <c r="B231" s="14" t="str">
        <f>archetype_prototypes!B231</f>
        <v>Loyal Ritualist</v>
      </c>
      <c r="C231" s="14" t="str">
        <f>archetype_prototypes!C231</f>
        <v>DIM_CLOSENESS_ORIENTATION</v>
      </c>
      <c r="D231" s="47">
        <f>archetype_prototypes!E231</f>
        <v>0.6</v>
      </c>
      <c r="E231" s="47">
        <f t="shared" si="1"/>
        <v>0.4</v>
      </c>
      <c r="F231" s="47">
        <f t="shared" si="2"/>
        <v>0.74</v>
      </c>
      <c r="G231" s="47">
        <f t="shared" si="3"/>
        <v>1</v>
      </c>
      <c r="H231" s="48">
        <f t="array" ref="H231">INDEX(dimensions!$E$2:$E$22,MATCH(C231,dimensions!$A$2:$A$22,0))</f>
        <v>1</v>
      </c>
      <c r="I231" s="47">
        <f t="shared" si="4"/>
        <v>0.4</v>
      </c>
      <c r="J231" s="47">
        <f t="shared" si="5"/>
        <v>0.74</v>
      </c>
      <c r="K231" s="47">
        <f t="shared" si="6"/>
        <v>1</v>
      </c>
      <c r="L231" s="5"/>
      <c r="M231" s="5"/>
      <c r="N231" s="5"/>
      <c r="O231" s="5"/>
      <c r="P231" s="5"/>
      <c r="Q231" s="5"/>
      <c r="R231" s="5"/>
      <c r="S231" s="5"/>
      <c r="T231" s="5"/>
      <c r="U231" s="5"/>
      <c r="V231" s="5"/>
      <c r="W231" s="5"/>
      <c r="X231" s="5"/>
      <c r="Y231" s="5"/>
      <c r="Z231" s="5"/>
    </row>
    <row r="232" ht="15.75" customHeight="1">
      <c r="A232" s="46" t="str">
        <f>archetype_prototypes!A232</f>
        <v>11</v>
      </c>
      <c r="B232" s="14" t="str">
        <f>archetype_prototypes!B232</f>
        <v>Loyal Ritualist</v>
      </c>
      <c r="C232" s="14" t="str">
        <f>archetype_prototypes!C232</f>
        <v>DIM_PARTNER_FOCUS</v>
      </c>
      <c r="D232" s="47">
        <f>archetype_prototypes!E232</f>
        <v>0.55</v>
      </c>
      <c r="E232" s="47">
        <f t="shared" si="1"/>
        <v>0.45</v>
      </c>
      <c r="F232" s="47">
        <f t="shared" si="2"/>
        <v>0.7475</v>
      </c>
      <c r="G232" s="47">
        <f t="shared" si="3"/>
        <v>1</v>
      </c>
      <c r="H232" s="48">
        <f t="array" ref="H232">INDEX(dimensions!$E$2:$E$22,MATCH(C232,dimensions!$A$2:$A$22,0))</f>
        <v>1.2</v>
      </c>
      <c r="I232" s="47">
        <f t="shared" si="4"/>
        <v>0.54</v>
      </c>
      <c r="J232" s="47">
        <f t="shared" si="5"/>
        <v>0.897</v>
      </c>
      <c r="K232" s="47">
        <f t="shared" si="6"/>
        <v>1.2</v>
      </c>
      <c r="L232" s="5"/>
      <c r="M232" s="5"/>
      <c r="N232" s="5"/>
      <c r="O232" s="5"/>
      <c r="P232" s="5"/>
      <c r="Q232" s="5"/>
      <c r="R232" s="5"/>
      <c r="S232" s="5"/>
      <c r="T232" s="5"/>
      <c r="U232" s="5"/>
      <c r="V232" s="5"/>
      <c r="W232" s="5"/>
      <c r="X232" s="5"/>
      <c r="Y232" s="5"/>
      <c r="Z232" s="5"/>
    </row>
    <row r="233" ht="15.75" customHeight="1">
      <c r="A233" s="46" t="str">
        <f>archetype_prototypes!A233</f>
        <v>12</v>
      </c>
      <c r="B233" s="14" t="str">
        <f>archetype_prototypes!B233</f>
        <v>Tender Devotee</v>
      </c>
      <c r="C233" s="14" t="str">
        <f>archetype_prototypes!C233</f>
        <v>DIM_NOVELTY</v>
      </c>
      <c r="D233" s="47">
        <f>archetype_prototypes!E233</f>
        <v>0.25</v>
      </c>
      <c r="E233" s="47">
        <f t="shared" si="1"/>
        <v>0.25</v>
      </c>
      <c r="F233" s="47">
        <f t="shared" si="2"/>
        <v>0.6875</v>
      </c>
      <c r="G233" s="47">
        <f t="shared" si="3"/>
        <v>1</v>
      </c>
      <c r="H233" s="48">
        <f t="array" ref="H233">INDEX(dimensions!$E$2:$E$22,MATCH(C233,dimensions!$A$2:$A$22,0))</f>
        <v>1.4</v>
      </c>
      <c r="I233" s="47">
        <f t="shared" si="4"/>
        <v>0.35</v>
      </c>
      <c r="J233" s="47">
        <f t="shared" si="5"/>
        <v>0.9625</v>
      </c>
      <c r="K233" s="47">
        <f t="shared" si="6"/>
        <v>1.4</v>
      </c>
      <c r="L233" s="5"/>
      <c r="M233" s="5"/>
      <c r="N233" s="5"/>
      <c r="O233" s="5"/>
      <c r="P233" s="5"/>
      <c r="Q233" s="5"/>
      <c r="R233" s="5"/>
      <c r="S233" s="5"/>
      <c r="T233" s="5"/>
      <c r="U233" s="5"/>
      <c r="V233" s="5"/>
      <c r="W233" s="5"/>
      <c r="X233" s="5"/>
      <c r="Y233" s="5"/>
      <c r="Z233" s="5"/>
    </row>
    <row r="234" ht="15.75" customHeight="1">
      <c r="A234" s="46" t="str">
        <f>archetype_prototypes!A234</f>
        <v>12</v>
      </c>
      <c r="B234" s="14" t="str">
        <f>archetype_prototypes!B234</f>
        <v>Tender Devotee</v>
      </c>
      <c r="C234" s="14" t="str">
        <f>archetype_prototypes!C234</f>
        <v>DIM_RESPONSIVE</v>
      </c>
      <c r="D234" s="47">
        <f>archetype_prototypes!E234</f>
        <v>0.75</v>
      </c>
      <c r="E234" s="47">
        <f t="shared" si="1"/>
        <v>0.25</v>
      </c>
      <c r="F234" s="47">
        <f t="shared" si="2"/>
        <v>0.6875</v>
      </c>
      <c r="G234" s="47">
        <f t="shared" si="3"/>
        <v>1</v>
      </c>
      <c r="H234" s="48">
        <f t="array" ref="H234">INDEX(dimensions!$E$2:$E$22,MATCH(C234,dimensions!$A$2:$A$22,0))</f>
        <v>1.6</v>
      </c>
      <c r="I234" s="47">
        <f t="shared" si="4"/>
        <v>0.4</v>
      </c>
      <c r="J234" s="47">
        <f t="shared" si="5"/>
        <v>1.1</v>
      </c>
      <c r="K234" s="47">
        <f t="shared" si="6"/>
        <v>1.6</v>
      </c>
      <c r="L234" s="5"/>
      <c r="M234" s="5"/>
      <c r="N234" s="5"/>
      <c r="O234" s="5"/>
      <c r="P234" s="5"/>
      <c r="Q234" s="5"/>
      <c r="R234" s="5"/>
      <c r="S234" s="5"/>
      <c r="T234" s="5"/>
      <c r="U234" s="5"/>
      <c r="V234" s="5"/>
      <c r="W234" s="5"/>
      <c r="X234" s="5"/>
      <c r="Y234" s="5"/>
      <c r="Z234" s="5"/>
    </row>
    <row r="235" ht="15.75" customHeight="1">
      <c r="A235" s="46" t="str">
        <f>archetype_prototypes!A235</f>
        <v>12</v>
      </c>
      <c r="B235" s="14" t="str">
        <f>archetype_prototypes!B235</f>
        <v>Tender Devotee</v>
      </c>
      <c r="C235" s="14" t="str">
        <f>archetype_prototypes!C235</f>
        <v>DIM_PLANNED</v>
      </c>
      <c r="D235" s="47">
        <f>archetype_prototypes!E235</f>
        <v>0.4</v>
      </c>
      <c r="E235" s="47">
        <f t="shared" si="1"/>
        <v>0.4</v>
      </c>
      <c r="F235" s="47">
        <f t="shared" si="2"/>
        <v>0.74</v>
      </c>
      <c r="G235" s="47">
        <f t="shared" si="3"/>
        <v>1</v>
      </c>
      <c r="H235" s="48">
        <f t="array" ref="H235">INDEX(dimensions!$E$2:$E$22,MATCH(C235,dimensions!$A$2:$A$22,0))</f>
        <v>1.3</v>
      </c>
      <c r="I235" s="47">
        <f t="shared" si="4"/>
        <v>0.52</v>
      </c>
      <c r="J235" s="47">
        <f t="shared" si="5"/>
        <v>0.962</v>
      </c>
      <c r="K235" s="47">
        <f t="shared" si="6"/>
        <v>1.3</v>
      </c>
      <c r="L235" s="5"/>
      <c r="M235" s="5"/>
      <c r="N235" s="5"/>
      <c r="O235" s="5"/>
      <c r="P235" s="5"/>
      <c r="Q235" s="5"/>
      <c r="R235" s="5"/>
      <c r="S235" s="5"/>
      <c r="T235" s="5"/>
      <c r="U235" s="5"/>
      <c r="V235" s="5"/>
      <c r="W235" s="5"/>
      <c r="X235" s="5"/>
      <c r="Y235" s="5"/>
      <c r="Z235" s="5"/>
    </row>
    <row r="236" ht="15.75" customHeight="1">
      <c r="A236" s="46" t="str">
        <f>archetype_prototypes!A236</f>
        <v>12</v>
      </c>
      <c r="B236" s="14" t="str">
        <f>archetype_prototypes!B236</f>
        <v>Tender Devotee</v>
      </c>
      <c r="C236" s="14" t="str">
        <f>archetype_prototypes!C236</f>
        <v>DIM_EMO_CONNECTION</v>
      </c>
      <c r="D236" s="47">
        <f>archetype_prototypes!E236</f>
        <v>0.7</v>
      </c>
      <c r="E236" s="47">
        <f t="shared" si="1"/>
        <v>0.3</v>
      </c>
      <c r="F236" s="47">
        <f t="shared" si="2"/>
        <v>0.71</v>
      </c>
      <c r="G236" s="47">
        <f t="shared" si="3"/>
        <v>1</v>
      </c>
      <c r="H236" s="48">
        <f t="array" ref="H236">INDEX(dimensions!$E$2:$E$22,MATCH(C236,dimensions!$A$2:$A$22,0))</f>
        <v>1.4</v>
      </c>
      <c r="I236" s="47">
        <f t="shared" si="4"/>
        <v>0.42</v>
      </c>
      <c r="J236" s="47">
        <f t="shared" si="5"/>
        <v>0.994</v>
      </c>
      <c r="K236" s="47">
        <f t="shared" si="6"/>
        <v>1.4</v>
      </c>
      <c r="L236" s="5"/>
      <c r="M236" s="5"/>
      <c r="N236" s="5"/>
      <c r="O236" s="5"/>
      <c r="P236" s="5"/>
      <c r="Q236" s="5"/>
      <c r="R236" s="5"/>
      <c r="S236" s="5"/>
      <c r="T236" s="5"/>
      <c r="U236" s="5"/>
      <c r="V236" s="5"/>
      <c r="W236" s="5"/>
      <c r="X236" s="5"/>
      <c r="Y236" s="5"/>
      <c r="Z236" s="5"/>
    </row>
    <row r="237" ht="15.75" customHeight="1">
      <c r="A237" s="46" t="str">
        <f>archetype_prototypes!A237</f>
        <v>12</v>
      </c>
      <c r="B237" s="14" t="str">
        <f>archetype_prototypes!B237</f>
        <v>Tender Devotee</v>
      </c>
      <c r="C237" s="14" t="str">
        <f>archetype_prototypes!C237</f>
        <v>DIM_INTENSITY</v>
      </c>
      <c r="D237" s="47">
        <f>archetype_prototypes!E237</f>
        <v>0.3</v>
      </c>
      <c r="E237" s="47">
        <f t="shared" si="1"/>
        <v>0.3</v>
      </c>
      <c r="F237" s="47">
        <f t="shared" si="2"/>
        <v>0.71</v>
      </c>
      <c r="G237" s="47">
        <f t="shared" si="3"/>
        <v>1</v>
      </c>
      <c r="H237" s="48">
        <f t="array" ref="H237">INDEX(dimensions!$E$2:$E$22,MATCH(C237,dimensions!$A$2:$A$22,0))</f>
        <v>1.4</v>
      </c>
      <c r="I237" s="47">
        <f t="shared" si="4"/>
        <v>0.42</v>
      </c>
      <c r="J237" s="47">
        <f t="shared" si="5"/>
        <v>0.994</v>
      </c>
      <c r="K237" s="47">
        <f t="shared" si="6"/>
        <v>1.4</v>
      </c>
      <c r="L237" s="5"/>
      <c r="M237" s="5"/>
      <c r="N237" s="5"/>
      <c r="O237" s="5"/>
      <c r="P237" s="5"/>
      <c r="Q237" s="5"/>
      <c r="R237" s="5"/>
      <c r="S237" s="5"/>
      <c r="T237" s="5"/>
      <c r="U237" s="5"/>
      <c r="V237" s="5"/>
      <c r="W237" s="5"/>
      <c r="X237" s="5"/>
      <c r="Y237" s="5"/>
      <c r="Z237" s="5"/>
    </row>
    <row r="238" ht="15.75" customHeight="1">
      <c r="A238" s="46" t="str">
        <f>archetype_prototypes!A238</f>
        <v>12</v>
      </c>
      <c r="B238" s="14" t="str">
        <f>archetype_prototypes!B238</f>
        <v>Tender Devotee</v>
      </c>
      <c r="C238" s="14" t="str">
        <f>archetype_prototypes!C238</f>
        <v>DIM_PURSUIT</v>
      </c>
      <c r="D238" s="47">
        <f>archetype_prototypes!E238</f>
        <v>0.25</v>
      </c>
      <c r="E238" s="47">
        <f t="shared" si="1"/>
        <v>0.25</v>
      </c>
      <c r="F238" s="47">
        <f t="shared" si="2"/>
        <v>0.6875</v>
      </c>
      <c r="G238" s="47">
        <f t="shared" si="3"/>
        <v>1</v>
      </c>
      <c r="H238" s="48">
        <f t="array" ref="H238">INDEX(dimensions!$E$2:$E$22,MATCH(C238,dimensions!$A$2:$A$22,0))</f>
        <v>1.4</v>
      </c>
      <c r="I238" s="47">
        <f t="shared" si="4"/>
        <v>0.35</v>
      </c>
      <c r="J238" s="47">
        <f t="shared" si="5"/>
        <v>0.9625</v>
      </c>
      <c r="K238" s="47">
        <f t="shared" si="6"/>
        <v>1.4</v>
      </c>
      <c r="L238" s="5"/>
      <c r="M238" s="5"/>
      <c r="N238" s="5"/>
      <c r="O238" s="5"/>
      <c r="P238" s="5"/>
      <c r="Q238" s="5"/>
      <c r="R238" s="5"/>
      <c r="S238" s="5"/>
      <c r="T238" s="5"/>
      <c r="U238" s="5"/>
      <c r="V238" s="5"/>
      <c r="W238" s="5"/>
      <c r="X238" s="5"/>
      <c r="Y238" s="5"/>
      <c r="Z238" s="5"/>
    </row>
    <row r="239" ht="15.75" customHeight="1">
      <c r="A239" s="46" t="str">
        <f>archetype_prototypes!A239</f>
        <v>12</v>
      </c>
      <c r="B239" s="14" t="str">
        <f>archetype_prototypes!B239</f>
        <v>Tender Devotee</v>
      </c>
      <c r="C239" s="14" t="str">
        <f>archetype_prototypes!C239</f>
        <v>DIM_EDGE_NEED</v>
      </c>
      <c r="D239" s="47">
        <f>archetype_prototypes!E239</f>
        <v>0.2</v>
      </c>
      <c r="E239" s="47">
        <f t="shared" si="1"/>
        <v>0.2</v>
      </c>
      <c r="F239" s="47">
        <f t="shared" si="2"/>
        <v>0.66</v>
      </c>
      <c r="G239" s="47">
        <f t="shared" si="3"/>
        <v>1</v>
      </c>
      <c r="H239" s="48">
        <f t="array" ref="H239">INDEX(dimensions!$E$2:$E$22,MATCH(C239,dimensions!$A$2:$A$22,0))</f>
        <v>1.8</v>
      </c>
      <c r="I239" s="47">
        <f t="shared" si="4"/>
        <v>0.36</v>
      </c>
      <c r="J239" s="47">
        <f t="shared" si="5"/>
        <v>1.188</v>
      </c>
      <c r="K239" s="47">
        <f t="shared" si="6"/>
        <v>1.8</v>
      </c>
      <c r="L239" s="5"/>
      <c r="M239" s="5"/>
      <c r="N239" s="5"/>
      <c r="O239" s="5"/>
      <c r="P239" s="5"/>
      <c r="Q239" s="5"/>
      <c r="R239" s="5"/>
      <c r="S239" s="5"/>
      <c r="T239" s="5"/>
      <c r="U239" s="5"/>
      <c r="V239" s="5"/>
      <c r="W239" s="5"/>
      <c r="X239" s="5"/>
      <c r="Y239" s="5"/>
      <c r="Z239" s="5"/>
    </row>
    <row r="240" ht="15.75" customHeight="1">
      <c r="A240" s="46" t="str">
        <f>archetype_prototypes!A240</f>
        <v>12</v>
      </c>
      <c r="B240" s="14" t="str">
        <f>archetype_prototypes!B240</f>
        <v>Tender Devotee</v>
      </c>
      <c r="C240" s="14" t="str">
        <f>archetype_prototypes!C240</f>
        <v>DIM_SACRED</v>
      </c>
      <c r="D240" s="47">
        <f>archetype_prototypes!E240</f>
        <v>0.25</v>
      </c>
      <c r="E240" s="47">
        <f t="shared" si="1"/>
        <v>0.25</v>
      </c>
      <c r="F240" s="47">
        <f t="shared" si="2"/>
        <v>0.6875</v>
      </c>
      <c r="G240" s="47">
        <f t="shared" si="3"/>
        <v>1</v>
      </c>
      <c r="H240" s="48">
        <f t="array" ref="H240">INDEX(dimensions!$E$2:$E$22,MATCH(C240,dimensions!$A$2:$A$22,0))</f>
        <v>2</v>
      </c>
      <c r="I240" s="47">
        <f t="shared" si="4"/>
        <v>0.5</v>
      </c>
      <c r="J240" s="47">
        <f t="shared" si="5"/>
        <v>1.375</v>
      </c>
      <c r="K240" s="47">
        <f t="shared" si="6"/>
        <v>2</v>
      </c>
      <c r="L240" s="5"/>
      <c r="M240" s="5"/>
      <c r="N240" s="5"/>
      <c r="O240" s="5"/>
      <c r="P240" s="5"/>
      <c r="Q240" s="5"/>
      <c r="R240" s="5"/>
      <c r="S240" s="5"/>
      <c r="T240" s="5"/>
      <c r="U240" s="5"/>
      <c r="V240" s="5"/>
      <c r="W240" s="5"/>
      <c r="X240" s="5"/>
      <c r="Y240" s="5"/>
      <c r="Z240" s="5"/>
    </row>
    <row r="241" ht="15.75" customHeight="1">
      <c r="A241" s="46" t="str">
        <f>archetype_prototypes!A241</f>
        <v>12</v>
      </c>
      <c r="B241" s="14" t="str">
        <f>archetype_prototypes!B241</f>
        <v>Tender Devotee</v>
      </c>
      <c r="C241" s="14" t="str">
        <f>archetype_prototypes!C241</f>
        <v>DIM_RISK_PREF</v>
      </c>
      <c r="D241" s="47">
        <f>archetype_prototypes!E241</f>
        <v>0.15</v>
      </c>
      <c r="E241" s="47">
        <f t="shared" si="1"/>
        <v>0.15</v>
      </c>
      <c r="F241" s="47">
        <f t="shared" si="2"/>
        <v>0.6275</v>
      </c>
      <c r="G241" s="47">
        <f t="shared" si="3"/>
        <v>1</v>
      </c>
      <c r="H241" s="48">
        <f t="array" ref="H241">INDEX(dimensions!$E$2:$E$22,MATCH(C241,dimensions!$A$2:$A$22,0))</f>
        <v>1.6</v>
      </c>
      <c r="I241" s="47">
        <f t="shared" si="4"/>
        <v>0.24</v>
      </c>
      <c r="J241" s="47">
        <f t="shared" si="5"/>
        <v>1.004</v>
      </c>
      <c r="K241" s="47">
        <f t="shared" si="6"/>
        <v>1.6</v>
      </c>
      <c r="L241" s="5"/>
      <c r="M241" s="5"/>
      <c r="N241" s="5"/>
      <c r="O241" s="5"/>
      <c r="P241" s="5"/>
      <c r="Q241" s="5"/>
      <c r="R241" s="5"/>
      <c r="S241" s="5"/>
      <c r="T241" s="5"/>
      <c r="U241" s="5"/>
      <c r="V241" s="5"/>
      <c r="W241" s="5"/>
      <c r="X241" s="5"/>
      <c r="Y241" s="5"/>
      <c r="Z241" s="5"/>
    </row>
    <row r="242" ht="15.75" customHeight="1">
      <c r="A242" s="46" t="str">
        <f>archetype_prototypes!A242</f>
        <v>12</v>
      </c>
      <c r="B242" s="14" t="str">
        <f>archetype_prototypes!B242</f>
        <v>Tender Devotee</v>
      </c>
      <c r="C242" s="14" t="str">
        <f>archetype_prototypes!C242</f>
        <v>DIM_FEEDBACK_DEP</v>
      </c>
      <c r="D242" s="47">
        <f>archetype_prototypes!E242</f>
        <v>0.85</v>
      </c>
      <c r="E242" s="47">
        <f t="shared" si="1"/>
        <v>0.15</v>
      </c>
      <c r="F242" s="47">
        <f t="shared" si="2"/>
        <v>0.6275</v>
      </c>
      <c r="G242" s="47">
        <f t="shared" si="3"/>
        <v>1</v>
      </c>
      <c r="H242" s="48">
        <f t="array" ref="H242">INDEX(dimensions!$E$2:$E$22,MATCH(C242,dimensions!$A$2:$A$22,0))</f>
        <v>2</v>
      </c>
      <c r="I242" s="47">
        <f t="shared" si="4"/>
        <v>0.3</v>
      </c>
      <c r="J242" s="47">
        <f t="shared" si="5"/>
        <v>1.255</v>
      </c>
      <c r="K242" s="47">
        <f t="shared" si="6"/>
        <v>2</v>
      </c>
      <c r="L242" s="5"/>
      <c r="M242" s="5"/>
      <c r="N242" s="5"/>
      <c r="O242" s="5"/>
      <c r="P242" s="5"/>
      <c r="Q242" s="5"/>
      <c r="R242" s="5"/>
      <c r="S242" s="5"/>
      <c r="T242" s="5"/>
      <c r="U242" s="5"/>
      <c r="V242" s="5"/>
      <c r="W242" s="5"/>
      <c r="X242" s="5"/>
      <c r="Y242" s="5"/>
      <c r="Z242" s="5"/>
    </row>
    <row r="243" ht="15.75" customHeight="1">
      <c r="A243" s="46" t="str">
        <f>archetype_prototypes!A243</f>
        <v>12</v>
      </c>
      <c r="B243" s="14" t="str">
        <f>archetype_prototypes!B243</f>
        <v>Tender Devotee</v>
      </c>
      <c r="C243" s="14" t="str">
        <f>archetype_prototypes!C243</f>
        <v>DIM_TURNON_EXPRESS</v>
      </c>
      <c r="D243" s="47">
        <f>archetype_prototypes!E243</f>
        <v>0.45</v>
      </c>
      <c r="E243" s="47">
        <f t="shared" si="1"/>
        <v>0.45</v>
      </c>
      <c r="F243" s="47">
        <f t="shared" si="2"/>
        <v>0.7475</v>
      </c>
      <c r="G243" s="47">
        <f t="shared" si="3"/>
        <v>1</v>
      </c>
      <c r="H243" s="48">
        <f t="array" ref="H243">INDEX(dimensions!$E$2:$E$22,MATCH(C243,dimensions!$A$2:$A$22,0))</f>
        <v>1.3</v>
      </c>
      <c r="I243" s="47">
        <f t="shared" si="4"/>
        <v>0.585</v>
      </c>
      <c r="J243" s="47">
        <f t="shared" si="5"/>
        <v>0.97175</v>
      </c>
      <c r="K243" s="47">
        <f t="shared" si="6"/>
        <v>1.3</v>
      </c>
      <c r="L243" s="5"/>
      <c r="M243" s="5"/>
      <c r="N243" s="5"/>
      <c r="O243" s="5"/>
      <c r="P243" s="5"/>
      <c r="Q243" s="5"/>
      <c r="R243" s="5"/>
      <c r="S243" s="5"/>
      <c r="T243" s="5"/>
      <c r="U243" s="5"/>
      <c r="V243" s="5"/>
      <c r="W243" s="5"/>
      <c r="X243" s="5"/>
      <c r="Y243" s="5"/>
      <c r="Z243" s="5"/>
    </row>
    <row r="244" ht="15.75" customHeight="1">
      <c r="A244" s="46" t="str">
        <f>archetype_prototypes!A244</f>
        <v>12</v>
      </c>
      <c r="B244" s="14" t="str">
        <f>archetype_prototypes!B244</f>
        <v>Tender Devotee</v>
      </c>
      <c r="C244" s="14" t="str">
        <f>archetype_prototypes!C244</f>
        <v>DIM_BOUNDARY_EXPRESS</v>
      </c>
      <c r="D244" s="47">
        <f>archetype_prototypes!E244</f>
        <v>0.2</v>
      </c>
      <c r="E244" s="47">
        <f t="shared" si="1"/>
        <v>0.2</v>
      </c>
      <c r="F244" s="47">
        <f t="shared" si="2"/>
        <v>0.66</v>
      </c>
      <c r="G244" s="47">
        <f t="shared" si="3"/>
        <v>1</v>
      </c>
      <c r="H244" s="48">
        <f t="array" ref="H244">INDEX(dimensions!$E$2:$E$22,MATCH(C244,dimensions!$A$2:$A$22,0))</f>
        <v>1.3</v>
      </c>
      <c r="I244" s="47">
        <f t="shared" si="4"/>
        <v>0.26</v>
      </c>
      <c r="J244" s="47">
        <f t="shared" si="5"/>
        <v>0.858</v>
      </c>
      <c r="K244" s="47">
        <f t="shared" si="6"/>
        <v>1.3</v>
      </c>
      <c r="L244" s="5"/>
      <c r="M244" s="5"/>
      <c r="N244" s="5"/>
      <c r="O244" s="5"/>
      <c r="P244" s="5"/>
      <c r="Q244" s="5"/>
      <c r="R244" s="5"/>
      <c r="S244" s="5"/>
      <c r="T244" s="5"/>
      <c r="U244" s="5"/>
      <c r="V244" s="5"/>
      <c r="W244" s="5"/>
      <c r="X244" s="5"/>
      <c r="Y244" s="5"/>
      <c r="Z244" s="5"/>
    </row>
    <row r="245" ht="15.75" customHeight="1">
      <c r="A245" s="46" t="str">
        <f>archetype_prototypes!A245</f>
        <v>12</v>
      </c>
      <c r="B245" s="14" t="str">
        <f>archetype_prototypes!B245</f>
        <v>Tender Devotee</v>
      </c>
      <c r="C245" s="14" t="str">
        <f>archetype_prototypes!C245</f>
        <v>DIM_PROTOCOL</v>
      </c>
      <c r="D245" s="47">
        <f>archetype_prototypes!E245</f>
        <v>0.2</v>
      </c>
      <c r="E245" s="47">
        <f t="shared" si="1"/>
        <v>0.2</v>
      </c>
      <c r="F245" s="47">
        <f t="shared" si="2"/>
        <v>0.66</v>
      </c>
      <c r="G245" s="47">
        <f t="shared" si="3"/>
        <v>1</v>
      </c>
      <c r="H245" s="48">
        <f t="array" ref="H245">INDEX(dimensions!$E$2:$E$22,MATCH(C245,dimensions!$A$2:$A$22,0))</f>
        <v>1.6</v>
      </c>
      <c r="I245" s="47">
        <f t="shared" si="4"/>
        <v>0.32</v>
      </c>
      <c r="J245" s="47">
        <f t="shared" si="5"/>
        <v>1.056</v>
      </c>
      <c r="K245" s="47">
        <f t="shared" si="6"/>
        <v>1.6</v>
      </c>
      <c r="L245" s="5"/>
      <c r="M245" s="5"/>
      <c r="N245" s="5"/>
      <c r="O245" s="5"/>
      <c r="P245" s="5"/>
      <c r="Q245" s="5"/>
      <c r="R245" s="5"/>
      <c r="S245" s="5"/>
      <c r="T245" s="5"/>
      <c r="U245" s="5"/>
      <c r="V245" s="5"/>
      <c r="W245" s="5"/>
      <c r="X245" s="5"/>
      <c r="Y245" s="5"/>
      <c r="Z245" s="5"/>
    </row>
    <row r="246" ht="15.75" customHeight="1">
      <c r="A246" s="46" t="str">
        <f>archetype_prototypes!A246</f>
        <v>12</v>
      </c>
      <c r="B246" s="14" t="str">
        <f>archetype_prototypes!B246</f>
        <v>Tender Devotee</v>
      </c>
      <c r="C246" s="14" t="str">
        <f>archetype_prototypes!C246</f>
        <v>DIM_SOOTHING</v>
      </c>
      <c r="D246" s="47">
        <f>archetype_prototypes!E246</f>
        <v>0.35</v>
      </c>
      <c r="E246" s="47">
        <f t="shared" si="1"/>
        <v>0.35</v>
      </c>
      <c r="F246" s="47">
        <f t="shared" si="2"/>
        <v>0.7275</v>
      </c>
      <c r="G246" s="47">
        <f t="shared" si="3"/>
        <v>1</v>
      </c>
      <c r="H246" s="48">
        <f t="array" ref="H246">INDEX(dimensions!$E$2:$E$22,MATCH(C246,dimensions!$A$2:$A$22,0))</f>
        <v>1.9</v>
      </c>
      <c r="I246" s="47">
        <f t="shared" si="4"/>
        <v>0.665</v>
      </c>
      <c r="J246" s="47">
        <f t="shared" si="5"/>
        <v>1.38225</v>
      </c>
      <c r="K246" s="47">
        <f t="shared" si="6"/>
        <v>1.9</v>
      </c>
      <c r="L246" s="5"/>
      <c r="M246" s="5"/>
      <c r="N246" s="5"/>
      <c r="O246" s="5"/>
      <c r="P246" s="5"/>
      <c r="Q246" s="5"/>
      <c r="R246" s="5"/>
      <c r="S246" s="5"/>
      <c r="T246" s="5"/>
      <c r="U246" s="5"/>
      <c r="V246" s="5"/>
      <c r="W246" s="5"/>
      <c r="X246" s="5"/>
      <c r="Y246" s="5"/>
      <c r="Z246" s="5"/>
    </row>
    <row r="247" ht="15.75" customHeight="1">
      <c r="A247" s="46" t="str">
        <f>archetype_prototypes!A247</f>
        <v>12</v>
      </c>
      <c r="B247" s="14" t="str">
        <f>archetype_prototypes!B247</f>
        <v>Tender Devotee</v>
      </c>
      <c r="C247" s="14" t="str">
        <f>archetype_prototypes!C247</f>
        <v>DIM_SECURE</v>
      </c>
      <c r="D247" s="47">
        <f>archetype_prototypes!E247</f>
        <v>0.25</v>
      </c>
      <c r="E247" s="47">
        <f t="shared" si="1"/>
        <v>0.25</v>
      </c>
      <c r="F247" s="47">
        <f t="shared" si="2"/>
        <v>0.6875</v>
      </c>
      <c r="G247" s="47">
        <f t="shared" si="3"/>
        <v>1</v>
      </c>
      <c r="H247" s="48">
        <f t="array" ref="H247">INDEX(dimensions!$E$2:$E$22,MATCH(C247,dimensions!$A$2:$A$22,0))</f>
        <v>1</v>
      </c>
      <c r="I247" s="47">
        <f t="shared" si="4"/>
        <v>0.25</v>
      </c>
      <c r="J247" s="47">
        <f t="shared" si="5"/>
        <v>0.6875</v>
      </c>
      <c r="K247" s="47">
        <f t="shared" si="6"/>
        <v>1</v>
      </c>
      <c r="L247" s="5"/>
      <c r="M247" s="5"/>
      <c r="N247" s="5"/>
      <c r="O247" s="5"/>
      <c r="P247" s="5"/>
      <c r="Q247" s="5"/>
      <c r="R247" s="5"/>
      <c r="S247" s="5"/>
      <c r="T247" s="5"/>
      <c r="U247" s="5"/>
      <c r="V247" s="5"/>
      <c r="W247" s="5"/>
      <c r="X247" s="5"/>
      <c r="Y247" s="5"/>
      <c r="Z247" s="5"/>
    </row>
    <row r="248" ht="15.75" customHeight="1">
      <c r="A248" s="46" t="str">
        <f>archetype_prototypes!A248</f>
        <v>12</v>
      </c>
      <c r="B248" s="14" t="str">
        <f>archetype_prototypes!B248</f>
        <v>Tender Devotee</v>
      </c>
      <c r="C248" s="14" t="str">
        <f>archetype_prototypes!C248</f>
        <v>DIM_REPAIR_EROTICISM</v>
      </c>
      <c r="D248" s="47">
        <f>archetype_prototypes!E248</f>
        <v>0.45</v>
      </c>
      <c r="E248" s="47">
        <f t="shared" si="1"/>
        <v>0.45</v>
      </c>
      <c r="F248" s="47">
        <f t="shared" si="2"/>
        <v>0.7475</v>
      </c>
      <c r="G248" s="47">
        <f t="shared" si="3"/>
        <v>1</v>
      </c>
      <c r="H248" s="48">
        <f t="array" ref="H248">INDEX(dimensions!$E$2:$E$22,MATCH(C248,dimensions!$A$2:$A$22,0))</f>
        <v>1.6</v>
      </c>
      <c r="I248" s="47">
        <f t="shared" si="4"/>
        <v>0.72</v>
      </c>
      <c r="J248" s="47">
        <f t="shared" si="5"/>
        <v>1.196</v>
      </c>
      <c r="K248" s="47">
        <f t="shared" si="6"/>
        <v>1.6</v>
      </c>
      <c r="L248" s="5"/>
      <c r="M248" s="5"/>
      <c r="N248" s="5"/>
      <c r="O248" s="5"/>
      <c r="P248" s="5"/>
      <c r="Q248" s="5"/>
      <c r="R248" s="5"/>
      <c r="S248" s="5"/>
      <c r="T248" s="5"/>
      <c r="U248" s="5"/>
      <c r="V248" s="5"/>
      <c r="W248" s="5"/>
      <c r="X248" s="5"/>
      <c r="Y248" s="5"/>
      <c r="Z248" s="5"/>
    </row>
    <row r="249" ht="15.75" customHeight="1">
      <c r="A249" s="46" t="str">
        <f>archetype_prototypes!A249</f>
        <v>12</v>
      </c>
      <c r="B249" s="14" t="str">
        <f>archetype_prototypes!B249</f>
        <v>Tender Devotee</v>
      </c>
      <c r="C249" s="14" t="str">
        <f>archetype_prototypes!C249</f>
        <v>DIM_PRESSURE_SHUTDOWN</v>
      </c>
      <c r="D249" s="47">
        <f>archetype_prototypes!E249</f>
        <v>0.5</v>
      </c>
      <c r="E249" s="47">
        <f t="shared" si="1"/>
        <v>0.5</v>
      </c>
      <c r="F249" s="47">
        <f t="shared" si="2"/>
        <v>0.75</v>
      </c>
      <c r="G249" s="47">
        <f t="shared" si="3"/>
        <v>1</v>
      </c>
      <c r="H249" s="48">
        <f t="array" ref="H249">INDEX(dimensions!$E$2:$E$22,MATCH(C249,dimensions!$A$2:$A$22,0))</f>
        <v>2</v>
      </c>
      <c r="I249" s="47">
        <f t="shared" si="4"/>
        <v>1</v>
      </c>
      <c r="J249" s="47">
        <f t="shared" si="5"/>
        <v>1.5</v>
      </c>
      <c r="K249" s="47">
        <f t="shared" si="6"/>
        <v>2</v>
      </c>
      <c r="L249" s="5"/>
      <c r="M249" s="5"/>
      <c r="N249" s="5"/>
      <c r="O249" s="5"/>
      <c r="P249" s="5"/>
      <c r="Q249" s="5"/>
      <c r="R249" s="5"/>
      <c r="S249" s="5"/>
      <c r="T249" s="5"/>
      <c r="U249" s="5"/>
      <c r="V249" s="5"/>
      <c r="W249" s="5"/>
      <c r="X249" s="5"/>
      <c r="Y249" s="5"/>
      <c r="Z249" s="5"/>
    </row>
    <row r="250" ht="15.75" customHeight="1">
      <c r="A250" s="46" t="str">
        <f>archetype_prototypes!A250</f>
        <v>12</v>
      </c>
      <c r="B250" s="14" t="str">
        <f>archetype_prototypes!B250</f>
        <v>Tender Devotee</v>
      </c>
      <c r="C250" s="14" t="str">
        <f>archetype_prototypes!C250</f>
        <v>DIM_AVOIDANT</v>
      </c>
      <c r="D250" s="47">
        <f>archetype_prototypes!E250</f>
        <v>0.1</v>
      </c>
      <c r="E250" s="47">
        <f t="shared" si="1"/>
        <v>0.1</v>
      </c>
      <c r="F250" s="47">
        <f t="shared" si="2"/>
        <v>0.59</v>
      </c>
      <c r="G250" s="47">
        <f t="shared" si="3"/>
        <v>1</v>
      </c>
      <c r="H250" s="48">
        <f t="array" ref="H250">INDEX(dimensions!$E$2:$E$22,MATCH(C250,dimensions!$A$2:$A$22,0))</f>
        <v>1.3</v>
      </c>
      <c r="I250" s="47">
        <f t="shared" si="4"/>
        <v>0.13</v>
      </c>
      <c r="J250" s="47">
        <f t="shared" si="5"/>
        <v>0.767</v>
      </c>
      <c r="K250" s="47">
        <f t="shared" si="6"/>
        <v>1.3</v>
      </c>
      <c r="L250" s="5"/>
      <c r="M250" s="5"/>
      <c r="N250" s="5"/>
      <c r="O250" s="5"/>
      <c r="P250" s="5"/>
      <c r="Q250" s="5"/>
      <c r="R250" s="5"/>
      <c r="S250" s="5"/>
      <c r="T250" s="5"/>
      <c r="U250" s="5"/>
      <c r="V250" s="5"/>
      <c r="W250" s="5"/>
      <c r="X250" s="5"/>
      <c r="Y250" s="5"/>
      <c r="Z250" s="5"/>
    </row>
    <row r="251" ht="15.75" customHeight="1">
      <c r="A251" s="46" t="str">
        <f>archetype_prototypes!A251</f>
        <v>12</v>
      </c>
      <c r="B251" s="14" t="str">
        <f>archetype_prototypes!B251</f>
        <v>Tender Devotee</v>
      </c>
      <c r="C251" s="14" t="str">
        <f>archetype_prototypes!C251</f>
        <v>DIM_STRATEGY</v>
      </c>
      <c r="D251" s="47">
        <f>archetype_prototypes!E251</f>
        <v>0.15</v>
      </c>
      <c r="E251" s="47">
        <f t="shared" si="1"/>
        <v>0.15</v>
      </c>
      <c r="F251" s="47">
        <f t="shared" si="2"/>
        <v>0.6275</v>
      </c>
      <c r="G251" s="47">
        <f t="shared" si="3"/>
        <v>1</v>
      </c>
      <c r="H251" s="48">
        <f t="array" ref="H251">INDEX(dimensions!$E$2:$E$22,MATCH(C251,dimensions!$A$2:$A$22,0))</f>
        <v>1.2</v>
      </c>
      <c r="I251" s="47">
        <f t="shared" si="4"/>
        <v>0.18</v>
      </c>
      <c r="J251" s="47">
        <f t="shared" si="5"/>
        <v>0.753</v>
      </c>
      <c r="K251" s="47">
        <f t="shared" si="6"/>
        <v>1.2</v>
      </c>
      <c r="L251" s="5"/>
      <c r="M251" s="5"/>
      <c r="N251" s="5"/>
      <c r="O251" s="5"/>
      <c r="P251" s="5"/>
      <c r="Q251" s="5"/>
      <c r="R251" s="5"/>
      <c r="S251" s="5"/>
      <c r="T251" s="5"/>
      <c r="U251" s="5"/>
      <c r="V251" s="5"/>
      <c r="W251" s="5"/>
      <c r="X251" s="5"/>
      <c r="Y251" s="5"/>
      <c r="Z251" s="5"/>
    </row>
    <row r="252" ht="15.75" customHeight="1">
      <c r="A252" s="46" t="str">
        <f>archetype_prototypes!A252</f>
        <v>12</v>
      </c>
      <c r="B252" s="14" t="str">
        <f>archetype_prototypes!B252</f>
        <v>Tender Devotee</v>
      </c>
      <c r="C252" s="14" t="str">
        <f>archetype_prototypes!C252</f>
        <v>DIM_CLOSENESS_ORIENTATION</v>
      </c>
      <c r="D252" s="47">
        <f>archetype_prototypes!E252</f>
        <v>0.92</v>
      </c>
      <c r="E252" s="47">
        <f t="shared" si="1"/>
        <v>0.08</v>
      </c>
      <c r="F252" s="47">
        <f t="shared" si="2"/>
        <v>0.5736</v>
      </c>
      <c r="G252" s="47">
        <f t="shared" si="3"/>
        <v>1</v>
      </c>
      <c r="H252" s="48">
        <f t="array" ref="H252">INDEX(dimensions!$E$2:$E$22,MATCH(C252,dimensions!$A$2:$A$22,0))</f>
        <v>1</v>
      </c>
      <c r="I252" s="47">
        <f t="shared" si="4"/>
        <v>0.08</v>
      </c>
      <c r="J252" s="47">
        <f t="shared" si="5"/>
        <v>0.5736</v>
      </c>
      <c r="K252" s="47">
        <f t="shared" si="6"/>
        <v>1</v>
      </c>
      <c r="L252" s="5"/>
      <c r="M252" s="5"/>
      <c r="N252" s="5"/>
      <c r="O252" s="5"/>
      <c r="P252" s="5"/>
      <c r="Q252" s="5"/>
      <c r="R252" s="5"/>
      <c r="S252" s="5"/>
      <c r="T252" s="5"/>
      <c r="U252" s="5"/>
      <c r="V252" s="5"/>
      <c r="W252" s="5"/>
      <c r="X252" s="5"/>
      <c r="Y252" s="5"/>
      <c r="Z252" s="5"/>
    </row>
    <row r="253" ht="15.75" customHeight="1">
      <c r="A253" s="46" t="str">
        <f>archetype_prototypes!A253</f>
        <v>12</v>
      </c>
      <c r="B253" s="14" t="str">
        <f>archetype_prototypes!B253</f>
        <v>Tender Devotee</v>
      </c>
      <c r="C253" s="14" t="str">
        <f>archetype_prototypes!C253</f>
        <v>DIM_PARTNER_FOCUS</v>
      </c>
      <c r="D253" s="47">
        <f>archetype_prototypes!E253</f>
        <v>0.82</v>
      </c>
      <c r="E253" s="47">
        <f t="shared" si="1"/>
        <v>0.18</v>
      </c>
      <c r="F253" s="47">
        <f t="shared" si="2"/>
        <v>0.6476</v>
      </c>
      <c r="G253" s="47">
        <f t="shared" si="3"/>
        <v>1</v>
      </c>
      <c r="H253" s="48">
        <f t="array" ref="H253">INDEX(dimensions!$E$2:$E$22,MATCH(C253,dimensions!$A$2:$A$22,0))</f>
        <v>1.2</v>
      </c>
      <c r="I253" s="47">
        <f t="shared" si="4"/>
        <v>0.216</v>
      </c>
      <c r="J253" s="47">
        <f t="shared" si="5"/>
        <v>0.77712</v>
      </c>
      <c r="K253" s="47">
        <f t="shared" si="6"/>
        <v>1.2</v>
      </c>
      <c r="L253" s="5"/>
      <c r="M253" s="5"/>
      <c r="N253" s="5"/>
      <c r="O253" s="5"/>
      <c r="P253" s="5"/>
      <c r="Q253" s="5"/>
      <c r="R253" s="5"/>
      <c r="S253" s="5"/>
      <c r="T253" s="5"/>
      <c r="U253" s="5"/>
      <c r="V253" s="5"/>
      <c r="W253" s="5"/>
      <c r="X253" s="5"/>
      <c r="Y253" s="5"/>
      <c r="Z253" s="5"/>
    </row>
    <row r="254" ht="15.75" customHeight="1">
      <c r="A254" s="46" t="str">
        <f>archetype_prototypes!A254</f>
        <v>13</v>
      </c>
      <c r="B254" s="14" t="str">
        <f>archetype_prototypes!B254</f>
        <v>Analytical Sexualist</v>
      </c>
      <c r="C254" s="14" t="str">
        <f>archetype_prototypes!C254</f>
        <v>DIM_NOVELTY</v>
      </c>
      <c r="D254" s="47">
        <f>archetype_prototypes!E254</f>
        <v>0.45</v>
      </c>
      <c r="E254" s="47">
        <f t="shared" si="1"/>
        <v>0.45</v>
      </c>
      <c r="F254" s="47">
        <f t="shared" si="2"/>
        <v>0.7475</v>
      </c>
      <c r="G254" s="47">
        <f t="shared" si="3"/>
        <v>1</v>
      </c>
      <c r="H254" s="48">
        <f t="array" ref="H254">INDEX(dimensions!$E$2:$E$22,MATCH(C254,dimensions!$A$2:$A$22,0))</f>
        <v>1.4</v>
      </c>
      <c r="I254" s="47">
        <f t="shared" si="4"/>
        <v>0.63</v>
      </c>
      <c r="J254" s="47">
        <f t="shared" si="5"/>
        <v>1.0465</v>
      </c>
      <c r="K254" s="47">
        <f t="shared" si="6"/>
        <v>1.4</v>
      </c>
      <c r="L254" s="5"/>
      <c r="M254" s="5"/>
      <c r="N254" s="5"/>
      <c r="O254" s="5"/>
      <c r="P254" s="5"/>
      <c r="Q254" s="5"/>
      <c r="R254" s="5"/>
      <c r="S254" s="5"/>
      <c r="T254" s="5"/>
      <c r="U254" s="5"/>
      <c r="V254" s="5"/>
      <c r="W254" s="5"/>
      <c r="X254" s="5"/>
      <c r="Y254" s="5"/>
      <c r="Z254" s="5"/>
    </row>
    <row r="255" ht="15.75" customHeight="1">
      <c r="A255" s="46" t="str">
        <f>archetype_prototypes!A255</f>
        <v>13</v>
      </c>
      <c r="B255" s="14" t="str">
        <f>archetype_prototypes!B255</f>
        <v>Analytical Sexualist</v>
      </c>
      <c r="C255" s="14" t="str">
        <f>archetype_prototypes!C255</f>
        <v>DIM_RESPONSIVE</v>
      </c>
      <c r="D255" s="47">
        <f>archetype_prototypes!E255</f>
        <v>0.45</v>
      </c>
      <c r="E255" s="47">
        <f t="shared" si="1"/>
        <v>0.45</v>
      </c>
      <c r="F255" s="47">
        <f t="shared" si="2"/>
        <v>0.7475</v>
      </c>
      <c r="G255" s="47">
        <f t="shared" si="3"/>
        <v>1</v>
      </c>
      <c r="H255" s="48">
        <f t="array" ref="H255">INDEX(dimensions!$E$2:$E$22,MATCH(C255,dimensions!$A$2:$A$22,0))</f>
        <v>1.6</v>
      </c>
      <c r="I255" s="47">
        <f t="shared" si="4"/>
        <v>0.72</v>
      </c>
      <c r="J255" s="47">
        <f t="shared" si="5"/>
        <v>1.196</v>
      </c>
      <c r="K255" s="47">
        <f t="shared" si="6"/>
        <v>1.6</v>
      </c>
      <c r="L255" s="5"/>
      <c r="M255" s="5"/>
      <c r="N255" s="5"/>
      <c r="O255" s="5"/>
      <c r="P255" s="5"/>
      <c r="Q255" s="5"/>
      <c r="R255" s="5"/>
      <c r="S255" s="5"/>
      <c r="T255" s="5"/>
      <c r="U255" s="5"/>
      <c r="V255" s="5"/>
      <c r="W255" s="5"/>
      <c r="X255" s="5"/>
      <c r="Y255" s="5"/>
      <c r="Z255" s="5"/>
    </row>
    <row r="256" ht="15.75" customHeight="1">
      <c r="A256" s="46" t="str">
        <f>archetype_prototypes!A256</f>
        <v>13</v>
      </c>
      <c r="B256" s="14" t="str">
        <f>archetype_prototypes!B256</f>
        <v>Analytical Sexualist</v>
      </c>
      <c r="C256" s="14" t="str">
        <f>archetype_prototypes!C256</f>
        <v>DIM_PLANNED</v>
      </c>
      <c r="D256" s="47">
        <f>archetype_prototypes!E256</f>
        <v>0.75</v>
      </c>
      <c r="E256" s="47">
        <f t="shared" si="1"/>
        <v>0.25</v>
      </c>
      <c r="F256" s="47">
        <f t="shared" si="2"/>
        <v>0.6875</v>
      </c>
      <c r="G256" s="47">
        <f t="shared" si="3"/>
        <v>1</v>
      </c>
      <c r="H256" s="48">
        <f t="array" ref="H256">INDEX(dimensions!$E$2:$E$22,MATCH(C256,dimensions!$A$2:$A$22,0))</f>
        <v>1.3</v>
      </c>
      <c r="I256" s="47">
        <f t="shared" si="4"/>
        <v>0.325</v>
      </c>
      <c r="J256" s="47">
        <f t="shared" si="5"/>
        <v>0.89375</v>
      </c>
      <c r="K256" s="47">
        <f t="shared" si="6"/>
        <v>1.3</v>
      </c>
      <c r="L256" s="5"/>
      <c r="M256" s="5"/>
      <c r="N256" s="5"/>
      <c r="O256" s="5"/>
      <c r="P256" s="5"/>
      <c r="Q256" s="5"/>
      <c r="R256" s="5"/>
      <c r="S256" s="5"/>
      <c r="T256" s="5"/>
      <c r="U256" s="5"/>
      <c r="V256" s="5"/>
      <c r="W256" s="5"/>
      <c r="X256" s="5"/>
      <c r="Y256" s="5"/>
      <c r="Z256" s="5"/>
    </row>
    <row r="257" ht="15.75" customHeight="1">
      <c r="A257" s="46" t="str">
        <f>archetype_prototypes!A257</f>
        <v>13</v>
      </c>
      <c r="B257" s="14" t="str">
        <f>archetype_prototypes!B257</f>
        <v>Analytical Sexualist</v>
      </c>
      <c r="C257" s="14" t="str">
        <f>archetype_prototypes!C257</f>
        <v>DIM_EMO_CONNECTION</v>
      </c>
      <c r="D257" s="47">
        <f>archetype_prototypes!E257</f>
        <v>0.35</v>
      </c>
      <c r="E257" s="47">
        <f t="shared" si="1"/>
        <v>0.35</v>
      </c>
      <c r="F257" s="47">
        <f t="shared" si="2"/>
        <v>0.7275</v>
      </c>
      <c r="G257" s="47">
        <f t="shared" si="3"/>
        <v>1</v>
      </c>
      <c r="H257" s="48">
        <f t="array" ref="H257">INDEX(dimensions!$E$2:$E$22,MATCH(C257,dimensions!$A$2:$A$22,0))</f>
        <v>1.4</v>
      </c>
      <c r="I257" s="47">
        <f t="shared" si="4"/>
        <v>0.49</v>
      </c>
      <c r="J257" s="47">
        <f t="shared" si="5"/>
        <v>1.0185</v>
      </c>
      <c r="K257" s="47">
        <f t="shared" si="6"/>
        <v>1.4</v>
      </c>
      <c r="L257" s="5"/>
      <c r="M257" s="5"/>
      <c r="N257" s="5"/>
      <c r="O257" s="5"/>
      <c r="P257" s="5"/>
      <c r="Q257" s="5"/>
      <c r="R257" s="5"/>
      <c r="S257" s="5"/>
      <c r="T257" s="5"/>
      <c r="U257" s="5"/>
      <c r="V257" s="5"/>
      <c r="W257" s="5"/>
      <c r="X257" s="5"/>
      <c r="Y257" s="5"/>
      <c r="Z257" s="5"/>
    </row>
    <row r="258" ht="15.75" customHeight="1">
      <c r="A258" s="46" t="str">
        <f>archetype_prototypes!A258</f>
        <v>13</v>
      </c>
      <c r="B258" s="14" t="str">
        <f>archetype_prototypes!B258</f>
        <v>Analytical Sexualist</v>
      </c>
      <c r="C258" s="14" t="str">
        <f>archetype_prototypes!C258</f>
        <v>DIM_INTENSITY</v>
      </c>
      <c r="D258" s="47">
        <f>archetype_prototypes!E258</f>
        <v>0.5</v>
      </c>
      <c r="E258" s="47">
        <f t="shared" si="1"/>
        <v>0.5</v>
      </c>
      <c r="F258" s="47">
        <f t="shared" si="2"/>
        <v>0.75</v>
      </c>
      <c r="G258" s="47">
        <f t="shared" si="3"/>
        <v>1</v>
      </c>
      <c r="H258" s="48">
        <f t="array" ref="H258">INDEX(dimensions!$E$2:$E$22,MATCH(C258,dimensions!$A$2:$A$22,0))</f>
        <v>1.4</v>
      </c>
      <c r="I258" s="47">
        <f t="shared" si="4"/>
        <v>0.7</v>
      </c>
      <c r="J258" s="47">
        <f t="shared" si="5"/>
        <v>1.05</v>
      </c>
      <c r="K258" s="47">
        <f t="shared" si="6"/>
        <v>1.4</v>
      </c>
      <c r="L258" s="5"/>
      <c r="M258" s="5"/>
      <c r="N258" s="5"/>
      <c r="O258" s="5"/>
      <c r="P258" s="5"/>
      <c r="Q258" s="5"/>
      <c r="R258" s="5"/>
      <c r="S258" s="5"/>
      <c r="T258" s="5"/>
      <c r="U258" s="5"/>
      <c r="V258" s="5"/>
      <c r="W258" s="5"/>
      <c r="X258" s="5"/>
      <c r="Y258" s="5"/>
      <c r="Z258" s="5"/>
    </row>
    <row r="259" ht="15.75" customHeight="1">
      <c r="A259" s="46" t="str">
        <f>archetype_prototypes!A259</f>
        <v>13</v>
      </c>
      <c r="B259" s="14" t="str">
        <f>archetype_prototypes!B259</f>
        <v>Analytical Sexualist</v>
      </c>
      <c r="C259" s="14" t="str">
        <f>archetype_prototypes!C259</f>
        <v>DIM_PURSUIT</v>
      </c>
      <c r="D259" s="47">
        <f>archetype_prototypes!E259</f>
        <v>0.3</v>
      </c>
      <c r="E259" s="47">
        <f t="shared" si="1"/>
        <v>0.3</v>
      </c>
      <c r="F259" s="47">
        <f t="shared" si="2"/>
        <v>0.71</v>
      </c>
      <c r="G259" s="47">
        <f t="shared" si="3"/>
        <v>1</v>
      </c>
      <c r="H259" s="48">
        <f t="array" ref="H259">INDEX(dimensions!$E$2:$E$22,MATCH(C259,dimensions!$A$2:$A$22,0))</f>
        <v>1.4</v>
      </c>
      <c r="I259" s="47">
        <f t="shared" si="4"/>
        <v>0.42</v>
      </c>
      <c r="J259" s="47">
        <f t="shared" si="5"/>
        <v>0.994</v>
      </c>
      <c r="K259" s="47">
        <f t="shared" si="6"/>
        <v>1.4</v>
      </c>
      <c r="L259" s="5"/>
      <c r="M259" s="5"/>
      <c r="N259" s="5"/>
      <c r="O259" s="5"/>
      <c r="P259" s="5"/>
      <c r="Q259" s="5"/>
      <c r="R259" s="5"/>
      <c r="S259" s="5"/>
      <c r="T259" s="5"/>
      <c r="U259" s="5"/>
      <c r="V259" s="5"/>
      <c r="W259" s="5"/>
      <c r="X259" s="5"/>
      <c r="Y259" s="5"/>
      <c r="Z259" s="5"/>
    </row>
    <row r="260" ht="15.75" customHeight="1">
      <c r="A260" s="46" t="str">
        <f>archetype_prototypes!A260</f>
        <v>13</v>
      </c>
      <c r="B260" s="14" t="str">
        <f>archetype_prototypes!B260</f>
        <v>Analytical Sexualist</v>
      </c>
      <c r="C260" s="14" t="str">
        <f>archetype_prototypes!C260</f>
        <v>DIM_EDGE_NEED</v>
      </c>
      <c r="D260" s="47">
        <f>archetype_prototypes!E260</f>
        <v>0.3</v>
      </c>
      <c r="E260" s="47">
        <f t="shared" si="1"/>
        <v>0.3</v>
      </c>
      <c r="F260" s="47">
        <f t="shared" si="2"/>
        <v>0.71</v>
      </c>
      <c r="G260" s="47">
        <f t="shared" si="3"/>
        <v>1</v>
      </c>
      <c r="H260" s="48">
        <f t="array" ref="H260">INDEX(dimensions!$E$2:$E$22,MATCH(C260,dimensions!$A$2:$A$22,0))</f>
        <v>1.8</v>
      </c>
      <c r="I260" s="47">
        <f t="shared" si="4"/>
        <v>0.54</v>
      </c>
      <c r="J260" s="47">
        <f t="shared" si="5"/>
        <v>1.278</v>
      </c>
      <c r="K260" s="47">
        <f t="shared" si="6"/>
        <v>1.8</v>
      </c>
      <c r="L260" s="5"/>
      <c r="M260" s="5"/>
      <c r="N260" s="5"/>
      <c r="O260" s="5"/>
      <c r="P260" s="5"/>
      <c r="Q260" s="5"/>
      <c r="R260" s="5"/>
      <c r="S260" s="5"/>
      <c r="T260" s="5"/>
      <c r="U260" s="5"/>
      <c r="V260" s="5"/>
      <c r="W260" s="5"/>
      <c r="X260" s="5"/>
      <c r="Y260" s="5"/>
      <c r="Z260" s="5"/>
    </row>
    <row r="261" ht="15.75" customHeight="1">
      <c r="A261" s="46" t="str">
        <f>archetype_prototypes!A261</f>
        <v>13</v>
      </c>
      <c r="B261" s="14" t="str">
        <f>archetype_prototypes!B261</f>
        <v>Analytical Sexualist</v>
      </c>
      <c r="C261" s="14" t="str">
        <f>archetype_prototypes!C261</f>
        <v>DIM_SACRED</v>
      </c>
      <c r="D261" s="47">
        <f>archetype_prototypes!E261</f>
        <v>0.15</v>
      </c>
      <c r="E261" s="47">
        <f t="shared" si="1"/>
        <v>0.15</v>
      </c>
      <c r="F261" s="47">
        <f t="shared" si="2"/>
        <v>0.6275</v>
      </c>
      <c r="G261" s="47">
        <f t="shared" si="3"/>
        <v>1</v>
      </c>
      <c r="H261" s="48">
        <f t="array" ref="H261">INDEX(dimensions!$E$2:$E$22,MATCH(C261,dimensions!$A$2:$A$22,0))</f>
        <v>2</v>
      </c>
      <c r="I261" s="47">
        <f t="shared" si="4"/>
        <v>0.3</v>
      </c>
      <c r="J261" s="47">
        <f t="shared" si="5"/>
        <v>1.255</v>
      </c>
      <c r="K261" s="47">
        <f t="shared" si="6"/>
        <v>2</v>
      </c>
      <c r="L261" s="5"/>
      <c r="M261" s="5"/>
      <c r="N261" s="5"/>
      <c r="O261" s="5"/>
      <c r="P261" s="5"/>
      <c r="Q261" s="5"/>
      <c r="R261" s="5"/>
      <c r="S261" s="5"/>
      <c r="T261" s="5"/>
      <c r="U261" s="5"/>
      <c r="V261" s="5"/>
      <c r="W261" s="5"/>
      <c r="X261" s="5"/>
      <c r="Y261" s="5"/>
      <c r="Z261" s="5"/>
    </row>
    <row r="262" ht="15.75" customHeight="1">
      <c r="A262" s="46" t="str">
        <f>archetype_prototypes!A262</f>
        <v>13</v>
      </c>
      <c r="B262" s="14" t="str">
        <f>archetype_prototypes!B262</f>
        <v>Analytical Sexualist</v>
      </c>
      <c r="C262" s="14" t="str">
        <f>archetype_prototypes!C262</f>
        <v>DIM_RISK_PREF</v>
      </c>
      <c r="D262" s="47">
        <f>archetype_prototypes!E262</f>
        <v>0.35</v>
      </c>
      <c r="E262" s="47">
        <f t="shared" si="1"/>
        <v>0.35</v>
      </c>
      <c r="F262" s="47">
        <f t="shared" si="2"/>
        <v>0.7275</v>
      </c>
      <c r="G262" s="47">
        <f t="shared" si="3"/>
        <v>1</v>
      </c>
      <c r="H262" s="48">
        <f t="array" ref="H262">INDEX(dimensions!$E$2:$E$22,MATCH(C262,dimensions!$A$2:$A$22,0))</f>
        <v>1.6</v>
      </c>
      <c r="I262" s="47">
        <f t="shared" si="4"/>
        <v>0.56</v>
      </c>
      <c r="J262" s="47">
        <f t="shared" si="5"/>
        <v>1.164</v>
      </c>
      <c r="K262" s="47">
        <f t="shared" si="6"/>
        <v>1.6</v>
      </c>
      <c r="L262" s="5"/>
      <c r="M262" s="5"/>
      <c r="N262" s="5"/>
      <c r="O262" s="5"/>
      <c r="P262" s="5"/>
      <c r="Q262" s="5"/>
      <c r="R262" s="5"/>
      <c r="S262" s="5"/>
      <c r="T262" s="5"/>
      <c r="U262" s="5"/>
      <c r="V262" s="5"/>
      <c r="W262" s="5"/>
      <c r="X262" s="5"/>
      <c r="Y262" s="5"/>
      <c r="Z262" s="5"/>
    </row>
    <row r="263" ht="15.75" customHeight="1">
      <c r="A263" s="46" t="str">
        <f>archetype_prototypes!A263</f>
        <v>13</v>
      </c>
      <c r="B263" s="14" t="str">
        <f>archetype_prototypes!B263</f>
        <v>Analytical Sexualist</v>
      </c>
      <c r="C263" s="14" t="str">
        <f>archetype_prototypes!C263</f>
        <v>DIM_FEEDBACK_DEP</v>
      </c>
      <c r="D263" s="47">
        <f>archetype_prototypes!E263</f>
        <v>0.3</v>
      </c>
      <c r="E263" s="47">
        <f t="shared" si="1"/>
        <v>0.3</v>
      </c>
      <c r="F263" s="47">
        <f t="shared" si="2"/>
        <v>0.71</v>
      </c>
      <c r="G263" s="47">
        <f t="shared" si="3"/>
        <v>1</v>
      </c>
      <c r="H263" s="48">
        <f t="array" ref="H263">INDEX(dimensions!$E$2:$E$22,MATCH(C263,dimensions!$A$2:$A$22,0))</f>
        <v>2</v>
      </c>
      <c r="I263" s="47">
        <f t="shared" si="4"/>
        <v>0.6</v>
      </c>
      <c r="J263" s="47">
        <f t="shared" si="5"/>
        <v>1.42</v>
      </c>
      <c r="K263" s="47">
        <f t="shared" si="6"/>
        <v>2</v>
      </c>
      <c r="L263" s="5"/>
      <c r="M263" s="5"/>
      <c r="N263" s="5"/>
      <c r="O263" s="5"/>
      <c r="P263" s="5"/>
      <c r="Q263" s="5"/>
      <c r="R263" s="5"/>
      <c r="S263" s="5"/>
      <c r="T263" s="5"/>
      <c r="U263" s="5"/>
      <c r="V263" s="5"/>
      <c r="W263" s="5"/>
      <c r="X263" s="5"/>
      <c r="Y263" s="5"/>
      <c r="Z263" s="5"/>
    </row>
    <row r="264" ht="15.75" customHeight="1">
      <c r="A264" s="46" t="str">
        <f>archetype_prototypes!A264</f>
        <v>13</v>
      </c>
      <c r="B264" s="14" t="str">
        <f>archetype_prototypes!B264</f>
        <v>Analytical Sexualist</v>
      </c>
      <c r="C264" s="14" t="str">
        <f>archetype_prototypes!C264</f>
        <v>DIM_TURNON_EXPRESS</v>
      </c>
      <c r="D264" s="47">
        <f>archetype_prototypes!E264</f>
        <v>0.55</v>
      </c>
      <c r="E264" s="47">
        <f t="shared" si="1"/>
        <v>0.45</v>
      </c>
      <c r="F264" s="47">
        <f t="shared" si="2"/>
        <v>0.7475</v>
      </c>
      <c r="G264" s="47">
        <f t="shared" si="3"/>
        <v>1</v>
      </c>
      <c r="H264" s="48">
        <f t="array" ref="H264">INDEX(dimensions!$E$2:$E$22,MATCH(C264,dimensions!$A$2:$A$22,0))</f>
        <v>1.3</v>
      </c>
      <c r="I264" s="47">
        <f t="shared" si="4"/>
        <v>0.585</v>
      </c>
      <c r="J264" s="47">
        <f t="shared" si="5"/>
        <v>0.97175</v>
      </c>
      <c r="K264" s="47">
        <f t="shared" si="6"/>
        <v>1.3</v>
      </c>
      <c r="L264" s="5"/>
      <c r="M264" s="5"/>
      <c r="N264" s="5"/>
      <c r="O264" s="5"/>
      <c r="P264" s="5"/>
      <c r="Q264" s="5"/>
      <c r="R264" s="5"/>
      <c r="S264" s="5"/>
      <c r="T264" s="5"/>
      <c r="U264" s="5"/>
      <c r="V264" s="5"/>
      <c r="W264" s="5"/>
      <c r="X264" s="5"/>
      <c r="Y264" s="5"/>
      <c r="Z264" s="5"/>
    </row>
    <row r="265" ht="15.75" customHeight="1">
      <c r="A265" s="46" t="str">
        <f>archetype_prototypes!A265</f>
        <v>13</v>
      </c>
      <c r="B265" s="14" t="str">
        <f>archetype_prototypes!B265</f>
        <v>Analytical Sexualist</v>
      </c>
      <c r="C265" s="14" t="str">
        <f>archetype_prototypes!C265</f>
        <v>DIM_BOUNDARY_EXPRESS</v>
      </c>
      <c r="D265" s="47">
        <f>archetype_prototypes!E265</f>
        <v>0.75</v>
      </c>
      <c r="E265" s="47">
        <f t="shared" si="1"/>
        <v>0.25</v>
      </c>
      <c r="F265" s="47">
        <f t="shared" si="2"/>
        <v>0.6875</v>
      </c>
      <c r="G265" s="47">
        <f t="shared" si="3"/>
        <v>1</v>
      </c>
      <c r="H265" s="48">
        <f t="array" ref="H265">INDEX(dimensions!$E$2:$E$22,MATCH(C265,dimensions!$A$2:$A$22,0))</f>
        <v>1.3</v>
      </c>
      <c r="I265" s="47">
        <f t="shared" si="4"/>
        <v>0.325</v>
      </c>
      <c r="J265" s="47">
        <f t="shared" si="5"/>
        <v>0.89375</v>
      </c>
      <c r="K265" s="47">
        <f t="shared" si="6"/>
        <v>1.3</v>
      </c>
      <c r="L265" s="5"/>
      <c r="M265" s="5"/>
      <c r="N265" s="5"/>
      <c r="O265" s="5"/>
      <c r="P265" s="5"/>
      <c r="Q265" s="5"/>
      <c r="R265" s="5"/>
      <c r="S265" s="5"/>
      <c r="T265" s="5"/>
      <c r="U265" s="5"/>
      <c r="V265" s="5"/>
      <c r="W265" s="5"/>
      <c r="X265" s="5"/>
      <c r="Y265" s="5"/>
      <c r="Z265" s="5"/>
    </row>
    <row r="266" ht="15.75" customHeight="1">
      <c r="A266" s="46" t="str">
        <f>archetype_prototypes!A266</f>
        <v>13</v>
      </c>
      <c r="B266" s="14" t="str">
        <f>archetype_prototypes!B266</f>
        <v>Analytical Sexualist</v>
      </c>
      <c r="C266" s="14" t="str">
        <f>archetype_prototypes!C266</f>
        <v>DIM_PROTOCOL</v>
      </c>
      <c r="D266" s="47">
        <f>archetype_prototypes!E266</f>
        <v>0.4</v>
      </c>
      <c r="E266" s="47">
        <f t="shared" si="1"/>
        <v>0.4</v>
      </c>
      <c r="F266" s="47">
        <f t="shared" si="2"/>
        <v>0.74</v>
      </c>
      <c r="G266" s="47">
        <f t="shared" si="3"/>
        <v>1</v>
      </c>
      <c r="H266" s="48">
        <f t="array" ref="H266">INDEX(dimensions!$E$2:$E$22,MATCH(C266,dimensions!$A$2:$A$22,0))</f>
        <v>1.6</v>
      </c>
      <c r="I266" s="47">
        <f t="shared" si="4"/>
        <v>0.64</v>
      </c>
      <c r="J266" s="47">
        <f t="shared" si="5"/>
        <v>1.184</v>
      </c>
      <c r="K266" s="47">
        <f t="shared" si="6"/>
        <v>1.6</v>
      </c>
      <c r="L266" s="5"/>
      <c r="M266" s="5"/>
      <c r="N266" s="5"/>
      <c r="O266" s="5"/>
      <c r="P266" s="5"/>
      <c r="Q266" s="5"/>
      <c r="R266" s="5"/>
      <c r="S266" s="5"/>
      <c r="T266" s="5"/>
      <c r="U266" s="5"/>
      <c r="V266" s="5"/>
      <c r="W266" s="5"/>
      <c r="X266" s="5"/>
      <c r="Y266" s="5"/>
      <c r="Z266" s="5"/>
    </row>
    <row r="267" ht="15.75" customHeight="1">
      <c r="A267" s="46" t="str">
        <f>archetype_prototypes!A267</f>
        <v>13</v>
      </c>
      <c r="B267" s="14" t="str">
        <f>archetype_prototypes!B267</f>
        <v>Analytical Sexualist</v>
      </c>
      <c r="C267" s="14" t="str">
        <f>archetype_prototypes!C267</f>
        <v>DIM_SOOTHING</v>
      </c>
      <c r="D267" s="47">
        <f>archetype_prototypes!E267</f>
        <v>0.15</v>
      </c>
      <c r="E267" s="47">
        <f t="shared" si="1"/>
        <v>0.15</v>
      </c>
      <c r="F267" s="47">
        <f t="shared" si="2"/>
        <v>0.6275</v>
      </c>
      <c r="G267" s="47">
        <f t="shared" si="3"/>
        <v>1</v>
      </c>
      <c r="H267" s="48">
        <f t="array" ref="H267">INDEX(dimensions!$E$2:$E$22,MATCH(C267,dimensions!$A$2:$A$22,0))</f>
        <v>1.9</v>
      </c>
      <c r="I267" s="47">
        <f t="shared" si="4"/>
        <v>0.285</v>
      </c>
      <c r="J267" s="47">
        <f t="shared" si="5"/>
        <v>1.19225</v>
      </c>
      <c r="K267" s="47">
        <f t="shared" si="6"/>
        <v>1.9</v>
      </c>
      <c r="L267" s="5"/>
      <c r="M267" s="5"/>
      <c r="N267" s="5"/>
      <c r="O267" s="5"/>
      <c r="P267" s="5"/>
      <c r="Q267" s="5"/>
      <c r="R267" s="5"/>
      <c r="S267" s="5"/>
      <c r="T267" s="5"/>
      <c r="U267" s="5"/>
      <c r="V267" s="5"/>
      <c r="W267" s="5"/>
      <c r="X267" s="5"/>
      <c r="Y267" s="5"/>
      <c r="Z267" s="5"/>
    </row>
    <row r="268" ht="15.75" customHeight="1">
      <c r="A268" s="46" t="str">
        <f>archetype_prototypes!A268</f>
        <v>13</v>
      </c>
      <c r="B268" s="14" t="str">
        <f>archetype_prototypes!B268</f>
        <v>Analytical Sexualist</v>
      </c>
      <c r="C268" s="14" t="str">
        <f>archetype_prototypes!C268</f>
        <v>DIM_SECURE</v>
      </c>
      <c r="D268" s="47">
        <f>archetype_prototypes!E268</f>
        <v>0.55</v>
      </c>
      <c r="E268" s="47">
        <f t="shared" si="1"/>
        <v>0.45</v>
      </c>
      <c r="F268" s="47">
        <f t="shared" si="2"/>
        <v>0.7475</v>
      </c>
      <c r="G268" s="47">
        <f t="shared" si="3"/>
        <v>1</v>
      </c>
      <c r="H268" s="48">
        <f t="array" ref="H268">INDEX(dimensions!$E$2:$E$22,MATCH(C268,dimensions!$A$2:$A$22,0))</f>
        <v>1</v>
      </c>
      <c r="I268" s="47">
        <f t="shared" si="4"/>
        <v>0.45</v>
      </c>
      <c r="J268" s="47">
        <f t="shared" si="5"/>
        <v>0.7475</v>
      </c>
      <c r="K268" s="47">
        <f t="shared" si="6"/>
        <v>1</v>
      </c>
      <c r="L268" s="5"/>
      <c r="M268" s="5"/>
      <c r="N268" s="5"/>
      <c r="O268" s="5"/>
      <c r="P268" s="5"/>
      <c r="Q268" s="5"/>
      <c r="R268" s="5"/>
      <c r="S268" s="5"/>
      <c r="T268" s="5"/>
      <c r="U268" s="5"/>
      <c r="V268" s="5"/>
      <c r="W268" s="5"/>
      <c r="X268" s="5"/>
      <c r="Y268" s="5"/>
      <c r="Z268" s="5"/>
    </row>
    <row r="269" ht="15.75" customHeight="1">
      <c r="A269" s="46" t="str">
        <f>archetype_prototypes!A269</f>
        <v>13</v>
      </c>
      <c r="B269" s="14" t="str">
        <f>archetype_prototypes!B269</f>
        <v>Analytical Sexualist</v>
      </c>
      <c r="C269" s="14" t="str">
        <f>archetype_prototypes!C269</f>
        <v>DIM_REPAIR_EROTICISM</v>
      </c>
      <c r="D269" s="47">
        <f>archetype_prototypes!E269</f>
        <v>0.25</v>
      </c>
      <c r="E269" s="47">
        <f t="shared" si="1"/>
        <v>0.25</v>
      </c>
      <c r="F269" s="47">
        <f t="shared" si="2"/>
        <v>0.6875</v>
      </c>
      <c r="G269" s="47">
        <f t="shared" si="3"/>
        <v>1</v>
      </c>
      <c r="H269" s="48">
        <f t="array" ref="H269">INDEX(dimensions!$E$2:$E$22,MATCH(C269,dimensions!$A$2:$A$22,0))</f>
        <v>1.6</v>
      </c>
      <c r="I269" s="47">
        <f t="shared" si="4"/>
        <v>0.4</v>
      </c>
      <c r="J269" s="47">
        <f t="shared" si="5"/>
        <v>1.1</v>
      </c>
      <c r="K269" s="47">
        <f t="shared" si="6"/>
        <v>1.6</v>
      </c>
      <c r="L269" s="5"/>
      <c r="M269" s="5"/>
      <c r="N269" s="5"/>
      <c r="O269" s="5"/>
      <c r="P269" s="5"/>
      <c r="Q269" s="5"/>
      <c r="R269" s="5"/>
      <c r="S269" s="5"/>
      <c r="T269" s="5"/>
      <c r="U269" s="5"/>
      <c r="V269" s="5"/>
      <c r="W269" s="5"/>
      <c r="X269" s="5"/>
      <c r="Y269" s="5"/>
      <c r="Z269" s="5"/>
    </row>
    <row r="270" ht="15.75" customHeight="1">
      <c r="A270" s="46" t="str">
        <f>archetype_prototypes!A270</f>
        <v>13</v>
      </c>
      <c r="B270" s="14" t="str">
        <f>archetype_prototypes!B270</f>
        <v>Analytical Sexualist</v>
      </c>
      <c r="C270" s="14" t="str">
        <f>archetype_prototypes!C270</f>
        <v>DIM_PRESSURE_SHUTDOWN</v>
      </c>
      <c r="D270" s="47">
        <f>archetype_prototypes!E270</f>
        <v>0.25</v>
      </c>
      <c r="E270" s="47">
        <f t="shared" si="1"/>
        <v>0.25</v>
      </c>
      <c r="F270" s="47">
        <f t="shared" si="2"/>
        <v>0.6875</v>
      </c>
      <c r="G270" s="47">
        <f t="shared" si="3"/>
        <v>1</v>
      </c>
      <c r="H270" s="48">
        <f t="array" ref="H270">INDEX(dimensions!$E$2:$E$22,MATCH(C270,dimensions!$A$2:$A$22,0))</f>
        <v>2</v>
      </c>
      <c r="I270" s="47">
        <f t="shared" si="4"/>
        <v>0.5</v>
      </c>
      <c r="J270" s="47">
        <f t="shared" si="5"/>
        <v>1.375</v>
      </c>
      <c r="K270" s="47">
        <f t="shared" si="6"/>
        <v>2</v>
      </c>
      <c r="L270" s="5"/>
      <c r="M270" s="5"/>
      <c r="N270" s="5"/>
      <c r="O270" s="5"/>
      <c r="P270" s="5"/>
      <c r="Q270" s="5"/>
      <c r="R270" s="5"/>
      <c r="S270" s="5"/>
      <c r="T270" s="5"/>
      <c r="U270" s="5"/>
      <c r="V270" s="5"/>
      <c r="W270" s="5"/>
      <c r="X270" s="5"/>
      <c r="Y270" s="5"/>
      <c r="Z270" s="5"/>
    </row>
    <row r="271" ht="15.75" customHeight="1">
      <c r="A271" s="46" t="str">
        <f>archetype_prototypes!A271</f>
        <v>13</v>
      </c>
      <c r="B271" s="14" t="str">
        <f>archetype_prototypes!B271</f>
        <v>Analytical Sexualist</v>
      </c>
      <c r="C271" s="14" t="str">
        <f>archetype_prototypes!C271</f>
        <v>DIM_AVOIDANT</v>
      </c>
      <c r="D271" s="47">
        <f>archetype_prototypes!E271</f>
        <v>0.55</v>
      </c>
      <c r="E271" s="47">
        <f t="shared" si="1"/>
        <v>0.45</v>
      </c>
      <c r="F271" s="47">
        <f t="shared" si="2"/>
        <v>0.7475</v>
      </c>
      <c r="G271" s="47">
        <f t="shared" si="3"/>
        <v>1</v>
      </c>
      <c r="H271" s="48">
        <f t="array" ref="H271">INDEX(dimensions!$E$2:$E$22,MATCH(C271,dimensions!$A$2:$A$22,0))</f>
        <v>1.3</v>
      </c>
      <c r="I271" s="47">
        <f t="shared" si="4"/>
        <v>0.585</v>
      </c>
      <c r="J271" s="47">
        <f t="shared" si="5"/>
        <v>0.97175</v>
      </c>
      <c r="K271" s="47">
        <f t="shared" si="6"/>
        <v>1.3</v>
      </c>
      <c r="L271" s="5"/>
      <c r="M271" s="5"/>
      <c r="N271" s="5"/>
      <c r="O271" s="5"/>
      <c r="P271" s="5"/>
      <c r="Q271" s="5"/>
      <c r="R271" s="5"/>
      <c r="S271" s="5"/>
      <c r="T271" s="5"/>
      <c r="U271" s="5"/>
      <c r="V271" s="5"/>
      <c r="W271" s="5"/>
      <c r="X271" s="5"/>
      <c r="Y271" s="5"/>
      <c r="Z271" s="5"/>
    </row>
    <row r="272" ht="15.75" customHeight="1">
      <c r="A272" s="46" t="str">
        <f>archetype_prototypes!A272</f>
        <v>13</v>
      </c>
      <c r="B272" s="14" t="str">
        <f>archetype_prototypes!B272</f>
        <v>Analytical Sexualist</v>
      </c>
      <c r="C272" s="14" t="str">
        <f>archetype_prototypes!C272</f>
        <v>DIM_STRATEGY</v>
      </c>
      <c r="D272" s="47">
        <f>archetype_prototypes!E272</f>
        <v>0.1</v>
      </c>
      <c r="E272" s="47">
        <f t="shared" si="1"/>
        <v>0.1</v>
      </c>
      <c r="F272" s="47">
        <f t="shared" si="2"/>
        <v>0.59</v>
      </c>
      <c r="G272" s="47">
        <f t="shared" si="3"/>
        <v>1</v>
      </c>
      <c r="H272" s="48">
        <f t="array" ref="H272">INDEX(dimensions!$E$2:$E$22,MATCH(C272,dimensions!$A$2:$A$22,0))</f>
        <v>1.2</v>
      </c>
      <c r="I272" s="47">
        <f t="shared" si="4"/>
        <v>0.12</v>
      </c>
      <c r="J272" s="47">
        <f t="shared" si="5"/>
        <v>0.708</v>
      </c>
      <c r="K272" s="47">
        <f t="shared" si="6"/>
        <v>1.2</v>
      </c>
      <c r="L272" s="5"/>
      <c r="M272" s="5"/>
      <c r="N272" s="5"/>
      <c r="O272" s="5"/>
      <c r="P272" s="5"/>
      <c r="Q272" s="5"/>
      <c r="R272" s="5"/>
      <c r="S272" s="5"/>
      <c r="T272" s="5"/>
      <c r="U272" s="5"/>
      <c r="V272" s="5"/>
      <c r="W272" s="5"/>
      <c r="X272" s="5"/>
      <c r="Y272" s="5"/>
      <c r="Z272" s="5"/>
    </row>
    <row r="273" ht="15.75" customHeight="1">
      <c r="A273" s="46" t="str">
        <f>archetype_prototypes!A273</f>
        <v>13</v>
      </c>
      <c r="B273" s="14" t="str">
        <f>archetype_prototypes!B273</f>
        <v>Analytical Sexualist</v>
      </c>
      <c r="C273" s="14" t="str">
        <f>archetype_prototypes!C273</f>
        <v>DIM_CLOSENESS_ORIENTATION</v>
      </c>
      <c r="D273" s="47">
        <f>archetype_prototypes!E273</f>
        <v>0.35</v>
      </c>
      <c r="E273" s="47">
        <f t="shared" si="1"/>
        <v>0.35</v>
      </c>
      <c r="F273" s="47">
        <f t="shared" si="2"/>
        <v>0.7275</v>
      </c>
      <c r="G273" s="47">
        <f t="shared" si="3"/>
        <v>1</v>
      </c>
      <c r="H273" s="48">
        <f t="array" ref="H273">INDEX(dimensions!$E$2:$E$22,MATCH(C273,dimensions!$A$2:$A$22,0))</f>
        <v>1</v>
      </c>
      <c r="I273" s="47">
        <f t="shared" si="4"/>
        <v>0.35</v>
      </c>
      <c r="J273" s="47">
        <f t="shared" si="5"/>
        <v>0.7275</v>
      </c>
      <c r="K273" s="47">
        <f t="shared" si="6"/>
        <v>1</v>
      </c>
      <c r="L273" s="5"/>
      <c r="M273" s="5"/>
      <c r="N273" s="5"/>
      <c r="O273" s="5"/>
      <c r="P273" s="5"/>
      <c r="Q273" s="5"/>
      <c r="R273" s="5"/>
      <c r="S273" s="5"/>
      <c r="T273" s="5"/>
      <c r="U273" s="5"/>
      <c r="V273" s="5"/>
      <c r="W273" s="5"/>
      <c r="X273" s="5"/>
      <c r="Y273" s="5"/>
      <c r="Z273" s="5"/>
    </row>
    <row r="274" ht="15.75" customHeight="1">
      <c r="A274" s="46" t="str">
        <f>archetype_prototypes!A274</f>
        <v>13</v>
      </c>
      <c r="B274" s="14" t="str">
        <f>archetype_prototypes!B274</f>
        <v>Analytical Sexualist</v>
      </c>
      <c r="C274" s="14" t="str">
        <f>archetype_prototypes!C274</f>
        <v>DIM_PARTNER_FOCUS</v>
      </c>
      <c r="D274" s="47">
        <f>archetype_prototypes!E274</f>
        <v>0.4</v>
      </c>
      <c r="E274" s="47">
        <f t="shared" si="1"/>
        <v>0.4</v>
      </c>
      <c r="F274" s="47">
        <f t="shared" si="2"/>
        <v>0.74</v>
      </c>
      <c r="G274" s="47">
        <f t="shared" si="3"/>
        <v>1</v>
      </c>
      <c r="H274" s="48">
        <f t="array" ref="H274">INDEX(dimensions!$E$2:$E$22,MATCH(C274,dimensions!$A$2:$A$22,0))</f>
        <v>1.2</v>
      </c>
      <c r="I274" s="47">
        <f t="shared" si="4"/>
        <v>0.48</v>
      </c>
      <c r="J274" s="47">
        <f t="shared" si="5"/>
        <v>0.888</v>
      </c>
      <c r="K274" s="47">
        <f t="shared" si="6"/>
        <v>1.2</v>
      </c>
      <c r="L274" s="5"/>
      <c r="M274" s="5"/>
      <c r="N274" s="5"/>
      <c r="O274" s="5"/>
      <c r="P274" s="5"/>
      <c r="Q274" s="5"/>
      <c r="R274" s="5"/>
      <c r="S274" s="5"/>
      <c r="T274" s="5"/>
      <c r="U274" s="5"/>
      <c r="V274" s="5"/>
      <c r="W274" s="5"/>
      <c r="X274" s="5"/>
      <c r="Y274" s="5"/>
      <c r="Z274" s="5"/>
    </row>
    <row r="275" ht="15.75" customHeight="1">
      <c r="A275" s="46" t="str">
        <f>archetype_prototypes!A275</f>
        <v>14</v>
      </c>
      <c r="B275" s="14" t="str">
        <f>archetype_prototypes!B275</f>
        <v>Quiet Withdrawer</v>
      </c>
      <c r="C275" s="14" t="str">
        <f>archetype_prototypes!C275</f>
        <v>DIM_NOVELTY</v>
      </c>
      <c r="D275" s="47">
        <f>archetype_prototypes!E275</f>
        <v>0.1</v>
      </c>
      <c r="E275" s="47">
        <f t="shared" si="1"/>
        <v>0.1</v>
      </c>
      <c r="F275" s="47">
        <f t="shared" si="2"/>
        <v>0.59</v>
      </c>
      <c r="G275" s="47">
        <f t="shared" si="3"/>
        <v>1</v>
      </c>
      <c r="H275" s="48">
        <f t="array" ref="H275">INDEX(dimensions!$E$2:$E$22,MATCH(C275,dimensions!$A$2:$A$22,0))</f>
        <v>1.4</v>
      </c>
      <c r="I275" s="47">
        <f t="shared" si="4"/>
        <v>0.14</v>
      </c>
      <c r="J275" s="47">
        <f t="shared" si="5"/>
        <v>0.826</v>
      </c>
      <c r="K275" s="47">
        <f t="shared" si="6"/>
        <v>1.4</v>
      </c>
      <c r="L275" s="5"/>
      <c r="M275" s="5"/>
      <c r="N275" s="5"/>
      <c r="O275" s="5"/>
      <c r="P275" s="5"/>
      <c r="Q275" s="5"/>
      <c r="R275" s="5"/>
      <c r="S275" s="5"/>
      <c r="T275" s="5"/>
      <c r="U275" s="5"/>
      <c r="V275" s="5"/>
      <c r="W275" s="5"/>
      <c r="X275" s="5"/>
      <c r="Y275" s="5"/>
      <c r="Z275" s="5"/>
    </row>
    <row r="276" ht="15.75" customHeight="1">
      <c r="A276" s="46" t="str">
        <f>archetype_prototypes!A276</f>
        <v>14</v>
      </c>
      <c r="B276" s="14" t="str">
        <f>archetype_prototypes!B276</f>
        <v>Quiet Withdrawer</v>
      </c>
      <c r="C276" s="14" t="str">
        <f>archetype_prototypes!C276</f>
        <v>DIM_RESPONSIVE</v>
      </c>
      <c r="D276" s="47">
        <f>archetype_prototypes!E276</f>
        <v>0.55</v>
      </c>
      <c r="E276" s="47">
        <f t="shared" si="1"/>
        <v>0.45</v>
      </c>
      <c r="F276" s="47">
        <f t="shared" si="2"/>
        <v>0.7475</v>
      </c>
      <c r="G276" s="47">
        <f t="shared" si="3"/>
        <v>1</v>
      </c>
      <c r="H276" s="48">
        <f t="array" ref="H276">INDEX(dimensions!$E$2:$E$22,MATCH(C276,dimensions!$A$2:$A$22,0))</f>
        <v>1.6</v>
      </c>
      <c r="I276" s="47">
        <f t="shared" si="4"/>
        <v>0.72</v>
      </c>
      <c r="J276" s="47">
        <f t="shared" si="5"/>
        <v>1.196</v>
      </c>
      <c r="K276" s="47">
        <f t="shared" si="6"/>
        <v>1.6</v>
      </c>
      <c r="L276" s="5"/>
      <c r="M276" s="5"/>
      <c r="N276" s="5"/>
      <c r="O276" s="5"/>
      <c r="P276" s="5"/>
      <c r="Q276" s="5"/>
      <c r="R276" s="5"/>
      <c r="S276" s="5"/>
      <c r="T276" s="5"/>
      <c r="U276" s="5"/>
      <c r="V276" s="5"/>
      <c r="W276" s="5"/>
      <c r="X276" s="5"/>
      <c r="Y276" s="5"/>
      <c r="Z276" s="5"/>
    </row>
    <row r="277" ht="15.75" customHeight="1">
      <c r="A277" s="46" t="str">
        <f>archetype_prototypes!A277</f>
        <v>14</v>
      </c>
      <c r="B277" s="14" t="str">
        <f>archetype_prototypes!B277</f>
        <v>Quiet Withdrawer</v>
      </c>
      <c r="C277" s="14" t="str">
        <f>archetype_prototypes!C277</f>
        <v>DIM_PLANNED</v>
      </c>
      <c r="D277" s="47">
        <f>archetype_prototypes!E277</f>
        <v>0.5</v>
      </c>
      <c r="E277" s="47">
        <f t="shared" si="1"/>
        <v>0.5</v>
      </c>
      <c r="F277" s="47">
        <f t="shared" si="2"/>
        <v>0.75</v>
      </c>
      <c r="G277" s="47">
        <f t="shared" si="3"/>
        <v>1</v>
      </c>
      <c r="H277" s="48">
        <f t="array" ref="H277">INDEX(dimensions!$E$2:$E$22,MATCH(C277,dimensions!$A$2:$A$22,0))</f>
        <v>1.3</v>
      </c>
      <c r="I277" s="47">
        <f t="shared" si="4"/>
        <v>0.65</v>
      </c>
      <c r="J277" s="47">
        <f t="shared" si="5"/>
        <v>0.975</v>
      </c>
      <c r="K277" s="47">
        <f t="shared" si="6"/>
        <v>1.3</v>
      </c>
      <c r="L277" s="5"/>
      <c r="M277" s="5"/>
      <c r="N277" s="5"/>
      <c r="O277" s="5"/>
      <c r="P277" s="5"/>
      <c r="Q277" s="5"/>
      <c r="R277" s="5"/>
      <c r="S277" s="5"/>
      <c r="T277" s="5"/>
      <c r="U277" s="5"/>
      <c r="V277" s="5"/>
      <c r="W277" s="5"/>
      <c r="X277" s="5"/>
      <c r="Y277" s="5"/>
      <c r="Z277" s="5"/>
    </row>
    <row r="278" ht="15.75" customHeight="1">
      <c r="A278" s="46" t="str">
        <f>archetype_prototypes!A278</f>
        <v>14</v>
      </c>
      <c r="B278" s="14" t="str">
        <f>archetype_prototypes!B278</f>
        <v>Quiet Withdrawer</v>
      </c>
      <c r="C278" s="14" t="str">
        <f>archetype_prototypes!C278</f>
        <v>DIM_EMO_CONNECTION</v>
      </c>
      <c r="D278" s="47">
        <f>archetype_prototypes!E278</f>
        <v>0.55</v>
      </c>
      <c r="E278" s="47">
        <f t="shared" si="1"/>
        <v>0.45</v>
      </c>
      <c r="F278" s="47">
        <f t="shared" si="2"/>
        <v>0.7475</v>
      </c>
      <c r="G278" s="47">
        <f t="shared" si="3"/>
        <v>1</v>
      </c>
      <c r="H278" s="48">
        <f t="array" ref="H278">INDEX(dimensions!$E$2:$E$22,MATCH(C278,dimensions!$A$2:$A$22,0))</f>
        <v>1.4</v>
      </c>
      <c r="I278" s="47">
        <f t="shared" si="4"/>
        <v>0.63</v>
      </c>
      <c r="J278" s="47">
        <f t="shared" si="5"/>
        <v>1.0465</v>
      </c>
      <c r="K278" s="47">
        <f t="shared" si="6"/>
        <v>1.4</v>
      </c>
      <c r="L278" s="5"/>
      <c r="M278" s="5"/>
      <c r="N278" s="5"/>
      <c r="O278" s="5"/>
      <c r="P278" s="5"/>
      <c r="Q278" s="5"/>
      <c r="R278" s="5"/>
      <c r="S278" s="5"/>
      <c r="T278" s="5"/>
      <c r="U278" s="5"/>
      <c r="V278" s="5"/>
      <c r="W278" s="5"/>
      <c r="X278" s="5"/>
      <c r="Y278" s="5"/>
      <c r="Z278" s="5"/>
    </row>
    <row r="279" ht="15.75" customHeight="1">
      <c r="A279" s="46" t="str">
        <f>archetype_prototypes!A279</f>
        <v>14</v>
      </c>
      <c r="B279" s="14" t="str">
        <f>archetype_prototypes!B279</f>
        <v>Quiet Withdrawer</v>
      </c>
      <c r="C279" s="14" t="str">
        <f>archetype_prototypes!C279</f>
        <v>DIM_INTENSITY</v>
      </c>
      <c r="D279" s="47">
        <f>archetype_prototypes!E279</f>
        <v>0.1</v>
      </c>
      <c r="E279" s="47">
        <f t="shared" si="1"/>
        <v>0.1</v>
      </c>
      <c r="F279" s="47">
        <f t="shared" si="2"/>
        <v>0.59</v>
      </c>
      <c r="G279" s="47">
        <f t="shared" si="3"/>
        <v>1</v>
      </c>
      <c r="H279" s="48">
        <f t="array" ref="H279">INDEX(dimensions!$E$2:$E$22,MATCH(C279,dimensions!$A$2:$A$22,0))</f>
        <v>1.4</v>
      </c>
      <c r="I279" s="47">
        <f t="shared" si="4"/>
        <v>0.14</v>
      </c>
      <c r="J279" s="47">
        <f t="shared" si="5"/>
        <v>0.826</v>
      </c>
      <c r="K279" s="47">
        <f t="shared" si="6"/>
        <v>1.4</v>
      </c>
      <c r="L279" s="5"/>
      <c r="M279" s="5"/>
      <c r="N279" s="5"/>
      <c r="O279" s="5"/>
      <c r="P279" s="5"/>
      <c r="Q279" s="5"/>
      <c r="R279" s="5"/>
      <c r="S279" s="5"/>
      <c r="T279" s="5"/>
      <c r="U279" s="5"/>
      <c r="V279" s="5"/>
      <c r="W279" s="5"/>
      <c r="X279" s="5"/>
      <c r="Y279" s="5"/>
      <c r="Z279" s="5"/>
    </row>
    <row r="280" ht="15.75" customHeight="1">
      <c r="A280" s="46" t="str">
        <f>archetype_prototypes!A280</f>
        <v>14</v>
      </c>
      <c r="B280" s="14" t="str">
        <f>archetype_prototypes!B280</f>
        <v>Quiet Withdrawer</v>
      </c>
      <c r="C280" s="14" t="str">
        <f>archetype_prototypes!C280</f>
        <v>DIM_PURSUIT</v>
      </c>
      <c r="D280" s="47">
        <f>archetype_prototypes!E280</f>
        <v>0.1</v>
      </c>
      <c r="E280" s="47">
        <f t="shared" si="1"/>
        <v>0.1</v>
      </c>
      <c r="F280" s="47">
        <f t="shared" si="2"/>
        <v>0.59</v>
      </c>
      <c r="G280" s="47">
        <f t="shared" si="3"/>
        <v>1</v>
      </c>
      <c r="H280" s="48">
        <f t="array" ref="H280">INDEX(dimensions!$E$2:$E$22,MATCH(C280,dimensions!$A$2:$A$22,0))</f>
        <v>1.4</v>
      </c>
      <c r="I280" s="47">
        <f t="shared" si="4"/>
        <v>0.14</v>
      </c>
      <c r="J280" s="47">
        <f t="shared" si="5"/>
        <v>0.826</v>
      </c>
      <c r="K280" s="47">
        <f t="shared" si="6"/>
        <v>1.4</v>
      </c>
      <c r="L280" s="5"/>
      <c r="M280" s="5"/>
      <c r="N280" s="5"/>
      <c r="O280" s="5"/>
      <c r="P280" s="5"/>
      <c r="Q280" s="5"/>
      <c r="R280" s="5"/>
      <c r="S280" s="5"/>
      <c r="T280" s="5"/>
      <c r="U280" s="5"/>
      <c r="V280" s="5"/>
      <c r="W280" s="5"/>
      <c r="X280" s="5"/>
      <c r="Y280" s="5"/>
      <c r="Z280" s="5"/>
    </row>
    <row r="281" ht="15.75" customHeight="1">
      <c r="A281" s="46" t="str">
        <f>archetype_prototypes!A281</f>
        <v>14</v>
      </c>
      <c r="B281" s="14" t="str">
        <f>archetype_prototypes!B281</f>
        <v>Quiet Withdrawer</v>
      </c>
      <c r="C281" s="14" t="str">
        <f>archetype_prototypes!C281</f>
        <v>DIM_EDGE_NEED</v>
      </c>
      <c r="D281" s="47">
        <f>archetype_prototypes!E281</f>
        <v>0.1</v>
      </c>
      <c r="E281" s="47">
        <f t="shared" si="1"/>
        <v>0.1</v>
      </c>
      <c r="F281" s="47">
        <f t="shared" si="2"/>
        <v>0.59</v>
      </c>
      <c r="G281" s="47">
        <f t="shared" si="3"/>
        <v>1</v>
      </c>
      <c r="H281" s="48">
        <f t="array" ref="H281">INDEX(dimensions!$E$2:$E$22,MATCH(C281,dimensions!$A$2:$A$22,0))</f>
        <v>1.8</v>
      </c>
      <c r="I281" s="47">
        <f t="shared" si="4"/>
        <v>0.18</v>
      </c>
      <c r="J281" s="47">
        <f t="shared" si="5"/>
        <v>1.062</v>
      </c>
      <c r="K281" s="47">
        <f t="shared" si="6"/>
        <v>1.8</v>
      </c>
      <c r="L281" s="5"/>
      <c r="M281" s="5"/>
      <c r="N281" s="5"/>
      <c r="O281" s="5"/>
      <c r="P281" s="5"/>
      <c r="Q281" s="5"/>
      <c r="R281" s="5"/>
      <c r="S281" s="5"/>
      <c r="T281" s="5"/>
      <c r="U281" s="5"/>
      <c r="V281" s="5"/>
      <c r="W281" s="5"/>
      <c r="X281" s="5"/>
      <c r="Y281" s="5"/>
      <c r="Z281" s="5"/>
    </row>
    <row r="282" ht="15.75" customHeight="1">
      <c r="A282" s="46" t="str">
        <f>archetype_prototypes!A282</f>
        <v>14</v>
      </c>
      <c r="B282" s="14" t="str">
        <f>archetype_prototypes!B282</f>
        <v>Quiet Withdrawer</v>
      </c>
      <c r="C282" s="14" t="str">
        <f>archetype_prototypes!C282</f>
        <v>DIM_SACRED</v>
      </c>
      <c r="D282" s="47">
        <f>archetype_prototypes!E282</f>
        <v>0.2</v>
      </c>
      <c r="E282" s="47">
        <f t="shared" si="1"/>
        <v>0.2</v>
      </c>
      <c r="F282" s="47">
        <f t="shared" si="2"/>
        <v>0.66</v>
      </c>
      <c r="G282" s="47">
        <f t="shared" si="3"/>
        <v>1</v>
      </c>
      <c r="H282" s="48">
        <f t="array" ref="H282">INDEX(dimensions!$E$2:$E$22,MATCH(C282,dimensions!$A$2:$A$22,0))</f>
        <v>2</v>
      </c>
      <c r="I282" s="47">
        <f t="shared" si="4"/>
        <v>0.4</v>
      </c>
      <c r="J282" s="47">
        <f t="shared" si="5"/>
        <v>1.32</v>
      </c>
      <c r="K282" s="47">
        <f t="shared" si="6"/>
        <v>2</v>
      </c>
      <c r="L282" s="5"/>
      <c r="M282" s="5"/>
      <c r="N282" s="5"/>
      <c r="O282" s="5"/>
      <c r="P282" s="5"/>
      <c r="Q282" s="5"/>
      <c r="R282" s="5"/>
      <c r="S282" s="5"/>
      <c r="T282" s="5"/>
      <c r="U282" s="5"/>
      <c r="V282" s="5"/>
      <c r="W282" s="5"/>
      <c r="X282" s="5"/>
      <c r="Y282" s="5"/>
      <c r="Z282" s="5"/>
    </row>
    <row r="283" ht="15.75" customHeight="1">
      <c r="A283" s="46" t="str">
        <f>archetype_prototypes!A283</f>
        <v>14</v>
      </c>
      <c r="B283" s="14" t="str">
        <f>archetype_prototypes!B283</f>
        <v>Quiet Withdrawer</v>
      </c>
      <c r="C283" s="14" t="str">
        <f>archetype_prototypes!C283</f>
        <v>DIM_RISK_PREF</v>
      </c>
      <c r="D283" s="47">
        <f>archetype_prototypes!E283</f>
        <v>0.05</v>
      </c>
      <c r="E283" s="47">
        <f t="shared" si="1"/>
        <v>0.05</v>
      </c>
      <c r="F283" s="47">
        <f t="shared" si="2"/>
        <v>0.5475</v>
      </c>
      <c r="G283" s="47">
        <f t="shared" si="3"/>
        <v>1</v>
      </c>
      <c r="H283" s="48">
        <f t="array" ref="H283">INDEX(dimensions!$E$2:$E$22,MATCH(C283,dimensions!$A$2:$A$22,0))</f>
        <v>1.6</v>
      </c>
      <c r="I283" s="47">
        <f t="shared" si="4"/>
        <v>0.08</v>
      </c>
      <c r="J283" s="47">
        <f t="shared" si="5"/>
        <v>0.876</v>
      </c>
      <c r="K283" s="47">
        <f t="shared" si="6"/>
        <v>1.6</v>
      </c>
      <c r="L283" s="5"/>
      <c r="M283" s="5"/>
      <c r="N283" s="5"/>
      <c r="O283" s="5"/>
      <c r="P283" s="5"/>
      <c r="Q283" s="5"/>
      <c r="R283" s="5"/>
      <c r="S283" s="5"/>
      <c r="T283" s="5"/>
      <c r="U283" s="5"/>
      <c r="V283" s="5"/>
      <c r="W283" s="5"/>
      <c r="X283" s="5"/>
      <c r="Y283" s="5"/>
      <c r="Z283" s="5"/>
    </row>
    <row r="284" ht="15.75" customHeight="1">
      <c r="A284" s="46" t="str">
        <f>archetype_prototypes!A284</f>
        <v>14</v>
      </c>
      <c r="B284" s="14" t="str">
        <f>archetype_prototypes!B284</f>
        <v>Quiet Withdrawer</v>
      </c>
      <c r="C284" s="14" t="str">
        <f>archetype_prototypes!C284</f>
        <v>DIM_FEEDBACK_DEP</v>
      </c>
      <c r="D284" s="47">
        <f>archetype_prototypes!E284</f>
        <v>0.2</v>
      </c>
      <c r="E284" s="47">
        <f t="shared" si="1"/>
        <v>0.2</v>
      </c>
      <c r="F284" s="47">
        <f t="shared" si="2"/>
        <v>0.66</v>
      </c>
      <c r="G284" s="47">
        <f t="shared" si="3"/>
        <v>1</v>
      </c>
      <c r="H284" s="48">
        <f t="array" ref="H284">INDEX(dimensions!$E$2:$E$22,MATCH(C284,dimensions!$A$2:$A$22,0))</f>
        <v>2</v>
      </c>
      <c r="I284" s="47">
        <f t="shared" si="4"/>
        <v>0.4</v>
      </c>
      <c r="J284" s="47">
        <f t="shared" si="5"/>
        <v>1.32</v>
      </c>
      <c r="K284" s="47">
        <f t="shared" si="6"/>
        <v>2</v>
      </c>
      <c r="L284" s="5"/>
      <c r="M284" s="5"/>
      <c r="N284" s="5"/>
      <c r="O284" s="5"/>
      <c r="P284" s="5"/>
      <c r="Q284" s="5"/>
      <c r="R284" s="5"/>
      <c r="S284" s="5"/>
      <c r="T284" s="5"/>
      <c r="U284" s="5"/>
      <c r="V284" s="5"/>
      <c r="W284" s="5"/>
      <c r="X284" s="5"/>
      <c r="Y284" s="5"/>
      <c r="Z284" s="5"/>
    </row>
    <row r="285" ht="15.75" customHeight="1">
      <c r="A285" s="46" t="str">
        <f>archetype_prototypes!A285</f>
        <v>14</v>
      </c>
      <c r="B285" s="14" t="str">
        <f>archetype_prototypes!B285</f>
        <v>Quiet Withdrawer</v>
      </c>
      <c r="C285" s="14" t="str">
        <f>archetype_prototypes!C285</f>
        <v>DIM_TURNON_EXPRESS</v>
      </c>
      <c r="D285" s="47">
        <f>archetype_prototypes!E285</f>
        <v>0.15</v>
      </c>
      <c r="E285" s="47">
        <f t="shared" si="1"/>
        <v>0.15</v>
      </c>
      <c r="F285" s="47">
        <f t="shared" si="2"/>
        <v>0.6275</v>
      </c>
      <c r="G285" s="47">
        <f t="shared" si="3"/>
        <v>1</v>
      </c>
      <c r="H285" s="48">
        <f t="array" ref="H285">INDEX(dimensions!$E$2:$E$22,MATCH(C285,dimensions!$A$2:$A$22,0))</f>
        <v>1.3</v>
      </c>
      <c r="I285" s="47">
        <f t="shared" si="4"/>
        <v>0.195</v>
      </c>
      <c r="J285" s="47">
        <f t="shared" si="5"/>
        <v>0.81575</v>
      </c>
      <c r="K285" s="47">
        <f t="shared" si="6"/>
        <v>1.3</v>
      </c>
      <c r="L285" s="5"/>
      <c r="M285" s="5"/>
      <c r="N285" s="5"/>
      <c r="O285" s="5"/>
      <c r="P285" s="5"/>
      <c r="Q285" s="5"/>
      <c r="R285" s="5"/>
      <c r="S285" s="5"/>
      <c r="T285" s="5"/>
      <c r="U285" s="5"/>
      <c r="V285" s="5"/>
      <c r="W285" s="5"/>
      <c r="X285" s="5"/>
      <c r="Y285" s="5"/>
      <c r="Z285" s="5"/>
    </row>
    <row r="286" ht="15.75" customHeight="1">
      <c r="A286" s="46" t="str">
        <f>archetype_prototypes!A286</f>
        <v>14</v>
      </c>
      <c r="B286" s="14" t="str">
        <f>archetype_prototypes!B286</f>
        <v>Quiet Withdrawer</v>
      </c>
      <c r="C286" s="14" t="str">
        <f>archetype_prototypes!C286</f>
        <v>DIM_BOUNDARY_EXPRESS</v>
      </c>
      <c r="D286" s="47">
        <f>archetype_prototypes!E286</f>
        <v>0.35</v>
      </c>
      <c r="E286" s="47">
        <f t="shared" si="1"/>
        <v>0.35</v>
      </c>
      <c r="F286" s="47">
        <f t="shared" si="2"/>
        <v>0.7275</v>
      </c>
      <c r="G286" s="47">
        <f t="shared" si="3"/>
        <v>1</v>
      </c>
      <c r="H286" s="48">
        <f t="array" ref="H286">INDEX(dimensions!$E$2:$E$22,MATCH(C286,dimensions!$A$2:$A$22,0))</f>
        <v>1.3</v>
      </c>
      <c r="I286" s="47">
        <f t="shared" si="4"/>
        <v>0.455</v>
      </c>
      <c r="J286" s="47">
        <f t="shared" si="5"/>
        <v>0.94575</v>
      </c>
      <c r="K286" s="47">
        <f t="shared" si="6"/>
        <v>1.3</v>
      </c>
      <c r="L286" s="5"/>
      <c r="M286" s="5"/>
      <c r="N286" s="5"/>
      <c r="O286" s="5"/>
      <c r="P286" s="5"/>
      <c r="Q286" s="5"/>
      <c r="R286" s="5"/>
      <c r="S286" s="5"/>
      <c r="T286" s="5"/>
      <c r="U286" s="5"/>
      <c r="V286" s="5"/>
      <c r="W286" s="5"/>
      <c r="X286" s="5"/>
      <c r="Y286" s="5"/>
      <c r="Z286" s="5"/>
    </row>
    <row r="287" ht="15.75" customHeight="1">
      <c r="A287" s="46" t="str">
        <f>archetype_prototypes!A287</f>
        <v>14</v>
      </c>
      <c r="B287" s="14" t="str">
        <f>archetype_prototypes!B287</f>
        <v>Quiet Withdrawer</v>
      </c>
      <c r="C287" s="14" t="str">
        <f>archetype_prototypes!C287</f>
        <v>DIM_PROTOCOL</v>
      </c>
      <c r="D287" s="47">
        <f>archetype_prototypes!E287</f>
        <v>0.15</v>
      </c>
      <c r="E287" s="47">
        <f t="shared" si="1"/>
        <v>0.15</v>
      </c>
      <c r="F287" s="47">
        <f t="shared" si="2"/>
        <v>0.6275</v>
      </c>
      <c r="G287" s="47">
        <f t="shared" si="3"/>
        <v>1</v>
      </c>
      <c r="H287" s="48">
        <f t="array" ref="H287">INDEX(dimensions!$E$2:$E$22,MATCH(C287,dimensions!$A$2:$A$22,0))</f>
        <v>1.6</v>
      </c>
      <c r="I287" s="47">
        <f t="shared" si="4"/>
        <v>0.24</v>
      </c>
      <c r="J287" s="47">
        <f t="shared" si="5"/>
        <v>1.004</v>
      </c>
      <c r="K287" s="47">
        <f t="shared" si="6"/>
        <v>1.6</v>
      </c>
      <c r="L287" s="5"/>
      <c r="M287" s="5"/>
      <c r="N287" s="5"/>
      <c r="O287" s="5"/>
      <c r="P287" s="5"/>
      <c r="Q287" s="5"/>
      <c r="R287" s="5"/>
      <c r="S287" s="5"/>
      <c r="T287" s="5"/>
      <c r="U287" s="5"/>
      <c r="V287" s="5"/>
      <c r="W287" s="5"/>
      <c r="X287" s="5"/>
      <c r="Y287" s="5"/>
      <c r="Z287" s="5"/>
    </row>
    <row r="288" ht="15.75" customHeight="1">
      <c r="A288" s="46" t="str">
        <f>archetype_prototypes!A288</f>
        <v>14</v>
      </c>
      <c r="B288" s="14" t="str">
        <f>archetype_prototypes!B288</f>
        <v>Quiet Withdrawer</v>
      </c>
      <c r="C288" s="14" t="str">
        <f>archetype_prototypes!C288</f>
        <v>DIM_SOOTHING</v>
      </c>
      <c r="D288" s="47">
        <f>archetype_prototypes!E288</f>
        <v>0.2</v>
      </c>
      <c r="E288" s="47">
        <f t="shared" si="1"/>
        <v>0.2</v>
      </c>
      <c r="F288" s="47">
        <f t="shared" si="2"/>
        <v>0.66</v>
      </c>
      <c r="G288" s="47">
        <f t="shared" si="3"/>
        <v>1</v>
      </c>
      <c r="H288" s="48">
        <f t="array" ref="H288">INDEX(dimensions!$E$2:$E$22,MATCH(C288,dimensions!$A$2:$A$22,0))</f>
        <v>1.9</v>
      </c>
      <c r="I288" s="47">
        <f t="shared" si="4"/>
        <v>0.38</v>
      </c>
      <c r="J288" s="47">
        <f t="shared" si="5"/>
        <v>1.254</v>
      </c>
      <c r="K288" s="47">
        <f t="shared" si="6"/>
        <v>1.9</v>
      </c>
      <c r="L288" s="5"/>
      <c r="M288" s="5"/>
      <c r="N288" s="5"/>
      <c r="O288" s="5"/>
      <c r="P288" s="5"/>
      <c r="Q288" s="5"/>
      <c r="R288" s="5"/>
      <c r="S288" s="5"/>
      <c r="T288" s="5"/>
      <c r="U288" s="5"/>
      <c r="V288" s="5"/>
      <c r="W288" s="5"/>
      <c r="X288" s="5"/>
      <c r="Y288" s="5"/>
      <c r="Z288" s="5"/>
    </row>
    <row r="289" ht="15.75" customHeight="1">
      <c r="A289" s="46" t="str">
        <f>archetype_prototypes!A289</f>
        <v>14</v>
      </c>
      <c r="B289" s="14" t="str">
        <f>archetype_prototypes!B289</f>
        <v>Quiet Withdrawer</v>
      </c>
      <c r="C289" s="14" t="str">
        <f>archetype_prototypes!C289</f>
        <v>DIM_SECURE</v>
      </c>
      <c r="D289" s="47">
        <f>archetype_prototypes!E289</f>
        <v>0.2</v>
      </c>
      <c r="E289" s="47">
        <f t="shared" si="1"/>
        <v>0.2</v>
      </c>
      <c r="F289" s="47">
        <f t="shared" si="2"/>
        <v>0.66</v>
      </c>
      <c r="G289" s="47">
        <f t="shared" si="3"/>
        <v>1</v>
      </c>
      <c r="H289" s="48">
        <f t="array" ref="H289">INDEX(dimensions!$E$2:$E$22,MATCH(C289,dimensions!$A$2:$A$22,0))</f>
        <v>1</v>
      </c>
      <c r="I289" s="47">
        <f t="shared" si="4"/>
        <v>0.2</v>
      </c>
      <c r="J289" s="47">
        <f t="shared" si="5"/>
        <v>0.66</v>
      </c>
      <c r="K289" s="47">
        <f t="shared" si="6"/>
        <v>1</v>
      </c>
      <c r="L289" s="5"/>
      <c r="M289" s="5"/>
      <c r="N289" s="5"/>
      <c r="O289" s="5"/>
      <c r="P289" s="5"/>
      <c r="Q289" s="5"/>
      <c r="R289" s="5"/>
      <c r="S289" s="5"/>
      <c r="T289" s="5"/>
      <c r="U289" s="5"/>
      <c r="V289" s="5"/>
      <c r="W289" s="5"/>
      <c r="X289" s="5"/>
      <c r="Y289" s="5"/>
      <c r="Z289" s="5"/>
    </row>
    <row r="290" ht="15.75" customHeight="1">
      <c r="A290" s="46" t="str">
        <f>archetype_prototypes!A290</f>
        <v>14</v>
      </c>
      <c r="B290" s="14" t="str">
        <f>archetype_prototypes!B290</f>
        <v>Quiet Withdrawer</v>
      </c>
      <c r="C290" s="14" t="str">
        <f>archetype_prototypes!C290</f>
        <v>DIM_REPAIR_EROTICISM</v>
      </c>
      <c r="D290" s="47">
        <f>archetype_prototypes!E290</f>
        <v>0.2</v>
      </c>
      <c r="E290" s="47">
        <f t="shared" si="1"/>
        <v>0.2</v>
      </c>
      <c r="F290" s="47">
        <f t="shared" si="2"/>
        <v>0.66</v>
      </c>
      <c r="G290" s="47">
        <f t="shared" si="3"/>
        <v>1</v>
      </c>
      <c r="H290" s="48">
        <f t="array" ref="H290">INDEX(dimensions!$E$2:$E$22,MATCH(C290,dimensions!$A$2:$A$22,0))</f>
        <v>1.6</v>
      </c>
      <c r="I290" s="47">
        <f t="shared" si="4"/>
        <v>0.32</v>
      </c>
      <c r="J290" s="47">
        <f t="shared" si="5"/>
        <v>1.056</v>
      </c>
      <c r="K290" s="47">
        <f t="shared" si="6"/>
        <v>1.6</v>
      </c>
      <c r="L290" s="5"/>
      <c r="M290" s="5"/>
      <c r="N290" s="5"/>
      <c r="O290" s="5"/>
      <c r="P290" s="5"/>
      <c r="Q290" s="5"/>
      <c r="R290" s="5"/>
      <c r="S290" s="5"/>
      <c r="T290" s="5"/>
      <c r="U290" s="5"/>
      <c r="V290" s="5"/>
      <c r="W290" s="5"/>
      <c r="X290" s="5"/>
      <c r="Y290" s="5"/>
      <c r="Z290" s="5"/>
    </row>
    <row r="291" ht="15.75" customHeight="1">
      <c r="A291" s="46" t="str">
        <f>archetype_prototypes!A291</f>
        <v>14</v>
      </c>
      <c r="B291" s="14" t="str">
        <f>archetype_prototypes!B291</f>
        <v>Quiet Withdrawer</v>
      </c>
      <c r="C291" s="14" t="str">
        <f>archetype_prototypes!C291</f>
        <v>DIM_PRESSURE_SHUTDOWN</v>
      </c>
      <c r="D291" s="47">
        <f>archetype_prototypes!E291</f>
        <v>0.95</v>
      </c>
      <c r="E291" s="47">
        <f t="shared" si="1"/>
        <v>0.05</v>
      </c>
      <c r="F291" s="47">
        <f t="shared" si="2"/>
        <v>0.5475</v>
      </c>
      <c r="G291" s="47">
        <f t="shared" si="3"/>
        <v>1</v>
      </c>
      <c r="H291" s="48">
        <f t="array" ref="H291">INDEX(dimensions!$E$2:$E$22,MATCH(C291,dimensions!$A$2:$A$22,0))</f>
        <v>2</v>
      </c>
      <c r="I291" s="47">
        <f t="shared" si="4"/>
        <v>0.1</v>
      </c>
      <c r="J291" s="47">
        <f t="shared" si="5"/>
        <v>1.095</v>
      </c>
      <c r="K291" s="47">
        <f t="shared" si="6"/>
        <v>2</v>
      </c>
      <c r="L291" s="5"/>
      <c r="M291" s="5"/>
      <c r="N291" s="5"/>
      <c r="O291" s="5"/>
      <c r="P291" s="5"/>
      <c r="Q291" s="5"/>
      <c r="R291" s="5"/>
      <c r="S291" s="5"/>
      <c r="T291" s="5"/>
      <c r="U291" s="5"/>
      <c r="V291" s="5"/>
      <c r="W291" s="5"/>
      <c r="X291" s="5"/>
      <c r="Y291" s="5"/>
      <c r="Z291" s="5"/>
    </row>
    <row r="292" ht="15.75" customHeight="1">
      <c r="A292" s="46" t="str">
        <f>archetype_prototypes!A292</f>
        <v>14</v>
      </c>
      <c r="B292" s="14" t="str">
        <f>archetype_prototypes!B292</f>
        <v>Quiet Withdrawer</v>
      </c>
      <c r="C292" s="14" t="str">
        <f>archetype_prototypes!C292</f>
        <v>DIM_AVOIDANT</v>
      </c>
      <c r="D292" s="47">
        <f>archetype_prototypes!E292</f>
        <v>0.75</v>
      </c>
      <c r="E292" s="47">
        <f t="shared" si="1"/>
        <v>0.25</v>
      </c>
      <c r="F292" s="47">
        <f t="shared" si="2"/>
        <v>0.6875</v>
      </c>
      <c r="G292" s="47">
        <f t="shared" si="3"/>
        <v>1</v>
      </c>
      <c r="H292" s="48">
        <f t="array" ref="H292">INDEX(dimensions!$E$2:$E$22,MATCH(C292,dimensions!$A$2:$A$22,0))</f>
        <v>1.3</v>
      </c>
      <c r="I292" s="47">
        <f t="shared" si="4"/>
        <v>0.325</v>
      </c>
      <c r="J292" s="47">
        <f t="shared" si="5"/>
        <v>0.89375</v>
      </c>
      <c r="K292" s="47">
        <f t="shared" si="6"/>
        <v>1.3</v>
      </c>
      <c r="L292" s="5"/>
      <c r="M292" s="5"/>
      <c r="N292" s="5"/>
      <c r="O292" s="5"/>
      <c r="P292" s="5"/>
      <c r="Q292" s="5"/>
      <c r="R292" s="5"/>
      <c r="S292" s="5"/>
      <c r="T292" s="5"/>
      <c r="U292" s="5"/>
      <c r="V292" s="5"/>
      <c r="W292" s="5"/>
      <c r="X292" s="5"/>
      <c r="Y292" s="5"/>
      <c r="Z292" s="5"/>
    </row>
    <row r="293" ht="15.75" customHeight="1">
      <c r="A293" s="46" t="str">
        <f>archetype_prototypes!A293</f>
        <v>14</v>
      </c>
      <c r="B293" s="14" t="str">
        <f>archetype_prototypes!B293</f>
        <v>Quiet Withdrawer</v>
      </c>
      <c r="C293" s="14" t="str">
        <f>archetype_prototypes!C293</f>
        <v>DIM_STRATEGY</v>
      </c>
      <c r="D293" s="47">
        <f>archetype_prototypes!E293</f>
        <v>0.05</v>
      </c>
      <c r="E293" s="47">
        <f t="shared" si="1"/>
        <v>0.05</v>
      </c>
      <c r="F293" s="47">
        <f t="shared" si="2"/>
        <v>0.5475</v>
      </c>
      <c r="G293" s="47">
        <f t="shared" si="3"/>
        <v>1</v>
      </c>
      <c r="H293" s="48">
        <f t="array" ref="H293">INDEX(dimensions!$E$2:$E$22,MATCH(C293,dimensions!$A$2:$A$22,0))</f>
        <v>1.2</v>
      </c>
      <c r="I293" s="47">
        <f t="shared" si="4"/>
        <v>0.06</v>
      </c>
      <c r="J293" s="47">
        <f t="shared" si="5"/>
        <v>0.657</v>
      </c>
      <c r="K293" s="47">
        <f t="shared" si="6"/>
        <v>1.2</v>
      </c>
      <c r="L293" s="5"/>
      <c r="M293" s="5"/>
      <c r="N293" s="5"/>
      <c r="O293" s="5"/>
      <c r="P293" s="5"/>
      <c r="Q293" s="5"/>
      <c r="R293" s="5"/>
      <c r="S293" s="5"/>
      <c r="T293" s="5"/>
      <c r="U293" s="5"/>
      <c r="V293" s="5"/>
      <c r="W293" s="5"/>
      <c r="X293" s="5"/>
      <c r="Y293" s="5"/>
      <c r="Z293" s="5"/>
    </row>
    <row r="294" ht="15.75" customHeight="1">
      <c r="A294" s="46" t="str">
        <f>archetype_prototypes!A294</f>
        <v>14</v>
      </c>
      <c r="B294" s="14" t="str">
        <f>archetype_prototypes!B294</f>
        <v>Quiet Withdrawer</v>
      </c>
      <c r="C294" s="14" t="str">
        <f>archetype_prototypes!C294</f>
        <v>DIM_CLOSENESS_ORIENTATION</v>
      </c>
      <c r="D294" s="47">
        <f>archetype_prototypes!E294</f>
        <v>0.15</v>
      </c>
      <c r="E294" s="47">
        <f t="shared" si="1"/>
        <v>0.15</v>
      </c>
      <c r="F294" s="47">
        <f t="shared" si="2"/>
        <v>0.6275</v>
      </c>
      <c r="G294" s="47">
        <f t="shared" si="3"/>
        <v>1</v>
      </c>
      <c r="H294" s="48">
        <f t="array" ref="H294">INDEX(dimensions!$E$2:$E$22,MATCH(C294,dimensions!$A$2:$A$22,0))</f>
        <v>1</v>
      </c>
      <c r="I294" s="47">
        <f t="shared" si="4"/>
        <v>0.15</v>
      </c>
      <c r="J294" s="47">
        <f t="shared" si="5"/>
        <v>0.6275</v>
      </c>
      <c r="K294" s="47">
        <f t="shared" si="6"/>
        <v>1</v>
      </c>
      <c r="L294" s="5"/>
      <c r="M294" s="5"/>
      <c r="N294" s="5"/>
      <c r="O294" s="5"/>
      <c r="P294" s="5"/>
      <c r="Q294" s="5"/>
      <c r="R294" s="5"/>
      <c r="S294" s="5"/>
      <c r="T294" s="5"/>
      <c r="U294" s="5"/>
      <c r="V294" s="5"/>
      <c r="W294" s="5"/>
      <c r="X294" s="5"/>
      <c r="Y294" s="5"/>
      <c r="Z294" s="5"/>
    </row>
    <row r="295" ht="15.75" customHeight="1">
      <c r="A295" s="46" t="str">
        <f>archetype_prototypes!A295</f>
        <v>14</v>
      </c>
      <c r="B295" s="14" t="str">
        <f>archetype_prototypes!B295</f>
        <v>Quiet Withdrawer</v>
      </c>
      <c r="C295" s="14" t="str">
        <f>archetype_prototypes!C295</f>
        <v>DIM_PARTNER_FOCUS</v>
      </c>
      <c r="D295" s="47">
        <f>archetype_prototypes!E295</f>
        <v>0.3</v>
      </c>
      <c r="E295" s="47">
        <f t="shared" si="1"/>
        <v>0.3</v>
      </c>
      <c r="F295" s="47">
        <f t="shared" si="2"/>
        <v>0.71</v>
      </c>
      <c r="G295" s="47">
        <f t="shared" si="3"/>
        <v>1</v>
      </c>
      <c r="H295" s="48">
        <f t="array" ref="H295">INDEX(dimensions!$E$2:$E$22,MATCH(C295,dimensions!$A$2:$A$22,0))</f>
        <v>1.2</v>
      </c>
      <c r="I295" s="47">
        <f t="shared" si="4"/>
        <v>0.36</v>
      </c>
      <c r="J295" s="47">
        <f t="shared" si="5"/>
        <v>0.852</v>
      </c>
      <c r="K295" s="47">
        <f t="shared" si="6"/>
        <v>1.2</v>
      </c>
      <c r="L295" s="5"/>
      <c r="M295" s="5"/>
      <c r="N295" s="5"/>
      <c r="O295" s="5"/>
      <c r="P295" s="5"/>
      <c r="Q295" s="5"/>
      <c r="R295" s="5"/>
      <c r="S295" s="5"/>
      <c r="T295" s="5"/>
      <c r="U295" s="5"/>
      <c r="V295" s="5"/>
      <c r="W295" s="5"/>
      <c r="X295" s="5"/>
      <c r="Y295" s="5"/>
      <c r="Z295" s="5"/>
    </row>
    <row r="296" ht="15.75" customHeight="1">
      <c r="A296" s="5"/>
      <c r="B296" s="5"/>
      <c r="C296" s="5"/>
      <c r="D296" s="5"/>
      <c r="E296" s="5"/>
      <c r="F296" s="5"/>
      <c r="G296" s="5"/>
      <c r="H296" s="5"/>
      <c r="I296" s="5"/>
      <c r="J296" s="5"/>
      <c r="K296" s="5"/>
    </row>
    <row r="297" ht="15.75" customHeight="1">
      <c r="A297" s="5"/>
      <c r="B297" s="5"/>
      <c r="C297" s="5"/>
      <c r="D297" s="5"/>
      <c r="E297" s="5"/>
      <c r="F297" s="5"/>
      <c r="G297" s="5"/>
      <c r="H297" s="5"/>
      <c r="I297" s="5"/>
      <c r="J297" s="5"/>
      <c r="K297" s="5"/>
    </row>
    <row r="298" ht="15.75" customHeight="1">
      <c r="A298" s="5"/>
      <c r="B298" s="5"/>
      <c r="C298" s="5"/>
      <c r="D298" s="5"/>
      <c r="E298" s="5"/>
      <c r="F298" s="5"/>
      <c r="G298" s="5"/>
      <c r="H298" s="5"/>
      <c r="I298" s="5"/>
      <c r="J298" s="5"/>
      <c r="K298" s="5"/>
    </row>
    <row r="299" ht="15.75" customHeight="1">
      <c r="A299" s="5"/>
      <c r="B299" s="5"/>
      <c r="C299" s="5"/>
      <c r="D299" s="5"/>
      <c r="E299" s="5"/>
      <c r="F299" s="5"/>
      <c r="G299" s="5"/>
      <c r="H299" s="5"/>
      <c r="I299" s="5"/>
      <c r="J299" s="5"/>
      <c r="K299" s="5"/>
    </row>
    <row r="300" ht="15.75" customHeight="1">
      <c r="A300" s="5"/>
      <c r="B300" s="5"/>
      <c r="C300" s="5"/>
      <c r="D300" s="5"/>
      <c r="E300" s="5"/>
      <c r="F300" s="5"/>
      <c r="G300" s="5"/>
      <c r="H300" s="5"/>
      <c r="I300" s="5"/>
      <c r="J300" s="5"/>
      <c r="K300" s="5"/>
    </row>
    <row r="301" ht="15.75" customHeight="1">
      <c r="A301" s="5"/>
      <c r="B301" s="5"/>
      <c r="C301" s="5"/>
      <c r="D301" s="5"/>
      <c r="E301" s="5"/>
      <c r="F301" s="5"/>
      <c r="G301" s="5"/>
      <c r="H301" s="5"/>
      <c r="I301" s="5"/>
      <c r="J301" s="5"/>
      <c r="K301" s="5"/>
    </row>
    <row r="302" ht="15.75" customHeight="1">
      <c r="A302" s="5"/>
      <c r="B302" s="5"/>
      <c r="C302" s="5"/>
      <c r="D302" s="5"/>
      <c r="E302" s="5"/>
      <c r="F302" s="5"/>
      <c r="G302" s="5"/>
      <c r="H302" s="5"/>
      <c r="I302" s="5"/>
      <c r="J302" s="5"/>
      <c r="K302" s="5"/>
    </row>
    <row r="303" ht="15.75" customHeight="1">
      <c r="A303" s="5"/>
      <c r="B303" s="5"/>
      <c r="C303" s="5"/>
      <c r="D303" s="5"/>
      <c r="E303" s="5"/>
      <c r="F303" s="5"/>
      <c r="G303" s="5"/>
      <c r="H303" s="5"/>
      <c r="I303" s="5"/>
      <c r="J303" s="5"/>
      <c r="K303" s="5"/>
    </row>
    <row r="304" ht="15.75" customHeight="1">
      <c r="A304" s="5"/>
      <c r="B304" s="5"/>
      <c r="C304" s="5"/>
      <c r="D304" s="5"/>
      <c r="E304" s="5"/>
      <c r="F304" s="5"/>
      <c r="G304" s="5"/>
      <c r="H304" s="5"/>
      <c r="I304" s="5"/>
      <c r="J304" s="5"/>
      <c r="K304" s="5"/>
    </row>
    <row r="305" ht="15.75" customHeight="1">
      <c r="A305" s="5"/>
      <c r="B305" s="5"/>
      <c r="C305" s="5"/>
      <c r="D305" s="5"/>
      <c r="E305" s="5"/>
      <c r="F305" s="5"/>
      <c r="G305" s="5"/>
      <c r="H305" s="5"/>
      <c r="I305" s="5"/>
      <c r="J305" s="5"/>
      <c r="K305" s="5"/>
    </row>
    <row r="306" ht="15.75" customHeight="1">
      <c r="A306" s="5"/>
      <c r="B306" s="5"/>
      <c r="C306" s="5"/>
      <c r="D306" s="5"/>
      <c r="E306" s="5"/>
      <c r="F306" s="5"/>
      <c r="G306" s="5"/>
      <c r="H306" s="5"/>
      <c r="I306" s="5"/>
      <c r="J306" s="5"/>
      <c r="K306" s="5"/>
    </row>
    <row r="307" ht="15.75" customHeight="1">
      <c r="A307" s="5"/>
      <c r="B307" s="5"/>
      <c r="C307" s="5"/>
      <c r="D307" s="5"/>
      <c r="E307" s="5"/>
      <c r="F307" s="5"/>
      <c r="G307" s="5"/>
      <c r="H307" s="5"/>
      <c r="I307" s="5"/>
      <c r="J307" s="5"/>
      <c r="K307" s="5"/>
    </row>
    <row r="308" ht="15.75" customHeight="1">
      <c r="A308" s="5"/>
      <c r="B308" s="5"/>
      <c r="C308" s="5"/>
      <c r="D308" s="5"/>
      <c r="E308" s="5"/>
      <c r="F308" s="5"/>
      <c r="G308" s="5"/>
      <c r="H308" s="5"/>
      <c r="I308" s="5"/>
      <c r="J308" s="5"/>
      <c r="K308" s="5"/>
    </row>
    <row r="309" ht="15.75" customHeight="1">
      <c r="A309" s="5"/>
      <c r="B309" s="5"/>
      <c r="C309" s="5"/>
      <c r="D309" s="5"/>
      <c r="E309" s="5"/>
      <c r="F309" s="5"/>
      <c r="G309" s="5"/>
      <c r="H309" s="5"/>
      <c r="I309" s="5"/>
      <c r="J309" s="5"/>
      <c r="K309" s="5"/>
    </row>
    <row r="310" ht="15.75" customHeight="1">
      <c r="A310" s="5"/>
      <c r="B310" s="5"/>
      <c r="C310" s="5"/>
      <c r="D310" s="5"/>
      <c r="E310" s="5"/>
      <c r="F310" s="5"/>
      <c r="G310" s="5"/>
      <c r="H310" s="5"/>
      <c r="I310" s="5"/>
      <c r="J310" s="5"/>
      <c r="K310" s="5"/>
    </row>
    <row r="311" ht="15.75" customHeight="1">
      <c r="A311" s="5"/>
      <c r="B311" s="5"/>
      <c r="C311" s="5"/>
      <c r="D311" s="5"/>
      <c r="E311" s="5"/>
      <c r="F311" s="5"/>
      <c r="G311" s="5"/>
      <c r="H311" s="5"/>
      <c r="I311" s="5"/>
      <c r="J311" s="5"/>
      <c r="K311" s="5"/>
    </row>
    <row r="312" ht="15.75" customHeight="1">
      <c r="A312" s="5"/>
      <c r="B312" s="5"/>
      <c r="C312" s="5"/>
      <c r="D312" s="5"/>
      <c r="E312" s="5"/>
      <c r="F312" s="5"/>
      <c r="G312" s="5"/>
      <c r="H312" s="5"/>
      <c r="I312" s="5"/>
      <c r="J312" s="5"/>
      <c r="K312" s="5"/>
    </row>
    <row r="313" ht="15.75" customHeight="1">
      <c r="A313" s="5"/>
      <c r="B313" s="5"/>
      <c r="C313" s="5"/>
      <c r="D313" s="5"/>
      <c r="E313" s="5"/>
      <c r="F313" s="5"/>
      <c r="G313" s="5"/>
      <c r="H313" s="5"/>
      <c r="I313" s="5"/>
      <c r="J313" s="5"/>
      <c r="K313" s="5"/>
    </row>
    <row r="314" ht="15.75" customHeight="1">
      <c r="A314" s="5"/>
      <c r="B314" s="5"/>
      <c r="C314" s="5"/>
      <c r="D314" s="5"/>
      <c r="E314" s="5"/>
      <c r="F314" s="5"/>
      <c r="G314" s="5"/>
      <c r="H314" s="5"/>
      <c r="I314" s="5"/>
      <c r="J314" s="5"/>
      <c r="K314" s="5"/>
    </row>
    <row r="315" ht="15.75" customHeight="1">
      <c r="A315" s="5"/>
      <c r="B315" s="5"/>
      <c r="C315" s="5"/>
      <c r="D315" s="5"/>
      <c r="E315" s="5"/>
      <c r="F315" s="5"/>
      <c r="G315" s="5"/>
      <c r="H315" s="5"/>
      <c r="I315" s="5"/>
      <c r="J315" s="5"/>
      <c r="K315" s="5"/>
    </row>
    <row r="316" ht="15.75" customHeight="1">
      <c r="A316" s="5"/>
      <c r="B316" s="5"/>
      <c r="C316" s="5"/>
      <c r="D316" s="5"/>
      <c r="E316" s="5"/>
      <c r="F316" s="5"/>
      <c r="G316" s="5"/>
      <c r="H316" s="5"/>
      <c r="I316" s="5"/>
      <c r="J316" s="5"/>
      <c r="K316" s="5"/>
    </row>
    <row r="317" ht="15.75" customHeight="1">
      <c r="A317" s="5"/>
      <c r="B317" s="5"/>
      <c r="C317" s="5"/>
      <c r="D317" s="5"/>
      <c r="E317" s="5"/>
      <c r="F317" s="5"/>
      <c r="G317" s="5"/>
      <c r="H317" s="5"/>
      <c r="I317" s="5"/>
      <c r="J317" s="5"/>
      <c r="K317" s="5"/>
    </row>
    <row r="318" ht="15.75" customHeight="1">
      <c r="A318" s="5"/>
      <c r="B318" s="5"/>
      <c r="C318" s="5"/>
      <c r="D318" s="5"/>
      <c r="E318" s="5"/>
      <c r="F318" s="5"/>
      <c r="G318" s="5"/>
      <c r="H318" s="5"/>
      <c r="I318" s="5"/>
      <c r="J318" s="5"/>
      <c r="K318" s="5"/>
    </row>
    <row r="319" ht="15.75" customHeight="1">
      <c r="A319" s="5"/>
      <c r="B319" s="5"/>
      <c r="C319" s="5"/>
      <c r="D319" s="5"/>
      <c r="E319" s="5"/>
      <c r="F319" s="5"/>
      <c r="G319" s="5"/>
      <c r="H319" s="5"/>
      <c r="I319" s="5"/>
      <c r="J319" s="5"/>
      <c r="K319" s="5"/>
    </row>
    <row r="320" ht="15.75" customHeight="1">
      <c r="A320" s="5"/>
      <c r="B320" s="5"/>
      <c r="C320" s="5"/>
      <c r="D320" s="5"/>
      <c r="E320" s="5"/>
      <c r="F320" s="5"/>
      <c r="G320" s="5"/>
      <c r="H320" s="5"/>
      <c r="I320" s="5"/>
      <c r="J320" s="5"/>
      <c r="K320" s="5"/>
    </row>
    <row r="321" ht="15.75" customHeight="1">
      <c r="A321" s="5"/>
      <c r="B321" s="5"/>
      <c r="C321" s="5"/>
      <c r="D321" s="5"/>
      <c r="E321" s="5"/>
      <c r="F321" s="5"/>
      <c r="G321" s="5"/>
      <c r="H321" s="5"/>
      <c r="I321" s="5"/>
      <c r="J321" s="5"/>
      <c r="K321" s="5"/>
    </row>
    <row r="322" ht="15.75" customHeight="1">
      <c r="A322" s="5"/>
      <c r="B322" s="5"/>
      <c r="C322" s="5"/>
      <c r="D322" s="5"/>
      <c r="E322" s="5"/>
      <c r="F322" s="5"/>
      <c r="G322" s="5"/>
      <c r="H322" s="5"/>
      <c r="I322" s="5"/>
      <c r="J322" s="5"/>
      <c r="K322" s="5"/>
    </row>
    <row r="323" ht="15.75" customHeight="1">
      <c r="A323" s="5"/>
      <c r="B323" s="5"/>
      <c r="C323" s="5"/>
      <c r="D323" s="5"/>
      <c r="E323" s="5"/>
      <c r="F323" s="5"/>
      <c r="G323" s="5"/>
      <c r="H323" s="5"/>
      <c r="I323" s="5"/>
      <c r="J323" s="5"/>
      <c r="K323" s="5"/>
    </row>
    <row r="324" ht="15.75" customHeight="1">
      <c r="A324" s="5"/>
      <c r="B324" s="5"/>
      <c r="C324" s="5"/>
      <c r="D324" s="5"/>
      <c r="E324" s="5"/>
      <c r="F324" s="5"/>
      <c r="G324" s="5"/>
      <c r="H324" s="5"/>
      <c r="I324" s="5"/>
      <c r="J324" s="5"/>
      <c r="K324" s="5"/>
    </row>
    <row r="325" ht="15.75" customHeight="1">
      <c r="A325" s="5"/>
      <c r="B325" s="5"/>
      <c r="C325" s="5"/>
      <c r="D325" s="5"/>
      <c r="E325" s="5"/>
      <c r="F325" s="5"/>
      <c r="G325" s="5"/>
      <c r="H325" s="5"/>
      <c r="I325" s="5"/>
      <c r="J325" s="5"/>
      <c r="K325" s="5"/>
    </row>
    <row r="326" ht="15.75" customHeight="1">
      <c r="A326" s="5"/>
      <c r="B326" s="5"/>
      <c r="C326" s="5"/>
      <c r="D326" s="5"/>
      <c r="E326" s="5"/>
      <c r="F326" s="5"/>
      <c r="G326" s="5"/>
      <c r="H326" s="5"/>
      <c r="I326" s="5"/>
      <c r="J326" s="5"/>
      <c r="K326" s="5"/>
    </row>
    <row r="327" ht="15.75" customHeight="1">
      <c r="A327" s="5"/>
      <c r="B327" s="5"/>
      <c r="C327" s="5"/>
      <c r="D327" s="5"/>
      <c r="E327" s="5"/>
      <c r="F327" s="5"/>
      <c r="G327" s="5"/>
      <c r="H327" s="5"/>
      <c r="I327" s="5"/>
      <c r="J327" s="5"/>
      <c r="K327" s="5"/>
    </row>
    <row r="328" ht="15.75" customHeight="1">
      <c r="A328" s="5"/>
      <c r="B328" s="5"/>
      <c r="C328" s="5"/>
      <c r="D328" s="5"/>
      <c r="E328" s="5"/>
      <c r="F328" s="5"/>
      <c r="G328" s="5"/>
      <c r="H328" s="5"/>
      <c r="I328" s="5"/>
      <c r="J328" s="5"/>
      <c r="K328" s="5"/>
    </row>
    <row r="329" ht="15.75" customHeight="1">
      <c r="A329" s="5"/>
      <c r="B329" s="5"/>
      <c r="C329" s="5"/>
      <c r="D329" s="5"/>
      <c r="E329" s="5"/>
      <c r="F329" s="5"/>
      <c r="G329" s="5"/>
      <c r="H329" s="5"/>
      <c r="I329" s="5"/>
      <c r="J329" s="5"/>
      <c r="K329" s="5"/>
    </row>
    <row r="330" ht="15.75" customHeight="1">
      <c r="A330" s="5"/>
      <c r="B330" s="5"/>
      <c r="C330" s="5"/>
      <c r="D330" s="5"/>
      <c r="E330" s="5"/>
      <c r="F330" s="5"/>
      <c r="G330" s="5"/>
      <c r="H330" s="5"/>
      <c r="I330" s="5"/>
      <c r="J330" s="5"/>
      <c r="K330" s="5"/>
    </row>
    <row r="331" ht="15.75" customHeight="1">
      <c r="A331" s="5"/>
      <c r="B331" s="5"/>
      <c r="C331" s="5"/>
      <c r="D331" s="5"/>
      <c r="E331" s="5"/>
      <c r="F331" s="5"/>
      <c r="G331" s="5"/>
      <c r="H331" s="5"/>
      <c r="I331" s="5"/>
      <c r="J331" s="5"/>
      <c r="K331" s="5"/>
    </row>
    <row r="332" ht="15.75" customHeight="1">
      <c r="A332" s="5"/>
      <c r="B332" s="5"/>
      <c r="C332" s="5"/>
      <c r="D332" s="5"/>
      <c r="E332" s="5"/>
      <c r="F332" s="5"/>
      <c r="G332" s="5"/>
      <c r="H332" s="5"/>
      <c r="I332" s="5"/>
      <c r="J332" s="5"/>
      <c r="K332" s="5"/>
    </row>
    <row r="333" ht="15.75" customHeight="1">
      <c r="A333" s="5"/>
      <c r="B333" s="5"/>
      <c r="C333" s="5"/>
      <c r="D333" s="5"/>
      <c r="E333" s="5"/>
      <c r="F333" s="5"/>
      <c r="G333" s="5"/>
      <c r="H333" s="5"/>
      <c r="I333" s="5"/>
      <c r="J333" s="5"/>
      <c r="K333" s="5"/>
    </row>
    <row r="334" ht="15.75" customHeight="1">
      <c r="A334" s="5"/>
      <c r="B334" s="5"/>
      <c r="C334" s="5"/>
      <c r="D334" s="5"/>
      <c r="E334" s="5"/>
      <c r="F334" s="5"/>
      <c r="G334" s="5"/>
      <c r="H334" s="5"/>
      <c r="I334" s="5"/>
      <c r="J334" s="5"/>
      <c r="K334" s="5"/>
    </row>
    <row r="335" ht="15.75" customHeight="1">
      <c r="A335" s="5"/>
      <c r="B335" s="5"/>
      <c r="C335" s="5"/>
      <c r="D335" s="5"/>
      <c r="E335" s="5"/>
      <c r="F335" s="5"/>
      <c r="G335" s="5"/>
      <c r="H335" s="5"/>
      <c r="I335" s="5"/>
      <c r="J335" s="5"/>
      <c r="K335" s="5"/>
    </row>
    <row r="336" ht="15.75" customHeight="1">
      <c r="A336" s="5"/>
      <c r="B336" s="5"/>
      <c r="C336" s="5"/>
      <c r="D336" s="5"/>
      <c r="E336" s="5"/>
      <c r="F336" s="5"/>
      <c r="G336" s="5"/>
      <c r="H336" s="5"/>
      <c r="I336" s="5"/>
      <c r="J336" s="5"/>
      <c r="K336" s="5"/>
    </row>
    <row r="337" ht="15.75" customHeight="1">
      <c r="A337" s="5"/>
      <c r="B337" s="5"/>
      <c r="C337" s="5"/>
      <c r="D337" s="5"/>
      <c r="E337" s="5"/>
      <c r="F337" s="5"/>
      <c r="G337" s="5"/>
      <c r="H337" s="5"/>
      <c r="I337" s="5"/>
      <c r="J337" s="5"/>
      <c r="K337" s="5"/>
    </row>
    <row r="338" ht="15.75" customHeight="1">
      <c r="A338" s="5"/>
      <c r="B338" s="5"/>
      <c r="C338" s="5"/>
      <c r="D338" s="5"/>
      <c r="E338" s="5"/>
      <c r="F338" s="5"/>
      <c r="G338" s="5"/>
      <c r="H338" s="5"/>
      <c r="I338" s="5"/>
      <c r="J338" s="5"/>
      <c r="K338" s="5"/>
    </row>
    <row r="339" ht="15.75" customHeight="1">
      <c r="A339" s="5"/>
      <c r="B339" s="5"/>
      <c r="C339" s="5"/>
      <c r="D339" s="5"/>
      <c r="E339" s="5"/>
      <c r="F339" s="5"/>
      <c r="G339" s="5"/>
      <c r="H339" s="5"/>
      <c r="I339" s="5"/>
      <c r="J339" s="5"/>
      <c r="K339" s="5"/>
    </row>
    <row r="340" ht="15.75" customHeight="1">
      <c r="A340" s="5"/>
      <c r="B340" s="5"/>
      <c r="C340" s="5"/>
      <c r="D340" s="5"/>
      <c r="E340" s="5"/>
      <c r="F340" s="5"/>
      <c r="G340" s="5"/>
      <c r="H340" s="5"/>
      <c r="I340" s="5"/>
      <c r="J340" s="5"/>
      <c r="K340" s="5"/>
    </row>
    <row r="341" ht="15.75" customHeight="1">
      <c r="A341" s="5"/>
      <c r="B341" s="5"/>
      <c r="C341" s="5"/>
      <c r="D341" s="5"/>
      <c r="E341" s="5"/>
      <c r="F341" s="5"/>
      <c r="G341" s="5"/>
      <c r="H341" s="5"/>
      <c r="I341" s="5"/>
      <c r="J341" s="5"/>
      <c r="K341" s="5"/>
    </row>
    <row r="342" ht="15.75" customHeight="1">
      <c r="A342" s="5"/>
      <c r="B342" s="5"/>
      <c r="C342" s="5"/>
      <c r="D342" s="5"/>
      <c r="E342" s="5"/>
      <c r="F342" s="5"/>
      <c r="G342" s="5"/>
      <c r="H342" s="5"/>
      <c r="I342" s="5"/>
      <c r="J342" s="5"/>
      <c r="K342" s="5"/>
    </row>
    <row r="343" ht="15.75" customHeight="1">
      <c r="A343" s="5"/>
      <c r="B343" s="5"/>
      <c r="C343" s="5"/>
      <c r="D343" s="5"/>
      <c r="E343" s="5"/>
      <c r="F343" s="5"/>
      <c r="G343" s="5"/>
      <c r="H343" s="5"/>
      <c r="I343" s="5"/>
      <c r="J343" s="5"/>
      <c r="K343" s="5"/>
    </row>
    <row r="344" ht="15.75" customHeight="1">
      <c r="A344" s="5"/>
      <c r="B344" s="5"/>
      <c r="C344" s="5"/>
      <c r="D344" s="5"/>
      <c r="E344" s="5"/>
      <c r="F344" s="5"/>
      <c r="G344" s="5"/>
      <c r="H344" s="5"/>
      <c r="I344" s="5"/>
      <c r="J344" s="5"/>
      <c r="K344" s="5"/>
    </row>
    <row r="345" ht="15.75" customHeight="1">
      <c r="A345" s="5"/>
      <c r="B345" s="5"/>
      <c r="C345" s="5"/>
      <c r="D345" s="5"/>
      <c r="E345" s="5"/>
      <c r="F345" s="5"/>
      <c r="G345" s="5"/>
      <c r="H345" s="5"/>
      <c r="I345" s="5"/>
      <c r="J345" s="5"/>
      <c r="K345" s="5"/>
    </row>
    <row r="346" ht="15.75" customHeight="1">
      <c r="A346" s="5"/>
      <c r="B346" s="5"/>
      <c r="C346" s="5"/>
      <c r="D346" s="5"/>
      <c r="E346" s="5"/>
      <c r="F346" s="5"/>
      <c r="G346" s="5"/>
      <c r="H346" s="5"/>
      <c r="I346" s="5"/>
      <c r="J346" s="5"/>
      <c r="K346" s="5"/>
    </row>
    <row r="347" ht="15.75" customHeight="1">
      <c r="A347" s="5"/>
      <c r="B347" s="5"/>
      <c r="C347" s="5"/>
      <c r="D347" s="5"/>
      <c r="E347" s="5"/>
      <c r="F347" s="5"/>
      <c r="G347" s="5"/>
      <c r="H347" s="5"/>
      <c r="I347" s="5"/>
      <c r="J347" s="5"/>
      <c r="K347" s="5"/>
    </row>
    <row r="348" ht="15.75" customHeight="1">
      <c r="A348" s="5"/>
      <c r="B348" s="5"/>
      <c r="C348" s="5"/>
      <c r="D348" s="5"/>
      <c r="E348" s="5"/>
      <c r="F348" s="5"/>
      <c r="G348" s="5"/>
      <c r="H348" s="5"/>
      <c r="I348" s="5"/>
      <c r="J348" s="5"/>
      <c r="K348" s="5"/>
    </row>
    <row r="349" ht="15.75" customHeight="1">
      <c r="A349" s="5"/>
      <c r="B349" s="5"/>
      <c r="C349" s="5"/>
      <c r="D349" s="5"/>
      <c r="E349" s="5"/>
      <c r="F349" s="5"/>
      <c r="G349" s="5"/>
      <c r="H349" s="5"/>
      <c r="I349" s="5"/>
      <c r="J349" s="5"/>
      <c r="K349" s="5"/>
    </row>
    <row r="350" ht="15.75" customHeight="1">
      <c r="A350" s="5"/>
      <c r="B350" s="5"/>
      <c r="C350" s="5"/>
      <c r="D350" s="5"/>
      <c r="E350" s="5"/>
      <c r="F350" s="5"/>
      <c r="G350" s="5"/>
      <c r="H350" s="5"/>
      <c r="I350" s="5"/>
      <c r="J350" s="5"/>
      <c r="K350" s="5"/>
    </row>
    <row r="351" ht="15.75" customHeight="1">
      <c r="A351" s="5"/>
      <c r="B351" s="5"/>
      <c r="C351" s="5"/>
      <c r="D351" s="5"/>
      <c r="E351" s="5"/>
      <c r="F351" s="5"/>
      <c r="G351" s="5"/>
      <c r="H351" s="5"/>
      <c r="I351" s="5"/>
      <c r="J351" s="5"/>
      <c r="K351" s="5"/>
    </row>
    <row r="352" ht="15.75" customHeight="1">
      <c r="A352" s="5"/>
      <c r="B352" s="5"/>
      <c r="C352" s="5"/>
      <c r="D352" s="5"/>
      <c r="E352" s="5"/>
      <c r="F352" s="5"/>
      <c r="G352" s="5"/>
      <c r="H352" s="5"/>
      <c r="I352" s="5"/>
      <c r="J352" s="5"/>
      <c r="K352" s="5"/>
    </row>
    <row r="353" ht="15.75" customHeight="1">
      <c r="A353" s="5"/>
      <c r="B353" s="5"/>
      <c r="C353" s="5"/>
      <c r="D353" s="5"/>
      <c r="E353" s="5"/>
      <c r="F353" s="5"/>
      <c r="G353" s="5"/>
      <c r="H353" s="5"/>
      <c r="I353" s="5"/>
      <c r="J353" s="5"/>
      <c r="K353" s="5"/>
    </row>
    <row r="354" ht="15.75" customHeight="1">
      <c r="A354" s="5"/>
      <c r="B354" s="5"/>
      <c r="C354" s="5"/>
      <c r="D354" s="5"/>
      <c r="E354" s="5"/>
      <c r="F354" s="5"/>
      <c r="G354" s="5"/>
      <c r="H354" s="5"/>
      <c r="I354" s="5"/>
      <c r="J354" s="5"/>
      <c r="K354" s="5"/>
    </row>
    <row r="355" ht="15.75" customHeight="1">
      <c r="A355" s="5"/>
      <c r="B355" s="5"/>
      <c r="C355" s="5"/>
      <c r="D355" s="5"/>
      <c r="E355" s="5"/>
      <c r="F355" s="5"/>
      <c r="G355" s="5"/>
      <c r="H355" s="5"/>
      <c r="I355" s="5"/>
      <c r="J355" s="5"/>
      <c r="K355" s="5"/>
    </row>
    <row r="356" ht="15.75" customHeight="1">
      <c r="A356" s="5"/>
      <c r="B356" s="5"/>
      <c r="C356" s="5"/>
      <c r="D356" s="5"/>
      <c r="E356" s="5"/>
      <c r="F356" s="5"/>
      <c r="G356" s="5"/>
      <c r="H356" s="5"/>
      <c r="I356" s="5"/>
      <c r="J356" s="5"/>
      <c r="K356" s="5"/>
    </row>
    <row r="357" ht="15.75" customHeight="1">
      <c r="A357" s="5"/>
      <c r="B357" s="5"/>
      <c r="C357" s="5"/>
      <c r="D357" s="5"/>
      <c r="E357" s="5"/>
      <c r="F357" s="5"/>
      <c r="G357" s="5"/>
      <c r="H357" s="5"/>
      <c r="I357" s="5"/>
      <c r="J357" s="5"/>
      <c r="K357" s="5"/>
    </row>
    <row r="358" ht="15.75" customHeight="1">
      <c r="A358" s="5"/>
      <c r="B358" s="5"/>
      <c r="C358" s="5"/>
      <c r="D358" s="5"/>
      <c r="E358" s="5"/>
      <c r="F358" s="5"/>
      <c r="G358" s="5"/>
      <c r="H358" s="5"/>
      <c r="I358" s="5"/>
      <c r="J358" s="5"/>
      <c r="K358" s="5"/>
    </row>
    <row r="359" ht="15.75" customHeight="1">
      <c r="A359" s="5"/>
      <c r="B359" s="5"/>
      <c r="C359" s="5"/>
      <c r="D359" s="5"/>
      <c r="E359" s="5"/>
      <c r="F359" s="5"/>
      <c r="G359" s="5"/>
      <c r="H359" s="5"/>
      <c r="I359" s="5"/>
      <c r="J359" s="5"/>
      <c r="K359" s="5"/>
    </row>
    <row r="360" ht="15.75" customHeight="1">
      <c r="A360" s="5"/>
      <c r="B360" s="5"/>
      <c r="C360" s="5"/>
      <c r="D360" s="5"/>
      <c r="E360" s="5"/>
      <c r="F360" s="5"/>
      <c r="G360" s="5"/>
      <c r="H360" s="5"/>
      <c r="I360" s="5"/>
      <c r="J360" s="5"/>
      <c r="K360" s="5"/>
    </row>
    <row r="361" ht="15.75" customHeight="1">
      <c r="A361" s="5"/>
      <c r="B361" s="5"/>
      <c r="C361" s="5"/>
      <c r="D361" s="5"/>
      <c r="E361" s="5"/>
      <c r="F361" s="5"/>
      <c r="G361" s="5"/>
      <c r="H361" s="5"/>
      <c r="I361" s="5"/>
      <c r="J361" s="5"/>
      <c r="K361" s="5"/>
    </row>
    <row r="362" ht="15.75" customHeight="1">
      <c r="A362" s="5"/>
      <c r="B362" s="5"/>
      <c r="C362" s="5"/>
      <c r="D362" s="5"/>
      <c r="E362" s="5"/>
      <c r="F362" s="5"/>
      <c r="G362" s="5"/>
      <c r="H362" s="5"/>
      <c r="I362" s="5"/>
      <c r="J362" s="5"/>
      <c r="K362" s="5"/>
    </row>
    <row r="363" ht="15.75" customHeight="1">
      <c r="A363" s="5"/>
      <c r="B363" s="5"/>
      <c r="C363" s="5"/>
      <c r="D363" s="5"/>
      <c r="E363" s="5"/>
      <c r="F363" s="5"/>
      <c r="G363" s="5"/>
      <c r="H363" s="5"/>
      <c r="I363" s="5"/>
      <c r="J363" s="5"/>
      <c r="K363" s="5"/>
    </row>
    <row r="364" ht="15.75" customHeight="1">
      <c r="A364" s="5"/>
      <c r="B364" s="5"/>
      <c r="C364" s="5"/>
      <c r="D364" s="5"/>
      <c r="E364" s="5"/>
      <c r="F364" s="5"/>
      <c r="G364" s="5"/>
      <c r="H364" s="5"/>
      <c r="I364" s="5"/>
      <c r="J364" s="5"/>
      <c r="K364" s="5"/>
    </row>
    <row r="365" ht="15.75" customHeight="1">
      <c r="A365" s="5"/>
      <c r="B365" s="5"/>
      <c r="C365" s="5"/>
      <c r="D365" s="5"/>
      <c r="E365" s="5"/>
      <c r="F365" s="5"/>
      <c r="G365" s="5"/>
      <c r="H365" s="5"/>
      <c r="I365" s="5"/>
      <c r="J365" s="5"/>
      <c r="K365" s="5"/>
    </row>
    <row r="366" ht="15.75" customHeight="1">
      <c r="A366" s="5"/>
      <c r="B366" s="5"/>
      <c r="C366" s="5"/>
      <c r="D366" s="5"/>
      <c r="E366" s="5"/>
      <c r="F366" s="5"/>
      <c r="G366" s="5"/>
      <c r="H366" s="5"/>
      <c r="I366" s="5"/>
      <c r="J366" s="5"/>
      <c r="K366" s="5"/>
    </row>
    <row r="367" ht="15.75" customHeight="1">
      <c r="A367" s="5"/>
      <c r="B367" s="5"/>
      <c r="C367" s="5"/>
      <c r="D367" s="5"/>
      <c r="E367" s="5"/>
      <c r="F367" s="5"/>
      <c r="G367" s="5"/>
      <c r="H367" s="5"/>
      <c r="I367" s="5"/>
      <c r="J367" s="5"/>
      <c r="K367" s="5"/>
    </row>
    <row r="368" ht="15.75" customHeight="1">
      <c r="A368" s="5"/>
      <c r="B368" s="5"/>
      <c r="C368" s="5"/>
      <c r="D368" s="5"/>
      <c r="E368" s="5"/>
      <c r="F368" s="5"/>
      <c r="G368" s="5"/>
      <c r="H368" s="5"/>
      <c r="I368" s="5"/>
      <c r="J368" s="5"/>
      <c r="K368" s="5"/>
    </row>
    <row r="369" ht="15.75" customHeight="1">
      <c r="A369" s="5"/>
      <c r="B369" s="5"/>
      <c r="C369" s="5"/>
      <c r="D369" s="5"/>
      <c r="E369" s="5"/>
      <c r="F369" s="5"/>
      <c r="G369" s="5"/>
      <c r="H369" s="5"/>
      <c r="I369" s="5"/>
      <c r="J369" s="5"/>
      <c r="K369" s="5"/>
    </row>
    <row r="370" ht="15.75" customHeight="1">
      <c r="A370" s="5"/>
      <c r="B370" s="5"/>
      <c r="C370" s="5"/>
      <c r="D370" s="5"/>
      <c r="E370" s="5"/>
      <c r="F370" s="5"/>
      <c r="G370" s="5"/>
      <c r="H370" s="5"/>
      <c r="I370" s="5"/>
      <c r="J370" s="5"/>
      <c r="K370" s="5"/>
    </row>
    <row r="371" ht="15.75" customHeight="1">
      <c r="A371" s="5"/>
      <c r="B371" s="5"/>
      <c r="C371" s="5"/>
      <c r="D371" s="5"/>
      <c r="E371" s="5"/>
      <c r="F371" s="5"/>
      <c r="G371" s="5"/>
      <c r="H371" s="5"/>
      <c r="I371" s="5"/>
      <c r="J371" s="5"/>
      <c r="K371" s="5"/>
    </row>
    <row r="372" ht="15.75" customHeight="1">
      <c r="A372" s="5"/>
      <c r="B372" s="5"/>
      <c r="C372" s="5"/>
      <c r="D372" s="5"/>
      <c r="E372" s="5"/>
      <c r="F372" s="5"/>
      <c r="G372" s="5"/>
      <c r="H372" s="5"/>
      <c r="I372" s="5"/>
      <c r="J372" s="5"/>
      <c r="K372" s="5"/>
    </row>
    <row r="373" ht="15.75" customHeight="1">
      <c r="A373" s="5"/>
      <c r="B373" s="5"/>
      <c r="C373" s="5"/>
      <c r="D373" s="5"/>
      <c r="E373" s="5"/>
      <c r="F373" s="5"/>
      <c r="G373" s="5"/>
      <c r="H373" s="5"/>
      <c r="I373" s="5"/>
      <c r="J373" s="5"/>
      <c r="K373" s="5"/>
    </row>
    <row r="374" ht="15.75" customHeight="1">
      <c r="A374" s="5"/>
      <c r="B374" s="5"/>
      <c r="C374" s="5"/>
      <c r="D374" s="5"/>
      <c r="E374" s="5"/>
      <c r="F374" s="5"/>
      <c r="G374" s="5"/>
      <c r="H374" s="5"/>
      <c r="I374" s="5"/>
      <c r="J374" s="5"/>
      <c r="K374" s="5"/>
    </row>
    <row r="375" ht="15.75" customHeight="1">
      <c r="A375" s="5"/>
      <c r="B375" s="5"/>
      <c r="C375" s="5"/>
      <c r="D375" s="5"/>
      <c r="E375" s="5"/>
      <c r="F375" s="5"/>
      <c r="G375" s="5"/>
      <c r="H375" s="5"/>
      <c r="I375" s="5"/>
      <c r="J375" s="5"/>
      <c r="K375" s="5"/>
    </row>
    <row r="376" ht="15.75" customHeight="1">
      <c r="A376" s="5"/>
      <c r="B376" s="5"/>
      <c r="C376" s="5"/>
      <c r="D376" s="5"/>
      <c r="E376" s="5"/>
      <c r="F376" s="5"/>
      <c r="G376" s="5"/>
      <c r="H376" s="5"/>
      <c r="I376" s="5"/>
      <c r="J376" s="5"/>
      <c r="K376" s="5"/>
    </row>
    <row r="377" ht="15.75" customHeight="1">
      <c r="A377" s="5"/>
      <c r="B377" s="5"/>
      <c r="C377" s="5"/>
      <c r="D377" s="5"/>
      <c r="E377" s="5"/>
      <c r="F377" s="5"/>
      <c r="G377" s="5"/>
      <c r="H377" s="5"/>
      <c r="I377" s="5"/>
      <c r="J377" s="5"/>
      <c r="K377" s="5"/>
    </row>
    <row r="378" ht="15.75" customHeight="1">
      <c r="A378" s="5"/>
      <c r="B378" s="5"/>
      <c r="C378" s="5"/>
      <c r="D378" s="5"/>
      <c r="E378" s="5"/>
      <c r="F378" s="5"/>
      <c r="G378" s="5"/>
      <c r="H378" s="5"/>
      <c r="I378" s="5"/>
      <c r="J378" s="5"/>
      <c r="K378" s="5"/>
    </row>
    <row r="379" ht="15.75" customHeight="1">
      <c r="A379" s="5"/>
      <c r="B379" s="5"/>
      <c r="C379" s="5"/>
      <c r="D379" s="5"/>
      <c r="E379" s="5"/>
      <c r="F379" s="5"/>
      <c r="G379" s="5"/>
      <c r="H379" s="5"/>
      <c r="I379" s="5"/>
      <c r="J379" s="5"/>
      <c r="K379" s="5"/>
    </row>
    <row r="380" ht="15.75" customHeight="1">
      <c r="A380" s="5"/>
      <c r="B380" s="5"/>
      <c r="C380" s="5"/>
      <c r="D380" s="5"/>
      <c r="E380" s="5"/>
      <c r="F380" s="5"/>
      <c r="G380" s="5"/>
      <c r="H380" s="5"/>
      <c r="I380" s="5"/>
      <c r="J380" s="5"/>
      <c r="K380" s="5"/>
    </row>
    <row r="381" ht="15.75" customHeight="1">
      <c r="A381" s="5"/>
      <c r="B381" s="5"/>
      <c r="C381" s="5"/>
      <c r="D381" s="5"/>
      <c r="E381" s="5"/>
      <c r="F381" s="5"/>
      <c r="G381" s="5"/>
      <c r="H381" s="5"/>
      <c r="I381" s="5"/>
      <c r="J381" s="5"/>
      <c r="K381" s="5"/>
    </row>
    <row r="382" ht="15.75" customHeight="1">
      <c r="A382" s="5"/>
      <c r="B382" s="5"/>
      <c r="C382" s="5"/>
      <c r="D382" s="5"/>
      <c r="E382" s="5"/>
      <c r="F382" s="5"/>
      <c r="G382" s="5"/>
      <c r="H382" s="5"/>
      <c r="I382" s="5"/>
      <c r="J382" s="5"/>
      <c r="K382" s="5"/>
    </row>
    <row r="383" ht="15.75" customHeight="1">
      <c r="A383" s="5"/>
      <c r="B383" s="5"/>
      <c r="C383" s="5"/>
      <c r="D383" s="5"/>
      <c r="E383" s="5"/>
      <c r="F383" s="5"/>
      <c r="G383" s="5"/>
      <c r="H383" s="5"/>
      <c r="I383" s="5"/>
      <c r="J383" s="5"/>
      <c r="K383" s="5"/>
    </row>
    <row r="384" ht="15.75" customHeight="1">
      <c r="A384" s="5"/>
      <c r="B384" s="5"/>
      <c r="C384" s="5"/>
      <c r="D384" s="5"/>
      <c r="E384" s="5"/>
      <c r="F384" s="5"/>
      <c r="G384" s="5"/>
      <c r="H384" s="5"/>
      <c r="I384" s="5"/>
      <c r="J384" s="5"/>
      <c r="K384" s="5"/>
    </row>
    <row r="385" ht="15.75" customHeight="1">
      <c r="A385" s="5"/>
      <c r="B385" s="5"/>
      <c r="C385" s="5"/>
      <c r="D385" s="5"/>
      <c r="E385" s="5"/>
      <c r="F385" s="5"/>
      <c r="G385" s="5"/>
      <c r="H385" s="5"/>
      <c r="I385" s="5"/>
      <c r="J385" s="5"/>
      <c r="K385" s="5"/>
    </row>
    <row r="386" ht="15.75" customHeight="1">
      <c r="A386" s="5"/>
      <c r="B386" s="5"/>
      <c r="C386" s="5"/>
      <c r="D386" s="5"/>
      <c r="E386" s="5"/>
      <c r="F386" s="5"/>
      <c r="G386" s="5"/>
      <c r="H386" s="5"/>
      <c r="I386" s="5"/>
      <c r="J386" s="5"/>
      <c r="K386" s="5"/>
    </row>
    <row r="387" ht="15.75" customHeight="1">
      <c r="A387" s="5"/>
      <c r="B387" s="5"/>
      <c r="C387" s="5"/>
      <c r="D387" s="5"/>
      <c r="E387" s="5"/>
      <c r="F387" s="5"/>
      <c r="G387" s="5"/>
      <c r="H387" s="5"/>
      <c r="I387" s="5"/>
      <c r="J387" s="5"/>
      <c r="K387" s="5"/>
    </row>
    <row r="388" ht="15.75" customHeight="1">
      <c r="A388" s="5"/>
      <c r="B388" s="5"/>
      <c r="C388" s="5"/>
      <c r="D388" s="5"/>
      <c r="E388" s="5"/>
      <c r="F388" s="5"/>
      <c r="G388" s="5"/>
      <c r="H388" s="5"/>
      <c r="I388" s="5"/>
      <c r="J388" s="5"/>
      <c r="K388" s="5"/>
    </row>
    <row r="389" ht="15.75" customHeight="1">
      <c r="A389" s="5"/>
      <c r="B389" s="5"/>
      <c r="C389" s="5"/>
      <c r="D389" s="5"/>
      <c r="E389" s="5"/>
      <c r="F389" s="5"/>
      <c r="G389" s="5"/>
      <c r="H389" s="5"/>
      <c r="I389" s="5"/>
      <c r="J389" s="5"/>
      <c r="K389" s="5"/>
    </row>
    <row r="390" ht="15.75" customHeight="1">
      <c r="A390" s="5"/>
      <c r="B390" s="5"/>
      <c r="C390" s="5"/>
      <c r="D390" s="5"/>
      <c r="E390" s="5"/>
      <c r="F390" s="5"/>
      <c r="G390" s="5"/>
      <c r="H390" s="5"/>
      <c r="I390" s="5"/>
      <c r="J390" s="5"/>
      <c r="K390" s="5"/>
    </row>
    <row r="391" ht="15.75" customHeight="1">
      <c r="A391" s="5"/>
      <c r="B391" s="5"/>
      <c r="C391" s="5"/>
      <c r="D391" s="5"/>
      <c r="E391" s="5"/>
      <c r="F391" s="5"/>
      <c r="G391" s="5"/>
      <c r="H391" s="5"/>
      <c r="I391" s="5"/>
      <c r="J391" s="5"/>
      <c r="K391" s="5"/>
    </row>
    <row r="392" ht="15.75" customHeight="1">
      <c r="A392" s="5"/>
      <c r="B392" s="5"/>
      <c r="C392" s="5"/>
      <c r="D392" s="5"/>
      <c r="E392" s="5"/>
      <c r="F392" s="5"/>
      <c r="G392" s="5"/>
      <c r="H392" s="5"/>
      <c r="I392" s="5"/>
      <c r="J392" s="5"/>
      <c r="K392" s="5"/>
    </row>
    <row r="393" ht="15.75" customHeight="1">
      <c r="A393" s="5"/>
      <c r="B393" s="5"/>
      <c r="C393" s="5"/>
      <c r="D393" s="5"/>
      <c r="E393" s="5"/>
      <c r="F393" s="5"/>
      <c r="G393" s="5"/>
      <c r="H393" s="5"/>
      <c r="I393" s="5"/>
      <c r="J393" s="5"/>
      <c r="K393" s="5"/>
    </row>
    <row r="394" ht="15.75" customHeight="1">
      <c r="A394" s="5"/>
      <c r="B394" s="5"/>
      <c r="C394" s="5"/>
      <c r="D394" s="5"/>
      <c r="E394" s="5"/>
      <c r="F394" s="5"/>
      <c r="G394" s="5"/>
      <c r="H394" s="5"/>
      <c r="I394" s="5"/>
      <c r="J394" s="5"/>
      <c r="K394" s="5"/>
    </row>
    <row r="395" ht="15.75" customHeight="1">
      <c r="A395" s="5"/>
      <c r="B395" s="5"/>
      <c r="C395" s="5"/>
      <c r="D395" s="5"/>
      <c r="E395" s="5"/>
      <c r="F395" s="5"/>
      <c r="G395" s="5"/>
      <c r="H395" s="5"/>
      <c r="I395" s="5"/>
      <c r="J395" s="5"/>
      <c r="K395" s="5"/>
    </row>
    <row r="396" ht="15.75" customHeight="1">
      <c r="A396" s="5"/>
      <c r="B396" s="5"/>
      <c r="C396" s="5"/>
      <c r="D396" s="5"/>
      <c r="E396" s="5"/>
      <c r="F396" s="5"/>
      <c r="G396" s="5"/>
      <c r="H396" s="5"/>
      <c r="I396" s="5"/>
      <c r="J396" s="5"/>
      <c r="K396" s="5"/>
    </row>
    <row r="397" ht="15.75" customHeight="1">
      <c r="A397" s="5"/>
      <c r="B397" s="5"/>
      <c r="C397" s="5"/>
      <c r="D397" s="5"/>
      <c r="E397" s="5"/>
      <c r="F397" s="5"/>
      <c r="G397" s="5"/>
      <c r="H397" s="5"/>
      <c r="I397" s="5"/>
      <c r="J397" s="5"/>
      <c r="K397" s="5"/>
    </row>
    <row r="398" ht="15.75" customHeight="1">
      <c r="A398" s="5"/>
      <c r="B398" s="5"/>
      <c r="C398" s="5"/>
      <c r="D398" s="5"/>
      <c r="E398" s="5"/>
      <c r="F398" s="5"/>
      <c r="G398" s="5"/>
      <c r="H398" s="5"/>
      <c r="I398" s="5"/>
      <c r="J398" s="5"/>
      <c r="K398" s="5"/>
    </row>
    <row r="399" ht="15.75" customHeight="1">
      <c r="A399" s="5"/>
      <c r="B399" s="5"/>
      <c r="C399" s="5"/>
      <c r="D399" s="5"/>
      <c r="E399" s="5"/>
      <c r="F399" s="5"/>
      <c r="G399" s="5"/>
      <c r="H399" s="5"/>
      <c r="I399" s="5"/>
      <c r="J399" s="5"/>
      <c r="K399" s="5"/>
    </row>
    <row r="400" ht="15.75" customHeight="1">
      <c r="A400" s="5"/>
      <c r="B400" s="5"/>
      <c r="C400" s="5"/>
      <c r="D400" s="5"/>
      <c r="E400" s="5"/>
      <c r="F400" s="5"/>
      <c r="G400" s="5"/>
      <c r="H400" s="5"/>
      <c r="I400" s="5"/>
      <c r="J400" s="5"/>
      <c r="K400" s="5"/>
    </row>
    <row r="401" ht="15.75" customHeight="1">
      <c r="A401" s="5"/>
      <c r="B401" s="5"/>
      <c r="C401" s="5"/>
      <c r="D401" s="5"/>
      <c r="E401" s="5"/>
      <c r="F401" s="5"/>
      <c r="G401" s="5"/>
      <c r="H401" s="5"/>
      <c r="I401" s="5"/>
      <c r="J401" s="5"/>
      <c r="K401" s="5"/>
    </row>
    <row r="402" ht="15.75" customHeight="1">
      <c r="A402" s="5"/>
      <c r="B402" s="5"/>
      <c r="C402" s="5"/>
      <c r="D402" s="5"/>
      <c r="E402" s="5"/>
      <c r="F402" s="5"/>
      <c r="G402" s="5"/>
      <c r="H402" s="5"/>
      <c r="I402" s="5"/>
      <c r="J402" s="5"/>
      <c r="K402" s="5"/>
    </row>
    <row r="403" ht="15.75" customHeight="1">
      <c r="A403" s="5"/>
      <c r="B403" s="5"/>
      <c r="C403" s="5"/>
      <c r="D403" s="5"/>
      <c r="E403" s="5"/>
      <c r="F403" s="5"/>
      <c r="G403" s="5"/>
      <c r="H403" s="5"/>
      <c r="I403" s="5"/>
      <c r="J403" s="5"/>
      <c r="K403" s="5"/>
    </row>
    <row r="404" ht="15.75" customHeight="1">
      <c r="A404" s="5"/>
      <c r="B404" s="5"/>
      <c r="C404" s="5"/>
      <c r="D404" s="5"/>
      <c r="E404" s="5"/>
      <c r="F404" s="5"/>
      <c r="G404" s="5"/>
      <c r="H404" s="5"/>
      <c r="I404" s="5"/>
      <c r="J404" s="5"/>
      <c r="K404" s="5"/>
    </row>
    <row r="405" ht="15.75" customHeight="1">
      <c r="A405" s="5"/>
      <c r="B405" s="5"/>
      <c r="C405" s="5"/>
      <c r="D405" s="5"/>
      <c r="E405" s="5"/>
      <c r="F405" s="5"/>
      <c r="G405" s="5"/>
      <c r="H405" s="5"/>
      <c r="I405" s="5"/>
      <c r="J405" s="5"/>
      <c r="K405" s="5"/>
    </row>
    <row r="406" ht="15.75" customHeight="1">
      <c r="A406" s="5"/>
      <c r="B406" s="5"/>
      <c r="C406" s="5"/>
      <c r="D406" s="5"/>
      <c r="E406" s="5"/>
      <c r="F406" s="5"/>
      <c r="G406" s="5"/>
      <c r="H406" s="5"/>
      <c r="I406" s="5"/>
      <c r="J406" s="5"/>
      <c r="K406" s="5"/>
    </row>
    <row r="407" ht="15.75" customHeight="1">
      <c r="A407" s="5"/>
      <c r="B407" s="5"/>
      <c r="C407" s="5"/>
      <c r="D407" s="5"/>
      <c r="E407" s="5"/>
      <c r="F407" s="5"/>
      <c r="G407" s="5"/>
      <c r="H407" s="5"/>
      <c r="I407" s="5"/>
      <c r="J407" s="5"/>
      <c r="K407" s="5"/>
    </row>
    <row r="408" ht="15.75" customHeight="1">
      <c r="A408" s="5"/>
      <c r="B408" s="5"/>
      <c r="C408" s="5"/>
      <c r="D408" s="5"/>
      <c r="E408" s="5"/>
      <c r="F408" s="5"/>
      <c r="G408" s="5"/>
      <c r="H408" s="5"/>
      <c r="I408" s="5"/>
      <c r="J408" s="5"/>
      <c r="K408" s="5"/>
    </row>
    <row r="409" ht="15.75" customHeight="1">
      <c r="A409" s="5"/>
      <c r="B409" s="5"/>
      <c r="C409" s="5"/>
      <c r="D409" s="5"/>
      <c r="E409" s="5"/>
      <c r="F409" s="5"/>
      <c r="G409" s="5"/>
      <c r="H409" s="5"/>
      <c r="I409" s="5"/>
      <c r="J409" s="5"/>
      <c r="K409" s="5"/>
    </row>
    <row r="410" ht="15.75" customHeight="1">
      <c r="A410" s="5"/>
      <c r="B410" s="5"/>
      <c r="C410" s="5"/>
      <c r="D410" s="5"/>
      <c r="E410" s="5"/>
      <c r="F410" s="5"/>
      <c r="G410" s="5"/>
      <c r="H410" s="5"/>
      <c r="I410" s="5"/>
      <c r="J410" s="5"/>
      <c r="K410" s="5"/>
    </row>
    <row r="411" ht="15.75" customHeight="1">
      <c r="A411" s="5"/>
      <c r="B411" s="5"/>
      <c r="C411" s="5"/>
      <c r="D411" s="5"/>
      <c r="E411" s="5"/>
      <c r="F411" s="5"/>
      <c r="G411" s="5"/>
      <c r="H411" s="5"/>
      <c r="I411" s="5"/>
      <c r="J411" s="5"/>
      <c r="K411" s="5"/>
    </row>
    <row r="412" ht="15.75" customHeight="1">
      <c r="A412" s="5"/>
      <c r="B412" s="5"/>
      <c r="C412" s="5"/>
      <c r="D412" s="5"/>
      <c r="E412" s="5"/>
      <c r="F412" s="5"/>
      <c r="G412" s="5"/>
      <c r="H412" s="5"/>
      <c r="I412" s="5"/>
      <c r="J412" s="5"/>
      <c r="K412" s="5"/>
    </row>
    <row r="413" ht="15.75" customHeight="1">
      <c r="A413" s="5"/>
      <c r="B413" s="5"/>
      <c r="C413" s="5"/>
      <c r="D413" s="5"/>
      <c r="E413" s="5"/>
      <c r="F413" s="5"/>
      <c r="G413" s="5"/>
      <c r="H413" s="5"/>
      <c r="I413" s="5"/>
      <c r="J413" s="5"/>
      <c r="K413" s="5"/>
    </row>
    <row r="414" ht="15.75" customHeight="1">
      <c r="A414" s="5"/>
      <c r="B414" s="5"/>
      <c r="C414" s="5"/>
      <c r="D414" s="5"/>
      <c r="E414" s="5"/>
      <c r="F414" s="5"/>
      <c r="G414" s="5"/>
      <c r="H414" s="5"/>
      <c r="I414" s="5"/>
      <c r="J414" s="5"/>
      <c r="K414" s="5"/>
    </row>
    <row r="415" ht="15.75" customHeight="1">
      <c r="A415" s="5"/>
      <c r="B415" s="5"/>
      <c r="C415" s="5"/>
      <c r="D415" s="5"/>
      <c r="E415" s="5"/>
      <c r="F415" s="5"/>
      <c r="G415" s="5"/>
      <c r="H415" s="5"/>
      <c r="I415" s="5"/>
      <c r="J415" s="5"/>
      <c r="K415" s="5"/>
    </row>
    <row r="416" ht="15.75" customHeight="1">
      <c r="A416" s="5"/>
      <c r="B416" s="5"/>
      <c r="C416" s="5"/>
      <c r="D416" s="5"/>
      <c r="E416" s="5"/>
      <c r="F416" s="5"/>
      <c r="G416" s="5"/>
      <c r="H416" s="5"/>
      <c r="I416" s="5"/>
      <c r="J416" s="5"/>
      <c r="K416" s="5"/>
    </row>
    <row r="417" ht="15.75" customHeight="1">
      <c r="A417" s="5"/>
      <c r="B417" s="5"/>
      <c r="C417" s="5"/>
      <c r="D417" s="5"/>
      <c r="E417" s="5"/>
      <c r="F417" s="5"/>
      <c r="G417" s="5"/>
      <c r="H417" s="5"/>
      <c r="I417" s="5"/>
      <c r="J417" s="5"/>
      <c r="K417" s="5"/>
    </row>
    <row r="418" ht="15.75" customHeight="1">
      <c r="A418" s="5"/>
      <c r="B418" s="5"/>
      <c r="C418" s="5"/>
      <c r="D418" s="5"/>
      <c r="E418" s="5"/>
      <c r="F418" s="5"/>
      <c r="G418" s="5"/>
      <c r="H418" s="5"/>
      <c r="I418" s="5"/>
      <c r="J418" s="5"/>
      <c r="K418" s="5"/>
    </row>
    <row r="419" ht="15.75" customHeight="1">
      <c r="A419" s="5"/>
      <c r="B419" s="5"/>
      <c r="C419" s="5"/>
      <c r="D419" s="5"/>
      <c r="E419" s="5"/>
      <c r="F419" s="5"/>
      <c r="G419" s="5"/>
      <c r="H419" s="5"/>
      <c r="I419" s="5"/>
      <c r="J419" s="5"/>
      <c r="K419" s="5"/>
    </row>
    <row r="420" ht="15.75" customHeight="1">
      <c r="A420" s="5"/>
      <c r="B420" s="5"/>
      <c r="C420" s="5"/>
      <c r="D420" s="5"/>
      <c r="E420" s="5"/>
      <c r="F420" s="5"/>
      <c r="G420" s="5"/>
      <c r="H420" s="5"/>
      <c r="I420" s="5"/>
      <c r="J420" s="5"/>
      <c r="K420" s="5"/>
    </row>
    <row r="421" ht="15.75" customHeight="1">
      <c r="A421" s="5"/>
      <c r="B421" s="5"/>
      <c r="C421" s="5"/>
      <c r="D421" s="5"/>
      <c r="E421" s="5"/>
      <c r="F421" s="5"/>
      <c r="G421" s="5"/>
      <c r="H421" s="5"/>
      <c r="I421" s="5"/>
      <c r="J421" s="5"/>
      <c r="K421" s="5"/>
    </row>
    <row r="422" ht="15.75" customHeight="1">
      <c r="A422" s="5"/>
      <c r="B422" s="5"/>
      <c r="C422" s="5"/>
      <c r="D422" s="5"/>
      <c r="E422" s="5"/>
      <c r="F422" s="5"/>
      <c r="G422" s="5"/>
      <c r="H422" s="5"/>
      <c r="I422" s="5"/>
      <c r="J422" s="5"/>
      <c r="K422" s="5"/>
    </row>
    <row r="423" ht="15.75" customHeight="1">
      <c r="A423" s="5"/>
      <c r="B423" s="5"/>
      <c r="C423" s="5"/>
      <c r="D423" s="5"/>
      <c r="E423" s="5"/>
      <c r="F423" s="5"/>
      <c r="G423" s="5"/>
      <c r="H423" s="5"/>
      <c r="I423" s="5"/>
      <c r="J423" s="5"/>
      <c r="K423" s="5"/>
    </row>
    <row r="424" ht="15.75" customHeight="1">
      <c r="A424" s="5"/>
      <c r="B424" s="5"/>
      <c r="C424" s="5"/>
      <c r="D424" s="5"/>
      <c r="E424" s="5"/>
      <c r="F424" s="5"/>
      <c r="G424" s="5"/>
      <c r="H424" s="5"/>
      <c r="I424" s="5"/>
      <c r="J424" s="5"/>
      <c r="K424" s="5"/>
    </row>
    <row r="425" ht="15.75" customHeight="1">
      <c r="A425" s="5"/>
      <c r="B425" s="5"/>
      <c r="C425" s="5"/>
      <c r="D425" s="5"/>
      <c r="E425" s="5"/>
      <c r="F425" s="5"/>
      <c r="G425" s="5"/>
      <c r="H425" s="5"/>
      <c r="I425" s="5"/>
      <c r="J425" s="5"/>
      <c r="K425" s="5"/>
    </row>
    <row r="426" ht="15.75" customHeight="1">
      <c r="A426" s="5"/>
      <c r="B426" s="5"/>
      <c r="C426" s="5"/>
      <c r="D426" s="5"/>
      <c r="E426" s="5"/>
      <c r="F426" s="5"/>
      <c r="G426" s="5"/>
      <c r="H426" s="5"/>
      <c r="I426" s="5"/>
      <c r="J426" s="5"/>
      <c r="K426" s="5"/>
    </row>
    <row r="427" ht="15.75" customHeight="1">
      <c r="A427" s="5"/>
      <c r="B427" s="5"/>
      <c r="C427" s="5"/>
      <c r="D427" s="5"/>
      <c r="E427" s="5"/>
      <c r="F427" s="5"/>
      <c r="G427" s="5"/>
      <c r="H427" s="5"/>
      <c r="I427" s="5"/>
      <c r="J427" s="5"/>
      <c r="K427" s="5"/>
    </row>
    <row r="428" ht="15.75" customHeight="1">
      <c r="A428" s="5"/>
      <c r="B428" s="5"/>
      <c r="C428" s="5"/>
      <c r="D428" s="5"/>
      <c r="E428" s="5"/>
      <c r="F428" s="5"/>
      <c r="G428" s="5"/>
      <c r="H428" s="5"/>
      <c r="I428" s="5"/>
      <c r="J428" s="5"/>
      <c r="K428" s="5"/>
    </row>
    <row r="429" ht="15.75" customHeight="1">
      <c r="A429" s="5"/>
      <c r="B429" s="5"/>
      <c r="C429" s="5"/>
      <c r="D429" s="5"/>
      <c r="E429" s="5"/>
      <c r="F429" s="5"/>
      <c r="G429" s="5"/>
      <c r="H429" s="5"/>
      <c r="I429" s="5"/>
      <c r="J429" s="5"/>
      <c r="K429" s="5"/>
    </row>
    <row r="430" ht="15.75" customHeight="1">
      <c r="A430" s="5"/>
      <c r="B430" s="5"/>
      <c r="C430" s="5"/>
      <c r="D430" s="5"/>
      <c r="E430" s="5"/>
      <c r="F430" s="5"/>
      <c r="G430" s="5"/>
      <c r="H430" s="5"/>
      <c r="I430" s="5"/>
      <c r="J430" s="5"/>
      <c r="K430" s="5"/>
    </row>
    <row r="431" ht="15.75" customHeight="1">
      <c r="A431" s="5"/>
      <c r="B431" s="5"/>
      <c r="C431" s="5"/>
      <c r="D431" s="5"/>
      <c r="E431" s="5"/>
      <c r="F431" s="5"/>
      <c r="G431" s="5"/>
      <c r="H431" s="5"/>
      <c r="I431" s="5"/>
      <c r="J431" s="5"/>
      <c r="K431" s="5"/>
    </row>
    <row r="432" ht="15.75" customHeight="1">
      <c r="A432" s="5"/>
      <c r="B432" s="5"/>
      <c r="C432" s="5"/>
      <c r="D432" s="5"/>
      <c r="E432" s="5"/>
      <c r="F432" s="5"/>
      <c r="G432" s="5"/>
      <c r="H432" s="5"/>
      <c r="I432" s="5"/>
      <c r="J432" s="5"/>
      <c r="K432" s="5"/>
    </row>
    <row r="433" ht="15.75" customHeight="1">
      <c r="A433" s="5"/>
      <c r="B433" s="5"/>
      <c r="C433" s="5"/>
      <c r="D433" s="5"/>
      <c r="E433" s="5"/>
      <c r="F433" s="5"/>
      <c r="G433" s="5"/>
      <c r="H433" s="5"/>
      <c r="I433" s="5"/>
      <c r="J433" s="5"/>
      <c r="K433" s="5"/>
    </row>
    <row r="434" ht="15.75" customHeight="1">
      <c r="A434" s="5"/>
      <c r="B434" s="5"/>
      <c r="C434" s="5"/>
      <c r="D434" s="5"/>
      <c r="E434" s="5"/>
      <c r="F434" s="5"/>
      <c r="G434" s="5"/>
      <c r="H434" s="5"/>
      <c r="I434" s="5"/>
      <c r="J434" s="5"/>
      <c r="K434" s="5"/>
    </row>
    <row r="435" ht="15.75" customHeight="1">
      <c r="A435" s="5"/>
      <c r="B435" s="5"/>
      <c r="C435" s="5"/>
      <c r="D435" s="5"/>
      <c r="E435" s="5"/>
      <c r="F435" s="5"/>
      <c r="G435" s="5"/>
      <c r="H435" s="5"/>
      <c r="I435" s="5"/>
      <c r="J435" s="5"/>
      <c r="K435" s="5"/>
    </row>
    <row r="436" ht="15.75" customHeight="1">
      <c r="A436" s="5"/>
      <c r="B436" s="5"/>
      <c r="C436" s="5"/>
      <c r="D436" s="5"/>
      <c r="E436" s="5"/>
      <c r="F436" s="5"/>
      <c r="G436" s="5"/>
      <c r="H436" s="5"/>
      <c r="I436" s="5"/>
      <c r="J436" s="5"/>
      <c r="K436" s="5"/>
    </row>
    <row r="437" ht="15.75" customHeight="1">
      <c r="A437" s="5"/>
      <c r="B437" s="5"/>
      <c r="C437" s="5"/>
      <c r="D437" s="5"/>
      <c r="E437" s="5"/>
      <c r="F437" s="5"/>
      <c r="G437" s="5"/>
      <c r="H437" s="5"/>
      <c r="I437" s="5"/>
      <c r="J437" s="5"/>
      <c r="K437" s="5"/>
    </row>
    <row r="438" ht="15.75" customHeight="1">
      <c r="A438" s="5"/>
      <c r="B438" s="5"/>
      <c r="C438" s="5"/>
      <c r="D438" s="5"/>
      <c r="E438" s="5"/>
      <c r="F438" s="5"/>
      <c r="G438" s="5"/>
      <c r="H438" s="5"/>
      <c r="I438" s="5"/>
      <c r="J438" s="5"/>
      <c r="K438" s="5"/>
    </row>
    <row r="439" ht="15.75" customHeight="1">
      <c r="A439" s="5"/>
      <c r="B439" s="5"/>
      <c r="C439" s="5"/>
      <c r="D439" s="5"/>
      <c r="E439" s="5"/>
      <c r="F439" s="5"/>
      <c r="G439" s="5"/>
      <c r="H439" s="5"/>
      <c r="I439" s="5"/>
      <c r="J439" s="5"/>
      <c r="K439" s="5"/>
    </row>
    <row r="440" ht="15.75" customHeight="1">
      <c r="A440" s="5"/>
      <c r="B440" s="5"/>
      <c r="C440" s="5"/>
      <c r="D440" s="5"/>
      <c r="E440" s="5"/>
      <c r="F440" s="5"/>
      <c r="G440" s="5"/>
      <c r="H440" s="5"/>
      <c r="I440" s="5"/>
      <c r="J440" s="5"/>
      <c r="K440" s="5"/>
    </row>
    <row r="441" ht="15.75" customHeight="1">
      <c r="A441" s="5"/>
      <c r="B441" s="5"/>
      <c r="C441" s="5"/>
      <c r="D441" s="5"/>
      <c r="E441" s="5"/>
      <c r="F441" s="5"/>
      <c r="G441" s="5"/>
      <c r="H441" s="5"/>
      <c r="I441" s="5"/>
      <c r="J441" s="5"/>
      <c r="K441" s="5"/>
    </row>
    <row r="442" ht="15.75" customHeight="1">
      <c r="A442" s="5"/>
      <c r="B442" s="5"/>
      <c r="C442" s="5"/>
      <c r="D442" s="5"/>
      <c r="E442" s="5"/>
      <c r="F442" s="5"/>
      <c r="G442" s="5"/>
      <c r="H442" s="5"/>
      <c r="I442" s="5"/>
      <c r="J442" s="5"/>
      <c r="K442" s="5"/>
    </row>
    <row r="443" ht="15.75" customHeight="1">
      <c r="A443" s="5"/>
      <c r="B443" s="5"/>
      <c r="C443" s="5"/>
      <c r="D443" s="5"/>
      <c r="E443" s="5"/>
      <c r="F443" s="5"/>
      <c r="G443" s="5"/>
      <c r="H443" s="5"/>
      <c r="I443" s="5"/>
      <c r="J443" s="5"/>
      <c r="K443" s="5"/>
    </row>
    <row r="444" ht="15.75" customHeight="1">
      <c r="A444" s="5"/>
      <c r="B444" s="5"/>
      <c r="C444" s="5"/>
      <c r="D444" s="5"/>
      <c r="E444" s="5"/>
      <c r="F444" s="5"/>
      <c r="G444" s="5"/>
      <c r="H444" s="5"/>
      <c r="I444" s="5"/>
      <c r="J444" s="5"/>
      <c r="K444" s="5"/>
    </row>
    <row r="445" ht="15.75" customHeight="1">
      <c r="A445" s="5"/>
      <c r="B445" s="5"/>
      <c r="C445" s="5"/>
      <c r="D445" s="5"/>
      <c r="E445" s="5"/>
      <c r="F445" s="5"/>
      <c r="G445" s="5"/>
      <c r="H445" s="5"/>
      <c r="I445" s="5"/>
      <c r="J445" s="5"/>
      <c r="K445" s="5"/>
    </row>
    <row r="446" ht="15.75" customHeight="1">
      <c r="A446" s="5"/>
      <c r="B446" s="5"/>
      <c r="C446" s="5"/>
      <c r="D446" s="5"/>
      <c r="E446" s="5"/>
      <c r="F446" s="5"/>
      <c r="G446" s="5"/>
      <c r="H446" s="5"/>
      <c r="I446" s="5"/>
      <c r="J446" s="5"/>
      <c r="K446" s="5"/>
    </row>
    <row r="447" ht="15.75" customHeight="1">
      <c r="A447" s="5"/>
      <c r="B447" s="5"/>
      <c r="C447" s="5"/>
      <c r="D447" s="5"/>
      <c r="E447" s="5"/>
      <c r="F447" s="5"/>
      <c r="G447" s="5"/>
      <c r="H447" s="5"/>
      <c r="I447" s="5"/>
      <c r="J447" s="5"/>
      <c r="K447" s="5"/>
    </row>
    <row r="448" ht="15.75" customHeight="1">
      <c r="A448" s="5"/>
      <c r="B448" s="5"/>
      <c r="C448" s="5"/>
      <c r="D448" s="5"/>
      <c r="E448" s="5"/>
      <c r="F448" s="5"/>
      <c r="G448" s="5"/>
      <c r="H448" s="5"/>
      <c r="I448" s="5"/>
      <c r="J448" s="5"/>
      <c r="K448" s="5"/>
    </row>
    <row r="449" ht="15.75" customHeight="1">
      <c r="A449" s="5"/>
      <c r="B449" s="5"/>
      <c r="C449" s="5"/>
      <c r="D449" s="5"/>
      <c r="E449" s="5"/>
      <c r="F449" s="5"/>
      <c r="G449" s="5"/>
      <c r="H449" s="5"/>
      <c r="I449" s="5"/>
      <c r="J449" s="5"/>
      <c r="K449" s="5"/>
    </row>
    <row r="450" ht="15.75" customHeight="1">
      <c r="A450" s="5"/>
      <c r="B450" s="5"/>
      <c r="C450" s="5"/>
      <c r="D450" s="5"/>
      <c r="E450" s="5"/>
      <c r="F450" s="5"/>
      <c r="G450" s="5"/>
      <c r="H450" s="5"/>
      <c r="I450" s="5"/>
      <c r="J450" s="5"/>
      <c r="K450" s="5"/>
    </row>
    <row r="451" ht="15.75" customHeight="1">
      <c r="A451" s="5"/>
      <c r="B451" s="5"/>
      <c r="C451" s="5"/>
      <c r="D451" s="5"/>
      <c r="E451" s="5"/>
      <c r="F451" s="5"/>
      <c r="G451" s="5"/>
      <c r="H451" s="5"/>
      <c r="I451" s="5"/>
      <c r="J451" s="5"/>
      <c r="K451" s="5"/>
    </row>
    <row r="452" ht="15.75" customHeight="1">
      <c r="A452" s="5"/>
      <c r="B452" s="5"/>
      <c r="C452" s="5"/>
      <c r="D452" s="5"/>
      <c r="E452" s="5"/>
      <c r="F452" s="5"/>
      <c r="G452" s="5"/>
      <c r="H452" s="5"/>
      <c r="I452" s="5"/>
      <c r="J452" s="5"/>
      <c r="K452" s="5"/>
    </row>
    <row r="453" ht="15.75" customHeight="1">
      <c r="A453" s="5"/>
      <c r="B453" s="5"/>
      <c r="C453" s="5"/>
      <c r="D453" s="5"/>
      <c r="E453" s="5"/>
      <c r="F453" s="5"/>
      <c r="G453" s="5"/>
      <c r="H453" s="5"/>
      <c r="I453" s="5"/>
      <c r="J453" s="5"/>
      <c r="K453" s="5"/>
    </row>
    <row r="454" ht="15.75" customHeight="1">
      <c r="A454" s="5"/>
      <c r="B454" s="5"/>
      <c r="C454" s="5"/>
      <c r="D454" s="5"/>
      <c r="E454" s="5"/>
      <c r="F454" s="5"/>
      <c r="G454" s="5"/>
      <c r="H454" s="5"/>
      <c r="I454" s="5"/>
      <c r="J454" s="5"/>
      <c r="K454" s="5"/>
    </row>
    <row r="455" ht="15.75" customHeight="1">
      <c r="A455" s="5"/>
      <c r="B455" s="5"/>
      <c r="C455" s="5"/>
      <c r="D455" s="5"/>
      <c r="E455" s="5"/>
      <c r="F455" s="5"/>
      <c r="G455" s="5"/>
      <c r="H455" s="5"/>
      <c r="I455" s="5"/>
      <c r="J455" s="5"/>
      <c r="K455" s="5"/>
    </row>
    <row r="456" ht="15.75" customHeight="1">
      <c r="A456" s="5"/>
      <c r="B456" s="5"/>
      <c r="C456" s="5"/>
      <c r="D456" s="5"/>
      <c r="E456" s="5"/>
      <c r="F456" s="5"/>
      <c r="G456" s="5"/>
      <c r="H456" s="5"/>
      <c r="I456" s="5"/>
      <c r="J456" s="5"/>
      <c r="K456" s="5"/>
    </row>
    <row r="457" ht="15.75" customHeight="1">
      <c r="A457" s="5"/>
      <c r="B457" s="5"/>
      <c r="C457" s="5"/>
      <c r="D457" s="5"/>
      <c r="E457" s="5"/>
      <c r="F457" s="5"/>
      <c r="G457" s="5"/>
      <c r="H457" s="5"/>
      <c r="I457" s="5"/>
      <c r="J457" s="5"/>
      <c r="K457" s="5"/>
    </row>
    <row r="458" ht="15.75" customHeight="1">
      <c r="A458" s="5"/>
      <c r="B458" s="5"/>
      <c r="C458" s="5"/>
      <c r="D458" s="5"/>
      <c r="E458" s="5"/>
      <c r="F458" s="5"/>
      <c r="G458" s="5"/>
      <c r="H458" s="5"/>
      <c r="I458" s="5"/>
      <c r="J458" s="5"/>
      <c r="K458" s="5"/>
    </row>
    <row r="459" ht="15.75" customHeight="1">
      <c r="A459" s="5"/>
      <c r="B459" s="5"/>
      <c r="C459" s="5"/>
      <c r="D459" s="5"/>
      <c r="E459" s="5"/>
      <c r="F459" s="5"/>
      <c r="G459" s="5"/>
      <c r="H459" s="5"/>
      <c r="I459" s="5"/>
      <c r="J459" s="5"/>
      <c r="K459" s="5"/>
    </row>
    <row r="460" ht="15.75" customHeight="1">
      <c r="A460" s="5"/>
      <c r="B460" s="5"/>
      <c r="C460" s="5"/>
      <c r="D460" s="5"/>
      <c r="E460" s="5"/>
      <c r="F460" s="5"/>
      <c r="G460" s="5"/>
      <c r="H460" s="5"/>
      <c r="I460" s="5"/>
      <c r="J460" s="5"/>
      <c r="K460" s="5"/>
    </row>
    <row r="461" ht="15.75" customHeight="1">
      <c r="A461" s="5"/>
      <c r="B461" s="5"/>
      <c r="C461" s="5"/>
      <c r="D461" s="5"/>
      <c r="E461" s="5"/>
      <c r="F461" s="5"/>
      <c r="G461" s="5"/>
      <c r="H461" s="5"/>
      <c r="I461" s="5"/>
      <c r="J461" s="5"/>
      <c r="K461" s="5"/>
    </row>
    <row r="462" ht="15.75" customHeight="1">
      <c r="A462" s="5"/>
      <c r="B462" s="5"/>
      <c r="C462" s="5"/>
      <c r="D462" s="5"/>
      <c r="E462" s="5"/>
      <c r="F462" s="5"/>
      <c r="G462" s="5"/>
      <c r="H462" s="5"/>
      <c r="I462" s="5"/>
      <c r="J462" s="5"/>
      <c r="K462" s="5"/>
    </row>
    <row r="463" ht="15.75" customHeight="1">
      <c r="A463" s="5"/>
      <c r="B463" s="5"/>
      <c r="C463" s="5"/>
      <c r="D463" s="5"/>
      <c r="E463" s="5"/>
      <c r="F463" s="5"/>
      <c r="G463" s="5"/>
      <c r="H463" s="5"/>
      <c r="I463" s="5"/>
      <c r="J463" s="5"/>
      <c r="K463" s="5"/>
    </row>
    <row r="464" ht="15.75" customHeight="1">
      <c r="A464" s="5"/>
      <c r="B464" s="5"/>
      <c r="C464" s="5"/>
      <c r="D464" s="5"/>
      <c r="E464" s="5"/>
      <c r="F464" s="5"/>
      <c r="G464" s="5"/>
      <c r="H464" s="5"/>
      <c r="I464" s="5"/>
      <c r="J464" s="5"/>
      <c r="K464" s="5"/>
    </row>
    <row r="465" ht="15.75" customHeight="1">
      <c r="A465" s="5"/>
      <c r="B465" s="5"/>
      <c r="C465" s="5"/>
      <c r="D465" s="5"/>
      <c r="E465" s="5"/>
      <c r="F465" s="5"/>
      <c r="G465" s="5"/>
      <c r="H465" s="5"/>
      <c r="I465" s="5"/>
      <c r="J465" s="5"/>
      <c r="K465" s="5"/>
    </row>
    <row r="466" ht="15.75" customHeight="1">
      <c r="A466" s="5"/>
      <c r="B466" s="5"/>
      <c r="C466" s="5"/>
      <c r="D466" s="5"/>
      <c r="E466" s="5"/>
      <c r="F466" s="5"/>
      <c r="G466" s="5"/>
      <c r="H466" s="5"/>
      <c r="I466" s="5"/>
      <c r="J466" s="5"/>
      <c r="K466" s="5"/>
    </row>
    <row r="467" ht="15.75" customHeight="1">
      <c r="A467" s="5"/>
      <c r="B467" s="5"/>
      <c r="C467" s="5"/>
      <c r="D467" s="5"/>
      <c r="E467" s="5"/>
      <c r="F467" s="5"/>
      <c r="G467" s="5"/>
      <c r="H467" s="5"/>
      <c r="I467" s="5"/>
      <c r="J467" s="5"/>
      <c r="K467" s="5"/>
    </row>
    <row r="468" ht="15.75" customHeight="1">
      <c r="A468" s="5"/>
      <c r="B468" s="5"/>
      <c r="C468" s="5"/>
      <c r="D468" s="5"/>
      <c r="E468" s="5"/>
      <c r="F468" s="5"/>
      <c r="G468" s="5"/>
      <c r="H468" s="5"/>
      <c r="I468" s="5"/>
      <c r="J468" s="5"/>
      <c r="K468" s="5"/>
    </row>
    <row r="469" ht="15.75" customHeight="1">
      <c r="A469" s="5"/>
      <c r="B469" s="5"/>
      <c r="C469" s="5"/>
      <c r="D469" s="5"/>
      <c r="E469" s="5"/>
      <c r="F469" s="5"/>
      <c r="G469" s="5"/>
      <c r="H469" s="5"/>
      <c r="I469" s="5"/>
      <c r="J469" s="5"/>
      <c r="K469" s="5"/>
    </row>
    <row r="470" ht="15.75" customHeight="1">
      <c r="A470" s="5"/>
      <c r="B470" s="5"/>
      <c r="C470" s="5"/>
      <c r="D470" s="5"/>
      <c r="E470" s="5"/>
      <c r="F470" s="5"/>
      <c r="G470" s="5"/>
      <c r="H470" s="5"/>
      <c r="I470" s="5"/>
      <c r="J470" s="5"/>
      <c r="K470" s="5"/>
    </row>
    <row r="471" ht="15.75" customHeight="1">
      <c r="A471" s="5"/>
      <c r="B471" s="5"/>
      <c r="C471" s="5"/>
      <c r="D471" s="5"/>
      <c r="E471" s="5"/>
      <c r="F471" s="5"/>
      <c r="G471" s="5"/>
      <c r="H471" s="5"/>
      <c r="I471" s="5"/>
      <c r="J471" s="5"/>
      <c r="K471" s="5"/>
    </row>
    <row r="472" ht="15.75" customHeight="1">
      <c r="A472" s="5"/>
      <c r="B472" s="5"/>
      <c r="C472" s="5"/>
      <c r="D472" s="5"/>
      <c r="E472" s="5"/>
      <c r="F472" s="5"/>
      <c r="G472" s="5"/>
      <c r="H472" s="5"/>
      <c r="I472" s="5"/>
      <c r="J472" s="5"/>
      <c r="K472" s="5"/>
    </row>
    <row r="473" ht="15.75" customHeight="1">
      <c r="A473" s="5"/>
      <c r="B473" s="5"/>
      <c r="C473" s="5"/>
      <c r="D473" s="5"/>
      <c r="E473" s="5"/>
      <c r="F473" s="5"/>
      <c r="G473" s="5"/>
      <c r="H473" s="5"/>
      <c r="I473" s="5"/>
      <c r="J473" s="5"/>
      <c r="K473" s="5"/>
    </row>
    <row r="474" ht="15.75" customHeight="1">
      <c r="A474" s="5"/>
      <c r="B474" s="5"/>
      <c r="C474" s="5"/>
      <c r="D474" s="5"/>
      <c r="E474" s="5"/>
      <c r="F474" s="5"/>
      <c r="G474" s="5"/>
      <c r="H474" s="5"/>
      <c r="I474" s="5"/>
      <c r="J474" s="5"/>
      <c r="K474" s="5"/>
    </row>
    <row r="475" ht="15.75" customHeight="1">
      <c r="A475" s="5"/>
      <c r="B475" s="5"/>
      <c r="C475" s="5"/>
      <c r="D475" s="5"/>
      <c r="E475" s="5"/>
      <c r="F475" s="5"/>
      <c r="G475" s="5"/>
      <c r="H475" s="5"/>
      <c r="I475" s="5"/>
      <c r="J475" s="5"/>
      <c r="K475" s="5"/>
    </row>
    <row r="476" ht="15.75" customHeight="1">
      <c r="A476" s="5"/>
      <c r="B476" s="5"/>
      <c r="C476" s="5"/>
      <c r="D476" s="5"/>
      <c r="E476" s="5"/>
      <c r="F476" s="5"/>
      <c r="G476" s="5"/>
      <c r="H476" s="5"/>
      <c r="I476" s="5"/>
      <c r="J476" s="5"/>
      <c r="K476" s="5"/>
    </row>
    <row r="477" ht="15.75" customHeight="1">
      <c r="A477" s="5"/>
      <c r="B477" s="5"/>
      <c r="C477" s="5"/>
      <c r="D477" s="5"/>
      <c r="E477" s="5"/>
      <c r="F477" s="5"/>
      <c r="G477" s="5"/>
      <c r="H477" s="5"/>
      <c r="I477" s="5"/>
      <c r="J477" s="5"/>
      <c r="K477" s="5"/>
    </row>
    <row r="478" ht="15.75" customHeight="1">
      <c r="A478" s="5"/>
      <c r="B478" s="5"/>
      <c r="C478" s="5"/>
      <c r="D478" s="5"/>
      <c r="E478" s="5"/>
      <c r="F478" s="5"/>
      <c r="G478" s="5"/>
      <c r="H478" s="5"/>
      <c r="I478" s="5"/>
      <c r="J478" s="5"/>
      <c r="K478" s="5"/>
    </row>
    <row r="479" ht="15.75" customHeight="1">
      <c r="A479" s="5"/>
      <c r="B479" s="5"/>
      <c r="C479" s="5"/>
      <c r="D479" s="5"/>
      <c r="E479" s="5"/>
      <c r="F479" s="5"/>
      <c r="G479" s="5"/>
      <c r="H479" s="5"/>
      <c r="I479" s="5"/>
      <c r="J479" s="5"/>
      <c r="K479" s="5"/>
    </row>
    <row r="480" ht="15.75" customHeight="1">
      <c r="A480" s="5"/>
      <c r="B480" s="5"/>
      <c r="C480" s="5"/>
      <c r="D480" s="5"/>
      <c r="E480" s="5"/>
      <c r="F480" s="5"/>
      <c r="G480" s="5"/>
      <c r="H480" s="5"/>
      <c r="I480" s="5"/>
      <c r="J480" s="5"/>
      <c r="K480" s="5"/>
    </row>
    <row r="481" ht="15.75" customHeight="1">
      <c r="A481" s="5"/>
      <c r="B481" s="5"/>
      <c r="C481" s="5"/>
      <c r="D481" s="5"/>
      <c r="E481" s="5"/>
      <c r="F481" s="5"/>
      <c r="G481" s="5"/>
      <c r="H481" s="5"/>
      <c r="I481" s="5"/>
      <c r="J481" s="5"/>
      <c r="K481" s="5"/>
    </row>
    <row r="482" ht="15.75" customHeight="1">
      <c r="A482" s="5"/>
      <c r="B482" s="5"/>
      <c r="C482" s="5"/>
      <c r="D482" s="5"/>
      <c r="E482" s="5"/>
      <c r="F482" s="5"/>
      <c r="G482" s="5"/>
      <c r="H482" s="5"/>
      <c r="I482" s="5"/>
      <c r="J482" s="5"/>
      <c r="K482" s="5"/>
    </row>
    <row r="483" ht="15.75" customHeight="1">
      <c r="A483" s="5"/>
      <c r="B483" s="5"/>
      <c r="C483" s="5"/>
      <c r="D483" s="5"/>
      <c r="E483" s="5"/>
      <c r="F483" s="5"/>
      <c r="G483" s="5"/>
      <c r="H483" s="5"/>
      <c r="I483" s="5"/>
      <c r="J483" s="5"/>
      <c r="K483" s="5"/>
    </row>
    <row r="484" ht="15.75" customHeight="1">
      <c r="A484" s="5"/>
      <c r="B484" s="5"/>
      <c r="C484" s="5"/>
      <c r="D484" s="5"/>
      <c r="E484" s="5"/>
      <c r="F484" s="5"/>
      <c r="G484" s="5"/>
      <c r="H484" s="5"/>
      <c r="I484" s="5"/>
      <c r="J484" s="5"/>
      <c r="K484" s="5"/>
    </row>
    <row r="485" ht="15.75" customHeight="1">
      <c r="A485" s="5"/>
      <c r="B485" s="5"/>
      <c r="C485" s="5"/>
      <c r="D485" s="5"/>
      <c r="E485" s="5"/>
      <c r="F485" s="5"/>
      <c r="G485" s="5"/>
      <c r="H485" s="5"/>
      <c r="I485" s="5"/>
      <c r="J485" s="5"/>
      <c r="K485" s="5"/>
    </row>
    <row r="486" ht="15.75" customHeight="1">
      <c r="A486" s="5"/>
      <c r="B486" s="5"/>
      <c r="C486" s="5"/>
      <c r="D486" s="5"/>
      <c r="E486" s="5"/>
      <c r="F486" s="5"/>
      <c r="G486" s="5"/>
      <c r="H486" s="5"/>
      <c r="I486" s="5"/>
      <c r="J486" s="5"/>
      <c r="K486" s="5"/>
    </row>
    <row r="487" ht="15.75" customHeight="1">
      <c r="A487" s="5"/>
      <c r="B487" s="5"/>
      <c r="C487" s="5"/>
      <c r="D487" s="5"/>
      <c r="E487" s="5"/>
      <c r="F487" s="5"/>
      <c r="G487" s="5"/>
      <c r="H487" s="5"/>
      <c r="I487" s="5"/>
      <c r="J487" s="5"/>
      <c r="K487" s="5"/>
    </row>
    <row r="488" ht="15.75" customHeight="1">
      <c r="A488" s="5"/>
      <c r="B488" s="5"/>
      <c r="C488" s="5"/>
      <c r="D488" s="5"/>
      <c r="E488" s="5"/>
      <c r="F488" s="5"/>
      <c r="G488" s="5"/>
      <c r="H488" s="5"/>
      <c r="I488" s="5"/>
      <c r="J488" s="5"/>
      <c r="K488" s="5"/>
    </row>
    <row r="489" ht="15.75" customHeight="1">
      <c r="A489" s="5"/>
      <c r="B489" s="5"/>
      <c r="C489" s="5"/>
      <c r="D489" s="5"/>
      <c r="E489" s="5"/>
      <c r="F489" s="5"/>
      <c r="G489" s="5"/>
      <c r="H489" s="5"/>
      <c r="I489" s="5"/>
      <c r="J489" s="5"/>
      <c r="K489" s="5"/>
    </row>
    <row r="490" ht="15.75" customHeight="1">
      <c r="A490" s="5"/>
      <c r="B490" s="5"/>
      <c r="C490" s="5"/>
      <c r="D490" s="5"/>
      <c r="E490" s="5"/>
      <c r="F490" s="5"/>
      <c r="G490" s="5"/>
      <c r="H490" s="5"/>
      <c r="I490" s="5"/>
      <c r="J490" s="5"/>
      <c r="K490" s="5"/>
    </row>
    <row r="491" ht="15.75" customHeight="1">
      <c r="A491" s="5"/>
      <c r="B491" s="5"/>
      <c r="C491" s="5"/>
      <c r="D491" s="5"/>
      <c r="E491" s="5"/>
      <c r="F491" s="5"/>
      <c r="G491" s="5"/>
      <c r="H491" s="5"/>
      <c r="I491" s="5"/>
      <c r="J491" s="5"/>
      <c r="K491" s="5"/>
    </row>
    <row r="492" ht="15.75" customHeight="1">
      <c r="A492" s="5"/>
      <c r="B492" s="5"/>
      <c r="C492" s="5"/>
      <c r="D492" s="5"/>
      <c r="E492" s="5"/>
      <c r="F492" s="5"/>
      <c r="G492" s="5"/>
      <c r="H492" s="5"/>
      <c r="I492" s="5"/>
      <c r="J492" s="5"/>
      <c r="K492" s="5"/>
    </row>
    <row r="493" ht="15.75" customHeight="1">
      <c r="A493" s="5"/>
      <c r="B493" s="5"/>
      <c r="C493" s="5"/>
      <c r="D493" s="5"/>
      <c r="E493" s="5"/>
      <c r="F493" s="5"/>
      <c r="G493" s="5"/>
      <c r="H493" s="5"/>
      <c r="I493" s="5"/>
      <c r="J493" s="5"/>
      <c r="K493" s="5"/>
    </row>
    <row r="494" ht="15.75" customHeight="1">
      <c r="A494" s="5"/>
      <c r="B494" s="5"/>
      <c r="C494" s="5"/>
      <c r="D494" s="5"/>
      <c r="E494" s="5"/>
      <c r="F494" s="5"/>
      <c r="G494" s="5"/>
      <c r="H494" s="5"/>
      <c r="I494" s="5"/>
      <c r="J494" s="5"/>
      <c r="K494" s="5"/>
    </row>
    <row r="495" ht="15.75" customHeight="1">
      <c r="A495" s="5"/>
      <c r="B495" s="5"/>
      <c r="C495" s="5"/>
      <c r="D495" s="5"/>
      <c r="E495" s="5"/>
      <c r="F495" s="5"/>
      <c r="G495" s="5"/>
      <c r="H495" s="5"/>
      <c r="I495" s="5"/>
      <c r="J495" s="5"/>
      <c r="K495" s="5"/>
    </row>
    <row r="496" ht="15.75" customHeight="1">
      <c r="A496" s="5"/>
      <c r="B496" s="5"/>
      <c r="C496" s="5"/>
      <c r="D496" s="5"/>
      <c r="E496" s="5"/>
      <c r="F496" s="5"/>
      <c r="G496" s="5"/>
      <c r="H496" s="5"/>
      <c r="I496" s="5"/>
      <c r="J496" s="5"/>
      <c r="K496" s="5"/>
    </row>
    <row r="497" ht="15.75" customHeight="1">
      <c r="A497" s="5"/>
      <c r="B497" s="5"/>
      <c r="C497" s="5"/>
      <c r="D497" s="5"/>
      <c r="E497" s="5"/>
      <c r="F497" s="5"/>
      <c r="G497" s="5"/>
      <c r="H497" s="5"/>
      <c r="I497" s="5"/>
      <c r="J497" s="5"/>
      <c r="K497" s="5"/>
    </row>
    <row r="498" ht="15.75" customHeight="1">
      <c r="A498" s="5"/>
      <c r="B498" s="5"/>
      <c r="C498" s="5"/>
      <c r="D498" s="5"/>
      <c r="E498" s="5"/>
      <c r="F498" s="5"/>
      <c r="G498" s="5"/>
      <c r="H498" s="5"/>
      <c r="I498" s="5"/>
      <c r="J498" s="5"/>
      <c r="K498" s="5"/>
    </row>
    <row r="499" ht="15.75" customHeight="1">
      <c r="A499" s="5"/>
      <c r="B499" s="5"/>
      <c r="C499" s="5"/>
      <c r="D499" s="5"/>
      <c r="E499" s="5"/>
      <c r="F499" s="5"/>
      <c r="G499" s="5"/>
      <c r="H499" s="5"/>
      <c r="I499" s="5"/>
      <c r="J499" s="5"/>
      <c r="K499" s="5"/>
    </row>
    <row r="500" ht="15.75" customHeight="1">
      <c r="A500" s="5"/>
      <c r="B500" s="5"/>
      <c r="C500" s="5"/>
      <c r="D500" s="5"/>
      <c r="E500" s="5"/>
      <c r="F500" s="5"/>
      <c r="G500" s="5"/>
      <c r="H500" s="5"/>
      <c r="I500" s="5"/>
      <c r="J500" s="5"/>
      <c r="K500" s="5"/>
    </row>
    <row r="501" ht="15.75" customHeight="1">
      <c r="A501" s="5"/>
      <c r="B501" s="5"/>
      <c r="C501" s="5"/>
      <c r="D501" s="5"/>
      <c r="E501" s="5"/>
      <c r="F501" s="5"/>
      <c r="G501" s="5"/>
      <c r="H501" s="5"/>
      <c r="I501" s="5"/>
      <c r="J501" s="5"/>
      <c r="K501" s="5"/>
    </row>
    <row r="502" ht="15.75" customHeight="1">
      <c r="A502" s="5"/>
      <c r="B502" s="5"/>
      <c r="C502" s="5"/>
      <c r="D502" s="5"/>
      <c r="E502" s="5"/>
      <c r="F502" s="5"/>
      <c r="G502" s="5"/>
      <c r="H502" s="5"/>
      <c r="I502" s="5"/>
      <c r="J502" s="5"/>
      <c r="K502" s="5"/>
    </row>
    <row r="503" ht="15.75" customHeight="1">
      <c r="A503" s="5"/>
      <c r="B503" s="5"/>
      <c r="C503" s="5"/>
      <c r="D503" s="5"/>
      <c r="E503" s="5"/>
      <c r="F503" s="5"/>
      <c r="G503" s="5"/>
      <c r="H503" s="5"/>
      <c r="I503" s="5"/>
      <c r="J503" s="5"/>
      <c r="K503" s="5"/>
    </row>
    <row r="504" ht="15.75" customHeight="1">
      <c r="A504" s="5"/>
      <c r="B504" s="5"/>
      <c r="C504" s="5"/>
      <c r="D504" s="5"/>
      <c r="E504" s="5"/>
      <c r="F504" s="5"/>
      <c r="G504" s="5"/>
      <c r="H504" s="5"/>
      <c r="I504" s="5"/>
      <c r="J504" s="5"/>
      <c r="K504" s="5"/>
    </row>
    <row r="505" ht="15.75" customHeight="1">
      <c r="A505" s="5"/>
      <c r="B505" s="5"/>
      <c r="C505" s="5"/>
      <c r="D505" s="5"/>
      <c r="E505" s="5"/>
      <c r="F505" s="5"/>
      <c r="G505" s="5"/>
      <c r="H505" s="5"/>
      <c r="I505" s="5"/>
      <c r="J505" s="5"/>
      <c r="K505" s="5"/>
    </row>
    <row r="506" ht="15.75" customHeight="1">
      <c r="A506" s="5"/>
      <c r="B506" s="5"/>
      <c r="C506" s="5"/>
      <c r="D506" s="5"/>
      <c r="E506" s="5"/>
      <c r="F506" s="5"/>
      <c r="G506" s="5"/>
      <c r="H506" s="5"/>
      <c r="I506" s="5"/>
      <c r="J506" s="5"/>
      <c r="K506" s="5"/>
    </row>
    <row r="507" ht="15.75" customHeight="1">
      <c r="A507" s="5"/>
      <c r="B507" s="5"/>
      <c r="C507" s="5"/>
      <c r="D507" s="5"/>
      <c r="E507" s="5"/>
      <c r="F507" s="5"/>
      <c r="G507" s="5"/>
      <c r="H507" s="5"/>
      <c r="I507" s="5"/>
      <c r="J507" s="5"/>
      <c r="K507" s="5"/>
    </row>
    <row r="508" ht="15.75" customHeight="1">
      <c r="A508" s="5"/>
      <c r="B508" s="5"/>
      <c r="C508" s="5"/>
      <c r="D508" s="5"/>
      <c r="E508" s="5"/>
      <c r="F508" s="5"/>
      <c r="G508" s="5"/>
      <c r="H508" s="5"/>
      <c r="I508" s="5"/>
      <c r="J508" s="5"/>
      <c r="K508" s="5"/>
    </row>
    <row r="509" ht="15.75" customHeight="1">
      <c r="A509" s="5"/>
      <c r="B509" s="5"/>
      <c r="C509" s="5"/>
      <c r="D509" s="5"/>
      <c r="E509" s="5"/>
      <c r="F509" s="5"/>
      <c r="G509" s="5"/>
      <c r="H509" s="5"/>
      <c r="I509" s="5"/>
      <c r="J509" s="5"/>
      <c r="K509" s="5"/>
    </row>
    <row r="510" ht="15.75" customHeight="1">
      <c r="A510" s="5"/>
      <c r="B510" s="5"/>
      <c r="C510" s="5"/>
      <c r="D510" s="5"/>
      <c r="E510" s="5"/>
      <c r="F510" s="5"/>
      <c r="G510" s="5"/>
      <c r="H510" s="5"/>
      <c r="I510" s="5"/>
      <c r="J510" s="5"/>
      <c r="K510" s="5"/>
    </row>
    <row r="511" ht="15.75" customHeight="1">
      <c r="A511" s="5"/>
      <c r="B511" s="5"/>
      <c r="C511" s="5"/>
      <c r="D511" s="5"/>
      <c r="E511" s="5"/>
      <c r="F511" s="5"/>
      <c r="G511" s="5"/>
      <c r="H511" s="5"/>
      <c r="I511" s="5"/>
      <c r="J511" s="5"/>
      <c r="K511" s="5"/>
    </row>
    <row r="512" ht="15.75" customHeight="1">
      <c r="A512" s="5"/>
      <c r="B512" s="5"/>
      <c r="C512" s="5"/>
      <c r="D512" s="5"/>
      <c r="E512" s="5"/>
      <c r="F512" s="5"/>
      <c r="G512" s="5"/>
      <c r="H512" s="5"/>
      <c r="I512" s="5"/>
      <c r="J512" s="5"/>
      <c r="K512" s="5"/>
    </row>
    <row r="513" ht="15.75" customHeight="1">
      <c r="A513" s="5"/>
      <c r="B513" s="5"/>
      <c r="C513" s="5"/>
      <c r="D513" s="5"/>
      <c r="E513" s="5"/>
      <c r="F513" s="5"/>
      <c r="G513" s="5"/>
      <c r="H513" s="5"/>
      <c r="I513" s="5"/>
      <c r="J513" s="5"/>
      <c r="K513" s="5"/>
    </row>
    <row r="514" ht="15.75" customHeight="1">
      <c r="A514" s="5"/>
      <c r="B514" s="5"/>
      <c r="C514" s="5"/>
      <c r="D514" s="5"/>
      <c r="E514" s="5"/>
      <c r="F514" s="5"/>
      <c r="G514" s="5"/>
      <c r="H514" s="5"/>
      <c r="I514" s="5"/>
      <c r="J514" s="5"/>
      <c r="K514" s="5"/>
    </row>
    <row r="515" ht="15.75" customHeight="1">
      <c r="A515" s="5"/>
      <c r="B515" s="5"/>
      <c r="C515" s="5"/>
      <c r="D515" s="5"/>
      <c r="E515" s="5"/>
      <c r="F515" s="5"/>
      <c r="G515" s="5"/>
      <c r="H515" s="5"/>
      <c r="I515" s="5"/>
      <c r="J515" s="5"/>
      <c r="K515" s="5"/>
    </row>
    <row r="516" ht="15.75" customHeight="1">
      <c r="A516" s="5"/>
      <c r="B516" s="5"/>
      <c r="C516" s="5"/>
      <c r="D516" s="5"/>
      <c r="E516" s="5"/>
      <c r="F516" s="5"/>
      <c r="G516" s="5"/>
      <c r="H516" s="5"/>
      <c r="I516" s="5"/>
      <c r="J516" s="5"/>
      <c r="K516" s="5"/>
    </row>
    <row r="517" ht="15.75" customHeight="1">
      <c r="A517" s="5"/>
      <c r="B517" s="5"/>
      <c r="C517" s="5"/>
      <c r="D517" s="5"/>
      <c r="E517" s="5"/>
      <c r="F517" s="5"/>
      <c r="G517" s="5"/>
      <c r="H517" s="5"/>
      <c r="I517" s="5"/>
      <c r="J517" s="5"/>
      <c r="K517" s="5"/>
    </row>
    <row r="518" ht="15.75" customHeight="1">
      <c r="A518" s="5"/>
      <c r="B518" s="5"/>
      <c r="C518" s="5"/>
      <c r="D518" s="5"/>
      <c r="E518" s="5"/>
      <c r="F518" s="5"/>
      <c r="G518" s="5"/>
      <c r="H518" s="5"/>
      <c r="I518" s="5"/>
      <c r="J518" s="5"/>
      <c r="K518" s="5"/>
    </row>
    <row r="519" ht="15.75" customHeight="1">
      <c r="A519" s="5"/>
      <c r="B519" s="5"/>
      <c r="C519" s="5"/>
      <c r="D519" s="5"/>
      <c r="E519" s="5"/>
      <c r="F519" s="5"/>
      <c r="G519" s="5"/>
      <c r="H519" s="5"/>
      <c r="I519" s="5"/>
      <c r="J519" s="5"/>
      <c r="K519" s="5"/>
    </row>
    <row r="520" ht="15.75" customHeight="1">
      <c r="A520" s="5"/>
      <c r="B520" s="5"/>
      <c r="C520" s="5"/>
      <c r="D520" s="5"/>
      <c r="E520" s="5"/>
      <c r="F520" s="5"/>
      <c r="G520" s="5"/>
      <c r="H520" s="5"/>
      <c r="I520" s="5"/>
      <c r="J520" s="5"/>
      <c r="K520" s="5"/>
    </row>
    <row r="521" ht="15.75" customHeight="1">
      <c r="A521" s="5"/>
      <c r="B521" s="5"/>
      <c r="C521" s="5"/>
      <c r="D521" s="5"/>
      <c r="E521" s="5"/>
      <c r="F521" s="5"/>
      <c r="G521" s="5"/>
      <c r="H521" s="5"/>
      <c r="I521" s="5"/>
      <c r="J521" s="5"/>
      <c r="K521" s="5"/>
    </row>
    <row r="522" ht="15.75" customHeight="1">
      <c r="A522" s="5"/>
      <c r="B522" s="5"/>
      <c r="C522" s="5"/>
      <c r="D522" s="5"/>
      <c r="E522" s="5"/>
      <c r="F522" s="5"/>
      <c r="G522" s="5"/>
      <c r="H522" s="5"/>
      <c r="I522" s="5"/>
      <c r="J522" s="5"/>
      <c r="K522" s="5"/>
    </row>
    <row r="523" ht="15.75" customHeight="1">
      <c r="A523" s="5"/>
      <c r="B523" s="5"/>
      <c r="C523" s="5"/>
      <c r="D523" s="5"/>
      <c r="E523" s="5"/>
      <c r="F523" s="5"/>
      <c r="G523" s="5"/>
      <c r="H523" s="5"/>
      <c r="I523" s="5"/>
      <c r="J523" s="5"/>
      <c r="K523" s="5"/>
    </row>
    <row r="524" ht="15.75" customHeight="1">
      <c r="A524" s="5"/>
      <c r="B524" s="5"/>
      <c r="C524" s="5"/>
      <c r="D524" s="5"/>
      <c r="E524" s="5"/>
      <c r="F524" s="5"/>
      <c r="G524" s="5"/>
      <c r="H524" s="5"/>
      <c r="I524" s="5"/>
      <c r="J524" s="5"/>
      <c r="K524" s="5"/>
    </row>
    <row r="525" ht="15.75" customHeight="1">
      <c r="A525" s="5"/>
      <c r="B525" s="5"/>
      <c r="C525" s="5"/>
      <c r="D525" s="5"/>
      <c r="E525" s="5"/>
      <c r="F525" s="5"/>
      <c r="G525" s="5"/>
      <c r="H525" s="5"/>
      <c r="I525" s="5"/>
      <c r="J525" s="5"/>
      <c r="K525" s="5"/>
    </row>
    <row r="526" ht="15.75" customHeight="1">
      <c r="A526" s="5"/>
      <c r="B526" s="5"/>
      <c r="C526" s="5"/>
      <c r="D526" s="5"/>
      <c r="E526" s="5"/>
      <c r="F526" s="5"/>
      <c r="G526" s="5"/>
      <c r="H526" s="5"/>
      <c r="I526" s="5"/>
      <c r="J526" s="5"/>
      <c r="K526" s="5"/>
    </row>
    <row r="527" ht="15.75" customHeight="1">
      <c r="A527" s="5"/>
      <c r="B527" s="5"/>
      <c r="C527" s="5"/>
      <c r="D527" s="5"/>
      <c r="E527" s="5"/>
      <c r="F527" s="5"/>
      <c r="G527" s="5"/>
      <c r="H527" s="5"/>
      <c r="I527" s="5"/>
      <c r="J527" s="5"/>
      <c r="K527" s="5"/>
    </row>
    <row r="528" ht="15.75" customHeight="1">
      <c r="A528" s="5"/>
      <c r="B528" s="5"/>
      <c r="C528" s="5"/>
      <c r="D528" s="5"/>
      <c r="E528" s="5"/>
      <c r="F528" s="5"/>
      <c r="G528" s="5"/>
      <c r="H528" s="5"/>
      <c r="I528" s="5"/>
      <c r="J528" s="5"/>
      <c r="K528" s="5"/>
    </row>
    <row r="529" ht="15.75" customHeight="1">
      <c r="A529" s="5"/>
      <c r="B529" s="5"/>
      <c r="C529" s="5"/>
      <c r="D529" s="5"/>
      <c r="E529" s="5"/>
      <c r="F529" s="5"/>
      <c r="G529" s="5"/>
      <c r="H529" s="5"/>
      <c r="I529" s="5"/>
      <c r="J529" s="5"/>
      <c r="K529" s="5"/>
    </row>
    <row r="530" ht="15.75" customHeight="1">
      <c r="A530" s="5"/>
      <c r="B530" s="5"/>
      <c r="C530" s="5"/>
      <c r="D530" s="5"/>
      <c r="E530" s="5"/>
      <c r="F530" s="5"/>
      <c r="G530" s="5"/>
      <c r="H530" s="5"/>
      <c r="I530" s="5"/>
      <c r="J530" s="5"/>
      <c r="K530" s="5"/>
    </row>
    <row r="531" ht="15.75" customHeight="1">
      <c r="A531" s="5"/>
      <c r="B531" s="5"/>
      <c r="C531" s="5"/>
      <c r="D531" s="5"/>
      <c r="E531" s="5"/>
      <c r="F531" s="5"/>
      <c r="G531" s="5"/>
      <c r="H531" s="5"/>
      <c r="I531" s="5"/>
      <c r="J531" s="5"/>
      <c r="K531" s="5"/>
    </row>
    <row r="532" ht="15.75" customHeight="1">
      <c r="A532" s="5"/>
      <c r="B532" s="5"/>
      <c r="C532" s="5"/>
      <c r="D532" s="5"/>
      <c r="E532" s="5"/>
      <c r="F532" s="5"/>
      <c r="G532" s="5"/>
      <c r="H532" s="5"/>
      <c r="I532" s="5"/>
      <c r="J532" s="5"/>
      <c r="K532" s="5"/>
    </row>
    <row r="533" ht="15.75" customHeight="1">
      <c r="A533" s="5"/>
      <c r="B533" s="5"/>
      <c r="C533" s="5"/>
      <c r="D533" s="5"/>
      <c r="E533" s="5"/>
      <c r="F533" s="5"/>
      <c r="G533" s="5"/>
      <c r="H533" s="5"/>
      <c r="I533" s="5"/>
      <c r="J533" s="5"/>
      <c r="K533" s="5"/>
    </row>
    <row r="534" ht="15.75" customHeight="1">
      <c r="A534" s="5"/>
      <c r="B534" s="5"/>
      <c r="C534" s="5"/>
      <c r="D534" s="5"/>
      <c r="E534" s="5"/>
      <c r="F534" s="5"/>
      <c r="G534" s="5"/>
      <c r="H534" s="5"/>
      <c r="I534" s="5"/>
      <c r="J534" s="5"/>
      <c r="K534" s="5"/>
    </row>
    <row r="535" ht="15.75" customHeight="1">
      <c r="A535" s="5"/>
      <c r="B535" s="5"/>
      <c r="C535" s="5"/>
      <c r="D535" s="5"/>
      <c r="E535" s="5"/>
      <c r="F535" s="5"/>
      <c r="G535" s="5"/>
      <c r="H535" s="5"/>
      <c r="I535" s="5"/>
      <c r="J535" s="5"/>
      <c r="K535" s="5"/>
    </row>
    <row r="536" ht="15.75" customHeight="1">
      <c r="A536" s="5"/>
      <c r="B536" s="5"/>
      <c r="C536" s="5"/>
      <c r="D536" s="5"/>
      <c r="E536" s="5"/>
      <c r="F536" s="5"/>
      <c r="G536" s="5"/>
      <c r="H536" s="5"/>
      <c r="I536" s="5"/>
      <c r="J536" s="5"/>
      <c r="K536" s="5"/>
    </row>
    <row r="537" ht="15.75" customHeight="1">
      <c r="A537" s="5"/>
      <c r="B537" s="5"/>
      <c r="C537" s="5"/>
      <c r="D537" s="5"/>
      <c r="E537" s="5"/>
      <c r="F537" s="5"/>
      <c r="G537" s="5"/>
      <c r="H537" s="5"/>
      <c r="I537" s="5"/>
      <c r="J537" s="5"/>
      <c r="K537" s="5"/>
    </row>
    <row r="538" ht="15.75" customHeight="1">
      <c r="A538" s="5"/>
      <c r="B538" s="5"/>
      <c r="C538" s="5"/>
      <c r="D538" s="5"/>
      <c r="E538" s="5"/>
      <c r="F538" s="5"/>
      <c r="G538" s="5"/>
      <c r="H538" s="5"/>
      <c r="I538" s="5"/>
      <c r="J538" s="5"/>
      <c r="K538" s="5"/>
    </row>
    <row r="539" ht="15.75" customHeight="1">
      <c r="A539" s="5"/>
      <c r="B539" s="5"/>
      <c r="C539" s="5"/>
      <c r="D539" s="5"/>
      <c r="E539" s="5"/>
      <c r="F539" s="5"/>
      <c r="G539" s="5"/>
      <c r="H539" s="5"/>
      <c r="I539" s="5"/>
      <c r="J539" s="5"/>
      <c r="K539" s="5"/>
    </row>
    <row r="540" ht="15.75" customHeight="1">
      <c r="A540" s="5"/>
      <c r="B540" s="5"/>
      <c r="C540" s="5"/>
      <c r="D540" s="5"/>
      <c r="E540" s="5"/>
      <c r="F540" s="5"/>
      <c r="G540" s="5"/>
      <c r="H540" s="5"/>
      <c r="I540" s="5"/>
      <c r="J540" s="5"/>
      <c r="K540" s="5"/>
    </row>
    <row r="541" ht="15.75" customHeight="1">
      <c r="A541" s="5"/>
      <c r="B541" s="5"/>
      <c r="C541" s="5"/>
      <c r="D541" s="5"/>
      <c r="E541" s="5"/>
      <c r="F541" s="5"/>
      <c r="G541" s="5"/>
      <c r="H541" s="5"/>
      <c r="I541" s="5"/>
      <c r="J541" s="5"/>
      <c r="K541" s="5"/>
    </row>
    <row r="542" ht="15.75" customHeight="1">
      <c r="A542" s="5"/>
      <c r="B542" s="5"/>
      <c r="C542" s="5"/>
      <c r="D542" s="5"/>
      <c r="E542" s="5"/>
      <c r="F542" s="5"/>
      <c r="G542" s="5"/>
      <c r="H542" s="5"/>
      <c r="I542" s="5"/>
      <c r="J542" s="5"/>
      <c r="K542" s="5"/>
    </row>
    <row r="543" ht="15.75" customHeight="1">
      <c r="A543" s="5"/>
      <c r="B543" s="5"/>
      <c r="C543" s="5"/>
      <c r="D543" s="5"/>
      <c r="E543" s="5"/>
      <c r="F543" s="5"/>
      <c r="G543" s="5"/>
      <c r="H543" s="5"/>
      <c r="I543" s="5"/>
      <c r="J543" s="5"/>
      <c r="K543" s="5"/>
    </row>
    <row r="544" ht="15.75" customHeight="1">
      <c r="A544" s="5"/>
      <c r="B544" s="5"/>
      <c r="C544" s="5"/>
      <c r="D544" s="5"/>
      <c r="E544" s="5"/>
      <c r="F544" s="5"/>
      <c r="G544" s="5"/>
      <c r="H544" s="5"/>
      <c r="I544" s="5"/>
      <c r="J544" s="5"/>
      <c r="K544" s="5"/>
    </row>
    <row r="545" ht="15.75" customHeight="1">
      <c r="A545" s="5"/>
      <c r="B545" s="5"/>
      <c r="C545" s="5"/>
      <c r="D545" s="5"/>
      <c r="E545" s="5"/>
      <c r="F545" s="5"/>
      <c r="G545" s="5"/>
      <c r="H545" s="5"/>
      <c r="I545" s="5"/>
      <c r="J545" s="5"/>
      <c r="K545" s="5"/>
    </row>
    <row r="546" ht="15.75" customHeight="1">
      <c r="A546" s="5"/>
      <c r="B546" s="5"/>
      <c r="C546" s="5"/>
      <c r="D546" s="5"/>
      <c r="E546" s="5"/>
      <c r="F546" s="5"/>
      <c r="G546" s="5"/>
      <c r="H546" s="5"/>
      <c r="I546" s="5"/>
      <c r="J546" s="5"/>
      <c r="K546" s="5"/>
    </row>
    <row r="547" ht="15.75" customHeight="1">
      <c r="A547" s="5"/>
      <c r="B547" s="5"/>
      <c r="C547" s="5"/>
      <c r="D547" s="5"/>
      <c r="E547" s="5"/>
      <c r="F547" s="5"/>
      <c r="G547" s="5"/>
      <c r="H547" s="5"/>
      <c r="I547" s="5"/>
      <c r="J547" s="5"/>
      <c r="K547" s="5"/>
    </row>
    <row r="548" ht="15.75" customHeight="1">
      <c r="A548" s="5"/>
      <c r="B548" s="5"/>
      <c r="C548" s="5"/>
      <c r="D548" s="5"/>
      <c r="E548" s="5"/>
      <c r="F548" s="5"/>
      <c r="G548" s="5"/>
      <c r="H548" s="5"/>
      <c r="I548" s="5"/>
      <c r="J548" s="5"/>
      <c r="K548" s="5"/>
    </row>
    <row r="549" ht="15.75" customHeight="1">
      <c r="A549" s="5"/>
      <c r="B549" s="5"/>
      <c r="C549" s="5"/>
      <c r="D549" s="5"/>
      <c r="E549" s="5"/>
      <c r="F549" s="5"/>
      <c r="G549" s="5"/>
      <c r="H549" s="5"/>
      <c r="I549" s="5"/>
      <c r="J549" s="5"/>
      <c r="K549" s="5"/>
    </row>
    <row r="550" ht="15.75" customHeight="1">
      <c r="A550" s="5"/>
      <c r="B550" s="5"/>
      <c r="C550" s="5"/>
      <c r="D550" s="5"/>
      <c r="E550" s="5"/>
      <c r="F550" s="5"/>
      <c r="G550" s="5"/>
      <c r="H550" s="5"/>
      <c r="I550" s="5"/>
      <c r="J550" s="5"/>
      <c r="K550" s="5"/>
    </row>
    <row r="551" ht="15.75" customHeight="1">
      <c r="A551" s="5"/>
      <c r="B551" s="5"/>
      <c r="C551" s="5"/>
      <c r="D551" s="5"/>
      <c r="E551" s="5"/>
      <c r="F551" s="5"/>
      <c r="G551" s="5"/>
      <c r="H551" s="5"/>
      <c r="I551" s="5"/>
      <c r="J551" s="5"/>
      <c r="K551" s="5"/>
    </row>
    <row r="552" ht="15.75" customHeight="1">
      <c r="A552" s="5"/>
      <c r="B552" s="5"/>
      <c r="C552" s="5"/>
      <c r="D552" s="5"/>
      <c r="E552" s="5"/>
      <c r="F552" s="5"/>
      <c r="G552" s="5"/>
      <c r="H552" s="5"/>
      <c r="I552" s="5"/>
      <c r="J552" s="5"/>
      <c r="K552" s="5"/>
    </row>
    <row r="553" ht="15.75" customHeight="1">
      <c r="A553" s="5"/>
      <c r="B553" s="5"/>
      <c r="C553" s="5"/>
      <c r="D553" s="5"/>
      <c r="E553" s="5"/>
      <c r="F553" s="5"/>
      <c r="G553" s="5"/>
      <c r="H553" s="5"/>
      <c r="I553" s="5"/>
      <c r="J553" s="5"/>
      <c r="K553" s="5"/>
    </row>
    <row r="554" ht="15.75" customHeight="1">
      <c r="A554" s="5"/>
      <c r="B554" s="5"/>
      <c r="C554" s="5"/>
      <c r="D554" s="5"/>
      <c r="E554" s="5"/>
      <c r="F554" s="5"/>
      <c r="G554" s="5"/>
      <c r="H554" s="5"/>
      <c r="I554" s="5"/>
      <c r="J554" s="5"/>
      <c r="K554" s="5"/>
    </row>
    <row r="555" ht="15.75" customHeight="1">
      <c r="A555" s="5"/>
      <c r="B555" s="5"/>
      <c r="C555" s="5"/>
      <c r="D555" s="5"/>
      <c r="E555" s="5"/>
      <c r="F555" s="5"/>
      <c r="G555" s="5"/>
      <c r="H555" s="5"/>
      <c r="I555" s="5"/>
      <c r="J555" s="5"/>
      <c r="K555" s="5"/>
    </row>
    <row r="556" ht="15.75" customHeight="1">
      <c r="A556" s="5"/>
      <c r="B556" s="5"/>
      <c r="C556" s="5"/>
      <c r="D556" s="5"/>
      <c r="E556" s="5"/>
      <c r="F556" s="5"/>
      <c r="G556" s="5"/>
      <c r="H556" s="5"/>
      <c r="I556" s="5"/>
      <c r="J556" s="5"/>
      <c r="K556" s="5"/>
    </row>
    <row r="557" ht="15.75" customHeight="1">
      <c r="A557" s="5"/>
      <c r="B557" s="5"/>
      <c r="C557" s="5"/>
      <c r="D557" s="5"/>
      <c r="E557" s="5"/>
      <c r="F557" s="5"/>
      <c r="G557" s="5"/>
      <c r="H557" s="5"/>
      <c r="I557" s="5"/>
      <c r="J557" s="5"/>
      <c r="K557" s="5"/>
    </row>
    <row r="558" ht="15.75" customHeight="1">
      <c r="A558" s="5"/>
      <c r="B558" s="5"/>
      <c r="C558" s="5"/>
      <c r="D558" s="5"/>
      <c r="E558" s="5"/>
      <c r="F558" s="5"/>
      <c r="G558" s="5"/>
      <c r="H558" s="5"/>
      <c r="I558" s="5"/>
      <c r="J558" s="5"/>
      <c r="K558" s="5"/>
    </row>
    <row r="559" ht="15.75" customHeight="1">
      <c r="A559" s="5"/>
      <c r="B559" s="5"/>
      <c r="C559" s="5"/>
      <c r="D559" s="5"/>
      <c r="E559" s="5"/>
      <c r="F559" s="5"/>
      <c r="G559" s="5"/>
      <c r="H559" s="5"/>
      <c r="I559" s="5"/>
      <c r="J559" s="5"/>
      <c r="K559" s="5"/>
    </row>
    <row r="560" ht="15.75" customHeight="1">
      <c r="A560" s="5"/>
      <c r="B560" s="5"/>
      <c r="C560" s="5"/>
      <c r="D560" s="5"/>
      <c r="E560" s="5"/>
      <c r="F560" s="5"/>
      <c r="G560" s="5"/>
      <c r="H560" s="5"/>
      <c r="I560" s="5"/>
      <c r="J560" s="5"/>
      <c r="K560" s="5"/>
    </row>
    <row r="561" ht="15.75" customHeight="1">
      <c r="A561" s="5"/>
      <c r="B561" s="5"/>
      <c r="C561" s="5"/>
      <c r="D561" s="5"/>
      <c r="E561" s="5"/>
      <c r="F561" s="5"/>
      <c r="G561" s="5"/>
      <c r="H561" s="5"/>
      <c r="I561" s="5"/>
      <c r="J561" s="5"/>
      <c r="K561" s="5"/>
    </row>
    <row r="562" ht="15.75" customHeight="1">
      <c r="A562" s="5"/>
      <c r="B562" s="5"/>
      <c r="C562" s="5"/>
      <c r="D562" s="5"/>
      <c r="E562" s="5"/>
      <c r="F562" s="5"/>
      <c r="G562" s="5"/>
      <c r="H562" s="5"/>
      <c r="I562" s="5"/>
      <c r="J562" s="5"/>
      <c r="K562" s="5"/>
    </row>
    <row r="563" ht="15.75" customHeight="1">
      <c r="A563" s="5"/>
      <c r="B563" s="5"/>
      <c r="C563" s="5"/>
      <c r="D563" s="5"/>
      <c r="E563" s="5"/>
      <c r="F563" s="5"/>
      <c r="G563" s="5"/>
      <c r="H563" s="5"/>
      <c r="I563" s="5"/>
      <c r="J563" s="5"/>
      <c r="K563" s="5"/>
    </row>
    <row r="564" ht="15.75" customHeight="1">
      <c r="A564" s="5"/>
      <c r="B564" s="5"/>
      <c r="C564" s="5"/>
      <c r="D564" s="5"/>
      <c r="E564" s="5"/>
      <c r="F564" s="5"/>
      <c r="G564" s="5"/>
      <c r="H564" s="5"/>
      <c r="I564" s="5"/>
      <c r="J564" s="5"/>
      <c r="K564" s="5"/>
    </row>
    <row r="565" ht="15.75" customHeight="1">
      <c r="A565" s="5"/>
      <c r="B565" s="5"/>
      <c r="C565" s="5"/>
      <c r="D565" s="5"/>
      <c r="E565" s="5"/>
      <c r="F565" s="5"/>
      <c r="G565" s="5"/>
      <c r="H565" s="5"/>
      <c r="I565" s="5"/>
      <c r="J565" s="5"/>
      <c r="K565" s="5"/>
    </row>
    <row r="566" ht="15.75" customHeight="1">
      <c r="A566" s="5"/>
      <c r="B566" s="5"/>
      <c r="C566" s="5"/>
      <c r="D566" s="5"/>
      <c r="E566" s="5"/>
      <c r="F566" s="5"/>
      <c r="G566" s="5"/>
      <c r="H566" s="5"/>
      <c r="I566" s="5"/>
      <c r="J566" s="5"/>
      <c r="K566" s="5"/>
    </row>
    <row r="567" ht="15.75" customHeight="1">
      <c r="A567" s="5"/>
      <c r="B567" s="5"/>
      <c r="C567" s="5"/>
      <c r="D567" s="5"/>
      <c r="E567" s="5"/>
      <c r="F567" s="5"/>
      <c r="G567" s="5"/>
      <c r="H567" s="5"/>
      <c r="I567" s="5"/>
      <c r="J567" s="5"/>
      <c r="K567" s="5"/>
    </row>
    <row r="568" ht="15.75" customHeight="1">
      <c r="A568" s="5"/>
      <c r="B568" s="5"/>
      <c r="C568" s="5"/>
      <c r="D568" s="5"/>
      <c r="E568" s="5"/>
      <c r="F568" s="5"/>
      <c r="G568" s="5"/>
      <c r="H568" s="5"/>
      <c r="I568" s="5"/>
      <c r="J568" s="5"/>
      <c r="K568" s="5"/>
    </row>
    <row r="569" ht="15.75" customHeight="1">
      <c r="A569" s="5"/>
      <c r="B569" s="5"/>
      <c r="C569" s="5"/>
      <c r="D569" s="5"/>
      <c r="E569" s="5"/>
      <c r="F569" s="5"/>
      <c r="G569" s="5"/>
      <c r="H569" s="5"/>
      <c r="I569" s="5"/>
      <c r="J569" s="5"/>
      <c r="K569" s="5"/>
    </row>
    <row r="570" ht="15.75" customHeight="1">
      <c r="A570" s="5"/>
      <c r="B570" s="5"/>
      <c r="C570" s="5"/>
      <c r="D570" s="5"/>
      <c r="E570" s="5"/>
      <c r="F570" s="5"/>
      <c r="G570" s="5"/>
      <c r="H570" s="5"/>
      <c r="I570" s="5"/>
      <c r="J570" s="5"/>
      <c r="K570" s="5"/>
    </row>
    <row r="571" ht="15.75" customHeight="1">
      <c r="A571" s="5"/>
      <c r="B571" s="5"/>
      <c r="C571" s="5"/>
      <c r="D571" s="5"/>
      <c r="E571" s="5"/>
      <c r="F571" s="5"/>
      <c r="G571" s="5"/>
      <c r="H571" s="5"/>
      <c r="I571" s="5"/>
      <c r="J571" s="5"/>
      <c r="K571" s="5"/>
    </row>
    <row r="572" ht="15.75" customHeight="1">
      <c r="A572" s="5"/>
      <c r="B572" s="5"/>
      <c r="C572" s="5"/>
      <c r="D572" s="5"/>
      <c r="E572" s="5"/>
      <c r="F572" s="5"/>
      <c r="G572" s="5"/>
      <c r="H572" s="5"/>
      <c r="I572" s="5"/>
      <c r="J572" s="5"/>
      <c r="K572" s="5"/>
    </row>
    <row r="573" ht="15.75" customHeight="1">
      <c r="A573" s="5"/>
      <c r="B573" s="5"/>
      <c r="C573" s="5"/>
      <c r="D573" s="5"/>
      <c r="E573" s="5"/>
      <c r="F573" s="5"/>
      <c r="G573" s="5"/>
      <c r="H573" s="5"/>
      <c r="I573" s="5"/>
      <c r="J573" s="5"/>
      <c r="K573" s="5"/>
    </row>
    <row r="574" ht="15.75" customHeight="1">
      <c r="A574" s="5"/>
      <c r="B574" s="5"/>
      <c r="C574" s="5"/>
      <c r="D574" s="5"/>
      <c r="E574" s="5"/>
      <c r="F574" s="5"/>
      <c r="G574" s="5"/>
      <c r="H574" s="5"/>
      <c r="I574" s="5"/>
      <c r="J574" s="5"/>
      <c r="K574" s="5"/>
    </row>
    <row r="575" ht="15.75" customHeight="1">
      <c r="A575" s="5"/>
      <c r="B575" s="5"/>
      <c r="C575" s="5"/>
      <c r="D575" s="5"/>
      <c r="E575" s="5"/>
      <c r="F575" s="5"/>
      <c r="G575" s="5"/>
      <c r="H575" s="5"/>
      <c r="I575" s="5"/>
      <c r="J575" s="5"/>
      <c r="K575" s="5"/>
    </row>
    <row r="576" ht="15.75" customHeight="1">
      <c r="A576" s="5"/>
      <c r="B576" s="5"/>
      <c r="C576" s="5"/>
      <c r="D576" s="5"/>
      <c r="E576" s="5"/>
      <c r="F576" s="5"/>
      <c r="G576" s="5"/>
      <c r="H576" s="5"/>
      <c r="I576" s="5"/>
      <c r="J576" s="5"/>
      <c r="K576" s="5"/>
    </row>
    <row r="577" ht="15.75" customHeight="1">
      <c r="A577" s="5"/>
      <c r="B577" s="5"/>
      <c r="C577" s="5"/>
      <c r="D577" s="5"/>
      <c r="E577" s="5"/>
      <c r="F577" s="5"/>
      <c r="G577" s="5"/>
      <c r="H577" s="5"/>
      <c r="I577" s="5"/>
      <c r="J577" s="5"/>
      <c r="K577" s="5"/>
    </row>
    <row r="578" ht="15.75" customHeight="1">
      <c r="A578" s="5"/>
      <c r="B578" s="5"/>
      <c r="C578" s="5"/>
      <c r="D578" s="5"/>
      <c r="E578" s="5"/>
      <c r="F578" s="5"/>
      <c r="G578" s="5"/>
      <c r="H578" s="5"/>
      <c r="I578" s="5"/>
      <c r="J578" s="5"/>
      <c r="K578" s="5"/>
    </row>
    <row r="579" ht="15.75" customHeight="1">
      <c r="A579" s="5"/>
      <c r="B579" s="5"/>
      <c r="C579" s="5"/>
      <c r="D579" s="5"/>
      <c r="E579" s="5"/>
      <c r="F579" s="5"/>
      <c r="G579" s="5"/>
      <c r="H579" s="5"/>
      <c r="I579" s="5"/>
      <c r="J579" s="5"/>
      <c r="K579" s="5"/>
    </row>
    <row r="580" ht="15.75" customHeight="1">
      <c r="A580" s="5"/>
      <c r="B580" s="5"/>
      <c r="C580" s="5"/>
      <c r="D580" s="5"/>
      <c r="E580" s="5"/>
      <c r="F580" s="5"/>
      <c r="G580" s="5"/>
      <c r="H580" s="5"/>
      <c r="I580" s="5"/>
      <c r="J580" s="5"/>
      <c r="K580" s="5"/>
    </row>
    <row r="581" ht="15.75" customHeight="1">
      <c r="A581" s="5"/>
      <c r="B581" s="5"/>
      <c r="C581" s="5"/>
      <c r="D581" s="5"/>
      <c r="E581" s="5"/>
      <c r="F581" s="5"/>
      <c r="G581" s="5"/>
      <c r="H581" s="5"/>
      <c r="I581" s="5"/>
      <c r="J581" s="5"/>
      <c r="K581" s="5"/>
    </row>
    <row r="582" ht="15.75" customHeight="1">
      <c r="A582" s="5"/>
      <c r="B582" s="5"/>
      <c r="C582" s="5"/>
      <c r="D582" s="5"/>
      <c r="E582" s="5"/>
      <c r="F582" s="5"/>
      <c r="G582" s="5"/>
      <c r="H582" s="5"/>
      <c r="I582" s="5"/>
      <c r="J582" s="5"/>
      <c r="K582" s="5"/>
    </row>
    <row r="583" ht="15.75" customHeight="1">
      <c r="A583" s="5"/>
      <c r="B583" s="5"/>
      <c r="C583" s="5"/>
      <c r="D583" s="5"/>
      <c r="E583" s="5"/>
      <c r="F583" s="5"/>
      <c r="G583" s="5"/>
      <c r="H583" s="5"/>
      <c r="I583" s="5"/>
      <c r="J583" s="5"/>
      <c r="K583" s="5"/>
    </row>
    <row r="584" ht="15.75" customHeight="1">
      <c r="A584" s="5"/>
      <c r="B584" s="5"/>
      <c r="C584" s="5"/>
      <c r="D584" s="5"/>
      <c r="E584" s="5"/>
      <c r="F584" s="5"/>
      <c r="G584" s="5"/>
      <c r="H584" s="5"/>
      <c r="I584" s="5"/>
      <c r="J584" s="5"/>
      <c r="K584" s="5"/>
    </row>
    <row r="585" ht="15.75" customHeight="1">
      <c r="A585" s="5"/>
      <c r="B585" s="5"/>
      <c r="C585" s="5"/>
      <c r="D585" s="5"/>
      <c r="E585" s="5"/>
      <c r="F585" s="5"/>
      <c r="G585" s="5"/>
      <c r="H585" s="5"/>
      <c r="I585" s="5"/>
      <c r="J585" s="5"/>
      <c r="K585" s="5"/>
    </row>
    <row r="586" ht="15.75" customHeight="1">
      <c r="A586" s="5"/>
      <c r="B586" s="5"/>
      <c r="C586" s="5"/>
      <c r="D586" s="5"/>
      <c r="E586" s="5"/>
      <c r="F586" s="5"/>
      <c r="G586" s="5"/>
      <c r="H586" s="5"/>
      <c r="I586" s="5"/>
      <c r="J586" s="5"/>
      <c r="K586" s="5"/>
    </row>
    <row r="587" ht="15.75" customHeight="1">
      <c r="A587" s="5"/>
      <c r="B587" s="5"/>
      <c r="C587" s="5"/>
      <c r="D587" s="5"/>
      <c r="E587" s="5"/>
      <c r="F587" s="5"/>
      <c r="G587" s="5"/>
      <c r="H587" s="5"/>
      <c r="I587" s="5"/>
      <c r="J587" s="5"/>
      <c r="K587" s="5"/>
    </row>
    <row r="588" ht="15.75" customHeight="1">
      <c r="A588" s="5"/>
      <c r="B588" s="5"/>
      <c r="C588" s="5"/>
      <c r="D588" s="5"/>
      <c r="E588" s="5"/>
      <c r="F588" s="5"/>
      <c r="G588" s="5"/>
      <c r="H588" s="5"/>
      <c r="I588" s="5"/>
      <c r="J588" s="5"/>
      <c r="K588" s="5"/>
    </row>
    <row r="589" ht="15.75" customHeight="1">
      <c r="A589" s="5"/>
      <c r="B589" s="5"/>
      <c r="C589" s="5"/>
      <c r="D589" s="5"/>
      <c r="E589" s="5"/>
      <c r="F589" s="5"/>
      <c r="G589" s="5"/>
      <c r="H589" s="5"/>
      <c r="I589" s="5"/>
      <c r="J589" s="5"/>
      <c r="K589" s="5"/>
    </row>
    <row r="590" ht="15.75" customHeight="1">
      <c r="A590" s="5"/>
      <c r="B590" s="5"/>
      <c r="C590" s="5"/>
      <c r="D590" s="5"/>
      <c r="E590" s="5"/>
      <c r="F590" s="5"/>
      <c r="G590" s="5"/>
      <c r="H590" s="5"/>
      <c r="I590" s="5"/>
      <c r="J590" s="5"/>
      <c r="K590" s="5"/>
    </row>
    <row r="591" ht="15.75" customHeight="1">
      <c r="A591" s="5"/>
      <c r="B591" s="5"/>
      <c r="C591" s="5"/>
      <c r="D591" s="5"/>
      <c r="E591" s="5"/>
      <c r="F591" s="5"/>
      <c r="G591" s="5"/>
      <c r="H591" s="5"/>
      <c r="I591" s="5"/>
      <c r="J591" s="5"/>
      <c r="K591" s="5"/>
    </row>
    <row r="592" ht="15.75" customHeight="1">
      <c r="A592" s="5"/>
      <c r="B592" s="5"/>
      <c r="C592" s="5"/>
      <c r="D592" s="5"/>
      <c r="E592" s="5"/>
      <c r="F592" s="5"/>
      <c r="G592" s="5"/>
      <c r="H592" s="5"/>
      <c r="I592" s="5"/>
      <c r="J592" s="5"/>
      <c r="K592" s="5"/>
    </row>
    <row r="593" ht="15.75" customHeight="1">
      <c r="A593" s="5"/>
      <c r="B593" s="5"/>
      <c r="C593" s="5"/>
      <c r="D593" s="5"/>
      <c r="E593" s="5"/>
      <c r="F593" s="5"/>
      <c r="G593" s="5"/>
      <c r="H593" s="5"/>
      <c r="I593" s="5"/>
      <c r="J593" s="5"/>
      <c r="K593" s="5"/>
    </row>
    <row r="594" ht="15.75" customHeight="1">
      <c r="A594" s="5"/>
      <c r="B594" s="5"/>
      <c r="C594" s="5"/>
      <c r="D594" s="5"/>
      <c r="E594" s="5"/>
      <c r="F594" s="5"/>
      <c r="G594" s="5"/>
      <c r="H594" s="5"/>
      <c r="I594" s="5"/>
      <c r="J594" s="5"/>
      <c r="K594" s="5"/>
    </row>
    <row r="595" ht="15.75" customHeight="1">
      <c r="A595" s="5"/>
      <c r="B595" s="5"/>
      <c r="C595" s="5"/>
      <c r="D595" s="5"/>
      <c r="E595" s="5"/>
      <c r="F595" s="5"/>
      <c r="G595" s="5"/>
      <c r="H595" s="5"/>
      <c r="I595" s="5"/>
      <c r="J595" s="5"/>
      <c r="K595" s="5"/>
    </row>
    <row r="596" ht="15.75" customHeight="1">
      <c r="A596" s="5"/>
      <c r="B596" s="5"/>
      <c r="C596" s="5"/>
      <c r="D596" s="5"/>
      <c r="E596" s="5"/>
      <c r="F596" s="5"/>
      <c r="G596" s="5"/>
      <c r="H596" s="5"/>
      <c r="I596" s="5"/>
      <c r="J596" s="5"/>
      <c r="K596" s="5"/>
    </row>
    <row r="597" ht="15.75" customHeight="1">
      <c r="A597" s="5"/>
      <c r="B597" s="5"/>
      <c r="C597" s="5"/>
      <c r="D597" s="5"/>
      <c r="E597" s="5"/>
      <c r="F597" s="5"/>
      <c r="G597" s="5"/>
      <c r="H597" s="5"/>
      <c r="I597" s="5"/>
      <c r="J597" s="5"/>
      <c r="K597" s="5"/>
    </row>
    <row r="598" ht="15.75" customHeight="1">
      <c r="A598" s="5"/>
      <c r="B598" s="5"/>
      <c r="C598" s="5"/>
      <c r="D598" s="5"/>
      <c r="E598" s="5"/>
      <c r="F598" s="5"/>
      <c r="G598" s="5"/>
      <c r="H598" s="5"/>
      <c r="I598" s="5"/>
      <c r="J598" s="5"/>
      <c r="K598" s="5"/>
    </row>
    <row r="599" ht="15.75" customHeight="1">
      <c r="A599" s="5"/>
      <c r="B599" s="5"/>
      <c r="C599" s="5"/>
      <c r="D599" s="5"/>
      <c r="E599" s="5"/>
      <c r="F599" s="5"/>
      <c r="G599" s="5"/>
      <c r="H599" s="5"/>
      <c r="I599" s="5"/>
      <c r="J599" s="5"/>
      <c r="K599" s="5"/>
    </row>
    <row r="600" ht="15.75" customHeight="1">
      <c r="A600" s="5"/>
      <c r="B600" s="5"/>
      <c r="C600" s="5"/>
      <c r="D600" s="5"/>
      <c r="E600" s="5"/>
      <c r="F600" s="5"/>
      <c r="G600" s="5"/>
      <c r="H600" s="5"/>
      <c r="I600" s="5"/>
      <c r="J600" s="5"/>
      <c r="K600" s="5"/>
    </row>
    <row r="601" ht="15.75" customHeight="1">
      <c r="A601" s="5"/>
      <c r="B601" s="5"/>
      <c r="C601" s="5"/>
      <c r="D601" s="5"/>
      <c r="E601" s="5"/>
      <c r="F601" s="5"/>
      <c r="G601" s="5"/>
      <c r="H601" s="5"/>
      <c r="I601" s="5"/>
      <c r="J601" s="5"/>
      <c r="K601" s="5"/>
    </row>
    <row r="602" ht="15.75" customHeight="1">
      <c r="A602" s="5"/>
      <c r="B602" s="5"/>
      <c r="C602" s="5"/>
      <c r="D602" s="5"/>
      <c r="E602" s="5"/>
      <c r="F602" s="5"/>
      <c r="G602" s="5"/>
      <c r="H602" s="5"/>
      <c r="I602" s="5"/>
      <c r="J602" s="5"/>
      <c r="K602" s="5"/>
    </row>
    <row r="603" ht="15.75" customHeight="1">
      <c r="A603" s="5"/>
      <c r="B603" s="5"/>
      <c r="C603" s="5"/>
      <c r="D603" s="5"/>
      <c r="E603" s="5"/>
      <c r="F603" s="5"/>
      <c r="G603" s="5"/>
      <c r="H603" s="5"/>
      <c r="I603" s="5"/>
      <c r="J603" s="5"/>
      <c r="K603" s="5"/>
    </row>
    <row r="604" ht="15.75" customHeight="1">
      <c r="A604" s="5"/>
      <c r="B604" s="5"/>
      <c r="C604" s="5"/>
      <c r="D604" s="5"/>
      <c r="E604" s="5"/>
      <c r="F604" s="5"/>
      <c r="G604" s="5"/>
      <c r="H604" s="5"/>
      <c r="I604" s="5"/>
      <c r="J604" s="5"/>
      <c r="K604" s="5"/>
    </row>
    <row r="605" ht="15.75" customHeight="1">
      <c r="A605" s="5"/>
      <c r="B605" s="5"/>
      <c r="C605" s="5"/>
      <c r="D605" s="5"/>
      <c r="E605" s="5"/>
      <c r="F605" s="5"/>
      <c r="G605" s="5"/>
      <c r="H605" s="5"/>
      <c r="I605" s="5"/>
      <c r="J605" s="5"/>
      <c r="K605" s="5"/>
    </row>
    <row r="606" ht="15.75" customHeight="1">
      <c r="A606" s="5"/>
      <c r="B606" s="5"/>
      <c r="C606" s="5"/>
      <c r="D606" s="5"/>
      <c r="E606" s="5"/>
      <c r="F606" s="5"/>
      <c r="G606" s="5"/>
      <c r="H606" s="5"/>
      <c r="I606" s="5"/>
      <c r="J606" s="5"/>
      <c r="K606" s="5"/>
    </row>
    <row r="607" ht="15.75" customHeight="1">
      <c r="A607" s="5"/>
      <c r="B607" s="5"/>
      <c r="C607" s="5"/>
      <c r="D607" s="5"/>
      <c r="E607" s="5"/>
      <c r="F607" s="5"/>
      <c r="G607" s="5"/>
      <c r="H607" s="5"/>
      <c r="I607" s="5"/>
      <c r="J607" s="5"/>
      <c r="K607" s="5"/>
    </row>
    <row r="608" ht="15.75" customHeight="1">
      <c r="A608" s="5"/>
      <c r="B608" s="5"/>
      <c r="C608" s="5"/>
      <c r="D608" s="5"/>
      <c r="E608" s="5"/>
      <c r="F608" s="5"/>
      <c r="G608" s="5"/>
      <c r="H608" s="5"/>
      <c r="I608" s="5"/>
      <c r="J608" s="5"/>
      <c r="K608" s="5"/>
    </row>
    <row r="609" ht="15.75" customHeight="1">
      <c r="A609" s="5"/>
      <c r="B609" s="5"/>
      <c r="C609" s="5"/>
      <c r="D609" s="5"/>
      <c r="E609" s="5"/>
      <c r="F609" s="5"/>
      <c r="G609" s="5"/>
      <c r="H609" s="5"/>
      <c r="I609" s="5"/>
      <c r="J609" s="5"/>
      <c r="K609" s="5"/>
    </row>
    <row r="610" ht="15.75" customHeight="1">
      <c r="A610" s="5"/>
      <c r="B610" s="5"/>
      <c r="C610" s="5"/>
      <c r="D610" s="5"/>
      <c r="E610" s="5"/>
      <c r="F610" s="5"/>
      <c r="G610" s="5"/>
      <c r="H610" s="5"/>
      <c r="I610" s="5"/>
      <c r="J610" s="5"/>
      <c r="K610" s="5"/>
    </row>
    <row r="611" ht="15.75" customHeight="1">
      <c r="A611" s="5"/>
      <c r="B611" s="5"/>
      <c r="C611" s="5"/>
      <c r="D611" s="5"/>
      <c r="E611" s="5"/>
      <c r="F611" s="5"/>
      <c r="G611" s="5"/>
      <c r="H611" s="5"/>
      <c r="I611" s="5"/>
      <c r="J611" s="5"/>
      <c r="K611" s="5"/>
    </row>
    <row r="612" ht="15.75" customHeight="1">
      <c r="A612" s="5"/>
      <c r="B612" s="5"/>
      <c r="C612" s="5"/>
      <c r="D612" s="5"/>
      <c r="E612" s="5"/>
      <c r="F612" s="5"/>
      <c r="G612" s="5"/>
      <c r="H612" s="5"/>
      <c r="I612" s="5"/>
      <c r="J612" s="5"/>
      <c r="K612" s="5"/>
    </row>
    <row r="613" ht="15.75" customHeight="1">
      <c r="A613" s="5"/>
      <c r="B613" s="5"/>
      <c r="C613" s="5"/>
      <c r="D613" s="5"/>
      <c r="E613" s="5"/>
      <c r="F613" s="5"/>
      <c r="G613" s="5"/>
      <c r="H613" s="5"/>
      <c r="I613" s="5"/>
      <c r="J613" s="5"/>
      <c r="K613" s="5"/>
    </row>
    <row r="614" ht="15.75" customHeight="1">
      <c r="A614" s="5"/>
      <c r="B614" s="5"/>
      <c r="C614" s="5"/>
      <c r="D614" s="5"/>
      <c r="E614" s="5"/>
      <c r="F614" s="5"/>
      <c r="G614" s="5"/>
      <c r="H614" s="5"/>
      <c r="I614" s="5"/>
      <c r="J614" s="5"/>
      <c r="K614" s="5"/>
    </row>
    <row r="615" ht="15.75" customHeight="1">
      <c r="A615" s="5"/>
      <c r="B615" s="5"/>
      <c r="C615" s="5"/>
      <c r="D615" s="5"/>
      <c r="E615" s="5"/>
      <c r="F615" s="5"/>
      <c r="G615" s="5"/>
      <c r="H615" s="5"/>
      <c r="I615" s="5"/>
      <c r="J615" s="5"/>
      <c r="K615" s="5"/>
    </row>
    <row r="616" ht="15.75" customHeight="1">
      <c r="A616" s="5"/>
      <c r="B616" s="5"/>
      <c r="C616" s="5"/>
      <c r="D616" s="5"/>
      <c r="E616" s="5"/>
      <c r="F616" s="5"/>
      <c r="G616" s="5"/>
      <c r="H616" s="5"/>
      <c r="I616" s="5"/>
      <c r="J616" s="5"/>
      <c r="K616" s="5"/>
    </row>
    <row r="617" ht="15.75" customHeight="1">
      <c r="A617" s="5"/>
      <c r="B617" s="5"/>
      <c r="C617" s="5"/>
      <c r="D617" s="5"/>
      <c r="E617" s="5"/>
      <c r="F617" s="5"/>
      <c r="G617" s="5"/>
      <c r="H617" s="5"/>
      <c r="I617" s="5"/>
      <c r="J617" s="5"/>
      <c r="K617" s="5"/>
    </row>
    <row r="618" ht="15.75" customHeight="1">
      <c r="A618" s="5"/>
      <c r="B618" s="5"/>
      <c r="C618" s="5"/>
      <c r="D618" s="5"/>
      <c r="E618" s="5"/>
      <c r="F618" s="5"/>
      <c r="G618" s="5"/>
      <c r="H618" s="5"/>
      <c r="I618" s="5"/>
      <c r="J618" s="5"/>
      <c r="K618" s="5"/>
    </row>
    <row r="619" ht="15.75" customHeight="1">
      <c r="A619" s="5"/>
      <c r="B619" s="5"/>
      <c r="C619" s="5"/>
      <c r="D619" s="5"/>
      <c r="E619" s="5"/>
      <c r="F619" s="5"/>
      <c r="G619" s="5"/>
      <c r="H619" s="5"/>
      <c r="I619" s="5"/>
      <c r="J619" s="5"/>
      <c r="K619" s="5"/>
    </row>
    <row r="620" ht="15.75" customHeight="1">
      <c r="A620" s="5"/>
      <c r="B620" s="5"/>
      <c r="C620" s="5"/>
      <c r="D620" s="5"/>
      <c r="E620" s="5"/>
      <c r="F620" s="5"/>
      <c r="G620" s="5"/>
      <c r="H620" s="5"/>
      <c r="I620" s="5"/>
      <c r="J620" s="5"/>
      <c r="K620" s="5"/>
    </row>
    <row r="621" ht="15.75" customHeight="1">
      <c r="A621" s="5"/>
      <c r="B621" s="5"/>
      <c r="C621" s="5"/>
      <c r="D621" s="5"/>
      <c r="E621" s="5"/>
      <c r="F621" s="5"/>
      <c r="G621" s="5"/>
      <c r="H621" s="5"/>
      <c r="I621" s="5"/>
      <c r="J621" s="5"/>
      <c r="K621" s="5"/>
    </row>
    <row r="622" ht="15.75" customHeight="1">
      <c r="A622" s="5"/>
      <c r="B622" s="5"/>
      <c r="C622" s="5"/>
      <c r="D622" s="5"/>
      <c r="E622" s="5"/>
      <c r="F622" s="5"/>
      <c r="G622" s="5"/>
      <c r="H622" s="5"/>
      <c r="I622" s="5"/>
      <c r="J622" s="5"/>
      <c r="K622" s="5"/>
    </row>
    <row r="623" ht="15.75" customHeight="1">
      <c r="A623" s="5"/>
      <c r="B623" s="5"/>
      <c r="C623" s="5"/>
      <c r="D623" s="5"/>
      <c r="E623" s="5"/>
      <c r="F623" s="5"/>
      <c r="G623" s="5"/>
      <c r="H623" s="5"/>
      <c r="I623" s="5"/>
      <c r="J623" s="5"/>
      <c r="K623" s="5"/>
    </row>
    <row r="624" ht="15.75" customHeight="1">
      <c r="A624" s="5"/>
      <c r="B624" s="5"/>
      <c r="C624" s="5"/>
      <c r="D624" s="5"/>
      <c r="E624" s="5"/>
      <c r="F624" s="5"/>
      <c r="G624" s="5"/>
      <c r="H624" s="5"/>
      <c r="I624" s="5"/>
      <c r="J624" s="5"/>
      <c r="K624" s="5"/>
    </row>
    <row r="625" ht="15.75" customHeight="1">
      <c r="A625" s="5"/>
      <c r="B625" s="5"/>
      <c r="C625" s="5"/>
      <c r="D625" s="5"/>
      <c r="E625" s="5"/>
      <c r="F625" s="5"/>
      <c r="G625" s="5"/>
      <c r="H625" s="5"/>
      <c r="I625" s="5"/>
      <c r="J625" s="5"/>
      <c r="K625" s="5"/>
    </row>
    <row r="626" ht="15.75" customHeight="1">
      <c r="A626" s="5"/>
      <c r="B626" s="5"/>
      <c r="C626" s="5"/>
      <c r="D626" s="5"/>
      <c r="E626" s="5"/>
      <c r="F626" s="5"/>
      <c r="G626" s="5"/>
      <c r="H626" s="5"/>
      <c r="I626" s="5"/>
      <c r="J626" s="5"/>
      <c r="K626" s="5"/>
    </row>
    <row r="627" ht="15.75" customHeight="1">
      <c r="A627" s="5"/>
      <c r="B627" s="5"/>
      <c r="C627" s="5"/>
      <c r="D627" s="5"/>
      <c r="E627" s="5"/>
      <c r="F627" s="5"/>
      <c r="G627" s="5"/>
      <c r="H627" s="5"/>
      <c r="I627" s="5"/>
      <c r="J627" s="5"/>
      <c r="K627" s="5"/>
    </row>
    <row r="628" ht="15.75" customHeight="1">
      <c r="A628" s="5"/>
      <c r="B628" s="5"/>
      <c r="C628" s="5"/>
      <c r="D628" s="5"/>
      <c r="E628" s="5"/>
      <c r="F628" s="5"/>
      <c r="G628" s="5"/>
      <c r="H628" s="5"/>
      <c r="I628" s="5"/>
      <c r="J628" s="5"/>
      <c r="K628" s="5"/>
    </row>
    <row r="629" ht="15.75" customHeight="1">
      <c r="A629" s="5"/>
      <c r="B629" s="5"/>
      <c r="C629" s="5"/>
      <c r="D629" s="5"/>
      <c r="E629" s="5"/>
      <c r="F629" s="5"/>
      <c r="G629" s="5"/>
      <c r="H629" s="5"/>
      <c r="I629" s="5"/>
      <c r="J629" s="5"/>
      <c r="K629" s="5"/>
    </row>
    <row r="630" ht="15.75" customHeight="1">
      <c r="A630" s="5"/>
      <c r="B630" s="5"/>
      <c r="C630" s="5"/>
      <c r="D630" s="5"/>
      <c r="E630" s="5"/>
      <c r="F630" s="5"/>
      <c r="G630" s="5"/>
      <c r="H630" s="5"/>
      <c r="I630" s="5"/>
      <c r="J630" s="5"/>
      <c r="K630" s="5"/>
    </row>
    <row r="631" ht="15.75" customHeight="1">
      <c r="A631" s="5"/>
      <c r="B631" s="5"/>
      <c r="C631" s="5"/>
      <c r="D631" s="5"/>
      <c r="E631" s="5"/>
      <c r="F631" s="5"/>
      <c r="G631" s="5"/>
      <c r="H631" s="5"/>
      <c r="I631" s="5"/>
      <c r="J631" s="5"/>
      <c r="K631" s="5"/>
    </row>
    <row r="632" ht="15.75" customHeight="1">
      <c r="A632" s="5"/>
      <c r="B632" s="5"/>
      <c r="C632" s="5"/>
      <c r="D632" s="5"/>
      <c r="E632" s="5"/>
      <c r="F632" s="5"/>
      <c r="G632" s="5"/>
      <c r="H632" s="5"/>
      <c r="I632" s="5"/>
      <c r="J632" s="5"/>
      <c r="K632" s="5"/>
    </row>
    <row r="633" ht="15.75" customHeight="1">
      <c r="A633" s="5"/>
      <c r="B633" s="5"/>
      <c r="C633" s="5"/>
      <c r="D633" s="5"/>
      <c r="E633" s="5"/>
      <c r="F633" s="5"/>
      <c r="G633" s="5"/>
      <c r="H633" s="5"/>
      <c r="I633" s="5"/>
      <c r="J633" s="5"/>
      <c r="K633" s="5"/>
    </row>
    <row r="634" ht="15.75" customHeight="1">
      <c r="A634" s="5"/>
      <c r="B634" s="5"/>
      <c r="C634" s="5"/>
      <c r="D634" s="5"/>
      <c r="E634" s="5"/>
      <c r="F634" s="5"/>
      <c r="G634" s="5"/>
      <c r="H634" s="5"/>
      <c r="I634" s="5"/>
      <c r="J634" s="5"/>
      <c r="K634" s="5"/>
    </row>
    <row r="635" ht="15.75" customHeight="1">
      <c r="A635" s="5"/>
      <c r="B635" s="5"/>
      <c r="C635" s="5"/>
      <c r="D635" s="5"/>
      <c r="E635" s="5"/>
      <c r="F635" s="5"/>
      <c r="G635" s="5"/>
      <c r="H635" s="5"/>
      <c r="I635" s="5"/>
      <c r="J635" s="5"/>
      <c r="K635" s="5"/>
    </row>
    <row r="636" ht="15.75" customHeight="1">
      <c r="A636" s="5"/>
      <c r="B636" s="5"/>
      <c r="C636" s="5"/>
      <c r="D636" s="5"/>
      <c r="E636" s="5"/>
      <c r="F636" s="5"/>
      <c r="G636" s="5"/>
      <c r="H636" s="5"/>
      <c r="I636" s="5"/>
      <c r="J636" s="5"/>
      <c r="K636" s="5"/>
    </row>
    <row r="637" ht="15.75" customHeight="1">
      <c r="A637" s="5"/>
      <c r="B637" s="5"/>
      <c r="C637" s="5"/>
      <c r="D637" s="5"/>
      <c r="E637" s="5"/>
      <c r="F637" s="5"/>
      <c r="G637" s="5"/>
      <c r="H637" s="5"/>
      <c r="I637" s="5"/>
      <c r="J637" s="5"/>
      <c r="K637" s="5"/>
    </row>
    <row r="638" ht="15.75" customHeight="1">
      <c r="A638" s="5"/>
      <c r="B638" s="5"/>
      <c r="C638" s="5"/>
      <c r="D638" s="5"/>
      <c r="E638" s="5"/>
      <c r="F638" s="5"/>
      <c r="G638" s="5"/>
      <c r="H638" s="5"/>
      <c r="I638" s="5"/>
      <c r="J638" s="5"/>
      <c r="K638" s="5"/>
    </row>
    <row r="639" ht="15.75" customHeight="1">
      <c r="A639" s="5"/>
      <c r="B639" s="5"/>
      <c r="C639" s="5"/>
      <c r="D639" s="5"/>
      <c r="E639" s="5"/>
      <c r="F639" s="5"/>
      <c r="G639" s="5"/>
      <c r="H639" s="5"/>
      <c r="I639" s="5"/>
      <c r="J639" s="5"/>
      <c r="K639" s="5"/>
    </row>
    <row r="640" ht="15.75" customHeight="1">
      <c r="A640" s="5"/>
      <c r="B640" s="5"/>
      <c r="C640" s="5"/>
      <c r="D640" s="5"/>
      <c r="E640" s="5"/>
      <c r="F640" s="5"/>
      <c r="G640" s="5"/>
      <c r="H640" s="5"/>
      <c r="I640" s="5"/>
      <c r="J640" s="5"/>
      <c r="K640" s="5"/>
    </row>
    <row r="641" ht="15.75" customHeight="1">
      <c r="A641" s="5"/>
      <c r="B641" s="5"/>
      <c r="C641" s="5"/>
      <c r="D641" s="5"/>
      <c r="E641" s="5"/>
      <c r="F641" s="5"/>
      <c r="G641" s="5"/>
      <c r="H641" s="5"/>
      <c r="I641" s="5"/>
      <c r="J641" s="5"/>
      <c r="K641" s="5"/>
    </row>
    <row r="642" ht="15.75" customHeight="1">
      <c r="A642" s="5"/>
      <c r="B642" s="5"/>
      <c r="C642" s="5"/>
      <c r="D642" s="5"/>
      <c r="E642" s="5"/>
      <c r="F642" s="5"/>
      <c r="G642" s="5"/>
      <c r="H642" s="5"/>
      <c r="I642" s="5"/>
      <c r="J642" s="5"/>
      <c r="K642" s="5"/>
    </row>
    <row r="643" ht="15.75" customHeight="1">
      <c r="A643" s="5"/>
      <c r="B643" s="5"/>
      <c r="C643" s="5"/>
      <c r="D643" s="5"/>
      <c r="E643" s="5"/>
      <c r="F643" s="5"/>
      <c r="G643" s="5"/>
      <c r="H643" s="5"/>
      <c r="I643" s="5"/>
      <c r="J643" s="5"/>
      <c r="K643" s="5"/>
    </row>
    <row r="644" ht="15.75" customHeight="1">
      <c r="A644" s="5"/>
      <c r="B644" s="5"/>
      <c r="C644" s="5"/>
      <c r="D644" s="5"/>
      <c r="E644" s="5"/>
      <c r="F644" s="5"/>
      <c r="G644" s="5"/>
      <c r="H644" s="5"/>
      <c r="I644" s="5"/>
      <c r="J644" s="5"/>
      <c r="K644" s="5"/>
    </row>
    <row r="645" ht="15.75" customHeight="1">
      <c r="A645" s="5"/>
      <c r="B645" s="5"/>
      <c r="C645" s="5"/>
      <c r="D645" s="5"/>
      <c r="E645" s="5"/>
      <c r="F645" s="5"/>
      <c r="G645" s="5"/>
      <c r="H645" s="5"/>
      <c r="I645" s="5"/>
      <c r="J645" s="5"/>
      <c r="K645" s="5"/>
    </row>
    <row r="646" ht="15.75" customHeight="1">
      <c r="A646" s="5"/>
      <c r="B646" s="5"/>
      <c r="C646" s="5"/>
      <c r="D646" s="5"/>
      <c r="E646" s="5"/>
      <c r="F646" s="5"/>
      <c r="G646" s="5"/>
      <c r="H646" s="5"/>
      <c r="I646" s="5"/>
      <c r="J646" s="5"/>
      <c r="K646" s="5"/>
    </row>
    <row r="647" ht="15.75" customHeight="1">
      <c r="A647" s="5"/>
      <c r="B647" s="5"/>
      <c r="C647" s="5"/>
      <c r="D647" s="5"/>
      <c r="E647" s="5"/>
      <c r="F647" s="5"/>
      <c r="G647" s="5"/>
      <c r="H647" s="5"/>
      <c r="I647" s="5"/>
      <c r="J647" s="5"/>
      <c r="K647" s="5"/>
    </row>
    <row r="648" ht="15.75" customHeight="1">
      <c r="A648" s="5"/>
      <c r="B648" s="5"/>
      <c r="C648" s="5"/>
      <c r="D648" s="5"/>
      <c r="E648" s="5"/>
      <c r="F648" s="5"/>
      <c r="G648" s="5"/>
      <c r="H648" s="5"/>
      <c r="I648" s="5"/>
      <c r="J648" s="5"/>
      <c r="K648" s="5"/>
    </row>
    <row r="649" ht="15.75" customHeight="1">
      <c r="A649" s="5"/>
      <c r="B649" s="5"/>
      <c r="C649" s="5"/>
      <c r="D649" s="5"/>
      <c r="E649" s="5"/>
      <c r="F649" s="5"/>
      <c r="G649" s="5"/>
      <c r="H649" s="5"/>
      <c r="I649" s="5"/>
      <c r="J649" s="5"/>
      <c r="K649" s="5"/>
    </row>
    <row r="650" ht="15.75" customHeight="1">
      <c r="A650" s="5"/>
      <c r="B650" s="5"/>
      <c r="C650" s="5"/>
      <c r="D650" s="5"/>
      <c r="E650" s="5"/>
      <c r="F650" s="5"/>
      <c r="G650" s="5"/>
      <c r="H650" s="5"/>
      <c r="I650" s="5"/>
      <c r="J650" s="5"/>
      <c r="K650" s="5"/>
    </row>
    <row r="651" ht="15.75" customHeight="1">
      <c r="A651" s="5"/>
      <c r="B651" s="5"/>
      <c r="C651" s="5"/>
      <c r="D651" s="5"/>
      <c r="E651" s="5"/>
      <c r="F651" s="5"/>
      <c r="G651" s="5"/>
      <c r="H651" s="5"/>
      <c r="I651" s="5"/>
      <c r="J651" s="5"/>
      <c r="K651" s="5"/>
    </row>
    <row r="652" ht="15.75" customHeight="1">
      <c r="A652" s="5"/>
      <c r="B652" s="5"/>
      <c r="C652" s="5"/>
      <c r="D652" s="5"/>
      <c r="E652" s="5"/>
      <c r="F652" s="5"/>
      <c r="G652" s="5"/>
      <c r="H652" s="5"/>
      <c r="I652" s="5"/>
      <c r="J652" s="5"/>
      <c r="K652" s="5"/>
    </row>
    <row r="653" ht="15.75" customHeight="1">
      <c r="A653" s="5"/>
      <c r="B653" s="5"/>
      <c r="C653" s="5"/>
      <c r="D653" s="5"/>
      <c r="E653" s="5"/>
      <c r="F653" s="5"/>
      <c r="G653" s="5"/>
      <c r="H653" s="5"/>
      <c r="I653" s="5"/>
      <c r="J653" s="5"/>
      <c r="K653" s="5"/>
    </row>
    <row r="654" ht="15.75" customHeight="1">
      <c r="A654" s="5"/>
      <c r="B654" s="5"/>
      <c r="C654" s="5"/>
      <c r="D654" s="5"/>
      <c r="E654" s="5"/>
      <c r="F654" s="5"/>
      <c r="G654" s="5"/>
      <c r="H654" s="5"/>
      <c r="I654" s="5"/>
      <c r="J654" s="5"/>
      <c r="K654" s="5"/>
    </row>
    <row r="655" ht="15.75" customHeight="1">
      <c r="A655" s="5"/>
      <c r="B655" s="5"/>
      <c r="C655" s="5"/>
      <c r="D655" s="5"/>
      <c r="E655" s="5"/>
      <c r="F655" s="5"/>
      <c r="G655" s="5"/>
      <c r="H655" s="5"/>
      <c r="I655" s="5"/>
      <c r="J655" s="5"/>
      <c r="K655" s="5"/>
    </row>
    <row r="656" ht="15.75" customHeight="1">
      <c r="A656" s="5"/>
      <c r="B656" s="5"/>
      <c r="C656" s="5"/>
      <c r="D656" s="5"/>
      <c r="E656" s="5"/>
      <c r="F656" s="5"/>
      <c r="G656" s="5"/>
      <c r="H656" s="5"/>
      <c r="I656" s="5"/>
      <c r="J656" s="5"/>
      <c r="K656" s="5"/>
    </row>
    <row r="657" ht="15.75" customHeight="1">
      <c r="A657" s="5"/>
      <c r="B657" s="5"/>
      <c r="C657" s="5"/>
      <c r="D657" s="5"/>
      <c r="E657" s="5"/>
      <c r="F657" s="5"/>
      <c r="G657" s="5"/>
      <c r="H657" s="5"/>
      <c r="I657" s="5"/>
      <c r="J657" s="5"/>
      <c r="K657" s="5"/>
    </row>
    <row r="658" ht="15.75" customHeight="1">
      <c r="A658" s="5"/>
      <c r="B658" s="5"/>
      <c r="C658" s="5"/>
      <c r="D658" s="5"/>
      <c r="E658" s="5"/>
      <c r="F658" s="5"/>
      <c r="G658" s="5"/>
      <c r="H658" s="5"/>
      <c r="I658" s="5"/>
      <c r="J658" s="5"/>
      <c r="K658" s="5"/>
    </row>
    <row r="659" ht="15.75" customHeight="1">
      <c r="A659" s="5"/>
      <c r="B659" s="5"/>
      <c r="C659" s="5"/>
      <c r="D659" s="5"/>
      <c r="E659" s="5"/>
      <c r="F659" s="5"/>
      <c r="G659" s="5"/>
      <c r="H659" s="5"/>
      <c r="I659" s="5"/>
      <c r="J659" s="5"/>
      <c r="K659" s="5"/>
    </row>
    <row r="660" ht="15.75" customHeight="1">
      <c r="A660" s="5"/>
      <c r="B660" s="5"/>
      <c r="C660" s="5"/>
      <c r="D660" s="5"/>
      <c r="E660" s="5"/>
      <c r="F660" s="5"/>
      <c r="G660" s="5"/>
      <c r="H660" s="5"/>
      <c r="I660" s="5"/>
      <c r="J660" s="5"/>
      <c r="K660" s="5"/>
    </row>
    <row r="661" ht="15.75" customHeight="1">
      <c r="A661" s="5"/>
      <c r="B661" s="5"/>
      <c r="C661" s="5"/>
      <c r="D661" s="5"/>
      <c r="E661" s="5"/>
      <c r="F661" s="5"/>
      <c r="G661" s="5"/>
      <c r="H661" s="5"/>
      <c r="I661" s="5"/>
      <c r="J661" s="5"/>
      <c r="K661" s="5"/>
    </row>
    <row r="662" ht="15.75" customHeight="1">
      <c r="A662" s="5"/>
      <c r="B662" s="5"/>
      <c r="C662" s="5"/>
      <c r="D662" s="5"/>
      <c r="E662" s="5"/>
      <c r="F662" s="5"/>
      <c r="G662" s="5"/>
      <c r="H662" s="5"/>
      <c r="I662" s="5"/>
      <c r="J662" s="5"/>
      <c r="K662" s="5"/>
    </row>
    <row r="663" ht="15.75" customHeight="1">
      <c r="A663" s="5"/>
      <c r="B663" s="5"/>
      <c r="C663" s="5"/>
      <c r="D663" s="5"/>
      <c r="E663" s="5"/>
      <c r="F663" s="5"/>
      <c r="G663" s="5"/>
      <c r="H663" s="5"/>
      <c r="I663" s="5"/>
      <c r="J663" s="5"/>
      <c r="K663" s="5"/>
    </row>
    <row r="664" ht="15.75" customHeight="1">
      <c r="A664" s="5"/>
      <c r="B664" s="5"/>
      <c r="C664" s="5"/>
      <c r="D664" s="5"/>
      <c r="E664" s="5"/>
      <c r="F664" s="5"/>
      <c r="G664" s="5"/>
      <c r="H664" s="5"/>
      <c r="I664" s="5"/>
      <c r="J664" s="5"/>
      <c r="K664" s="5"/>
    </row>
    <row r="665" ht="15.75" customHeight="1">
      <c r="A665" s="5"/>
      <c r="B665" s="5"/>
      <c r="C665" s="5"/>
      <c r="D665" s="5"/>
      <c r="E665" s="5"/>
      <c r="F665" s="5"/>
      <c r="G665" s="5"/>
      <c r="H665" s="5"/>
      <c r="I665" s="5"/>
      <c r="J665" s="5"/>
      <c r="K665" s="5"/>
    </row>
    <row r="666" ht="15.75" customHeight="1">
      <c r="A666" s="5"/>
      <c r="B666" s="5"/>
      <c r="C666" s="5"/>
      <c r="D666" s="5"/>
      <c r="E666" s="5"/>
      <c r="F666" s="5"/>
      <c r="G666" s="5"/>
      <c r="H666" s="5"/>
      <c r="I666" s="5"/>
      <c r="J666" s="5"/>
      <c r="K666" s="5"/>
    </row>
    <row r="667" ht="15.75" customHeight="1">
      <c r="A667" s="5"/>
      <c r="B667" s="5"/>
      <c r="C667" s="5"/>
      <c r="D667" s="5"/>
      <c r="E667" s="5"/>
      <c r="F667" s="5"/>
      <c r="G667" s="5"/>
      <c r="H667" s="5"/>
      <c r="I667" s="5"/>
      <c r="J667" s="5"/>
      <c r="K667" s="5"/>
    </row>
    <row r="668" ht="15.75" customHeight="1">
      <c r="A668" s="5"/>
      <c r="B668" s="5"/>
      <c r="C668" s="5"/>
      <c r="D668" s="5"/>
      <c r="E668" s="5"/>
      <c r="F668" s="5"/>
      <c r="G668" s="5"/>
      <c r="H668" s="5"/>
      <c r="I668" s="5"/>
      <c r="J668" s="5"/>
      <c r="K668" s="5"/>
    </row>
    <row r="669" ht="15.75" customHeight="1">
      <c r="A669" s="5"/>
      <c r="B669" s="5"/>
      <c r="C669" s="5"/>
      <c r="D669" s="5"/>
      <c r="E669" s="5"/>
      <c r="F669" s="5"/>
      <c r="G669" s="5"/>
      <c r="H669" s="5"/>
      <c r="I669" s="5"/>
      <c r="J669" s="5"/>
      <c r="K669" s="5"/>
    </row>
    <row r="670" ht="15.75" customHeight="1">
      <c r="A670" s="5"/>
      <c r="B670" s="5"/>
      <c r="C670" s="5"/>
      <c r="D670" s="5"/>
      <c r="E670" s="5"/>
      <c r="F670" s="5"/>
      <c r="G670" s="5"/>
      <c r="H670" s="5"/>
      <c r="I670" s="5"/>
      <c r="J670" s="5"/>
      <c r="K670" s="5"/>
    </row>
    <row r="671" ht="15.75" customHeight="1">
      <c r="A671" s="5"/>
      <c r="B671" s="5"/>
      <c r="C671" s="5"/>
      <c r="D671" s="5"/>
      <c r="E671" s="5"/>
      <c r="F671" s="5"/>
      <c r="G671" s="5"/>
      <c r="H671" s="5"/>
      <c r="I671" s="5"/>
      <c r="J671" s="5"/>
      <c r="K671" s="5"/>
    </row>
    <row r="672" ht="15.75" customHeight="1">
      <c r="A672" s="5"/>
      <c r="B672" s="5"/>
      <c r="C672" s="5"/>
      <c r="D672" s="5"/>
      <c r="E672" s="5"/>
      <c r="F672" s="5"/>
      <c r="G672" s="5"/>
      <c r="H672" s="5"/>
      <c r="I672" s="5"/>
      <c r="J672" s="5"/>
      <c r="K672" s="5"/>
    </row>
    <row r="673" ht="15.75" customHeight="1">
      <c r="A673" s="5"/>
      <c r="B673" s="5"/>
      <c r="C673" s="5"/>
      <c r="D673" s="5"/>
      <c r="E673" s="5"/>
      <c r="F673" s="5"/>
      <c r="G673" s="5"/>
      <c r="H673" s="5"/>
      <c r="I673" s="5"/>
      <c r="J673" s="5"/>
      <c r="K673" s="5"/>
    </row>
    <row r="674" ht="15.75" customHeight="1">
      <c r="A674" s="5"/>
      <c r="B674" s="5"/>
      <c r="C674" s="5"/>
      <c r="D674" s="5"/>
      <c r="E674" s="5"/>
      <c r="F674" s="5"/>
      <c r="G674" s="5"/>
      <c r="H674" s="5"/>
      <c r="I674" s="5"/>
      <c r="J674" s="5"/>
      <c r="K674" s="5"/>
    </row>
    <row r="675" ht="15.75" customHeight="1">
      <c r="A675" s="5"/>
      <c r="B675" s="5"/>
      <c r="C675" s="5"/>
      <c r="D675" s="5"/>
      <c r="E675" s="5"/>
      <c r="F675" s="5"/>
      <c r="G675" s="5"/>
      <c r="H675" s="5"/>
      <c r="I675" s="5"/>
      <c r="J675" s="5"/>
      <c r="K675" s="5"/>
    </row>
    <row r="676" ht="15.75" customHeight="1">
      <c r="A676" s="5"/>
      <c r="B676" s="5"/>
      <c r="C676" s="5"/>
      <c r="D676" s="5"/>
      <c r="E676" s="5"/>
      <c r="F676" s="5"/>
      <c r="G676" s="5"/>
      <c r="H676" s="5"/>
      <c r="I676" s="5"/>
      <c r="J676" s="5"/>
      <c r="K676" s="5"/>
    </row>
    <row r="677" ht="15.75" customHeight="1">
      <c r="A677" s="5"/>
      <c r="B677" s="5"/>
      <c r="C677" s="5"/>
      <c r="D677" s="5"/>
      <c r="E677" s="5"/>
      <c r="F677" s="5"/>
      <c r="G677" s="5"/>
      <c r="H677" s="5"/>
      <c r="I677" s="5"/>
      <c r="J677" s="5"/>
      <c r="K677" s="5"/>
    </row>
    <row r="678" ht="15.75" customHeight="1">
      <c r="A678" s="5"/>
      <c r="B678" s="5"/>
      <c r="C678" s="5"/>
      <c r="D678" s="5"/>
      <c r="E678" s="5"/>
      <c r="F678" s="5"/>
      <c r="G678" s="5"/>
      <c r="H678" s="5"/>
      <c r="I678" s="5"/>
      <c r="J678" s="5"/>
      <c r="K678" s="5"/>
    </row>
    <row r="679" ht="15.75" customHeight="1">
      <c r="A679" s="5"/>
      <c r="B679" s="5"/>
      <c r="C679" s="5"/>
      <c r="D679" s="5"/>
      <c r="E679" s="5"/>
      <c r="F679" s="5"/>
      <c r="G679" s="5"/>
      <c r="H679" s="5"/>
      <c r="I679" s="5"/>
      <c r="J679" s="5"/>
      <c r="K679" s="5"/>
    </row>
    <row r="680" ht="15.75" customHeight="1">
      <c r="A680" s="5"/>
      <c r="B680" s="5"/>
      <c r="C680" s="5"/>
      <c r="D680" s="5"/>
      <c r="E680" s="5"/>
      <c r="F680" s="5"/>
      <c r="G680" s="5"/>
      <c r="H680" s="5"/>
      <c r="I680" s="5"/>
      <c r="J680" s="5"/>
      <c r="K680" s="5"/>
    </row>
    <row r="681" ht="15.75" customHeight="1">
      <c r="A681" s="5"/>
      <c r="B681" s="5"/>
      <c r="C681" s="5"/>
      <c r="D681" s="5"/>
      <c r="E681" s="5"/>
      <c r="F681" s="5"/>
      <c r="G681" s="5"/>
      <c r="H681" s="5"/>
      <c r="I681" s="5"/>
      <c r="J681" s="5"/>
      <c r="K681" s="5"/>
    </row>
    <row r="682" ht="15.75" customHeight="1">
      <c r="A682" s="5"/>
      <c r="B682" s="5"/>
      <c r="C682" s="5"/>
      <c r="D682" s="5"/>
      <c r="E682" s="5"/>
      <c r="F682" s="5"/>
      <c r="G682" s="5"/>
      <c r="H682" s="5"/>
      <c r="I682" s="5"/>
      <c r="J682" s="5"/>
      <c r="K682" s="5"/>
    </row>
    <row r="683" ht="15.75" customHeight="1">
      <c r="A683" s="5"/>
      <c r="B683" s="5"/>
      <c r="C683" s="5"/>
      <c r="D683" s="5"/>
      <c r="E683" s="5"/>
      <c r="F683" s="5"/>
      <c r="G683" s="5"/>
      <c r="H683" s="5"/>
      <c r="I683" s="5"/>
      <c r="J683" s="5"/>
      <c r="K683" s="5"/>
    </row>
    <row r="684" ht="15.75" customHeight="1">
      <c r="A684" s="5"/>
      <c r="B684" s="5"/>
      <c r="C684" s="5"/>
      <c r="D684" s="5"/>
      <c r="E684" s="5"/>
      <c r="F684" s="5"/>
      <c r="G684" s="5"/>
      <c r="H684" s="5"/>
      <c r="I684" s="5"/>
      <c r="J684" s="5"/>
      <c r="K684" s="5"/>
    </row>
    <row r="685" ht="15.75" customHeight="1">
      <c r="A685" s="5"/>
      <c r="B685" s="5"/>
      <c r="C685" s="5"/>
      <c r="D685" s="5"/>
      <c r="E685" s="5"/>
      <c r="F685" s="5"/>
      <c r="G685" s="5"/>
      <c r="H685" s="5"/>
      <c r="I685" s="5"/>
      <c r="J685" s="5"/>
      <c r="K685" s="5"/>
    </row>
    <row r="686" ht="15.75" customHeight="1">
      <c r="A686" s="5"/>
      <c r="B686" s="5"/>
      <c r="C686" s="5"/>
      <c r="D686" s="5"/>
      <c r="E686" s="5"/>
      <c r="F686" s="5"/>
      <c r="G686" s="5"/>
      <c r="H686" s="5"/>
      <c r="I686" s="5"/>
      <c r="J686" s="5"/>
      <c r="K686" s="5"/>
    </row>
    <row r="687" ht="15.75" customHeight="1">
      <c r="A687" s="5"/>
      <c r="B687" s="5"/>
      <c r="C687" s="5"/>
      <c r="D687" s="5"/>
      <c r="E687" s="5"/>
      <c r="F687" s="5"/>
      <c r="G687" s="5"/>
      <c r="H687" s="5"/>
      <c r="I687" s="5"/>
      <c r="J687" s="5"/>
      <c r="K687" s="5"/>
    </row>
    <row r="688" ht="15.75" customHeight="1">
      <c r="A688" s="5"/>
      <c r="B688" s="5"/>
      <c r="C688" s="5"/>
      <c r="D688" s="5"/>
      <c r="E688" s="5"/>
      <c r="F688" s="5"/>
      <c r="G688" s="5"/>
      <c r="H688" s="5"/>
      <c r="I688" s="5"/>
      <c r="J688" s="5"/>
      <c r="K688" s="5"/>
    </row>
    <row r="689" ht="15.75" customHeight="1">
      <c r="A689" s="5"/>
      <c r="B689" s="5"/>
      <c r="C689" s="5"/>
      <c r="D689" s="5"/>
      <c r="E689" s="5"/>
      <c r="F689" s="5"/>
      <c r="G689" s="5"/>
      <c r="H689" s="5"/>
      <c r="I689" s="5"/>
      <c r="J689" s="5"/>
      <c r="K689" s="5"/>
    </row>
    <row r="690" ht="15.75" customHeight="1">
      <c r="A690" s="5"/>
      <c r="B690" s="5"/>
      <c r="C690" s="5"/>
      <c r="D690" s="5"/>
      <c r="E690" s="5"/>
      <c r="F690" s="5"/>
      <c r="G690" s="5"/>
      <c r="H690" s="5"/>
      <c r="I690" s="5"/>
      <c r="J690" s="5"/>
      <c r="K690" s="5"/>
    </row>
    <row r="691" ht="15.75" customHeight="1">
      <c r="A691" s="5"/>
      <c r="B691" s="5"/>
      <c r="C691" s="5"/>
      <c r="D691" s="5"/>
      <c r="E691" s="5"/>
      <c r="F691" s="5"/>
      <c r="G691" s="5"/>
      <c r="H691" s="5"/>
      <c r="I691" s="5"/>
      <c r="J691" s="5"/>
      <c r="K691" s="5"/>
    </row>
    <row r="692" ht="15.75" customHeight="1">
      <c r="A692" s="5"/>
      <c r="B692" s="5"/>
      <c r="C692" s="5"/>
      <c r="D692" s="5"/>
      <c r="E692" s="5"/>
      <c r="F692" s="5"/>
      <c r="G692" s="5"/>
      <c r="H692" s="5"/>
      <c r="I692" s="5"/>
      <c r="J692" s="5"/>
      <c r="K692" s="5"/>
    </row>
    <row r="693" ht="15.75" customHeight="1">
      <c r="A693" s="5"/>
      <c r="B693" s="5"/>
      <c r="C693" s="5"/>
      <c r="D693" s="5"/>
      <c r="E693" s="5"/>
      <c r="F693" s="5"/>
      <c r="G693" s="5"/>
      <c r="H693" s="5"/>
      <c r="I693" s="5"/>
      <c r="J693" s="5"/>
      <c r="K693" s="5"/>
    </row>
    <row r="694" ht="15.75" customHeight="1">
      <c r="A694" s="5"/>
      <c r="B694" s="5"/>
      <c r="C694" s="5"/>
      <c r="D694" s="5"/>
      <c r="E694" s="5"/>
      <c r="F694" s="5"/>
      <c r="G694" s="5"/>
      <c r="H694" s="5"/>
      <c r="I694" s="5"/>
      <c r="J694" s="5"/>
      <c r="K694" s="5"/>
    </row>
    <row r="695" ht="15.75" customHeight="1">
      <c r="A695" s="5"/>
      <c r="B695" s="5"/>
      <c r="C695" s="5"/>
      <c r="D695" s="5"/>
      <c r="E695" s="5"/>
      <c r="F695" s="5"/>
      <c r="G695" s="5"/>
      <c r="H695" s="5"/>
      <c r="I695" s="5"/>
      <c r="J695" s="5"/>
      <c r="K695" s="5"/>
    </row>
    <row r="696" ht="15.75" customHeight="1">
      <c r="A696" s="5"/>
      <c r="B696" s="5"/>
      <c r="C696" s="5"/>
      <c r="D696" s="5"/>
      <c r="E696" s="5"/>
      <c r="F696" s="5"/>
      <c r="G696" s="5"/>
      <c r="H696" s="5"/>
      <c r="I696" s="5"/>
      <c r="J696" s="5"/>
      <c r="K696" s="5"/>
    </row>
    <row r="697" ht="15.75" customHeight="1">
      <c r="A697" s="5"/>
      <c r="B697" s="5"/>
      <c r="C697" s="5"/>
      <c r="D697" s="5"/>
      <c r="E697" s="5"/>
      <c r="F697" s="5"/>
      <c r="G697" s="5"/>
      <c r="H697" s="5"/>
      <c r="I697" s="5"/>
      <c r="J697" s="5"/>
      <c r="K697" s="5"/>
    </row>
    <row r="698" ht="15.75" customHeight="1">
      <c r="A698" s="5"/>
      <c r="B698" s="5"/>
      <c r="C698" s="5"/>
      <c r="D698" s="5"/>
      <c r="E698" s="5"/>
      <c r="F698" s="5"/>
      <c r="G698" s="5"/>
      <c r="H698" s="5"/>
      <c r="I698" s="5"/>
      <c r="J698" s="5"/>
      <c r="K698" s="5"/>
    </row>
    <row r="699" ht="15.75" customHeight="1">
      <c r="A699" s="5"/>
      <c r="B699" s="5"/>
      <c r="C699" s="5"/>
      <c r="D699" s="5"/>
      <c r="E699" s="5"/>
      <c r="F699" s="5"/>
      <c r="G699" s="5"/>
      <c r="H699" s="5"/>
      <c r="I699" s="5"/>
      <c r="J699" s="5"/>
      <c r="K699" s="5"/>
    </row>
    <row r="700" ht="15.75" customHeight="1">
      <c r="A700" s="5"/>
      <c r="B700" s="5"/>
      <c r="C700" s="5"/>
      <c r="D700" s="5"/>
      <c r="E700" s="5"/>
      <c r="F700" s="5"/>
      <c r="G700" s="5"/>
      <c r="H700" s="5"/>
      <c r="I700" s="5"/>
      <c r="J700" s="5"/>
      <c r="K700" s="5"/>
    </row>
    <row r="701" ht="15.75" customHeight="1">
      <c r="A701" s="5"/>
      <c r="B701" s="5"/>
      <c r="C701" s="5"/>
      <c r="D701" s="5"/>
      <c r="E701" s="5"/>
      <c r="F701" s="5"/>
      <c r="G701" s="5"/>
      <c r="H701" s="5"/>
      <c r="I701" s="5"/>
      <c r="J701" s="5"/>
      <c r="K701" s="5"/>
    </row>
    <row r="702" ht="15.75" customHeight="1">
      <c r="A702" s="5"/>
      <c r="B702" s="5"/>
      <c r="C702" s="5"/>
      <c r="D702" s="5"/>
      <c r="E702" s="5"/>
      <c r="F702" s="5"/>
      <c r="G702" s="5"/>
      <c r="H702" s="5"/>
      <c r="I702" s="5"/>
      <c r="J702" s="5"/>
      <c r="K702" s="5"/>
    </row>
    <row r="703" ht="15.75" customHeight="1">
      <c r="A703" s="5"/>
      <c r="B703" s="5"/>
      <c r="C703" s="5"/>
      <c r="D703" s="5"/>
      <c r="E703" s="5"/>
      <c r="F703" s="5"/>
      <c r="G703" s="5"/>
      <c r="H703" s="5"/>
      <c r="I703" s="5"/>
      <c r="J703" s="5"/>
      <c r="K703" s="5"/>
    </row>
    <row r="704" ht="15.75" customHeight="1">
      <c r="A704" s="5"/>
      <c r="B704" s="5"/>
      <c r="C704" s="5"/>
      <c r="D704" s="5"/>
      <c r="E704" s="5"/>
      <c r="F704" s="5"/>
      <c r="G704" s="5"/>
      <c r="H704" s="5"/>
      <c r="I704" s="5"/>
      <c r="J704" s="5"/>
      <c r="K704" s="5"/>
    </row>
    <row r="705" ht="15.75" customHeight="1">
      <c r="A705" s="5"/>
      <c r="B705" s="5"/>
      <c r="C705" s="5"/>
      <c r="D705" s="5"/>
      <c r="E705" s="5"/>
      <c r="F705" s="5"/>
      <c r="G705" s="5"/>
      <c r="H705" s="5"/>
      <c r="I705" s="5"/>
      <c r="J705" s="5"/>
      <c r="K705" s="5"/>
    </row>
    <row r="706" ht="15.75" customHeight="1">
      <c r="A706" s="5"/>
      <c r="B706" s="5"/>
      <c r="C706" s="5"/>
      <c r="D706" s="5"/>
      <c r="E706" s="5"/>
      <c r="F706" s="5"/>
      <c r="G706" s="5"/>
      <c r="H706" s="5"/>
      <c r="I706" s="5"/>
      <c r="J706" s="5"/>
      <c r="K706" s="5"/>
    </row>
    <row r="707" ht="15.75" customHeight="1">
      <c r="A707" s="5"/>
      <c r="B707" s="5"/>
      <c r="C707" s="5"/>
      <c r="D707" s="5"/>
      <c r="E707" s="5"/>
      <c r="F707" s="5"/>
      <c r="G707" s="5"/>
      <c r="H707" s="5"/>
      <c r="I707" s="5"/>
      <c r="J707" s="5"/>
      <c r="K707" s="5"/>
    </row>
    <row r="708" ht="15.75" customHeight="1">
      <c r="A708" s="5"/>
      <c r="B708" s="5"/>
      <c r="C708" s="5"/>
      <c r="D708" s="5"/>
      <c r="E708" s="5"/>
      <c r="F708" s="5"/>
      <c r="G708" s="5"/>
      <c r="H708" s="5"/>
      <c r="I708" s="5"/>
      <c r="J708" s="5"/>
      <c r="K708" s="5"/>
    </row>
    <row r="709" ht="15.75" customHeight="1">
      <c r="A709" s="5"/>
      <c r="B709" s="5"/>
      <c r="C709" s="5"/>
      <c r="D709" s="5"/>
      <c r="E709" s="5"/>
      <c r="F709" s="5"/>
      <c r="G709" s="5"/>
      <c r="H709" s="5"/>
      <c r="I709" s="5"/>
      <c r="J709" s="5"/>
      <c r="K709" s="5"/>
    </row>
    <row r="710" ht="15.75" customHeight="1">
      <c r="A710" s="5"/>
      <c r="B710" s="5"/>
      <c r="C710" s="5"/>
      <c r="D710" s="5"/>
      <c r="E710" s="5"/>
      <c r="F710" s="5"/>
      <c r="G710" s="5"/>
      <c r="H710" s="5"/>
      <c r="I710" s="5"/>
      <c r="J710" s="5"/>
      <c r="K710" s="5"/>
    </row>
    <row r="711" ht="15.75" customHeight="1">
      <c r="A711" s="5"/>
      <c r="B711" s="5"/>
      <c r="C711" s="5"/>
      <c r="D711" s="5"/>
      <c r="E711" s="5"/>
      <c r="F711" s="5"/>
      <c r="G711" s="5"/>
      <c r="H711" s="5"/>
      <c r="I711" s="5"/>
      <c r="J711" s="5"/>
      <c r="K711" s="5"/>
    </row>
    <row r="712" ht="15.75" customHeight="1">
      <c r="A712" s="5"/>
      <c r="B712" s="5"/>
      <c r="C712" s="5"/>
      <c r="D712" s="5"/>
      <c r="E712" s="5"/>
      <c r="F712" s="5"/>
      <c r="G712" s="5"/>
      <c r="H712" s="5"/>
      <c r="I712" s="5"/>
      <c r="J712" s="5"/>
      <c r="K712" s="5"/>
    </row>
    <row r="713" ht="15.75" customHeight="1">
      <c r="A713" s="5"/>
      <c r="B713" s="5"/>
      <c r="C713" s="5"/>
      <c r="D713" s="5"/>
      <c r="E713" s="5"/>
      <c r="F713" s="5"/>
      <c r="G713" s="5"/>
      <c r="H713" s="5"/>
      <c r="I713" s="5"/>
      <c r="J713" s="5"/>
      <c r="K713" s="5"/>
    </row>
    <row r="714" ht="15.75" customHeight="1">
      <c r="A714" s="5"/>
      <c r="B714" s="5"/>
      <c r="C714" s="5"/>
      <c r="D714" s="5"/>
      <c r="E714" s="5"/>
      <c r="F714" s="5"/>
      <c r="G714" s="5"/>
      <c r="H714" s="5"/>
      <c r="I714" s="5"/>
      <c r="J714" s="5"/>
      <c r="K714" s="5"/>
    </row>
    <row r="715" ht="15.75" customHeight="1">
      <c r="A715" s="5"/>
      <c r="B715" s="5"/>
      <c r="C715" s="5"/>
      <c r="D715" s="5"/>
      <c r="E715" s="5"/>
      <c r="F715" s="5"/>
      <c r="G715" s="5"/>
      <c r="H715" s="5"/>
      <c r="I715" s="5"/>
      <c r="J715" s="5"/>
      <c r="K715" s="5"/>
    </row>
    <row r="716" ht="15.75" customHeight="1">
      <c r="A716" s="5"/>
      <c r="B716" s="5"/>
      <c r="C716" s="5"/>
      <c r="D716" s="5"/>
      <c r="E716" s="5"/>
      <c r="F716" s="5"/>
      <c r="G716" s="5"/>
      <c r="H716" s="5"/>
      <c r="I716" s="5"/>
      <c r="J716" s="5"/>
      <c r="K716" s="5"/>
    </row>
    <row r="717" ht="15.75" customHeight="1">
      <c r="A717" s="5"/>
      <c r="B717" s="5"/>
      <c r="C717" s="5"/>
      <c r="D717" s="5"/>
      <c r="E717" s="5"/>
      <c r="F717" s="5"/>
      <c r="G717" s="5"/>
      <c r="H717" s="5"/>
      <c r="I717" s="5"/>
      <c r="J717" s="5"/>
      <c r="K717" s="5"/>
    </row>
    <row r="718" ht="15.75" customHeight="1">
      <c r="A718" s="5"/>
      <c r="B718" s="5"/>
      <c r="C718" s="5"/>
      <c r="D718" s="5"/>
      <c r="E718" s="5"/>
      <c r="F718" s="5"/>
      <c r="G718" s="5"/>
      <c r="H718" s="5"/>
      <c r="I718" s="5"/>
      <c r="J718" s="5"/>
      <c r="K718" s="5"/>
    </row>
    <row r="719" ht="15.75" customHeight="1">
      <c r="A719" s="5"/>
      <c r="B719" s="5"/>
      <c r="C719" s="5"/>
      <c r="D719" s="5"/>
      <c r="E719" s="5"/>
      <c r="F719" s="5"/>
      <c r="G719" s="5"/>
      <c r="H719" s="5"/>
      <c r="I719" s="5"/>
      <c r="J719" s="5"/>
      <c r="K719" s="5"/>
    </row>
    <row r="720" ht="15.75" customHeight="1">
      <c r="A720" s="5"/>
      <c r="B720" s="5"/>
      <c r="C720" s="5"/>
      <c r="D720" s="5"/>
      <c r="E720" s="5"/>
      <c r="F720" s="5"/>
      <c r="G720" s="5"/>
      <c r="H720" s="5"/>
      <c r="I720" s="5"/>
      <c r="J720" s="5"/>
      <c r="K720" s="5"/>
    </row>
    <row r="721" ht="15.75" customHeight="1">
      <c r="A721" s="5"/>
      <c r="B721" s="5"/>
      <c r="C721" s="5"/>
      <c r="D721" s="5"/>
      <c r="E721" s="5"/>
      <c r="F721" s="5"/>
      <c r="G721" s="5"/>
      <c r="H721" s="5"/>
      <c r="I721" s="5"/>
      <c r="J721" s="5"/>
      <c r="K721" s="5"/>
    </row>
    <row r="722" ht="15.75" customHeight="1">
      <c r="A722" s="5"/>
      <c r="B722" s="5"/>
      <c r="C722" s="5"/>
      <c r="D722" s="5"/>
      <c r="E722" s="5"/>
      <c r="F722" s="5"/>
      <c r="G722" s="5"/>
      <c r="H722" s="5"/>
      <c r="I722" s="5"/>
      <c r="J722" s="5"/>
      <c r="K722" s="5"/>
    </row>
    <row r="723" ht="15.75" customHeight="1">
      <c r="A723" s="5"/>
      <c r="B723" s="5"/>
      <c r="C723" s="5"/>
      <c r="D723" s="5"/>
      <c r="E723" s="5"/>
      <c r="F723" s="5"/>
      <c r="G723" s="5"/>
      <c r="H723" s="5"/>
      <c r="I723" s="5"/>
      <c r="J723" s="5"/>
      <c r="K723" s="5"/>
    </row>
    <row r="724" ht="15.75" customHeight="1">
      <c r="A724" s="5"/>
      <c r="B724" s="5"/>
      <c r="C724" s="5"/>
      <c r="D724" s="5"/>
      <c r="E724" s="5"/>
      <c r="F724" s="5"/>
      <c r="G724" s="5"/>
      <c r="H724" s="5"/>
      <c r="I724" s="5"/>
      <c r="J724" s="5"/>
      <c r="K724" s="5"/>
    </row>
    <row r="725" ht="15.75" customHeight="1">
      <c r="A725" s="5"/>
      <c r="B725" s="5"/>
      <c r="C725" s="5"/>
      <c r="D725" s="5"/>
      <c r="E725" s="5"/>
      <c r="F725" s="5"/>
      <c r="G725" s="5"/>
      <c r="H725" s="5"/>
      <c r="I725" s="5"/>
      <c r="J725" s="5"/>
      <c r="K725" s="5"/>
    </row>
    <row r="726" ht="15.75" customHeight="1">
      <c r="A726" s="5"/>
      <c r="B726" s="5"/>
      <c r="C726" s="5"/>
      <c r="D726" s="5"/>
      <c r="E726" s="5"/>
      <c r="F726" s="5"/>
      <c r="G726" s="5"/>
      <c r="H726" s="5"/>
      <c r="I726" s="5"/>
      <c r="J726" s="5"/>
      <c r="K726" s="5"/>
    </row>
    <row r="727" ht="15.75" customHeight="1">
      <c r="A727" s="5"/>
      <c r="B727" s="5"/>
      <c r="C727" s="5"/>
      <c r="D727" s="5"/>
      <c r="E727" s="5"/>
      <c r="F727" s="5"/>
      <c r="G727" s="5"/>
      <c r="H727" s="5"/>
      <c r="I727" s="5"/>
      <c r="J727" s="5"/>
      <c r="K727" s="5"/>
    </row>
    <row r="728" ht="15.75" customHeight="1">
      <c r="A728" s="5"/>
      <c r="B728" s="5"/>
      <c r="C728" s="5"/>
      <c r="D728" s="5"/>
      <c r="E728" s="5"/>
      <c r="F728" s="5"/>
      <c r="G728" s="5"/>
      <c r="H728" s="5"/>
      <c r="I728" s="5"/>
      <c r="J728" s="5"/>
      <c r="K728" s="5"/>
    </row>
    <row r="729" ht="15.75" customHeight="1">
      <c r="A729" s="5"/>
      <c r="B729" s="5"/>
      <c r="C729" s="5"/>
      <c r="D729" s="5"/>
      <c r="E729" s="5"/>
      <c r="F729" s="5"/>
      <c r="G729" s="5"/>
      <c r="H729" s="5"/>
      <c r="I729" s="5"/>
      <c r="J729" s="5"/>
      <c r="K729" s="5"/>
    </row>
    <row r="730" ht="15.75" customHeight="1">
      <c r="A730" s="5"/>
      <c r="B730" s="5"/>
      <c r="C730" s="5"/>
      <c r="D730" s="5"/>
      <c r="E730" s="5"/>
      <c r="F730" s="5"/>
      <c r="G730" s="5"/>
      <c r="H730" s="5"/>
      <c r="I730" s="5"/>
      <c r="J730" s="5"/>
      <c r="K730" s="5"/>
    </row>
    <row r="731" ht="15.75" customHeight="1">
      <c r="A731" s="5"/>
      <c r="B731" s="5"/>
      <c r="C731" s="5"/>
      <c r="D731" s="5"/>
      <c r="E731" s="5"/>
      <c r="F731" s="5"/>
      <c r="G731" s="5"/>
      <c r="H731" s="5"/>
      <c r="I731" s="5"/>
      <c r="J731" s="5"/>
      <c r="K731" s="5"/>
    </row>
    <row r="732" ht="15.75" customHeight="1">
      <c r="A732" s="5"/>
      <c r="B732" s="5"/>
      <c r="C732" s="5"/>
      <c r="D732" s="5"/>
      <c r="E732" s="5"/>
      <c r="F732" s="5"/>
      <c r="G732" s="5"/>
      <c r="H732" s="5"/>
      <c r="I732" s="5"/>
      <c r="J732" s="5"/>
      <c r="K732" s="5"/>
    </row>
    <row r="733" ht="15.75" customHeight="1">
      <c r="A733" s="5"/>
      <c r="B733" s="5"/>
      <c r="C733" s="5"/>
      <c r="D733" s="5"/>
      <c r="E733" s="5"/>
      <c r="F733" s="5"/>
      <c r="G733" s="5"/>
      <c r="H733" s="5"/>
      <c r="I733" s="5"/>
      <c r="J733" s="5"/>
      <c r="K733" s="5"/>
    </row>
    <row r="734" ht="15.75" customHeight="1">
      <c r="A734" s="5"/>
      <c r="B734" s="5"/>
      <c r="C734" s="5"/>
      <c r="D734" s="5"/>
      <c r="E734" s="5"/>
      <c r="F734" s="5"/>
      <c r="G734" s="5"/>
      <c r="H734" s="5"/>
      <c r="I734" s="5"/>
      <c r="J734" s="5"/>
      <c r="K734" s="5"/>
    </row>
    <row r="735" ht="15.75" customHeight="1">
      <c r="A735" s="5"/>
      <c r="B735" s="5"/>
      <c r="C735" s="5"/>
      <c r="D735" s="5"/>
      <c r="E735" s="5"/>
      <c r="F735" s="5"/>
      <c r="G735" s="5"/>
      <c r="H735" s="5"/>
      <c r="I735" s="5"/>
      <c r="J735" s="5"/>
      <c r="K735" s="5"/>
    </row>
    <row r="736" ht="15.75" customHeight="1">
      <c r="A736" s="5"/>
      <c r="B736" s="5"/>
      <c r="C736" s="5"/>
      <c r="D736" s="5"/>
      <c r="E736" s="5"/>
      <c r="F736" s="5"/>
      <c r="G736" s="5"/>
      <c r="H736" s="5"/>
      <c r="I736" s="5"/>
      <c r="J736" s="5"/>
      <c r="K736" s="5"/>
    </row>
    <row r="737" ht="15.75" customHeight="1">
      <c r="A737" s="5"/>
      <c r="B737" s="5"/>
      <c r="C737" s="5"/>
      <c r="D737" s="5"/>
      <c r="E737" s="5"/>
      <c r="F737" s="5"/>
      <c r="G737" s="5"/>
      <c r="H737" s="5"/>
      <c r="I737" s="5"/>
      <c r="J737" s="5"/>
      <c r="K737" s="5"/>
    </row>
    <row r="738" ht="15.75" customHeight="1">
      <c r="A738" s="5"/>
      <c r="B738" s="5"/>
      <c r="C738" s="5"/>
      <c r="D738" s="5"/>
      <c r="E738" s="5"/>
      <c r="F738" s="5"/>
      <c r="G738" s="5"/>
      <c r="H738" s="5"/>
      <c r="I738" s="5"/>
      <c r="J738" s="5"/>
      <c r="K738" s="5"/>
    </row>
    <row r="739" ht="15.75" customHeight="1">
      <c r="A739" s="5"/>
      <c r="B739" s="5"/>
      <c r="C739" s="5"/>
      <c r="D739" s="5"/>
      <c r="E739" s="5"/>
      <c r="F739" s="5"/>
      <c r="G739" s="5"/>
      <c r="H739" s="5"/>
      <c r="I739" s="5"/>
      <c r="J739" s="5"/>
      <c r="K739" s="5"/>
    </row>
    <row r="740" ht="15.75" customHeight="1">
      <c r="A740" s="5"/>
      <c r="B740" s="5"/>
      <c r="C740" s="5"/>
      <c r="D740" s="5"/>
      <c r="E740" s="5"/>
      <c r="F740" s="5"/>
      <c r="G740" s="5"/>
      <c r="H740" s="5"/>
      <c r="I740" s="5"/>
      <c r="J740" s="5"/>
      <c r="K740" s="5"/>
    </row>
    <row r="741" ht="15.75" customHeight="1">
      <c r="A741" s="5"/>
      <c r="B741" s="5"/>
      <c r="C741" s="5"/>
      <c r="D741" s="5"/>
      <c r="E741" s="5"/>
      <c r="F741" s="5"/>
      <c r="G741" s="5"/>
      <c r="H741" s="5"/>
      <c r="I741" s="5"/>
      <c r="J741" s="5"/>
      <c r="K741" s="5"/>
    </row>
    <row r="742" ht="15.75" customHeight="1">
      <c r="A742" s="5"/>
      <c r="B742" s="5"/>
      <c r="C742" s="5"/>
      <c r="D742" s="5"/>
      <c r="E742" s="5"/>
      <c r="F742" s="5"/>
      <c r="G742" s="5"/>
      <c r="H742" s="5"/>
      <c r="I742" s="5"/>
      <c r="J742" s="5"/>
      <c r="K742" s="5"/>
    </row>
    <row r="743" ht="15.75" customHeight="1">
      <c r="A743" s="5"/>
      <c r="B743" s="5"/>
      <c r="C743" s="5"/>
      <c r="D743" s="5"/>
      <c r="E743" s="5"/>
      <c r="F743" s="5"/>
      <c r="G743" s="5"/>
      <c r="H743" s="5"/>
      <c r="I743" s="5"/>
      <c r="J743" s="5"/>
      <c r="K743" s="5"/>
    </row>
    <row r="744" ht="15.75" customHeight="1">
      <c r="A744" s="5"/>
      <c r="B744" s="5"/>
      <c r="C744" s="5"/>
      <c r="D744" s="5"/>
      <c r="E744" s="5"/>
      <c r="F744" s="5"/>
      <c r="G744" s="5"/>
      <c r="H744" s="5"/>
      <c r="I744" s="5"/>
      <c r="J744" s="5"/>
      <c r="K744" s="5"/>
    </row>
    <row r="745" ht="15.75" customHeight="1">
      <c r="A745" s="5"/>
      <c r="B745" s="5"/>
      <c r="C745" s="5"/>
      <c r="D745" s="5"/>
      <c r="E745" s="5"/>
      <c r="F745" s="5"/>
      <c r="G745" s="5"/>
      <c r="H745" s="5"/>
      <c r="I745" s="5"/>
      <c r="J745" s="5"/>
      <c r="K745" s="5"/>
    </row>
    <row r="746" ht="15.75" customHeight="1">
      <c r="A746" s="5"/>
      <c r="B746" s="5"/>
      <c r="C746" s="5"/>
      <c r="D746" s="5"/>
      <c r="E746" s="5"/>
      <c r="F746" s="5"/>
      <c r="G746" s="5"/>
      <c r="H746" s="5"/>
      <c r="I746" s="5"/>
      <c r="J746" s="5"/>
      <c r="K746" s="5"/>
    </row>
    <row r="747" ht="15.75" customHeight="1">
      <c r="A747" s="5"/>
      <c r="B747" s="5"/>
      <c r="C747" s="5"/>
      <c r="D747" s="5"/>
      <c r="E747" s="5"/>
      <c r="F747" s="5"/>
      <c r="G747" s="5"/>
      <c r="H747" s="5"/>
      <c r="I747" s="5"/>
      <c r="J747" s="5"/>
      <c r="K747" s="5"/>
    </row>
    <row r="748" ht="15.75" customHeight="1">
      <c r="A748" s="5"/>
      <c r="B748" s="5"/>
      <c r="C748" s="5"/>
      <c r="D748" s="5"/>
      <c r="E748" s="5"/>
      <c r="F748" s="5"/>
      <c r="G748" s="5"/>
      <c r="H748" s="5"/>
      <c r="I748" s="5"/>
      <c r="J748" s="5"/>
      <c r="K748" s="5"/>
    </row>
    <row r="749" ht="15.75" customHeight="1">
      <c r="A749" s="5"/>
      <c r="B749" s="5"/>
      <c r="C749" s="5"/>
      <c r="D749" s="5"/>
      <c r="E749" s="5"/>
      <c r="F749" s="5"/>
      <c r="G749" s="5"/>
      <c r="H749" s="5"/>
      <c r="I749" s="5"/>
      <c r="J749" s="5"/>
      <c r="K749" s="5"/>
    </row>
    <row r="750" ht="15.75" customHeight="1">
      <c r="A750" s="5"/>
      <c r="B750" s="5"/>
      <c r="C750" s="5"/>
      <c r="D750" s="5"/>
      <c r="E750" s="5"/>
      <c r="F750" s="5"/>
      <c r="G750" s="5"/>
      <c r="H750" s="5"/>
      <c r="I750" s="5"/>
      <c r="J750" s="5"/>
      <c r="K750" s="5"/>
    </row>
    <row r="751" ht="15.75" customHeight="1">
      <c r="A751" s="5"/>
      <c r="B751" s="5"/>
      <c r="C751" s="5"/>
      <c r="D751" s="5"/>
      <c r="E751" s="5"/>
      <c r="F751" s="5"/>
      <c r="G751" s="5"/>
      <c r="H751" s="5"/>
      <c r="I751" s="5"/>
      <c r="J751" s="5"/>
      <c r="K751" s="5"/>
    </row>
    <row r="752" ht="15.75" customHeight="1">
      <c r="A752" s="5"/>
      <c r="B752" s="5"/>
      <c r="C752" s="5"/>
      <c r="D752" s="5"/>
      <c r="E752" s="5"/>
      <c r="F752" s="5"/>
      <c r="G752" s="5"/>
      <c r="H752" s="5"/>
      <c r="I752" s="5"/>
      <c r="J752" s="5"/>
      <c r="K752" s="5"/>
    </row>
    <row r="753" ht="15.75" customHeight="1">
      <c r="A753" s="5"/>
      <c r="B753" s="5"/>
      <c r="C753" s="5"/>
      <c r="D753" s="5"/>
      <c r="E753" s="5"/>
      <c r="F753" s="5"/>
      <c r="G753" s="5"/>
      <c r="H753" s="5"/>
      <c r="I753" s="5"/>
      <c r="J753" s="5"/>
      <c r="K753" s="5"/>
    </row>
    <row r="754" ht="15.75" customHeight="1">
      <c r="A754" s="5"/>
      <c r="B754" s="5"/>
      <c r="C754" s="5"/>
      <c r="D754" s="5"/>
      <c r="E754" s="5"/>
      <c r="F754" s="5"/>
      <c r="G754" s="5"/>
      <c r="H754" s="5"/>
      <c r="I754" s="5"/>
      <c r="J754" s="5"/>
      <c r="K754" s="5"/>
    </row>
    <row r="755" ht="15.75" customHeight="1">
      <c r="A755" s="5"/>
      <c r="B755" s="5"/>
      <c r="C755" s="5"/>
      <c r="D755" s="5"/>
      <c r="E755" s="5"/>
      <c r="F755" s="5"/>
      <c r="G755" s="5"/>
      <c r="H755" s="5"/>
      <c r="I755" s="5"/>
      <c r="J755" s="5"/>
      <c r="K755" s="5"/>
    </row>
    <row r="756" ht="15.75" customHeight="1">
      <c r="A756" s="5"/>
      <c r="B756" s="5"/>
      <c r="C756" s="5"/>
      <c r="D756" s="5"/>
      <c r="E756" s="5"/>
      <c r="F756" s="5"/>
      <c r="G756" s="5"/>
      <c r="H756" s="5"/>
      <c r="I756" s="5"/>
      <c r="J756" s="5"/>
      <c r="K756" s="5"/>
    </row>
    <row r="757" ht="15.75" customHeight="1">
      <c r="A757" s="5"/>
      <c r="B757" s="5"/>
      <c r="C757" s="5"/>
      <c r="D757" s="5"/>
      <c r="E757" s="5"/>
      <c r="F757" s="5"/>
      <c r="G757" s="5"/>
      <c r="H757" s="5"/>
      <c r="I757" s="5"/>
      <c r="J757" s="5"/>
      <c r="K757" s="5"/>
    </row>
    <row r="758" ht="15.75" customHeight="1">
      <c r="A758" s="5"/>
      <c r="B758" s="5"/>
      <c r="C758" s="5"/>
      <c r="D758" s="5"/>
      <c r="E758" s="5"/>
      <c r="F758" s="5"/>
      <c r="G758" s="5"/>
      <c r="H758" s="5"/>
      <c r="I758" s="5"/>
      <c r="J758" s="5"/>
      <c r="K758" s="5"/>
    </row>
    <row r="759" ht="15.75" customHeight="1">
      <c r="A759" s="5"/>
      <c r="B759" s="5"/>
      <c r="C759" s="5"/>
      <c r="D759" s="5"/>
      <c r="E759" s="5"/>
      <c r="F759" s="5"/>
      <c r="G759" s="5"/>
      <c r="H759" s="5"/>
      <c r="I759" s="5"/>
      <c r="J759" s="5"/>
      <c r="K759" s="5"/>
    </row>
    <row r="760" ht="15.75" customHeight="1">
      <c r="A760" s="5"/>
      <c r="B760" s="5"/>
      <c r="C760" s="5"/>
      <c r="D760" s="5"/>
      <c r="E760" s="5"/>
      <c r="F760" s="5"/>
      <c r="G760" s="5"/>
      <c r="H760" s="5"/>
      <c r="I760" s="5"/>
      <c r="J760" s="5"/>
      <c r="K760" s="5"/>
    </row>
    <row r="761" ht="15.75" customHeight="1">
      <c r="A761" s="5"/>
      <c r="B761" s="5"/>
      <c r="C761" s="5"/>
      <c r="D761" s="5"/>
      <c r="E761" s="5"/>
      <c r="F761" s="5"/>
      <c r="G761" s="5"/>
      <c r="H761" s="5"/>
      <c r="I761" s="5"/>
      <c r="J761" s="5"/>
      <c r="K761" s="5"/>
    </row>
    <row r="762" ht="15.75" customHeight="1">
      <c r="A762" s="5"/>
      <c r="B762" s="5"/>
      <c r="C762" s="5"/>
      <c r="D762" s="5"/>
      <c r="E762" s="5"/>
      <c r="F762" s="5"/>
      <c r="G762" s="5"/>
      <c r="H762" s="5"/>
      <c r="I762" s="5"/>
      <c r="J762" s="5"/>
      <c r="K762" s="5"/>
    </row>
    <row r="763" ht="15.75" customHeight="1">
      <c r="A763" s="5"/>
      <c r="B763" s="5"/>
      <c r="C763" s="5"/>
      <c r="D763" s="5"/>
      <c r="E763" s="5"/>
      <c r="F763" s="5"/>
      <c r="G763" s="5"/>
      <c r="H763" s="5"/>
      <c r="I763" s="5"/>
      <c r="J763" s="5"/>
      <c r="K763" s="5"/>
    </row>
    <row r="764" ht="15.75" customHeight="1">
      <c r="A764" s="5"/>
      <c r="B764" s="5"/>
      <c r="C764" s="5"/>
      <c r="D764" s="5"/>
      <c r="E764" s="5"/>
      <c r="F764" s="5"/>
      <c r="G764" s="5"/>
      <c r="H764" s="5"/>
      <c r="I764" s="5"/>
      <c r="J764" s="5"/>
      <c r="K764" s="5"/>
    </row>
    <row r="765" ht="15.75" customHeight="1">
      <c r="A765" s="5"/>
      <c r="B765" s="5"/>
      <c r="C765" s="5"/>
      <c r="D765" s="5"/>
      <c r="E765" s="5"/>
      <c r="F765" s="5"/>
      <c r="G765" s="5"/>
      <c r="H765" s="5"/>
      <c r="I765" s="5"/>
      <c r="J765" s="5"/>
      <c r="K765" s="5"/>
    </row>
    <row r="766" ht="15.75" customHeight="1">
      <c r="A766" s="5"/>
      <c r="B766" s="5"/>
      <c r="C766" s="5"/>
      <c r="D766" s="5"/>
      <c r="E766" s="5"/>
      <c r="F766" s="5"/>
      <c r="G766" s="5"/>
      <c r="H766" s="5"/>
      <c r="I766" s="5"/>
      <c r="J766" s="5"/>
      <c r="K766" s="5"/>
    </row>
    <row r="767" ht="15.75" customHeight="1">
      <c r="A767" s="5"/>
      <c r="B767" s="5"/>
      <c r="C767" s="5"/>
      <c r="D767" s="5"/>
      <c r="E767" s="5"/>
      <c r="F767" s="5"/>
      <c r="G767" s="5"/>
      <c r="H767" s="5"/>
      <c r="I767" s="5"/>
      <c r="J767" s="5"/>
      <c r="K767" s="5"/>
    </row>
    <row r="768" ht="15.75" customHeight="1">
      <c r="A768" s="5"/>
      <c r="B768" s="5"/>
      <c r="C768" s="5"/>
      <c r="D768" s="5"/>
      <c r="E768" s="5"/>
      <c r="F768" s="5"/>
      <c r="G768" s="5"/>
      <c r="H768" s="5"/>
      <c r="I768" s="5"/>
      <c r="J768" s="5"/>
      <c r="K768" s="5"/>
    </row>
    <row r="769" ht="15.75" customHeight="1">
      <c r="A769" s="5"/>
      <c r="B769" s="5"/>
      <c r="C769" s="5"/>
      <c r="D769" s="5"/>
      <c r="E769" s="5"/>
      <c r="F769" s="5"/>
      <c r="G769" s="5"/>
      <c r="H769" s="5"/>
      <c r="I769" s="5"/>
      <c r="J769" s="5"/>
      <c r="K769" s="5"/>
    </row>
    <row r="770" ht="15.75" customHeight="1">
      <c r="A770" s="5"/>
      <c r="B770" s="5"/>
      <c r="C770" s="5"/>
      <c r="D770" s="5"/>
      <c r="E770" s="5"/>
      <c r="F770" s="5"/>
      <c r="G770" s="5"/>
      <c r="H770" s="5"/>
      <c r="I770" s="5"/>
      <c r="J770" s="5"/>
      <c r="K770" s="5"/>
    </row>
    <row r="771" ht="15.75" customHeight="1">
      <c r="A771" s="5"/>
      <c r="B771" s="5"/>
      <c r="C771" s="5"/>
      <c r="D771" s="5"/>
      <c r="E771" s="5"/>
      <c r="F771" s="5"/>
      <c r="G771" s="5"/>
      <c r="H771" s="5"/>
      <c r="I771" s="5"/>
      <c r="J771" s="5"/>
      <c r="K771" s="5"/>
    </row>
    <row r="772" ht="15.75" customHeight="1">
      <c r="A772" s="5"/>
      <c r="B772" s="5"/>
      <c r="C772" s="5"/>
      <c r="D772" s="5"/>
      <c r="E772" s="5"/>
      <c r="F772" s="5"/>
      <c r="G772" s="5"/>
      <c r="H772" s="5"/>
      <c r="I772" s="5"/>
      <c r="J772" s="5"/>
      <c r="K772" s="5"/>
    </row>
    <row r="773" ht="15.75" customHeight="1">
      <c r="A773" s="5"/>
      <c r="B773" s="5"/>
      <c r="C773" s="5"/>
      <c r="D773" s="5"/>
      <c r="E773" s="5"/>
      <c r="F773" s="5"/>
      <c r="G773" s="5"/>
      <c r="H773" s="5"/>
      <c r="I773" s="5"/>
      <c r="J773" s="5"/>
      <c r="K773" s="5"/>
    </row>
    <row r="774" ht="15.75" customHeight="1">
      <c r="A774" s="5"/>
      <c r="B774" s="5"/>
      <c r="C774" s="5"/>
      <c r="D774" s="5"/>
      <c r="E774" s="5"/>
      <c r="F774" s="5"/>
      <c r="G774" s="5"/>
      <c r="H774" s="5"/>
      <c r="I774" s="5"/>
      <c r="J774" s="5"/>
      <c r="K774" s="5"/>
    </row>
    <row r="775" ht="15.75" customHeight="1">
      <c r="A775" s="5"/>
      <c r="B775" s="5"/>
      <c r="C775" s="5"/>
      <c r="D775" s="5"/>
      <c r="E775" s="5"/>
      <c r="F775" s="5"/>
      <c r="G775" s="5"/>
      <c r="H775" s="5"/>
      <c r="I775" s="5"/>
      <c r="J775" s="5"/>
      <c r="K775" s="5"/>
    </row>
    <row r="776" ht="15.75" customHeight="1">
      <c r="A776" s="5"/>
      <c r="B776" s="5"/>
      <c r="C776" s="5"/>
      <c r="D776" s="5"/>
      <c r="E776" s="5"/>
      <c r="F776" s="5"/>
      <c r="G776" s="5"/>
      <c r="H776" s="5"/>
      <c r="I776" s="5"/>
      <c r="J776" s="5"/>
      <c r="K776" s="5"/>
    </row>
    <row r="777" ht="15.75" customHeight="1">
      <c r="A777" s="5"/>
      <c r="B777" s="5"/>
      <c r="C777" s="5"/>
      <c r="D777" s="5"/>
      <c r="E777" s="5"/>
      <c r="F777" s="5"/>
      <c r="G777" s="5"/>
      <c r="H777" s="5"/>
      <c r="I777" s="5"/>
      <c r="J777" s="5"/>
      <c r="K777" s="5"/>
    </row>
    <row r="778" ht="15.75" customHeight="1">
      <c r="A778" s="5"/>
      <c r="B778" s="5"/>
      <c r="C778" s="5"/>
      <c r="D778" s="5"/>
      <c r="E778" s="5"/>
      <c r="F778" s="5"/>
      <c r="G778" s="5"/>
      <c r="H778" s="5"/>
      <c r="I778" s="5"/>
      <c r="J778" s="5"/>
      <c r="K778" s="5"/>
    </row>
    <row r="779" ht="15.75" customHeight="1">
      <c r="A779" s="5"/>
      <c r="B779" s="5"/>
      <c r="C779" s="5"/>
      <c r="D779" s="5"/>
      <c r="E779" s="5"/>
      <c r="F779" s="5"/>
      <c r="G779" s="5"/>
      <c r="H779" s="5"/>
      <c r="I779" s="5"/>
      <c r="J779" s="5"/>
      <c r="K779" s="5"/>
    </row>
    <row r="780" ht="15.75" customHeight="1">
      <c r="A780" s="5"/>
      <c r="B780" s="5"/>
      <c r="C780" s="5"/>
      <c r="D780" s="5"/>
      <c r="E780" s="5"/>
      <c r="F780" s="5"/>
      <c r="G780" s="5"/>
      <c r="H780" s="5"/>
      <c r="I780" s="5"/>
      <c r="J780" s="5"/>
      <c r="K780" s="5"/>
    </row>
    <row r="781" ht="15.75" customHeight="1">
      <c r="A781" s="5"/>
      <c r="B781" s="5"/>
      <c r="C781" s="5"/>
      <c r="D781" s="5"/>
      <c r="E781" s="5"/>
      <c r="F781" s="5"/>
      <c r="G781" s="5"/>
      <c r="H781" s="5"/>
      <c r="I781" s="5"/>
      <c r="J781" s="5"/>
      <c r="K781" s="5"/>
    </row>
    <row r="782" ht="15.75" customHeight="1">
      <c r="A782" s="5"/>
      <c r="B782" s="5"/>
      <c r="C782" s="5"/>
      <c r="D782" s="5"/>
      <c r="E782" s="5"/>
      <c r="F782" s="5"/>
      <c r="G782" s="5"/>
      <c r="H782" s="5"/>
      <c r="I782" s="5"/>
      <c r="J782" s="5"/>
      <c r="K782" s="5"/>
    </row>
    <row r="783" ht="15.75" customHeight="1">
      <c r="A783" s="5"/>
      <c r="B783" s="5"/>
      <c r="C783" s="5"/>
      <c r="D783" s="5"/>
      <c r="E783" s="5"/>
      <c r="F783" s="5"/>
      <c r="G783" s="5"/>
      <c r="H783" s="5"/>
      <c r="I783" s="5"/>
      <c r="J783" s="5"/>
      <c r="K783" s="5"/>
    </row>
    <row r="784" ht="15.75" customHeight="1">
      <c r="A784" s="5"/>
      <c r="B784" s="5"/>
      <c r="C784" s="5"/>
      <c r="D784" s="5"/>
      <c r="E784" s="5"/>
      <c r="F784" s="5"/>
      <c r="G784" s="5"/>
      <c r="H784" s="5"/>
      <c r="I784" s="5"/>
      <c r="J784" s="5"/>
      <c r="K784" s="5"/>
    </row>
    <row r="785" ht="15.75" customHeight="1">
      <c r="A785" s="5"/>
      <c r="B785" s="5"/>
      <c r="C785" s="5"/>
      <c r="D785" s="5"/>
      <c r="E785" s="5"/>
      <c r="F785" s="5"/>
      <c r="G785" s="5"/>
      <c r="H785" s="5"/>
      <c r="I785" s="5"/>
      <c r="J785" s="5"/>
      <c r="K785" s="5"/>
    </row>
    <row r="786" ht="15.75" customHeight="1">
      <c r="A786" s="5"/>
      <c r="B786" s="5"/>
      <c r="C786" s="5"/>
      <c r="D786" s="5"/>
      <c r="E786" s="5"/>
      <c r="F786" s="5"/>
      <c r="G786" s="5"/>
      <c r="H786" s="5"/>
      <c r="I786" s="5"/>
      <c r="J786" s="5"/>
      <c r="K786" s="5"/>
    </row>
    <row r="787" ht="15.75" customHeight="1">
      <c r="A787" s="5"/>
      <c r="B787" s="5"/>
      <c r="C787" s="5"/>
      <c r="D787" s="5"/>
      <c r="E787" s="5"/>
      <c r="F787" s="5"/>
      <c r="G787" s="5"/>
      <c r="H787" s="5"/>
      <c r="I787" s="5"/>
      <c r="J787" s="5"/>
      <c r="K787" s="5"/>
    </row>
    <row r="788" ht="15.75" customHeight="1">
      <c r="A788" s="5"/>
      <c r="B788" s="5"/>
      <c r="C788" s="5"/>
      <c r="D788" s="5"/>
      <c r="E788" s="5"/>
      <c r="F788" s="5"/>
      <c r="G788" s="5"/>
      <c r="H788" s="5"/>
      <c r="I788" s="5"/>
      <c r="J788" s="5"/>
      <c r="K788" s="5"/>
    </row>
    <row r="789" ht="15.75" customHeight="1">
      <c r="A789" s="5"/>
      <c r="B789" s="5"/>
      <c r="C789" s="5"/>
      <c r="D789" s="5"/>
      <c r="E789" s="5"/>
      <c r="F789" s="5"/>
      <c r="G789" s="5"/>
      <c r="H789" s="5"/>
      <c r="I789" s="5"/>
      <c r="J789" s="5"/>
      <c r="K789" s="5"/>
    </row>
    <row r="790" ht="15.75" customHeight="1">
      <c r="A790" s="5"/>
      <c r="B790" s="5"/>
      <c r="C790" s="5"/>
      <c r="D790" s="5"/>
      <c r="E790" s="5"/>
      <c r="F790" s="5"/>
      <c r="G790" s="5"/>
      <c r="H790" s="5"/>
      <c r="I790" s="5"/>
      <c r="J790" s="5"/>
      <c r="K790" s="5"/>
    </row>
    <row r="791" ht="15.75" customHeight="1">
      <c r="A791" s="5"/>
      <c r="B791" s="5"/>
      <c r="C791" s="5"/>
      <c r="D791" s="5"/>
      <c r="E791" s="5"/>
      <c r="F791" s="5"/>
      <c r="G791" s="5"/>
      <c r="H791" s="5"/>
      <c r="I791" s="5"/>
      <c r="J791" s="5"/>
      <c r="K791" s="5"/>
    </row>
    <row r="792" ht="15.75" customHeight="1">
      <c r="A792" s="5"/>
      <c r="B792" s="5"/>
      <c r="C792" s="5"/>
      <c r="D792" s="5"/>
      <c r="E792" s="5"/>
      <c r="F792" s="5"/>
      <c r="G792" s="5"/>
      <c r="H792" s="5"/>
      <c r="I792" s="5"/>
      <c r="J792" s="5"/>
      <c r="K792" s="5"/>
    </row>
    <row r="793" ht="15.75" customHeight="1">
      <c r="A793" s="5"/>
      <c r="B793" s="5"/>
      <c r="C793" s="5"/>
      <c r="D793" s="5"/>
      <c r="E793" s="5"/>
      <c r="F793" s="5"/>
      <c r="G793" s="5"/>
      <c r="H793" s="5"/>
      <c r="I793" s="5"/>
      <c r="J793" s="5"/>
      <c r="K793" s="5"/>
    </row>
    <row r="794" ht="15.75" customHeight="1">
      <c r="A794" s="5"/>
      <c r="B794" s="5"/>
      <c r="C794" s="5"/>
      <c r="D794" s="5"/>
      <c r="E794" s="5"/>
      <c r="F794" s="5"/>
      <c r="G794" s="5"/>
      <c r="H794" s="5"/>
      <c r="I794" s="5"/>
      <c r="J794" s="5"/>
      <c r="K794" s="5"/>
    </row>
    <row r="795" ht="15.75" customHeight="1">
      <c r="A795" s="5"/>
      <c r="B795" s="5"/>
      <c r="C795" s="5"/>
      <c r="D795" s="5"/>
      <c r="E795" s="5"/>
      <c r="F795" s="5"/>
      <c r="G795" s="5"/>
      <c r="H795" s="5"/>
      <c r="I795" s="5"/>
      <c r="J795" s="5"/>
      <c r="K795" s="5"/>
    </row>
    <row r="796" ht="15.75" customHeight="1">
      <c r="A796" s="5"/>
      <c r="B796" s="5"/>
      <c r="C796" s="5"/>
      <c r="D796" s="5"/>
      <c r="E796" s="5"/>
      <c r="F796" s="5"/>
      <c r="G796" s="5"/>
      <c r="H796" s="5"/>
      <c r="I796" s="5"/>
      <c r="J796" s="5"/>
      <c r="K796" s="5"/>
    </row>
    <row r="797" ht="15.75" customHeight="1">
      <c r="A797" s="5"/>
      <c r="B797" s="5"/>
      <c r="C797" s="5"/>
      <c r="D797" s="5"/>
      <c r="E797" s="5"/>
      <c r="F797" s="5"/>
      <c r="G797" s="5"/>
      <c r="H797" s="5"/>
      <c r="I797" s="5"/>
      <c r="J797" s="5"/>
      <c r="K797" s="5"/>
    </row>
    <row r="798" ht="15.75" customHeight="1">
      <c r="A798" s="5"/>
      <c r="B798" s="5"/>
      <c r="C798" s="5"/>
      <c r="D798" s="5"/>
      <c r="E798" s="5"/>
      <c r="F798" s="5"/>
      <c r="G798" s="5"/>
      <c r="H798" s="5"/>
      <c r="I798" s="5"/>
      <c r="J798" s="5"/>
      <c r="K798" s="5"/>
    </row>
    <row r="799" ht="15.75" customHeight="1">
      <c r="A799" s="5"/>
      <c r="B799" s="5"/>
      <c r="C799" s="5"/>
      <c r="D799" s="5"/>
      <c r="E799" s="5"/>
      <c r="F799" s="5"/>
      <c r="G799" s="5"/>
      <c r="H799" s="5"/>
      <c r="I799" s="5"/>
      <c r="J799" s="5"/>
      <c r="K799" s="5"/>
    </row>
    <row r="800" ht="15.75" customHeight="1">
      <c r="A800" s="5"/>
      <c r="B800" s="5"/>
      <c r="C800" s="5"/>
      <c r="D800" s="5"/>
      <c r="E800" s="5"/>
      <c r="F800" s="5"/>
      <c r="G800" s="5"/>
      <c r="H800" s="5"/>
      <c r="I800" s="5"/>
      <c r="J800" s="5"/>
      <c r="K800" s="5"/>
    </row>
    <row r="801" ht="15.75" customHeight="1">
      <c r="A801" s="5"/>
      <c r="B801" s="5"/>
      <c r="C801" s="5"/>
      <c r="D801" s="5"/>
      <c r="E801" s="5"/>
      <c r="F801" s="5"/>
      <c r="G801" s="5"/>
      <c r="H801" s="5"/>
      <c r="I801" s="5"/>
      <c r="J801" s="5"/>
      <c r="K801" s="5"/>
    </row>
    <row r="802" ht="15.75" customHeight="1">
      <c r="A802" s="5"/>
      <c r="B802" s="5"/>
      <c r="C802" s="5"/>
      <c r="D802" s="5"/>
      <c r="E802" s="5"/>
      <c r="F802" s="5"/>
      <c r="G802" s="5"/>
      <c r="H802" s="5"/>
      <c r="I802" s="5"/>
      <c r="J802" s="5"/>
      <c r="K802" s="5"/>
    </row>
    <row r="803" ht="15.75" customHeight="1">
      <c r="A803" s="5"/>
      <c r="B803" s="5"/>
      <c r="C803" s="5"/>
      <c r="D803" s="5"/>
      <c r="E803" s="5"/>
      <c r="F803" s="5"/>
      <c r="G803" s="5"/>
      <c r="H803" s="5"/>
      <c r="I803" s="5"/>
      <c r="J803" s="5"/>
      <c r="K803" s="5"/>
    </row>
    <row r="804" ht="15.75" customHeight="1">
      <c r="A804" s="5"/>
      <c r="B804" s="5"/>
      <c r="C804" s="5"/>
      <c r="D804" s="5"/>
      <c r="E804" s="5"/>
      <c r="F804" s="5"/>
      <c r="G804" s="5"/>
      <c r="H804" s="5"/>
      <c r="I804" s="5"/>
      <c r="J804" s="5"/>
      <c r="K804" s="5"/>
    </row>
    <row r="805" ht="15.75" customHeight="1">
      <c r="A805" s="5"/>
      <c r="B805" s="5"/>
      <c r="C805" s="5"/>
      <c r="D805" s="5"/>
      <c r="E805" s="5"/>
      <c r="F805" s="5"/>
      <c r="G805" s="5"/>
      <c r="H805" s="5"/>
      <c r="I805" s="5"/>
      <c r="J805" s="5"/>
      <c r="K805" s="5"/>
    </row>
    <row r="806" ht="15.75" customHeight="1">
      <c r="A806" s="5"/>
      <c r="B806" s="5"/>
      <c r="C806" s="5"/>
      <c r="D806" s="5"/>
      <c r="E806" s="5"/>
      <c r="F806" s="5"/>
      <c r="G806" s="5"/>
      <c r="H806" s="5"/>
      <c r="I806" s="5"/>
      <c r="J806" s="5"/>
      <c r="K806" s="5"/>
    </row>
    <row r="807" ht="15.75" customHeight="1">
      <c r="A807" s="5"/>
      <c r="B807" s="5"/>
      <c r="C807" s="5"/>
      <c r="D807" s="5"/>
      <c r="E807" s="5"/>
      <c r="F807" s="5"/>
      <c r="G807" s="5"/>
      <c r="H807" s="5"/>
      <c r="I807" s="5"/>
      <c r="J807" s="5"/>
      <c r="K807" s="5"/>
    </row>
    <row r="808" ht="15.75" customHeight="1">
      <c r="A808" s="5"/>
      <c r="B808" s="5"/>
      <c r="C808" s="5"/>
      <c r="D808" s="5"/>
      <c r="E808" s="5"/>
      <c r="F808" s="5"/>
      <c r="G808" s="5"/>
      <c r="H808" s="5"/>
      <c r="I808" s="5"/>
      <c r="J808" s="5"/>
      <c r="K808" s="5"/>
    </row>
    <row r="809" ht="15.75" customHeight="1">
      <c r="A809" s="5"/>
      <c r="B809" s="5"/>
      <c r="C809" s="5"/>
      <c r="D809" s="5"/>
      <c r="E809" s="5"/>
      <c r="F809" s="5"/>
      <c r="G809" s="5"/>
      <c r="H809" s="5"/>
      <c r="I809" s="5"/>
      <c r="J809" s="5"/>
      <c r="K809" s="5"/>
    </row>
    <row r="810" ht="15.75" customHeight="1">
      <c r="A810" s="5"/>
      <c r="B810" s="5"/>
      <c r="C810" s="5"/>
      <c r="D810" s="5"/>
      <c r="E810" s="5"/>
      <c r="F810" s="5"/>
      <c r="G810" s="5"/>
      <c r="H810" s="5"/>
      <c r="I810" s="5"/>
      <c r="J810" s="5"/>
      <c r="K810" s="5"/>
    </row>
    <row r="811" ht="15.75" customHeight="1">
      <c r="A811" s="5"/>
      <c r="B811" s="5"/>
      <c r="C811" s="5"/>
      <c r="D811" s="5"/>
      <c r="E811" s="5"/>
      <c r="F811" s="5"/>
      <c r="G811" s="5"/>
      <c r="H811" s="5"/>
      <c r="I811" s="5"/>
      <c r="J811" s="5"/>
      <c r="K811" s="5"/>
    </row>
    <row r="812" ht="15.75" customHeight="1">
      <c r="A812" s="5"/>
      <c r="B812" s="5"/>
      <c r="C812" s="5"/>
      <c r="D812" s="5"/>
      <c r="E812" s="5"/>
      <c r="F812" s="5"/>
      <c r="G812" s="5"/>
      <c r="H812" s="5"/>
      <c r="I812" s="5"/>
      <c r="J812" s="5"/>
      <c r="K812" s="5"/>
    </row>
    <row r="813" ht="15.75" customHeight="1">
      <c r="A813" s="5"/>
      <c r="B813" s="5"/>
      <c r="C813" s="5"/>
      <c r="D813" s="5"/>
      <c r="E813" s="5"/>
      <c r="F813" s="5"/>
      <c r="G813" s="5"/>
      <c r="H813" s="5"/>
      <c r="I813" s="5"/>
      <c r="J813" s="5"/>
      <c r="K813" s="5"/>
    </row>
    <row r="814" ht="15.75" customHeight="1">
      <c r="A814" s="5"/>
      <c r="B814" s="5"/>
      <c r="C814" s="5"/>
      <c r="D814" s="5"/>
      <c r="E814" s="5"/>
      <c r="F814" s="5"/>
      <c r="G814" s="5"/>
      <c r="H814" s="5"/>
      <c r="I814" s="5"/>
      <c r="J814" s="5"/>
      <c r="K814" s="5"/>
    </row>
    <row r="815" ht="15.75" customHeight="1">
      <c r="A815" s="5"/>
      <c r="B815" s="5"/>
      <c r="C815" s="5"/>
      <c r="D815" s="5"/>
      <c r="E815" s="5"/>
      <c r="F815" s="5"/>
      <c r="G815" s="5"/>
      <c r="H815" s="5"/>
      <c r="I815" s="5"/>
      <c r="J815" s="5"/>
      <c r="K815" s="5"/>
    </row>
    <row r="816" ht="15.75" customHeight="1">
      <c r="A816" s="5"/>
      <c r="B816" s="5"/>
      <c r="C816" s="5"/>
      <c r="D816" s="5"/>
      <c r="E816" s="5"/>
      <c r="F816" s="5"/>
      <c r="G816" s="5"/>
      <c r="H816" s="5"/>
      <c r="I816" s="5"/>
      <c r="J816" s="5"/>
      <c r="K816" s="5"/>
    </row>
    <row r="817" ht="15.75" customHeight="1">
      <c r="A817" s="5"/>
      <c r="B817" s="5"/>
      <c r="C817" s="5"/>
      <c r="D817" s="5"/>
      <c r="E817" s="5"/>
      <c r="F817" s="5"/>
      <c r="G817" s="5"/>
      <c r="H817" s="5"/>
      <c r="I817" s="5"/>
      <c r="J817" s="5"/>
      <c r="K817" s="5"/>
    </row>
    <row r="818" ht="15.75" customHeight="1">
      <c r="A818" s="5"/>
      <c r="B818" s="5"/>
      <c r="C818" s="5"/>
      <c r="D818" s="5"/>
      <c r="E818" s="5"/>
      <c r="F818" s="5"/>
      <c r="G818" s="5"/>
      <c r="H818" s="5"/>
      <c r="I818" s="5"/>
      <c r="J818" s="5"/>
      <c r="K818" s="5"/>
    </row>
    <row r="819" ht="15.75" customHeight="1">
      <c r="A819" s="5"/>
      <c r="B819" s="5"/>
      <c r="C819" s="5"/>
      <c r="D819" s="5"/>
      <c r="E819" s="5"/>
      <c r="F819" s="5"/>
      <c r="G819" s="5"/>
      <c r="H819" s="5"/>
      <c r="I819" s="5"/>
      <c r="J819" s="5"/>
      <c r="K819" s="5"/>
    </row>
    <row r="820" ht="15.75" customHeight="1">
      <c r="A820" s="5"/>
      <c r="B820" s="5"/>
      <c r="C820" s="5"/>
      <c r="D820" s="5"/>
      <c r="E820" s="5"/>
      <c r="F820" s="5"/>
      <c r="G820" s="5"/>
      <c r="H820" s="5"/>
      <c r="I820" s="5"/>
      <c r="J820" s="5"/>
      <c r="K820" s="5"/>
    </row>
    <row r="821" ht="15.75" customHeight="1">
      <c r="A821" s="5"/>
      <c r="B821" s="5"/>
      <c r="C821" s="5"/>
      <c r="D821" s="5"/>
      <c r="E821" s="5"/>
      <c r="F821" s="5"/>
      <c r="G821" s="5"/>
      <c r="H821" s="5"/>
      <c r="I821" s="5"/>
      <c r="J821" s="5"/>
      <c r="K821" s="5"/>
    </row>
    <row r="822" ht="15.75" customHeight="1">
      <c r="A822" s="5"/>
      <c r="B822" s="5"/>
      <c r="C822" s="5"/>
      <c r="D822" s="5"/>
      <c r="E822" s="5"/>
      <c r="F822" s="5"/>
      <c r="G822" s="5"/>
      <c r="H822" s="5"/>
      <c r="I822" s="5"/>
      <c r="J822" s="5"/>
      <c r="K822" s="5"/>
    </row>
    <row r="823" ht="15.75" customHeight="1">
      <c r="A823" s="5"/>
      <c r="B823" s="5"/>
      <c r="C823" s="5"/>
      <c r="D823" s="5"/>
      <c r="E823" s="5"/>
      <c r="F823" s="5"/>
      <c r="G823" s="5"/>
      <c r="H823" s="5"/>
      <c r="I823" s="5"/>
      <c r="J823" s="5"/>
      <c r="K823" s="5"/>
    </row>
    <row r="824" ht="15.75" customHeight="1">
      <c r="A824" s="5"/>
      <c r="B824" s="5"/>
      <c r="C824" s="5"/>
      <c r="D824" s="5"/>
      <c r="E824" s="5"/>
      <c r="F824" s="5"/>
      <c r="G824" s="5"/>
      <c r="H824" s="5"/>
      <c r="I824" s="5"/>
      <c r="J824" s="5"/>
      <c r="K824" s="5"/>
    </row>
    <row r="825" ht="15.75" customHeight="1">
      <c r="A825" s="5"/>
      <c r="B825" s="5"/>
      <c r="C825" s="5"/>
      <c r="D825" s="5"/>
      <c r="E825" s="5"/>
      <c r="F825" s="5"/>
      <c r="G825" s="5"/>
      <c r="H825" s="5"/>
      <c r="I825" s="5"/>
      <c r="J825" s="5"/>
      <c r="K825" s="5"/>
    </row>
    <row r="826" ht="15.75" customHeight="1">
      <c r="A826" s="5"/>
      <c r="B826" s="5"/>
      <c r="C826" s="5"/>
      <c r="D826" s="5"/>
      <c r="E826" s="5"/>
      <c r="F826" s="5"/>
      <c r="G826" s="5"/>
      <c r="H826" s="5"/>
      <c r="I826" s="5"/>
      <c r="J826" s="5"/>
      <c r="K826" s="5"/>
    </row>
    <row r="827" ht="15.75" customHeight="1">
      <c r="A827" s="5"/>
      <c r="B827" s="5"/>
      <c r="C827" s="5"/>
      <c r="D827" s="5"/>
      <c r="E827" s="5"/>
      <c r="F827" s="5"/>
      <c r="G827" s="5"/>
      <c r="H827" s="5"/>
      <c r="I827" s="5"/>
      <c r="J827" s="5"/>
      <c r="K827" s="5"/>
    </row>
    <row r="828" ht="15.75" customHeight="1">
      <c r="A828" s="5"/>
      <c r="B828" s="5"/>
      <c r="C828" s="5"/>
      <c r="D828" s="5"/>
      <c r="E828" s="5"/>
      <c r="F828" s="5"/>
      <c r="G828" s="5"/>
      <c r="H828" s="5"/>
      <c r="I828" s="5"/>
      <c r="J828" s="5"/>
      <c r="K828" s="5"/>
    </row>
    <row r="829" ht="15.75" customHeight="1">
      <c r="A829" s="5"/>
      <c r="B829" s="5"/>
      <c r="C829" s="5"/>
      <c r="D829" s="5"/>
      <c r="E829" s="5"/>
      <c r="F829" s="5"/>
      <c r="G829" s="5"/>
      <c r="H829" s="5"/>
      <c r="I829" s="5"/>
      <c r="J829" s="5"/>
      <c r="K829" s="5"/>
    </row>
    <row r="830" ht="15.75" customHeight="1">
      <c r="A830" s="5"/>
      <c r="B830" s="5"/>
      <c r="C830" s="5"/>
      <c r="D830" s="5"/>
      <c r="E830" s="5"/>
      <c r="F830" s="5"/>
      <c r="G830" s="5"/>
      <c r="H830" s="5"/>
      <c r="I830" s="5"/>
      <c r="J830" s="5"/>
      <c r="K830" s="5"/>
    </row>
    <row r="831" ht="15.75" customHeight="1">
      <c r="A831" s="5"/>
      <c r="B831" s="5"/>
      <c r="C831" s="5"/>
      <c r="D831" s="5"/>
      <c r="E831" s="5"/>
      <c r="F831" s="5"/>
      <c r="G831" s="5"/>
      <c r="H831" s="5"/>
      <c r="I831" s="5"/>
      <c r="J831" s="5"/>
      <c r="K831" s="5"/>
    </row>
    <row r="832" ht="15.75" customHeight="1">
      <c r="A832" s="5"/>
      <c r="B832" s="5"/>
      <c r="C832" s="5"/>
      <c r="D832" s="5"/>
      <c r="E832" s="5"/>
      <c r="F832" s="5"/>
      <c r="G832" s="5"/>
      <c r="H832" s="5"/>
      <c r="I832" s="5"/>
      <c r="J832" s="5"/>
      <c r="K832" s="5"/>
    </row>
    <row r="833" ht="15.75" customHeight="1">
      <c r="A833" s="5"/>
      <c r="B833" s="5"/>
      <c r="C833" s="5"/>
      <c r="D833" s="5"/>
      <c r="E833" s="5"/>
      <c r="F833" s="5"/>
      <c r="G833" s="5"/>
      <c r="H833" s="5"/>
      <c r="I833" s="5"/>
      <c r="J833" s="5"/>
      <c r="K833" s="5"/>
    </row>
    <row r="834" ht="15.75" customHeight="1">
      <c r="A834" s="5"/>
      <c r="B834" s="5"/>
      <c r="C834" s="5"/>
      <c r="D834" s="5"/>
      <c r="E834" s="5"/>
      <c r="F834" s="5"/>
      <c r="G834" s="5"/>
      <c r="H834" s="5"/>
      <c r="I834" s="5"/>
      <c r="J834" s="5"/>
      <c r="K834" s="5"/>
    </row>
    <row r="835" ht="15.75" customHeight="1">
      <c r="A835" s="5"/>
      <c r="B835" s="5"/>
      <c r="C835" s="5"/>
      <c r="D835" s="5"/>
      <c r="E835" s="5"/>
      <c r="F835" s="5"/>
      <c r="G835" s="5"/>
      <c r="H835" s="5"/>
      <c r="I835" s="5"/>
      <c r="J835" s="5"/>
      <c r="K835" s="5"/>
    </row>
    <row r="836" ht="15.75" customHeight="1">
      <c r="A836" s="5"/>
      <c r="B836" s="5"/>
      <c r="C836" s="5"/>
      <c r="D836" s="5"/>
      <c r="E836" s="5"/>
      <c r="F836" s="5"/>
      <c r="G836" s="5"/>
      <c r="H836" s="5"/>
      <c r="I836" s="5"/>
      <c r="J836" s="5"/>
      <c r="K836" s="5"/>
    </row>
    <row r="837" ht="15.75" customHeight="1">
      <c r="A837" s="5"/>
      <c r="B837" s="5"/>
      <c r="C837" s="5"/>
      <c r="D837" s="5"/>
      <c r="E837" s="5"/>
      <c r="F837" s="5"/>
      <c r="G837" s="5"/>
      <c r="H837" s="5"/>
      <c r="I837" s="5"/>
      <c r="J837" s="5"/>
      <c r="K837" s="5"/>
    </row>
    <row r="838" ht="15.75" customHeight="1">
      <c r="A838" s="5"/>
      <c r="B838" s="5"/>
      <c r="C838" s="5"/>
      <c r="D838" s="5"/>
      <c r="E838" s="5"/>
      <c r="F838" s="5"/>
      <c r="G838" s="5"/>
      <c r="H838" s="5"/>
      <c r="I838" s="5"/>
      <c r="J838" s="5"/>
      <c r="K838" s="5"/>
    </row>
    <row r="839" ht="15.75" customHeight="1">
      <c r="A839" s="5"/>
      <c r="B839" s="5"/>
      <c r="C839" s="5"/>
      <c r="D839" s="5"/>
      <c r="E839" s="5"/>
      <c r="F839" s="5"/>
      <c r="G839" s="5"/>
      <c r="H839" s="5"/>
      <c r="I839" s="5"/>
      <c r="J839" s="5"/>
      <c r="K839" s="5"/>
    </row>
    <row r="840" ht="15.75" customHeight="1">
      <c r="A840" s="5"/>
      <c r="B840" s="5"/>
      <c r="C840" s="5"/>
      <c r="D840" s="5"/>
      <c r="E840" s="5"/>
      <c r="F840" s="5"/>
      <c r="G840" s="5"/>
      <c r="H840" s="5"/>
      <c r="I840" s="5"/>
      <c r="J840" s="5"/>
      <c r="K840" s="5"/>
    </row>
    <row r="841" ht="15.75" customHeight="1">
      <c r="A841" s="5"/>
      <c r="B841" s="5"/>
      <c r="C841" s="5"/>
      <c r="D841" s="5"/>
      <c r="E841" s="5"/>
      <c r="F841" s="5"/>
      <c r="G841" s="5"/>
      <c r="H841" s="5"/>
      <c r="I841" s="5"/>
      <c r="J841" s="5"/>
      <c r="K841" s="5"/>
    </row>
    <row r="842" ht="15.75" customHeight="1">
      <c r="A842" s="5"/>
      <c r="B842" s="5"/>
      <c r="C842" s="5"/>
      <c r="D842" s="5"/>
      <c r="E842" s="5"/>
      <c r="F842" s="5"/>
      <c r="G842" s="5"/>
      <c r="H842" s="5"/>
      <c r="I842" s="5"/>
      <c r="J842" s="5"/>
      <c r="K842" s="5"/>
    </row>
    <row r="843" ht="15.75" customHeight="1">
      <c r="A843" s="5"/>
      <c r="B843" s="5"/>
      <c r="C843" s="5"/>
      <c r="D843" s="5"/>
      <c r="E843" s="5"/>
      <c r="F843" s="5"/>
      <c r="G843" s="5"/>
      <c r="H843" s="5"/>
      <c r="I843" s="5"/>
      <c r="J843" s="5"/>
      <c r="K843" s="5"/>
    </row>
    <row r="844" ht="15.75" customHeight="1">
      <c r="A844" s="5"/>
      <c r="B844" s="5"/>
      <c r="C844" s="5"/>
      <c r="D844" s="5"/>
      <c r="E844" s="5"/>
      <c r="F844" s="5"/>
      <c r="G844" s="5"/>
      <c r="H844" s="5"/>
      <c r="I844" s="5"/>
      <c r="J844" s="5"/>
      <c r="K844" s="5"/>
    </row>
    <row r="845" ht="15.75" customHeight="1">
      <c r="A845" s="5"/>
      <c r="B845" s="5"/>
      <c r="C845" s="5"/>
      <c r="D845" s="5"/>
      <c r="E845" s="5"/>
      <c r="F845" s="5"/>
      <c r="G845" s="5"/>
      <c r="H845" s="5"/>
      <c r="I845" s="5"/>
      <c r="J845" s="5"/>
      <c r="K845" s="5"/>
    </row>
    <row r="846" ht="15.75" customHeight="1">
      <c r="A846" s="5"/>
      <c r="B846" s="5"/>
      <c r="C846" s="5"/>
      <c r="D846" s="5"/>
      <c r="E846" s="5"/>
      <c r="F846" s="5"/>
      <c r="G846" s="5"/>
      <c r="H846" s="5"/>
      <c r="I846" s="5"/>
      <c r="J846" s="5"/>
      <c r="K846" s="5"/>
    </row>
    <row r="847" ht="15.75" customHeight="1">
      <c r="A847" s="5"/>
      <c r="B847" s="5"/>
      <c r="C847" s="5"/>
      <c r="D847" s="5"/>
      <c r="E847" s="5"/>
      <c r="F847" s="5"/>
      <c r="G847" s="5"/>
      <c r="H847" s="5"/>
      <c r="I847" s="5"/>
      <c r="J847" s="5"/>
      <c r="K847" s="5"/>
    </row>
    <row r="848" ht="15.75" customHeight="1">
      <c r="A848" s="5"/>
      <c r="B848" s="5"/>
      <c r="C848" s="5"/>
      <c r="D848" s="5"/>
      <c r="E848" s="5"/>
      <c r="F848" s="5"/>
      <c r="G848" s="5"/>
      <c r="H848" s="5"/>
      <c r="I848" s="5"/>
      <c r="J848" s="5"/>
      <c r="K848" s="5"/>
    </row>
    <row r="849" ht="15.75" customHeight="1">
      <c r="A849" s="5"/>
      <c r="B849" s="5"/>
      <c r="C849" s="5"/>
      <c r="D849" s="5"/>
      <c r="E849" s="5"/>
      <c r="F849" s="5"/>
      <c r="G849" s="5"/>
      <c r="H849" s="5"/>
      <c r="I849" s="5"/>
      <c r="J849" s="5"/>
      <c r="K849" s="5"/>
    </row>
    <row r="850" ht="15.75" customHeight="1">
      <c r="A850" s="5"/>
      <c r="B850" s="5"/>
      <c r="C850" s="5"/>
      <c r="D850" s="5"/>
      <c r="E850" s="5"/>
      <c r="F850" s="5"/>
      <c r="G850" s="5"/>
      <c r="H850" s="5"/>
      <c r="I850" s="5"/>
      <c r="J850" s="5"/>
      <c r="K850" s="5"/>
    </row>
    <row r="851" ht="15.75" customHeight="1">
      <c r="A851" s="5"/>
      <c r="B851" s="5"/>
      <c r="C851" s="5"/>
      <c r="D851" s="5"/>
      <c r="E851" s="5"/>
      <c r="F851" s="5"/>
      <c r="G851" s="5"/>
      <c r="H851" s="5"/>
      <c r="I851" s="5"/>
      <c r="J851" s="5"/>
      <c r="K851" s="5"/>
    </row>
    <row r="852" ht="15.75" customHeight="1">
      <c r="A852" s="5"/>
      <c r="B852" s="5"/>
      <c r="C852" s="5"/>
      <c r="D852" s="5"/>
      <c r="E852" s="5"/>
      <c r="F852" s="5"/>
      <c r="G852" s="5"/>
      <c r="H852" s="5"/>
      <c r="I852" s="5"/>
      <c r="J852" s="5"/>
      <c r="K852" s="5"/>
    </row>
    <row r="853" ht="15.75" customHeight="1">
      <c r="A853" s="5"/>
      <c r="B853" s="5"/>
      <c r="C853" s="5"/>
      <c r="D853" s="5"/>
      <c r="E853" s="5"/>
      <c r="F853" s="5"/>
      <c r="G853" s="5"/>
      <c r="H853" s="5"/>
      <c r="I853" s="5"/>
      <c r="J853" s="5"/>
      <c r="K853" s="5"/>
    </row>
    <row r="854" ht="15.75" customHeight="1">
      <c r="A854" s="5"/>
      <c r="B854" s="5"/>
      <c r="C854" s="5"/>
      <c r="D854" s="5"/>
      <c r="E854" s="5"/>
      <c r="F854" s="5"/>
      <c r="G854" s="5"/>
      <c r="H854" s="5"/>
      <c r="I854" s="5"/>
      <c r="J854" s="5"/>
      <c r="K854" s="5"/>
    </row>
    <row r="855" ht="15.75" customHeight="1">
      <c r="A855" s="5"/>
      <c r="B855" s="5"/>
      <c r="C855" s="5"/>
      <c r="D855" s="5"/>
      <c r="E855" s="5"/>
      <c r="F855" s="5"/>
      <c r="G855" s="5"/>
      <c r="H855" s="5"/>
      <c r="I855" s="5"/>
      <c r="J855" s="5"/>
      <c r="K855" s="5"/>
    </row>
    <row r="856" ht="15.75" customHeight="1">
      <c r="A856" s="5"/>
      <c r="B856" s="5"/>
      <c r="C856" s="5"/>
      <c r="D856" s="5"/>
      <c r="E856" s="5"/>
      <c r="F856" s="5"/>
      <c r="G856" s="5"/>
      <c r="H856" s="5"/>
      <c r="I856" s="5"/>
      <c r="J856" s="5"/>
      <c r="K856" s="5"/>
    </row>
    <row r="857" ht="15.75" customHeight="1">
      <c r="A857" s="5"/>
      <c r="B857" s="5"/>
      <c r="C857" s="5"/>
      <c r="D857" s="5"/>
      <c r="E857" s="5"/>
      <c r="F857" s="5"/>
      <c r="G857" s="5"/>
      <c r="H857" s="5"/>
      <c r="I857" s="5"/>
      <c r="J857" s="5"/>
      <c r="K857" s="5"/>
    </row>
    <row r="858" ht="15.75" customHeight="1">
      <c r="A858" s="5"/>
      <c r="B858" s="5"/>
      <c r="C858" s="5"/>
      <c r="D858" s="5"/>
      <c r="E858" s="5"/>
      <c r="F858" s="5"/>
      <c r="G858" s="5"/>
      <c r="H858" s="5"/>
      <c r="I858" s="5"/>
      <c r="J858" s="5"/>
      <c r="K858" s="5"/>
    </row>
    <row r="859" ht="15.75" customHeight="1">
      <c r="A859" s="5"/>
      <c r="B859" s="5"/>
      <c r="C859" s="5"/>
      <c r="D859" s="5"/>
      <c r="E859" s="5"/>
      <c r="F859" s="5"/>
      <c r="G859" s="5"/>
      <c r="H859" s="5"/>
      <c r="I859" s="5"/>
      <c r="J859" s="5"/>
      <c r="K859" s="5"/>
    </row>
    <row r="860" ht="15.75" customHeight="1">
      <c r="A860" s="5"/>
      <c r="B860" s="5"/>
      <c r="C860" s="5"/>
      <c r="D860" s="5"/>
      <c r="E860" s="5"/>
      <c r="F860" s="5"/>
      <c r="G860" s="5"/>
      <c r="H860" s="5"/>
      <c r="I860" s="5"/>
      <c r="J860" s="5"/>
      <c r="K860" s="5"/>
    </row>
    <row r="861" ht="15.75" customHeight="1">
      <c r="A861" s="5"/>
      <c r="B861" s="5"/>
      <c r="C861" s="5"/>
      <c r="D861" s="5"/>
      <c r="E861" s="5"/>
      <c r="F861" s="5"/>
      <c r="G861" s="5"/>
      <c r="H861" s="5"/>
      <c r="I861" s="5"/>
      <c r="J861" s="5"/>
      <c r="K861" s="5"/>
    </row>
    <row r="862" ht="15.75" customHeight="1">
      <c r="A862" s="5"/>
      <c r="B862" s="5"/>
      <c r="C862" s="5"/>
      <c r="D862" s="5"/>
      <c r="E862" s="5"/>
      <c r="F862" s="5"/>
      <c r="G862" s="5"/>
      <c r="H862" s="5"/>
      <c r="I862" s="5"/>
      <c r="J862" s="5"/>
      <c r="K862" s="5"/>
    </row>
    <row r="863" ht="15.75" customHeight="1">
      <c r="A863" s="5"/>
      <c r="B863" s="5"/>
      <c r="C863" s="5"/>
      <c r="D863" s="5"/>
      <c r="E863" s="5"/>
      <c r="F863" s="5"/>
      <c r="G863" s="5"/>
      <c r="H863" s="5"/>
      <c r="I863" s="5"/>
      <c r="J863" s="5"/>
      <c r="K863" s="5"/>
    </row>
    <row r="864" ht="15.75" customHeight="1">
      <c r="A864" s="5"/>
      <c r="B864" s="5"/>
      <c r="C864" s="5"/>
      <c r="D864" s="5"/>
      <c r="E864" s="5"/>
      <c r="F864" s="5"/>
      <c r="G864" s="5"/>
      <c r="H864" s="5"/>
      <c r="I864" s="5"/>
      <c r="J864" s="5"/>
      <c r="K864" s="5"/>
    </row>
    <row r="865" ht="15.75" customHeight="1">
      <c r="A865" s="5"/>
      <c r="B865" s="5"/>
      <c r="C865" s="5"/>
      <c r="D865" s="5"/>
      <c r="E865" s="5"/>
      <c r="F865" s="5"/>
      <c r="G865" s="5"/>
      <c r="H865" s="5"/>
      <c r="I865" s="5"/>
      <c r="J865" s="5"/>
      <c r="K865" s="5"/>
    </row>
    <row r="866" ht="15.75" customHeight="1">
      <c r="A866" s="5"/>
      <c r="B866" s="5"/>
      <c r="C866" s="5"/>
      <c r="D866" s="5"/>
      <c r="E866" s="5"/>
      <c r="F866" s="5"/>
      <c r="G866" s="5"/>
      <c r="H866" s="5"/>
      <c r="I866" s="5"/>
      <c r="J866" s="5"/>
      <c r="K866" s="5"/>
    </row>
    <row r="867" ht="15.75" customHeight="1">
      <c r="A867" s="5"/>
      <c r="B867" s="5"/>
      <c r="C867" s="5"/>
      <c r="D867" s="5"/>
      <c r="E867" s="5"/>
      <c r="F867" s="5"/>
      <c r="G867" s="5"/>
      <c r="H867" s="5"/>
      <c r="I867" s="5"/>
      <c r="J867" s="5"/>
      <c r="K867" s="5"/>
    </row>
    <row r="868" ht="15.75" customHeight="1">
      <c r="A868" s="5"/>
      <c r="B868" s="5"/>
      <c r="C868" s="5"/>
      <c r="D868" s="5"/>
      <c r="E868" s="5"/>
      <c r="F868" s="5"/>
      <c r="G868" s="5"/>
      <c r="H868" s="5"/>
      <c r="I868" s="5"/>
      <c r="J868" s="5"/>
      <c r="K868" s="5"/>
    </row>
    <row r="869" ht="15.75" customHeight="1">
      <c r="A869" s="5"/>
      <c r="B869" s="5"/>
      <c r="C869" s="5"/>
      <c r="D869" s="5"/>
      <c r="E869" s="5"/>
      <c r="F869" s="5"/>
      <c r="G869" s="5"/>
      <c r="H869" s="5"/>
      <c r="I869" s="5"/>
      <c r="J869" s="5"/>
      <c r="K869" s="5"/>
    </row>
    <row r="870" ht="15.75" customHeight="1">
      <c r="A870" s="5"/>
      <c r="B870" s="5"/>
      <c r="C870" s="5"/>
      <c r="D870" s="5"/>
      <c r="E870" s="5"/>
      <c r="F870" s="5"/>
      <c r="G870" s="5"/>
      <c r="H870" s="5"/>
      <c r="I870" s="5"/>
      <c r="J870" s="5"/>
      <c r="K870" s="5"/>
    </row>
    <row r="871" ht="15.75" customHeight="1">
      <c r="A871" s="5"/>
      <c r="B871" s="5"/>
      <c r="C871" s="5"/>
      <c r="D871" s="5"/>
      <c r="E871" s="5"/>
      <c r="F871" s="5"/>
      <c r="G871" s="5"/>
      <c r="H871" s="5"/>
      <c r="I871" s="5"/>
      <c r="J871" s="5"/>
      <c r="K871" s="5"/>
    </row>
    <row r="872" ht="15.75" customHeight="1">
      <c r="A872" s="5"/>
      <c r="B872" s="5"/>
      <c r="C872" s="5"/>
      <c r="D872" s="5"/>
      <c r="E872" s="5"/>
      <c r="F872" s="5"/>
      <c r="G872" s="5"/>
      <c r="H872" s="5"/>
      <c r="I872" s="5"/>
      <c r="J872" s="5"/>
      <c r="K872" s="5"/>
    </row>
    <row r="873" ht="15.75" customHeight="1">
      <c r="A873" s="5"/>
      <c r="B873" s="5"/>
      <c r="C873" s="5"/>
      <c r="D873" s="5"/>
      <c r="E873" s="5"/>
      <c r="F873" s="5"/>
      <c r="G873" s="5"/>
      <c r="H873" s="5"/>
      <c r="I873" s="5"/>
      <c r="J873" s="5"/>
      <c r="K873" s="5"/>
    </row>
    <row r="874" ht="15.75" customHeight="1">
      <c r="A874" s="5"/>
      <c r="B874" s="5"/>
      <c r="C874" s="5"/>
      <c r="D874" s="5"/>
      <c r="E874" s="5"/>
      <c r="F874" s="5"/>
      <c r="G874" s="5"/>
      <c r="H874" s="5"/>
      <c r="I874" s="5"/>
      <c r="J874" s="5"/>
      <c r="K874" s="5"/>
    </row>
    <row r="875" ht="15.75" customHeight="1">
      <c r="A875" s="5"/>
      <c r="B875" s="5"/>
      <c r="C875" s="5"/>
      <c r="D875" s="5"/>
      <c r="E875" s="5"/>
      <c r="F875" s="5"/>
      <c r="G875" s="5"/>
      <c r="H875" s="5"/>
      <c r="I875" s="5"/>
      <c r="J875" s="5"/>
      <c r="K875" s="5"/>
    </row>
    <row r="876" ht="15.75" customHeight="1">
      <c r="A876" s="5"/>
      <c r="B876" s="5"/>
      <c r="C876" s="5"/>
      <c r="D876" s="5"/>
      <c r="E876" s="5"/>
      <c r="F876" s="5"/>
      <c r="G876" s="5"/>
      <c r="H876" s="5"/>
      <c r="I876" s="5"/>
      <c r="J876" s="5"/>
      <c r="K876" s="5"/>
    </row>
    <row r="877" ht="15.75" customHeight="1">
      <c r="A877" s="5"/>
      <c r="B877" s="5"/>
      <c r="C877" s="5"/>
      <c r="D877" s="5"/>
      <c r="E877" s="5"/>
      <c r="F877" s="5"/>
      <c r="G877" s="5"/>
      <c r="H877" s="5"/>
      <c r="I877" s="5"/>
      <c r="J877" s="5"/>
      <c r="K877" s="5"/>
    </row>
    <row r="878" ht="15.75" customHeight="1">
      <c r="A878" s="5"/>
      <c r="B878" s="5"/>
      <c r="C878" s="5"/>
      <c r="D878" s="5"/>
      <c r="E878" s="5"/>
      <c r="F878" s="5"/>
      <c r="G878" s="5"/>
      <c r="H878" s="5"/>
      <c r="I878" s="5"/>
      <c r="J878" s="5"/>
      <c r="K878" s="5"/>
    </row>
    <row r="879" ht="15.75" customHeight="1">
      <c r="A879" s="5"/>
      <c r="B879" s="5"/>
      <c r="C879" s="5"/>
      <c r="D879" s="5"/>
      <c r="E879" s="5"/>
      <c r="F879" s="5"/>
      <c r="G879" s="5"/>
      <c r="H879" s="5"/>
      <c r="I879" s="5"/>
      <c r="J879" s="5"/>
      <c r="K879" s="5"/>
    </row>
    <row r="880" ht="15.75" customHeight="1">
      <c r="A880" s="5"/>
      <c r="B880" s="5"/>
      <c r="C880" s="5"/>
      <c r="D880" s="5"/>
      <c r="E880" s="5"/>
      <c r="F880" s="5"/>
      <c r="G880" s="5"/>
      <c r="H880" s="5"/>
      <c r="I880" s="5"/>
      <c r="J880" s="5"/>
      <c r="K880" s="5"/>
    </row>
    <row r="881" ht="15.75" customHeight="1">
      <c r="A881" s="5"/>
      <c r="B881" s="5"/>
      <c r="C881" s="5"/>
      <c r="D881" s="5"/>
      <c r="E881" s="5"/>
      <c r="F881" s="5"/>
      <c r="G881" s="5"/>
      <c r="H881" s="5"/>
      <c r="I881" s="5"/>
      <c r="J881" s="5"/>
      <c r="K881" s="5"/>
    </row>
    <row r="882" ht="15.75" customHeight="1">
      <c r="A882" s="5"/>
      <c r="B882" s="5"/>
      <c r="C882" s="5"/>
      <c r="D882" s="5"/>
      <c r="E882" s="5"/>
      <c r="F882" s="5"/>
      <c r="G882" s="5"/>
      <c r="H882" s="5"/>
      <c r="I882" s="5"/>
      <c r="J882" s="5"/>
      <c r="K882" s="5"/>
    </row>
    <row r="883" ht="15.75" customHeight="1">
      <c r="A883" s="5"/>
      <c r="B883" s="5"/>
      <c r="C883" s="5"/>
      <c r="D883" s="5"/>
      <c r="E883" s="5"/>
      <c r="F883" s="5"/>
      <c r="G883" s="5"/>
      <c r="H883" s="5"/>
      <c r="I883" s="5"/>
      <c r="J883" s="5"/>
      <c r="K883" s="5"/>
    </row>
    <row r="884" ht="15.75" customHeight="1">
      <c r="A884" s="5"/>
      <c r="B884" s="5"/>
      <c r="C884" s="5"/>
      <c r="D884" s="5"/>
      <c r="E884" s="5"/>
      <c r="F884" s="5"/>
      <c r="G884" s="5"/>
      <c r="H884" s="5"/>
      <c r="I884" s="5"/>
      <c r="J884" s="5"/>
      <c r="K884" s="5"/>
    </row>
    <row r="885" ht="15.75" customHeight="1">
      <c r="A885" s="5"/>
      <c r="B885" s="5"/>
      <c r="C885" s="5"/>
      <c r="D885" s="5"/>
      <c r="E885" s="5"/>
      <c r="F885" s="5"/>
      <c r="G885" s="5"/>
      <c r="H885" s="5"/>
      <c r="I885" s="5"/>
      <c r="J885" s="5"/>
      <c r="K885" s="5"/>
    </row>
    <row r="886" ht="15.75" customHeight="1">
      <c r="A886" s="5"/>
      <c r="B886" s="5"/>
      <c r="C886" s="5"/>
      <c r="D886" s="5"/>
      <c r="E886" s="5"/>
      <c r="F886" s="5"/>
      <c r="G886" s="5"/>
      <c r="H886" s="5"/>
      <c r="I886" s="5"/>
      <c r="J886" s="5"/>
      <c r="K886" s="5"/>
    </row>
    <row r="887" ht="15.75" customHeight="1">
      <c r="A887" s="5"/>
      <c r="B887" s="5"/>
      <c r="C887" s="5"/>
      <c r="D887" s="5"/>
      <c r="E887" s="5"/>
      <c r="F887" s="5"/>
      <c r="G887" s="5"/>
      <c r="H887" s="5"/>
      <c r="I887" s="5"/>
      <c r="J887" s="5"/>
      <c r="K887" s="5"/>
    </row>
    <row r="888" ht="15.75" customHeight="1">
      <c r="A888" s="5"/>
      <c r="B888" s="5"/>
      <c r="C888" s="5"/>
      <c r="D888" s="5"/>
      <c r="E888" s="5"/>
      <c r="F888" s="5"/>
      <c r="G888" s="5"/>
      <c r="H888" s="5"/>
      <c r="I888" s="5"/>
      <c r="J888" s="5"/>
      <c r="K888" s="5"/>
    </row>
    <row r="889" ht="15.75" customHeight="1">
      <c r="A889" s="5"/>
      <c r="B889" s="5"/>
      <c r="C889" s="5"/>
      <c r="D889" s="5"/>
      <c r="E889" s="5"/>
      <c r="F889" s="5"/>
      <c r="G889" s="5"/>
      <c r="H889" s="5"/>
      <c r="I889" s="5"/>
      <c r="J889" s="5"/>
      <c r="K889" s="5"/>
    </row>
    <row r="890" ht="15.75" customHeight="1">
      <c r="A890" s="5"/>
      <c r="B890" s="5"/>
      <c r="C890" s="5"/>
      <c r="D890" s="5"/>
      <c r="E890" s="5"/>
      <c r="F890" s="5"/>
      <c r="G890" s="5"/>
      <c r="H890" s="5"/>
      <c r="I890" s="5"/>
      <c r="J890" s="5"/>
      <c r="K890" s="5"/>
    </row>
    <row r="891" ht="15.75" customHeight="1">
      <c r="A891" s="5"/>
      <c r="B891" s="5"/>
      <c r="C891" s="5"/>
      <c r="D891" s="5"/>
      <c r="E891" s="5"/>
      <c r="F891" s="5"/>
      <c r="G891" s="5"/>
      <c r="H891" s="5"/>
      <c r="I891" s="5"/>
      <c r="J891" s="5"/>
      <c r="K891" s="5"/>
    </row>
    <row r="892" ht="15.75" customHeight="1">
      <c r="A892" s="5"/>
      <c r="B892" s="5"/>
      <c r="C892" s="5"/>
      <c r="D892" s="5"/>
      <c r="E892" s="5"/>
      <c r="F892" s="5"/>
      <c r="G892" s="5"/>
      <c r="H892" s="5"/>
      <c r="I892" s="5"/>
      <c r="J892" s="5"/>
      <c r="K892" s="5"/>
    </row>
    <row r="893" ht="15.75" customHeight="1">
      <c r="A893" s="5"/>
      <c r="B893" s="5"/>
      <c r="C893" s="5"/>
      <c r="D893" s="5"/>
      <c r="E893" s="5"/>
      <c r="F893" s="5"/>
      <c r="G893" s="5"/>
      <c r="H893" s="5"/>
      <c r="I893" s="5"/>
      <c r="J893" s="5"/>
      <c r="K893" s="5"/>
    </row>
    <row r="894" ht="15.75" customHeight="1">
      <c r="A894" s="5"/>
      <c r="B894" s="5"/>
      <c r="C894" s="5"/>
      <c r="D894" s="5"/>
      <c r="E894" s="5"/>
      <c r="F894" s="5"/>
      <c r="G894" s="5"/>
      <c r="H894" s="5"/>
      <c r="I894" s="5"/>
      <c r="J894" s="5"/>
      <c r="K894" s="5"/>
    </row>
    <row r="895" ht="15.75" customHeight="1">
      <c r="A895" s="5"/>
      <c r="B895" s="5"/>
      <c r="C895" s="5"/>
      <c r="D895" s="5"/>
      <c r="E895" s="5"/>
      <c r="F895" s="5"/>
      <c r="G895" s="5"/>
      <c r="H895" s="5"/>
      <c r="I895" s="5"/>
      <c r="J895" s="5"/>
      <c r="K895" s="5"/>
    </row>
    <row r="896" ht="15.75" customHeight="1">
      <c r="A896" s="5"/>
      <c r="B896" s="5"/>
      <c r="C896" s="5"/>
      <c r="D896" s="5"/>
      <c r="E896" s="5"/>
      <c r="F896" s="5"/>
      <c r="G896" s="5"/>
      <c r="H896" s="5"/>
      <c r="I896" s="5"/>
      <c r="J896" s="5"/>
      <c r="K896" s="5"/>
    </row>
    <row r="897" ht="15.75" customHeight="1">
      <c r="A897" s="5"/>
      <c r="B897" s="5"/>
      <c r="C897" s="5"/>
      <c r="D897" s="5"/>
      <c r="E897" s="5"/>
      <c r="F897" s="5"/>
      <c r="G897" s="5"/>
      <c r="H897" s="5"/>
      <c r="I897" s="5"/>
      <c r="J897" s="5"/>
      <c r="K897" s="5"/>
    </row>
    <row r="898" ht="15.75" customHeight="1">
      <c r="A898" s="5"/>
      <c r="B898" s="5"/>
      <c r="C898" s="5"/>
      <c r="D898" s="5"/>
      <c r="E898" s="5"/>
      <c r="F898" s="5"/>
      <c r="G898" s="5"/>
      <c r="H898" s="5"/>
      <c r="I898" s="5"/>
      <c r="J898" s="5"/>
      <c r="K898" s="5"/>
    </row>
    <row r="899" ht="15.75" customHeight="1">
      <c r="A899" s="5"/>
      <c r="B899" s="5"/>
      <c r="C899" s="5"/>
      <c r="D899" s="5"/>
      <c r="E899" s="5"/>
      <c r="F899" s="5"/>
      <c r="G899" s="5"/>
      <c r="H899" s="5"/>
      <c r="I899" s="5"/>
      <c r="J899" s="5"/>
      <c r="K899" s="5"/>
    </row>
    <row r="900" ht="15.75" customHeight="1">
      <c r="A900" s="5"/>
      <c r="B900" s="5"/>
      <c r="C900" s="5"/>
      <c r="D900" s="5"/>
      <c r="E900" s="5"/>
      <c r="F900" s="5"/>
      <c r="G900" s="5"/>
      <c r="H900" s="5"/>
      <c r="I900" s="5"/>
      <c r="J900" s="5"/>
      <c r="K900" s="5"/>
    </row>
    <row r="901" ht="15.75" customHeight="1">
      <c r="A901" s="5"/>
      <c r="B901" s="5"/>
      <c r="C901" s="5"/>
      <c r="D901" s="5"/>
      <c r="E901" s="5"/>
      <c r="F901" s="5"/>
      <c r="G901" s="5"/>
      <c r="H901" s="5"/>
      <c r="I901" s="5"/>
      <c r="J901" s="5"/>
      <c r="K901" s="5"/>
    </row>
    <row r="902" ht="15.75" customHeight="1">
      <c r="A902" s="5"/>
      <c r="B902" s="5"/>
      <c r="C902" s="5"/>
      <c r="D902" s="5"/>
      <c r="E902" s="5"/>
      <c r="F902" s="5"/>
      <c r="G902" s="5"/>
      <c r="H902" s="5"/>
      <c r="I902" s="5"/>
      <c r="J902" s="5"/>
      <c r="K902" s="5"/>
    </row>
    <row r="903" ht="15.75" customHeight="1">
      <c r="A903" s="5"/>
      <c r="B903" s="5"/>
      <c r="C903" s="5"/>
      <c r="D903" s="5"/>
      <c r="E903" s="5"/>
      <c r="F903" s="5"/>
      <c r="G903" s="5"/>
      <c r="H903" s="5"/>
      <c r="I903" s="5"/>
      <c r="J903" s="5"/>
      <c r="K903" s="5"/>
    </row>
    <row r="904" ht="15.75" customHeight="1">
      <c r="A904" s="5"/>
      <c r="B904" s="5"/>
      <c r="C904" s="5"/>
      <c r="D904" s="5"/>
      <c r="E904" s="5"/>
      <c r="F904" s="5"/>
      <c r="G904" s="5"/>
      <c r="H904" s="5"/>
      <c r="I904" s="5"/>
      <c r="J904" s="5"/>
      <c r="K904" s="5"/>
    </row>
    <row r="905" ht="15.75" customHeight="1">
      <c r="A905" s="5"/>
      <c r="B905" s="5"/>
      <c r="C905" s="5"/>
      <c r="D905" s="5"/>
      <c r="E905" s="5"/>
      <c r="F905" s="5"/>
      <c r="G905" s="5"/>
      <c r="H905" s="5"/>
      <c r="I905" s="5"/>
      <c r="J905" s="5"/>
      <c r="K905" s="5"/>
    </row>
    <row r="906" ht="15.75" customHeight="1">
      <c r="A906" s="5"/>
      <c r="B906" s="5"/>
      <c r="C906" s="5"/>
      <c r="D906" s="5"/>
      <c r="E906" s="5"/>
      <c r="F906" s="5"/>
      <c r="G906" s="5"/>
      <c r="H906" s="5"/>
      <c r="I906" s="5"/>
      <c r="J906" s="5"/>
      <c r="K906" s="5"/>
    </row>
    <row r="907" ht="15.75" customHeight="1">
      <c r="A907" s="5"/>
      <c r="B907" s="5"/>
      <c r="C907" s="5"/>
      <c r="D907" s="5"/>
      <c r="E907" s="5"/>
      <c r="F907" s="5"/>
      <c r="G907" s="5"/>
      <c r="H907" s="5"/>
      <c r="I907" s="5"/>
      <c r="J907" s="5"/>
      <c r="K907" s="5"/>
    </row>
    <row r="908" ht="15.75" customHeight="1">
      <c r="A908" s="5"/>
      <c r="B908" s="5"/>
      <c r="C908" s="5"/>
      <c r="D908" s="5"/>
      <c r="E908" s="5"/>
      <c r="F908" s="5"/>
      <c r="G908" s="5"/>
      <c r="H908" s="5"/>
      <c r="I908" s="5"/>
      <c r="J908" s="5"/>
      <c r="K908" s="5"/>
    </row>
    <row r="909" ht="15.75" customHeight="1">
      <c r="A909" s="5"/>
      <c r="B909" s="5"/>
      <c r="C909" s="5"/>
      <c r="D909" s="5"/>
      <c r="E909" s="5"/>
      <c r="F909" s="5"/>
      <c r="G909" s="5"/>
      <c r="H909" s="5"/>
      <c r="I909" s="5"/>
      <c r="J909" s="5"/>
      <c r="K909" s="5"/>
    </row>
    <row r="910" ht="15.75" customHeight="1">
      <c r="A910" s="5"/>
      <c r="B910" s="5"/>
      <c r="C910" s="5"/>
      <c r="D910" s="5"/>
      <c r="E910" s="5"/>
      <c r="F910" s="5"/>
      <c r="G910" s="5"/>
      <c r="H910" s="5"/>
      <c r="I910" s="5"/>
      <c r="J910" s="5"/>
      <c r="K910" s="5"/>
    </row>
    <row r="911" ht="15.75" customHeight="1">
      <c r="A911" s="5"/>
      <c r="B911" s="5"/>
      <c r="C911" s="5"/>
      <c r="D911" s="5"/>
      <c r="E911" s="5"/>
      <c r="F911" s="5"/>
      <c r="G911" s="5"/>
      <c r="H911" s="5"/>
      <c r="I911" s="5"/>
      <c r="J911" s="5"/>
      <c r="K911" s="5"/>
    </row>
    <row r="912" ht="15.75" customHeight="1">
      <c r="A912" s="5"/>
      <c r="B912" s="5"/>
      <c r="C912" s="5"/>
      <c r="D912" s="5"/>
      <c r="E912" s="5"/>
      <c r="F912" s="5"/>
      <c r="G912" s="5"/>
      <c r="H912" s="5"/>
      <c r="I912" s="5"/>
      <c r="J912" s="5"/>
      <c r="K912" s="5"/>
    </row>
    <row r="913" ht="15.75" customHeight="1">
      <c r="A913" s="5"/>
      <c r="B913" s="5"/>
      <c r="C913" s="5"/>
      <c r="D913" s="5"/>
      <c r="E913" s="5"/>
      <c r="F913" s="5"/>
      <c r="G913" s="5"/>
      <c r="H913" s="5"/>
      <c r="I913" s="5"/>
      <c r="J913" s="5"/>
      <c r="K913" s="5"/>
    </row>
    <row r="914" ht="15.75" customHeight="1">
      <c r="A914" s="5"/>
      <c r="B914" s="5"/>
      <c r="C914" s="5"/>
      <c r="D914" s="5"/>
      <c r="E914" s="5"/>
      <c r="F914" s="5"/>
      <c r="G914" s="5"/>
      <c r="H914" s="5"/>
      <c r="I914" s="5"/>
      <c r="J914" s="5"/>
      <c r="K914" s="5"/>
    </row>
    <row r="915" ht="15.75" customHeight="1">
      <c r="A915" s="5"/>
      <c r="B915" s="5"/>
      <c r="C915" s="5"/>
      <c r="D915" s="5"/>
      <c r="E915" s="5"/>
      <c r="F915" s="5"/>
      <c r="G915" s="5"/>
      <c r="H915" s="5"/>
      <c r="I915" s="5"/>
      <c r="J915" s="5"/>
      <c r="K915" s="5"/>
    </row>
    <row r="916" ht="15.75" customHeight="1">
      <c r="A916" s="5"/>
      <c r="B916" s="5"/>
      <c r="C916" s="5"/>
      <c r="D916" s="5"/>
      <c r="E916" s="5"/>
      <c r="F916" s="5"/>
      <c r="G916" s="5"/>
      <c r="H916" s="5"/>
      <c r="I916" s="5"/>
      <c r="J916" s="5"/>
      <c r="K916" s="5"/>
    </row>
    <row r="917" ht="15.75" customHeight="1">
      <c r="A917" s="5"/>
      <c r="B917" s="5"/>
      <c r="C917" s="5"/>
      <c r="D917" s="5"/>
      <c r="E917" s="5"/>
      <c r="F917" s="5"/>
      <c r="G917" s="5"/>
      <c r="H917" s="5"/>
      <c r="I917" s="5"/>
      <c r="J917" s="5"/>
      <c r="K917" s="5"/>
    </row>
    <row r="918" ht="15.75" customHeight="1">
      <c r="A918" s="5"/>
      <c r="B918" s="5"/>
      <c r="C918" s="5"/>
      <c r="D918" s="5"/>
      <c r="E918" s="5"/>
      <c r="F918" s="5"/>
      <c r="G918" s="5"/>
      <c r="H918" s="5"/>
      <c r="I918" s="5"/>
      <c r="J918" s="5"/>
      <c r="K918" s="5"/>
    </row>
    <row r="919" ht="15.75" customHeight="1">
      <c r="A919" s="5"/>
      <c r="B919" s="5"/>
      <c r="C919" s="5"/>
      <c r="D919" s="5"/>
      <c r="E919" s="5"/>
      <c r="F919" s="5"/>
      <c r="G919" s="5"/>
      <c r="H919" s="5"/>
      <c r="I919" s="5"/>
      <c r="J919" s="5"/>
      <c r="K919" s="5"/>
    </row>
    <row r="920" ht="15.75" customHeight="1">
      <c r="A920" s="5"/>
      <c r="B920" s="5"/>
      <c r="C920" s="5"/>
      <c r="D920" s="5"/>
      <c r="E920" s="5"/>
      <c r="F920" s="5"/>
      <c r="G920" s="5"/>
      <c r="H920" s="5"/>
      <c r="I920" s="5"/>
      <c r="J920" s="5"/>
      <c r="K920" s="5"/>
    </row>
    <row r="921" ht="15.75" customHeight="1">
      <c r="A921" s="5"/>
      <c r="B921" s="5"/>
      <c r="C921" s="5"/>
      <c r="D921" s="5"/>
      <c r="E921" s="5"/>
      <c r="F921" s="5"/>
      <c r="G921" s="5"/>
      <c r="H921" s="5"/>
      <c r="I921" s="5"/>
      <c r="J921" s="5"/>
      <c r="K921" s="5"/>
    </row>
    <row r="922" ht="15.75" customHeight="1">
      <c r="A922" s="5"/>
      <c r="B922" s="5"/>
      <c r="C922" s="5"/>
      <c r="D922" s="5"/>
      <c r="E922" s="5"/>
      <c r="F922" s="5"/>
      <c r="G922" s="5"/>
      <c r="H922" s="5"/>
      <c r="I922" s="5"/>
      <c r="J922" s="5"/>
      <c r="K922" s="5"/>
    </row>
    <row r="923" ht="15.75" customHeight="1">
      <c r="A923" s="5"/>
      <c r="B923" s="5"/>
      <c r="C923" s="5"/>
      <c r="D923" s="5"/>
      <c r="E923" s="5"/>
      <c r="F923" s="5"/>
      <c r="G923" s="5"/>
      <c r="H923" s="5"/>
      <c r="I923" s="5"/>
      <c r="J923" s="5"/>
      <c r="K923" s="5"/>
    </row>
    <row r="924" ht="15.75" customHeight="1">
      <c r="A924" s="5"/>
      <c r="B924" s="5"/>
      <c r="C924" s="5"/>
      <c r="D924" s="5"/>
      <c r="E924" s="5"/>
      <c r="F924" s="5"/>
      <c r="G924" s="5"/>
      <c r="H924" s="5"/>
      <c r="I924" s="5"/>
      <c r="J924" s="5"/>
      <c r="K924" s="5"/>
    </row>
    <row r="925" ht="15.75" customHeight="1">
      <c r="A925" s="5"/>
      <c r="B925" s="5"/>
      <c r="C925" s="5"/>
      <c r="D925" s="5"/>
      <c r="E925" s="5"/>
      <c r="F925" s="5"/>
      <c r="G925" s="5"/>
      <c r="H925" s="5"/>
      <c r="I925" s="5"/>
      <c r="J925" s="5"/>
      <c r="K925" s="5"/>
    </row>
    <row r="926" ht="15.75" customHeight="1">
      <c r="A926" s="5"/>
      <c r="B926" s="5"/>
      <c r="C926" s="5"/>
      <c r="D926" s="5"/>
      <c r="E926" s="5"/>
      <c r="F926" s="5"/>
      <c r="G926" s="5"/>
      <c r="H926" s="5"/>
      <c r="I926" s="5"/>
      <c r="J926" s="5"/>
      <c r="K926" s="5"/>
    </row>
    <row r="927" ht="15.75" customHeight="1">
      <c r="A927" s="5"/>
      <c r="B927" s="5"/>
      <c r="C927" s="5"/>
      <c r="D927" s="5"/>
      <c r="E927" s="5"/>
      <c r="F927" s="5"/>
      <c r="G927" s="5"/>
      <c r="H927" s="5"/>
      <c r="I927" s="5"/>
      <c r="J927" s="5"/>
      <c r="K927" s="5"/>
    </row>
    <row r="928" ht="15.75" customHeight="1">
      <c r="A928" s="5"/>
      <c r="B928" s="5"/>
      <c r="C928" s="5"/>
      <c r="D928" s="5"/>
      <c r="E928" s="5"/>
      <c r="F928" s="5"/>
      <c r="G928" s="5"/>
      <c r="H928" s="5"/>
      <c r="I928" s="5"/>
      <c r="J928" s="5"/>
      <c r="K928" s="5"/>
    </row>
    <row r="929" ht="15.75" customHeight="1">
      <c r="A929" s="5"/>
      <c r="B929" s="5"/>
      <c r="C929" s="5"/>
      <c r="D929" s="5"/>
      <c r="E929" s="5"/>
      <c r="F929" s="5"/>
      <c r="G929" s="5"/>
      <c r="H929" s="5"/>
      <c r="I929" s="5"/>
      <c r="J929" s="5"/>
      <c r="K929" s="5"/>
    </row>
    <row r="930" ht="15.75" customHeight="1">
      <c r="A930" s="5"/>
      <c r="B930" s="5"/>
      <c r="C930" s="5"/>
      <c r="D930" s="5"/>
      <c r="E930" s="5"/>
      <c r="F930" s="5"/>
      <c r="G930" s="5"/>
      <c r="H930" s="5"/>
      <c r="I930" s="5"/>
      <c r="J930" s="5"/>
      <c r="K930" s="5"/>
    </row>
    <row r="931" ht="15.75" customHeight="1">
      <c r="A931" s="5"/>
      <c r="B931" s="5"/>
      <c r="C931" s="5"/>
      <c r="D931" s="5"/>
      <c r="E931" s="5"/>
      <c r="F931" s="5"/>
      <c r="G931" s="5"/>
      <c r="H931" s="5"/>
      <c r="I931" s="5"/>
      <c r="J931" s="5"/>
      <c r="K931" s="5"/>
    </row>
    <row r="932" ht="15.75" customHeight="1">
      <c r="A932" s="5"/>
      <c r="B932" s="5"/>
      <c r="C932" s="5"/>
      <c r="D932" s="5"/>
      <c r="E932" s="5"/>
      <c r="F932" s="5"/>
      <c r="G932" s="5"/>
      <c r="H932" s="5"/>
      <c r="I932" s="5"/>
      <c r="J932" s="5"/>
      <c r="K932" s="5"/>
    </row>
    <row r="933" ht="15.75" customHeight="1">
      <c r="A933" s="5"/>
      <c r="B933" s="5"/>
      <c r="C933" s="5"/>
      <c r="D933" s="5"/>
      <c r="E933" s="5"/>
      <c r="F933" s="5"/>
      <c r="G933" s="5"/>
      <c r="H933" s="5"/>
      <c r="I933" s="5"/>
      <c r="J933" s="5"/>
      <c r="K933" s="5"/>
    </row>
    <row r="934" ht="15.75" customHeight="1">
      <c r="A934" s="5"/>
      <c r="B934" s="5"/>
      <c r="C934" s="5"/>
      <c r="D934" s="5"/>
      <c r="E934" s="5"/>
      <c r="F934" s="5"/>
      <c r="G934" s="5"/>
      <c r="H934" s="5"/>
      <c r="I934" s="5"/>
      <c r="J934" s="5"/>
      <c r="K934" s="5"/>
    </row>
    <row r="935" ht="15.75" customHeight="1">
      <c r="A935" s="5"/>
      <c r="B935" s="5"/>
      <c r="C935" s="5"/>
      <c r="D935" s="5"/>
      <c r="E935" s="5"/>
      <c r="F935" s="5"/>
      <c r="G935" s="5"/>
      <c r="H935" s="5"/>
      <c r="I935" s="5"/>
      <c r="J935" s="5"/>
      <c r="K935" s="5"/>
    </row>
    <row r="936" ht="15.75" customHeight="1">
      <c r="A936" s="5"/>
      <c r="B936" s="5"/>
      <c r="C936" s="5"/>
      <c r="D936" s="5"/>
      <c r="E936" s="5"/>
      <c r="F936" s="5"/>
      <c r="G936" s="5"/>
      <c r="H936" s="5"/>
      <c r="I936" s="5"/>
      <c r="J936" s="5"/>
      <c r="K936" s="5"/>
    </row>
    <row r="937" ht="15.75" customHeight="1">
      <c r="A937" s="5"/>
      <c r="B937" s="5"/>
      <c r="C937" s="5"/>
      <c r="D937" s="5"/>
      <c r="E937" s="5"/>
      <c r="F937" s="5"/>
      <c r="G937" s="5"/>
      <c r="H937" s="5"/>
      <c r="I937" s="5"/>
      <c r="J937" s="5"/>
      <c r="K937" s="5"/>
    </row>
    <row r="938" ht="15.75" customHeight="1">
      <c r="A938" s="5"/>
      <c r="B938" s="5"/>
      <c r="C938" s="5"/>
      <c r="D938" s="5"/>
      <c r="E938" s="5"/>
      <c r="F938" s="5"/>
      <c r="G938" s="5"/>
      <c r="H938" s="5"/>
      <c r="I938" s="5"/>
      <c r="J938" s="5"/>
      <c r="K938" s="5"/>
    </row>
    <row r="939" ht="15.75" customHeight="1">
      <c r="A939" s="5"/>
      <c r="B939" s="5"/>
      <c r="C939" s="5"/>
      <c r="D939" s="5"/>
      <c r="E939" s="5"/>
      <c r="F939" s="5"/>
      <c r="G939" s="5"/>
      <c r="H939" s="5"/>
      <c r="I939" s="5"/>
      <c r="J939" s="5"/>
      <c r="K939" s="5"/>
    </row>
    <row r="940" ht="15.75" customHeight="1">
      <c r="A940" s="5"/>
      <c r="B940" s="5"/>
      <c r="C940" s="5"/>
      <c r="D940" s="5"/>
      <c r="E940" s="5"/>
      <c r="F940" s="5"/>
      <c r="G940" s="5"/>
      <c r="H940" s="5"/>
      <c r="I940" s="5"/>
      <c r="J940" s="5"/>
      <c r="K940" s="5"/>
    </row>
    <row r="941" ht="15.75" customHeight="1">
      <c r="A941" s="5"/>
      <c r="B941" s="5"/>
      <c r="C941" s="5"/>
      <c r="D941" s="5"/>
      <c r="E941" s="5"/>
      <c r="F941" s="5"/>
      <c r="G941" s="5"/>
      <c r="H941" s="5"/>
      <c r="I941" s="5"/>
      <c r="J941" s="5"/>
      <c r="K941" s="5"/>
    </row>
    <row r="942" ht="15.75" customHeight="1">
      <c r="A942" s="5"/>
      <c r="B942" s="5"/>
      <c r="C942" s="5"/>
      <c r="D942" s="5"/>
      <c r="E942" s="5"/>
      <c r="F942" s="5"/>
      <c r="G942" s="5"/>
      <c r="H942" s="5"/>
      <c r="I942" s="5"/>
      <c r="J942" s="5"/>
      <c r="K942" s="5"/>
    </row>
    <row r="943" ht="15.75" customHeight="1">
      <c r="A943" s="5"/>
      <c r="B943" s="5"/>
      <c r="C943" s="5"/>
      <c r="D943" s="5"/>
      <c r="E943" s="5"/>
      <c r="F943" s="5"/>
      <c r="G943" s="5"/>
      <c r="H943" s="5"/>
      <c r="I943" s="5"/>
      <c r="J943" s="5"/>
      <c r="K943" s="5"/>
    </row>
    <row r="944" ht="15.75" customHeight="1">
      <c r="A944" s="5"/>
      <c r="B944" s="5"/>
      <c r="C944" s="5"/>
      <c r="D944" s="5"/>
      <c r="E944" s="5"/>
      <c r="F944" s="5"/>
      <c r="G944" s="5"/>
      <c r="H944" s="5"/>
      <c r="I944" s="5"/>
      <c r="J944" s="5"/>
      <c r="K944" s="5"/>
    </row>
    <row r="945" ht="15.75" customHeight="1">
      <c r="A945" s="5"/>
      <c r="B945" s="5"/>
      <c r="C945" s="5"/>
      <c r="D945" s="5"/>
      <c r="E945" s="5"/>
      <c r="F945" s="5"/>
      <c r="G945" s="5"/>
      <c r="H945" s="5"/>
      <c r="I945" s="5"/>
      <c r="J945" s="5"/>
      <c r="K945" s="5"/>
    </row>
    <row r="946" ht="15.75" customHeight="1">
      <c r="A946" s="5"/>
      <c r="B946" s="5"/>
      <c r="C946" s="5"/>
      <c r="D946" s="5"/>
      <c r="E946" s="5"/>
      <c r="F946" s="5"/>
      <c r="G946" s="5"/>
      <c r="H946" s="5"/>
      <c r="I946" s="5"/>
      <c r="J946" s="5"/>
      <c r="K946" s="5"/>
    </row>
    <row r="947" ht="15.75" customHeight="1">
      <c r="A947" s="5"/>
      <c r="B947" s="5"/>
      <c r="C947" s="5"/>
      <c r="D947" s="5"/>
      <c r="E947" s="5"/>
      <c r="F947" s="5"/>
      <c r="G947" s="5"/>
      <c r="H947" s="5"/>
      <c r="I947" s="5"/>
      <c r="J947" s="5"/>
      <c r="K947" s="5"/>
    </row>
    <row r="948" ht="15.75" customHeight="1">
      <c r="A948" s="5"/>
      <c r="B948" s="5"/>
      <c r="C948" s="5"/>
      <c r="D948" s="5"/>
      <c r="E948" s="5"/>
      <c r="F948" s="5"/>
      <c r="G948" s="5"/>
      <c r="H948" s="5"/>
      <c r="I948" s="5"/>
      <c r="J948" s="5"/>
      <c r="K948" s="5"/>
    </row>
    <row r="949" ht="15.75" customHeight="1">
      <c r="A949" s="5"/>
      <c r="B949" s="5"/>
      <c r="C949" s="5"/>
      <c r="D949" s="5"/>
      <c r="E949" s="5"/>
      <c r="F949" s="5"/>
      <c r="G949" s="5"/>
      <c r="H949" s="5"/>
      <c r="I949" s="5"/>
      <c r="J949" s="5"/>
      <c r="K949" s="5"/>
    </row>
    <row r="950" ht="15.75" customHeight="1">
      <c r="A950" s="5"/>
      <c r="B950" s="5"/>
      <c r="C950" s="5"/>
      <c r="D950" s="5"/>
      <c r="E950" s="5"/>
      <c r="F950" s="5"/>
      <c r="G950" s="5"/>
      <c r="H950" s="5"/>
      <c r="I950" s="5"/>
      <c r="J950" s="5"/>
      <c r="K950" s="5"/>
    </row>
    <row r="951" ht="15.75" customHeight="1">
      <c r="A951" s="5"/>
      <c r="B951" s="5"/>
      <c r="C951" s="5"/>
      <c r="D951" s="5"/>
      <c r="E951" s="5"/>
      <c r="F951" s="5"/>
      <c r="G951" s="5"/>
      <c r="H951" s="5"/>
      <c r="I951" s="5"/>
      <c r="J951" s="5"/>
      <c r="K951" s="5"/>
    </row>
    <row r="952" ht="15.75" customHeight="1">
      <c r="A952" s="5"/>
      <c r="B952" s="5"/>
      <c r="C952" s="5"/>
      <c r="D952" s="5"/>
      <c r="E952" s="5"/>
      <c r="F952" s="5"/>
      <c r="G952" s="5"/>
      <c r="H952" s="5"/>
      <c r="I952" s="5"/>
      <c r="J952" s="5"/>
      <c r="K952" s="5"/>
    </row>
    <row r="953" ht="15.75" customHeight="1">
      <c r="A953" s="5"/>
      <c r="B953" s="5"/>
      <c r="C953" s="5"/>
      <c r="D953" s="5"/>
      <c r="E953" s="5"/>
      <c r="F953" s="5"/>
      <c r="G953" s="5"/>
      <c r="H953" s="5"/>
      <c r="I953" s="5"/>
      <c r="J953" s="5"/>
      <c r="K953" s="5"/>
    </row>
    <row r="954" ht="15.75" customHeight="1">
      <c r="A954" s="5"/>
      <c r="B954" s="5"/>
      <c r="C954" s="5"/>
      <c r="D954" s="5"/>
      <c r="E954" s="5"/>
      <c r="F954" s="5"/>
      <c r="G954" s="5"/>
      <c r="H954" s="5"/>
      <c r="I954" s="5"/>
      <c r="J954" s="5"/>
      <c r="K954" s="5"/>
    </row>
    <row r="955" ht="15.75" customHeight="1">
      <c r="A955" s="5"/>
      <c r="B955" s="5"/>
      <c r="C955" s="5"/>
      <c r="D955" s="5"/>
      <c r="E955" s="5"/>
      <c r="F955" s="5"/>
      <c r="G955" s="5"/>
      <c r="H955" s="5"/>
      <c r="I955" s="5"/>
      <c r="J955" s="5"/>
      <c r="K955" s="5"/>
    </row>
    <row r="956" ht="15.75" customHeight="1">
      <c r="A956" s="5"/>
      <c r="B956" s="5"/>
      <c r="C956" s="5"/>
      <c r="D956" s="5"/>
      <c r="E956" s="5"/>
      <c r="F956" s="5"/>
      <c r="G956" s="5"/>
      <c r="H956" s="5"/>
      <c r="I956" s="5"/>
      <c r="J956" s="5"/>
      <c r="K956" s="5"/>
    </row>
    <row r="957" ht="15.75" customHeight="1">
      <c r="A957" s="5"/>
      <c r="B957" s="5"/>
      <c r="C957" s="5"/>
      <c r="D957" s="5"/>
      <c r="E957" s="5"/>
      <c r="F957" s="5"/>
      <c r="G957" s="5"/>
      <c r="H957" s="5"/>
      <c r="I957" s="5"/>
      <c r="J957" s="5"/>
      <c r="K957" s="5"/>
    </row>
    <row r="958" ht="15.75" customHeight="1">
      <c r="A958" s="5"/>
      <c r="B958" s="5"/>
      <c r="C958" s="5"/>
      <c r="D958" s="5"/>
      <c r="E958" s="5"/>
      <c r="F958" s="5"/>
      <c r="G958" s="5"/>
      <c r="H958" s="5"/>
      <c r="I958" s="5"/>
      <c r="J958" s="5"/>
      <c r="K958" s="5"/>
    </row>
    <row r="959" ht="15.75" customHeight="1">
      <c r="A959" s="5"/>
      <c r="B959" s="5"/>
      <c r="C959" s="5"/>
      <c r="D959" s="5"/>
      <c r="E959" s="5"/>
      <c r="F959" s="5"/>
      <c r="G959" s="5"/>
      <c r="H959" s="5"/>
      <c r="I959" s="5"/>
      <c r="J959" s="5"/>
      <c r="K959" s="5"/>
    </row>
    <row r="960" ht="15.75" customHeight="1">
      <c r="A960" s="5"/>
      <c r="B960" s="5"/>
      <c r="C960" s="5"/>
      <c r="D960" s="5"/>
      <c r="E960" s="5"/>
      <c r="F960" s="5"/>
      <c r="G960" s="5"/>
      <c r="H960" s="5"/>
      <c r="I960" s="5"/>
      <c r="J960" s="5"/>
      <c r="K960" s="5"/>
    </row>
    <row r="961" ht="15.75" customHeight="1">
      <c r="A961" s="5"/>
      <c r="B961" s="5"/>
      <c r="C961" s="5"/>
      <c r="D961" s="5"/>
      <c r="E961" s="5"/>
      <c r="F961" s="5"/>
      <c r="G961" s="5"/>
      <c r="H961" s="5"/>
      <c r="I961" s="5"/>
      <c r="J961" s="5"/>
      <c r="K961" s="5"/>
    </row>
    <row r="962" ht="15.75" customHeight="1">
      <c r="A962" s="5"/>
      <c r="B962" s="5"/>
      <c r="C962" s="5"/>
      <c r="D962" s="5"/>
      <c r="E962" s="5"/>
      <c r="F962" s="5"/>
      <c r="G962" s="5"/>
      <c r="H962" s="5"/>
      <c r="I962" s="5"/>
      <c r="J962" s="5"/>
      <c r="K962" s="5"/>
    </row>
    <row r="963" ht="15.75" customHeight="1">
      <c r="A963" s="5"/>
      <c r="B963" s="5"/>
      <c r="C963" s="5"/>
      <c r="D963" s="5"/>
      <c r="E963" s="5"/>
      <c r="F963" s="5"/>
      <c r="G963" s="5"/>
      <c r="H963" s="5"/>
      <c r="I963" s="5"/>
      <c r="J963" s="5"/>
      <c r="K963" s="5"/>
    </row>
    <row r="964" ht="15.75" customHeight="1">
      <c r="A964" s="5"/>
      <c r="B964" s="5"/>
      <c r="C964" s="5"/>
      <c r="D964" s="5"/>
      <c r="E964" s="5"/>
      <c r="F964" s="5"/>
      <c r="G964" s="5"/>
      <c r="H964" s="5"/>
      <c r="I964" s="5"/>
      <c r="J964" s="5"/>
      <c r="K964" s="5"/>
    </row>
    <row r="965" ht="15.75" customHeight="1">
      <c r="A965" s="5"/>
      <c r="B965" s="5"/>
      <c r="C965" s="5"/>
      <c r="D965" s="5"/>
      <c r="E965" s="5"/>
      <c r="F965" s="5"/>
      <c r="G965" s="5"/>
      <c r="H965" s="5"/>
      <c r="I965" s="5"/>
      <c r="J965" s="5"/>
      <c r="K965" s="5"/>
    </row>
    <row r="966" ht="15.75" customHeight="1">
      <c r="A966" s="5"/>
      <c r="B966" s="5"/>
      <c r="C966" s="5"/>
      <c r="D966" s="5"/>
      <c r="E966" s="5"/>
      <c r="F966" s="5"/>
      <c r="G966" s="5"/>
      <c r="H966" s="5"/>
      <c r="I966" s="5"/>
      <c r="J966" s="5"/>
      <c r="K966" s="5"/>
    </row>
    <row r="967" ht="15.75" customHeight="1">
      <c r="A967" s="5"/>
      <c r="B967" s="5"/>
      <c r="C967" s="5"/>
      <c r="D967" s="5"/>
      <c r="E967" s="5"/>
      <c r="F967" s="5"/>
      <c r="G967" s="5"/>
      <c r="H967" s="5"/>
      <c r="I967" s="5"/>
      <c r="J967" s="5"/>
      <c r="K967" s="5"/>
    </row>
    <row r="968" ht="15.75" customHeight="1">
      <c r="A968" s="5"/>
      <c r="B968" s="5"/>
      <c r="C968" s="5"/>
      <c r="D968" s="5"/>
      <c r="E968" s="5"/>
      <c r="F968" s="5"/>
      <c r="G968" s="5"/>
      <c r="H968" s="5"/>
      <c r="I968" s="5"/>
      <c r="J968" s="5"/>
      <c r="K968" s="5"/>
    </row>
    <row r="969" ht="15.75" customHeight="1">
      <c r="A969" s="5"/>
      <c r="B969" s="5"/>
      <c r="C969" s="5"/>
      <c r="D969" s="5"/>
      <c r="E969" s="5"/>
      <c r="F969" s="5"/>
      <c r="G969" s="5"/>
      <c r="H969" s="5"/>
      <c r="I969" s="5"/>
      <c r="J969" s="5"/>
      <c r="K969" s="5"/>
    </row>
    <row r="970" ht="15.75" customHeight="1">
      <c r="A970" s="5"/>
      <c r="B970" s="5"/>
      <c r="C970" s="5"/>
      <c r="D970" s="5"/>
      <c r="E970" s="5"/>
      <c r="F970" s="5"/>
      <c r="G970" s="5"/>
      <c r="H970" s="5"/>
      <c r="I970" s="5"/>
      <c r="J970" s="5"/>
      <c r="K970" s="5"/>
    </row>
    <row r="971" ht="15.75" customHeight="1">
      <c r="A971" s="5"/>
      <c r="B971" s="5"/>
      <c r="C971" s="5"/>
      <c r="D971" s="5"/>
      <c r="E971" s="5"/>
      <c r="F971" s="5"/>
      <c r="G971" s="5"/>
      <c r="H971" s="5"/>
      <c r="I971" s="5"/>
      <c r="J971" s="5"/>
      <c r="K971" s="5"/>
    </row>
    <row r="972" ht="15.75" customHeight="1">
      <c r="A972" s="5"/>
      <c r="B972" s="5"/>
      <c r="C972" s="5"/>
      <c r="D972" s="5"/>
      <c r="E972" s="5"/>
      <c r="F972" s="5"/>
      <c r="G972" s="5"/>
      <c r="H972" s="5"/>
      <c r="I972" s="5"/>
      <c r="J972" s="5"/>
      <c r="K972" s="5"/>
    </row>
    <row r="973" ht="15.75" customHeight="1">
      <c r="A973" s="5"/>
      <c r="B973" s="5"/>
      <c r="C973" s="5"/>
      <c r="D973" s="5"/>
      <c r="E973" s="5"/>
      <c r="F973" s="5"/>
      <c r="G973" s="5"/>
      <c r="H973" s="5"/>
      <c r="I973" s="5"/>
      <c r="J973" s="5"/>
      <c r="K973" s="5"/>
    </row>
    <row r="974" ht="15.75" customHeight="1">
      <c r="A974" s="5"/>
      <c r="B974" s="5"/>
      <c r="C974" s="5"/>
      <c r="D974" s="5"/>
      <c r="E974" s="5"/>
      <c r="F974" s="5"/>
      <c r="G974" s="5"/>
      <c r="H974" s="5"/>
      <c r="I974" s="5"/>
      <c r="J974" s="5"/>
      <c r="K974" s="5"/>
    </row>
    <row r="975" ht="15.75" customHeight="1">
      <c r="A975" s="5"/>
      <c r="B975" s="5"/>
      <c r="C975" s="5"/>
      <c r="D975" s="5"/>
      <c r="E975" s="5"/>
      <c r="F975" s="5"/>
      <c r="G975" s="5"/>
      <c r="H975" s="5"/>
      <c r="I975" s="5"/>
      <c r="J975" s="5"/>
      <c r="K975" s="5"/>
    </row>
    <row r="976" ht="15.75" customHeight="1">
      <c r="A976" s="5"/>
      <c r="B976" s="5"/>
      <c r="C976" s="5"/>
      <c r="D976" s="5"/>
      <c r="E976" s="5"/>
      <c r="F976" s="5"/>
      <c r="G976" s="5"/>
      <c r="H976" s="5"/>
      <c r="I976" s="5"/>
      <c r="J976" s="5"/>
      <c r="K976" s="5"/>
    </row>
    <row r="977" ht="15.75" customHeight="1">
      <c r="A977" s="5"/>
      <c r="B977" s="5"/>
      <c r="C977" s="5"/>
      <c r="D977" s="5"/>
      <c r="E977" s="5"/>
      <c r="F977" s="5"/>
      <c r="G977" s="5"/>
      <c r="H977" s="5"/>
      <c r="I977" s="5"/>
      <c r="J977" s="5"/>
      <c r="K977" s="5"/>
    </row>
    <row r="978" ht="15.75" customHeight="1">
      <c r="A978" s="5"/>
      <c r="B978" s="5"/>
      <c r="C978" s="5"/>
      <c r="D978" s="5"/>
      <c r="E978" s="5"/>
      <c r="F978" s="5"/>
      <c r="G978" s="5"/>
      <c r="H978" s="5"/>
      <c r="I978" s="5"/>
      <c r="J978" s="5"/>
      <c r="K978" s="5"/>
    </row>
    <row r="979" ht="15.75" customHeight="1">
      <c r="A979" s="5"/>
      <c r="B979" s="5"/>
      <c r="C979" s="5"/>
      <c r="D979" s="5"/>
      <c r="E979" s="5"/>
      <c r="F979" s="5"/>
      <c r="G979" s="5"/>
      <c r="H979" s="5"/>
      <c r="I979" s="5"/>
      <c r="J979" s="5"/>
      <c r="K979" s="5"/>
    </row>
    <row r="980" ht="15.75" customHeight="1">
      <c r="A980" s="5"/>
      <c r="B980" s="5"/>
      <c r="C980" s="5"/>
      <c r="D980" s="5"/>
      <c r="E980" s="5"/>
      <c r="F980" s="5"/>
      <c r="G980" s="5"/>
      <c r="H980" s="5"/>
      <c r="I980" s="5"/>
      <c r="J980" s="5"/>
      <c r="K980" s="5"/>
    </row>
    <row r="981" ht="15.75" customHeight="1">
      <c r="A981" s="5"/>
      <c r="B981" s="5"/>
      <c r="C981" s="5"/>
      <c r="D981" s="5"/>
      <c r="E981" s="5"/>
      <c r="F981" s="5"/>
      <c r="G981" s="5"/>
      <c r="H981" s="5"/>
      <c r="I981" s="5"/>
      <c r="J981" s="5"/>
      <c r="K981" s="5"/>
    </row>
    <row r="982" ht="15.75" customHeight="1">
      <c r="A982" s="5"/>
      <c r="B982" s="5"/>
      <c r="C982" s="5"/>
      <c r="D982" s="5"/>
      <c r="E982" s="5"/>
      <c r="F982" s="5"/>
      <c r="G982" s="5"/>
      <c r="H982" s="5"/>
      <c r="I982" s="5"/>
      <c r="J982" s="5"/>
      <c r="K982" s="5"/>
    </row>
    <row r="983" ht="15.75" customHeight="1">
      <c r="A983" s="5"/>
      <c r="B983" s="5"/>
      <c r="C983" s="5"/>
      <c r="D983" s="5"/>
      <c r="E983" s="5"/>
      <c r="F983" s="5"/>
      <c r="G983" s="5"/>
      <c r="H983" s="5"/>
      <c r="I983" s="5"/>
      <c r="J983" s="5"/>
      <c r="K983" s="5"/>
    </row>
    <row r="984" ht="15.75" customHeight="1">
      <c r="A984" s="5"/>
      <c r="B984" s="5"/>
      <c r="C984" s="5"/>
      <c r="D984" s="5"/>
      <c r="E984" s="5"/>
      <c r="F984" s="5"/>
      <c r="G984" s="5"/>
      <c r="H984" s="5"/>
      <c r="I984" s="5"/>
      <c r="J984" s="5"/>
      <c r="K984" s="5"/>
    </row>
    <row r="985" ht="15.75" customHeight="1">
      <c r="A985" s="5"/>
      <c r="B985" s="5"/>
      <c r="C985" s="5"/>
      <c r="D985" s="5"/>
      <c r="E985" s="5"/>
      <c r="F985" s="5"/>
      <c r="G985" s="5"/>
      <c r="H985" s="5"/>
      <c r="I985" s="5"/>
      <c r="J985" s="5"/>
      <c r="K985" s="5"/>
    </row>
    <row r="986" ht="15.75" customHeight="1">
      <c r="A986" s="5"/>
      <c r="B986" s="5"/>
      <c r="C986" s="5"/>
      <c r="D986" s="5"/>
      <c r="E986" s="5"/>
      <c r="F986" s="5"/>
      <c r="G986" s="5"/>
      <c r="H986" s="5"/>
      <c r="I986" s="5"/>
      <c r="J986" s="5"/>
      <c r="K986" s="5"/>
    </row>
    <row r="987" ht="15.75" customHeight="1">
      <c r="A987" s="5"/>
      <c r="B987" s="5"/>
      <c r="C987" s="5"/>
      <c r="D987" s="5"/>
      <c r="E987" s="5"/>
      <c r="F987" s="5"/>
      <c r="G987" s="5"/>
      <c r="H987" s="5"/>
      <c r="I987" s="5"/>
      <c r="J987" s="5"/>
      <c r="K987" s="5"/>
    </row>
    <row r="988" ht="15.75" customHeight="1">
      <c r="A988" s="5"/>
      <c r="B988" s="5"/>
      <c r="C988" s="5"/>
      <c r="D988" s="5"/>
      <c r="E988" s="5"/>
      <c r="F988" s="5"/>
      <c r="G988" s="5"/>
      <c r="H988" s="5"/>
      <c r="I988" s="5"/>
      <c r="J988" s="5"/>
      <c r="K988" s="5"/>
    </row>
    <row r="989" ht="15.75" customHeight="1">
      <c r="A989" s="5"/>
      <c r="B989" s="5"/>
      <c r="C989" s="5"/>
      <c r="D989" s="5"/>
      <c r="E989" s="5"/>
      <c r="F989" s="5"/>
      <c r="G989" s="5"/>
      <c r="H989" s="5"/>
      <c r="I989" s="5"/>
      <c r="J989" s="5"/>
      <c r="K989" s="5"/>
    </row>
    <row r="990" ht="15.75" customHeight="1">
      <c r="A990" s="5"/>
      <c r="B990" s="5"/>
      <c r="C990" s="5"/>
      <c r="D990" s="5"/>
      <c r="E990" s="5"/>
      <c r="F990" s="5"/>
      <c r="G990" s="5"/>
      <c r="H990" s="5"/>
      <c r="I990" s="5"/>
      <c r="J990" s="5"/>
      <c r="K990" s="5"/>
    </row>
    <row r="991" ht="15.75" customHeight="1">
      <c r="A991" s="5"/>
      <c r="B991" s="5"/>
      <c r="C991" s="5"/>
      <c r="D991" s="5"/>
      <c r="E991" s="5"/>
      <c r="F991" s="5"/>
      <c r="G991" s="5"/>
      <c r="H991" s="5"/>
      <c r="I991" s="5"/>
      <c r="J991" s="5"/>
      <c r="K991" s="5"/>
    </row>
    <row r="992" ht="15.75" customHeight="1">
      <c r="A992" s="5"/>
      <c r="B992" s="5"/>
      <c r="C992" s="5"/>
      <c r="D992" s="5"/>
      <c r="E992" s="5"/>
      <c r="F992" s="5"/>
      <c r="G992" s="5"/>
      <c r="H992" s="5"/>
      <c r="I992" s="5"/>
      <c r="J992" s="5"/>
      <c r="K992" s="5"/>
    </row>
    <row r="993" ht="15.75" customHeight="1">
      <c r="A993" s="5"/>
      <c r="B993" s="5"/>
      <c r="C993" s="5"/>
      <c r="D993" s="5"/>
      <c r="E993" s="5"/>
      <c r="F993" s="5"/>
      <c r="G993" s="5"/>
      <c r="H993" s="5"/>
      <c r="I993" s="5"/>
      <c r="J993" s="5"/>
      <c r="K993" s="5"/>
    </row>
    <row r="994" ht="15.75" customHeight="1">
      <c r="A994" s="5"/>
      <c r="B994" s="5"/>
      <c r="C994" s="5"/>
      <c r="D994" s="5"/>
      <c r="E994" s="5"/>
      <c r="F994" s="5"/>
      <c r="G994" s="5"/>
      <c r="H994" s="5"/>
      <c r="I994" s="5"/>
      <c r="J994" s="5"/>
      <c r="K994" s="5"/>
    </row>
    <row r="995" ht="15.75" customHeight="1">
      <c r="A995" s="5"/>
      <c r="B995" s="5"/>
      <c r="C995" s="5"/>
      <c r="D995" s="5"/>
      <c r="E995" s="5"/>
      <c r="F995" s="5"/>
      <c r="G995" s="5"/>
      <c r="H995" s="5"/>
      <c r="I995" s="5"/>
      <c r="J995" s="5"/>
      <c r="K995" s="5"/>
    </row>
    <row r="996" ht="15.75" customHeight="1">
      <c r="A996" s="5"/>
      <c r="B996" s="5"/>
      <c r="C996" s="5"/>
      <c r="D996" s="5"/>
      <c r="E996" s="5"/>
      <c r="F996" s="5"/>
      <c r="G996" s="5"/>
      <c r="H996" s="5"/>
      <c r="I996" s="5"/>
      <c r="J996" s="5"/>
      <c r="K996" s="5"/>
    </row>
    <row r="997" ht="15.75" customHeight="1">
      <c r="A997" s="5"/>
      <c r="B997" s="5"/>
      <c r="C997" s="5"/>
      <c r="D997" s="5"/>
      <c r="E997" s="5"/>
      <c r="F997" s="5"/>
      <c r="G997" s="5"/>
      <c r="H997" s="5"/>
      <c r="I997" s="5"/>
      <c r="J997" s="5"/>
      <c r="K997" s="5"/>
    </row>
    <row r="998" ht="15.75" customHeight="1">
      <c r="A998" s="5"/>
      <c r="B998" s="5"/>
      <c r="C998" s="5"/>
      <c r="D998" s="5"/>
      <c r="E998" s="5"/>
      <c r="F998" s="5"/>
      <c r="G998" s="5"/>
      <c r="H998" s="5"/>
      <c r="I998" s="5"/>
      <c r="J998" s="5"/>
      <c r="K998" s="5"/>
    </row>
    <row r="999" ht="15.75" customHeight="1">
      <c r="A999" s="5"/>
      <c r="B999" s="5"/>
      <c r="C999" s="5"/>
      <c r="D999" s="5"/>
      <c r="E999" s="5"/>
      <c r="F999" s="5"/>
      <c r="G999" s="5"/>
      <c r="H999" s="5"/>
      <c r="I999" s="5"/>
      <c r="J999" s="5"/>
      <c r="K999" s="5"/>
    </row>
    <row r="1000" ht="15.75" customHeight="1">
      <c r="A1000" s="5"/>
      <c r="B1000" s="5"/>
      <c r="C1000" s="5"/>
      <c r="D1000" s="5"/>
      <c r="E1000" s="5"/>
      <c r="F1000" s="5"/>
      <c r="G1000" s="5"/>
      <c r="H1000" s="5"/>
      <c r="I1000" s="5"/>
      <c r="J1000" s="5"/>
      <c r="K1000" s="5"/>
    </row>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2.0" topLeftCell="C1" activePane="topRight" state="frozen"/>
      <selection activeCell="D2" sqref="D2" pane="topRight"/>
    </sheetView>
  </sheetViews>
  <sheetFormatPr customHeight="1" defaultColWidth="12.63" defaultRowHeight="15.0"/>
  <cols>
    <col customWidth="1" min="1" max="1" width="12.0"/>
    <col customWidth="1" min="2" max="2" width="17.75"/>
    <col customWidth="1" min="3" max="3" width="19.38"/>
    <col customWidth="1" min="4" max="4" width="20.88"/>
    <col customWidth="1" min="5" max="5" width="19.75"/>
    <col customWidth="1" min="6" max="6" width="19.63"/>
    <col customWidth="1" min="7" max="7" width="20.0"/>
    <col customWidth="1" min="8" max="8" width="10.13"/>
    <col customWidth="1" min="9" max="9" width="12.0"/>
    <col customWidth="1" min="10" max="10" width="22.5"/>
    <col customWidth="1" min="11" max="11" width="19.38"/>
    <col customWidth="1" min="12" max="12" width="20.13"/>
  </cols>
  <sheetData>
    <row r="1">
      <c r="A1" s="49" t="s">
        <v>583</v>
      </c>
      <c r="B1" s="50" t="s">
        <v>584</v>
      </c>
      <c r="C1" s="50" t="s">
        <v>621</v>
      </c>
      <c r="D1" s="50" t="s">
        <v>622</v>
      </c>
      <c r="E1" s="50" t="s">
        <v>623</v>
      </c>
      <c r="F1" s="50" t="s">
        <v>624</v>
      </c>
      <c r="G1" s="50" t="s">
        <v>625</v>
      </c>
      <c r="H1" s="50" t="s">
        <v>626</v>
      </c>
      <c r="I1" s="50" t="s">
        <v>627</v>
      </c>
      <c r="J1" s="50" t="s">
        <v>628</v>
      </c>
      <c r="K1" s="50" t="s">
        <v>629</v>
      </c>
      <c r="L1" s="50" t="s">
        <v>630</v>
      </c>
      <c r="M1" s="51"/>
      <c r="N1" s="51"/>
      <c r="O1" s="51"/>
      <c r="P1" s="51"/>
      <c r="Q1" s="51"/>
      <c r="R1" s="51"/>
      <c r="S1" s="51"/>
      <c r="T1" s="51"/>
      <c r="U1" s="51"/>
      <c r="V1" s="51"/>
      <c r="W1" s="51"/>
      <c r="X1" s="51"/>
      <c r="Y1" s="51"/>
      <c r="Z1" s="51"/>
    </row>
    <row r="2">
      <c r="A2" s="52" t="s">
        <v>586</v>
      </c>
      <c r="B2" s="53" t="s">
        <v>587</v>
      </c>
      <c r="C2" s="54">
        <f>SUMIF(prototype_helpers!$B$2:$B$295,B2,prototype_helpers!$I$2:$I$295)</f>
        <v>9.765</v>
      </c>
      <c r="D2" s="54">
        <f>SUMIF(prototype_helpers!$B$2:$B$295,B2,prototype_helpers!$J$2:$J$295)</f>
        <v>21.93425</v>
      </c>
      <c r="E2" s="54">
        <f>SUMIF(prototype_helpers!$B$2:$B$295,B2,prototype_helpers!$K$2:$K$295)</f>
        <v>31.3</v>
      </c>
      <c r="F2" s="54">
        <f t="shared" ref="F2:G2" si="1">D2-C2</f>
        <v>12.16925</v>
      </c>
      <c r="G2" s="54">
        <f t="shared" si="1"/>
        <v>9.36575</v>
      </c>
      <c r="H2" s="54">
        <f>SUMIF(archetype_bias!$A$2:$A$15,B2,archetype_bias!$B$2:$B$15)</f>
        <v>-0.3331764286</v>
      </c>
      <c r="I2" s="53" t="b">
        <f t="shared" ref="I2:I15" si="3">FALSE()</f>
        <v>0</v>
      </c>
      <c r="J2" s="54">
        <v>2.264</v>
      </c>
      <c r="K2" s="54">
        <v>1.1424</v>
      </c>
      <c r="L2" s="54">
        <f t="shared" ref="L2:L15" si="4">J2*K2</f>
        <v>2.5863936</v>
      </c>
      <c r="M2" s="51"/>
      <c r="N2" s="51"/>
      <c r="O2" s="51"/>
      <c r="P2" s="51"/>
      <c r="Q2" s="51"/>
      <c r="R2" s="51"/>
      <c r="S2" s="51"/>
      <c r="T2" s="51"/>
      <c r="U2" s="51"/>
      <c r="V2" s="51"/>
      <c r="W2" s="51"/>
      <c r="X2" s="51"/>
      <c r="Y2" s="51"/>
      <c r="Z2" s="51"/>
    </row>
    <row r="3">
      <c r="A3" s="52" t="s">
        <v>588</v>
      </c>
      <c r="B3" s="53" t="s">
        <v>589</v>
      </c>
      <c r="C3" s="54">
        <f>SUMIF(prototype_helpers!$B$2:$B$295,B3,prototype_helpers!$I$2:$I$295)</f>
        <v>8.587</v>
      </c>
      <c r="D3" s="54">
        <f>SUMIF(prototype_helpers!$B$2:$B$295,B3,prototype_helpers!$J$2:$J$295)</f>
        <v>21.48435</v>
      </c>
      <c r="E3" s="54">
        <f>SUMIF(prototype_helpers!$B$2:$B$295,B3,prototype_helpers!$K$2:$K$295)</f>
        <v>31.3</v>
      </c>
      <c r="F3" s="54">
        <f t="shared" ref="F3:G3" si="2">D3-C3</f>
        <v>12.89735</v>
      </c>
      <c r="G3" s="54">
        <f t="shared" si="2"/>
        <v>9.81565</v>
      </c>
      <c r="H3" s="54">
        <f>SUMIF(archetype_bias!$A$2:$A$15,B3,archetype_bias!$B$2:$B$15)</f>
        <v>0.06707357143</v>
      </c>
      <c r="I3" s="53" t="b">
        <f t="shared" si="3"/>
        <v>0</v>
      </c>
      <c r="J3" s="54">
        <v>2.242</v>
      </c>
      <c r="K3" s="54">
        <v>1.2877</v>
      </c>
      <c r="L3" s="54">
        <f t="shared" si="4"/>
        <v>2.8870234</v>
      </c>
      <c r="M3" s="51"/>
      <c r="N3" s="51"/>
      <c r="O3" s="51"/>
      <c r="P3" s="51"/>
      <c r="Q3" s="51"/>
      <c r="R3" s="51"/>
      <c r="S3" s="51"/>
      <c r="T3" s="51"/>
      <c r="U3" s="51"/>
      <c r="V3" s="51"/>
      <c r="W3" s="51"/>
      <c r="X3" s="51"/>
      <c r="Y3" s="51"/>
      <c r="Z3" s="51"/>
    </row>
    <row r="4">
      <c r="A4" s="52" t="s">
        <v>590</v>
      </c>
      <c r="B4" s="53" t="s">
        <v>591</v>
      </c>
      <c r="C4" s="54">
        <f>SUMIF(prototype_helpers!$B$2:$B$295,B4,prototype_helpers!$I$2:$I$295)</f>
        <v>8.407</v>
      </c>
      <c r="D4" s="54">
        <f>SUMIF(prototype_helpers!$B$2:$B$295,B4,prototype_helpers!$J$2:$J$295)</f>
        <v>21.39269</v>
      </c>
      <c r="E4" s="54">
        <f>SUMIF(prototype_helpers!$B$2:$B$295,B4,prototype_helpers!$K$2:$K$295)</f>
        <v>31.3</v>
      </c>
      <c r="F4" s="54">
        <f t="shared" ref="F4:G4" si="5">D4-C4</f>
        <v>12.98569</v>
      </c>
      <c r="G4" s="54">
        <f t="shared" si="5"/>
        <v>9.90731</v>
      </c>
      <c r="H4" s="54">
        <f>SUMIF(archetype_bias!$A$2:$A$15,B4,archetype_bias!$B$2:$B$15)</f>
        <v>-0.05809642857</v>
      </c>
      <c r="I4" s="53" t="b">
        <f t="shared" si="3"/>
        <v>0</v>
      </c>
      <c r="J4" s="54">
        <v>1.662</v>
      </c>
      <c r="K4" s="54">
        <v>1.0941</v>
      </c>
      <c r="L4" s="54">
        <f t="shared" si="4"/>
        <v>1.8183942</v>
      </c>
      <c r="M4" s="51"/>
      <c r="N4" s="51"/>
      <c r="O4" s="51"/>
      <c r="P4" s="51"/>
      <c r="Q4" s="51"/>
      <c r="R4" s="51"/>
      <c r="S4" s="51"/>
      <c r="T4" s="51"/>
      <c r="U4" s="51"/>
      <c r="V4" s="51"/>
      <c r="W4" s="51"/>
      <c r="X4" s="51"/>
      <c r="Y4" s="51"/>
      <c r="Z4" s="51"/>
    </row>
    <row r="5">
      <c r="A5" s="52" t="s">
        <v>592</v>
      </c>
      <c r="B5" s="53" t="s">
        <v>593</v>
      </c>
      <c r="C5" s="54">
        <f>SUMIF(prototype_helpers!$B$2:$B$295,B5,prototype_helpers!$I$2:$I$295)</f>
        <v>8.851</v>
      </c>
      <c r="D5" s="54">
        <f>SUMIF(prototype_helpers!$B$2:$B$295,B5,prototype_helpers!$J$2:$J$295)</f>
        <v>21.58937</v>
      </c>
      <c r="E5" s="54">
        <f>SUMIF(prototype_helpers!$B$2:$B$295,B5,prototype_helpers!$K$2:$K$295)</f>
        <v>31.3</v>
      </c>
      <c r="F5" s="54">
        <f t="shared" ref="F5:G5" si="6">D5-C5</f>
        <v>12.73837</v>
      </c>
      <c r="G5" s="54">
        <f t="shared" si="6"/>
        <v>9.71063</v>
      </c>
      <c r="H5" s="54">
        <f>SUMIF(archetype_bias!$A$2:$A$15,B5,archetype_bias!$B$2:$B$15)</f>
        <v>-0.1094264286</v>
      </c>
      <c r="I5" s="53" t="b">
        <f t="shared" si="3"/>
        <v>0</v>
      </c>
      <c r="J5" s="54">
        <v>1.202</v>
      </c>
      <c r="K5" s="54">
        <v>1.8031</v>
      </c>
      <c r="L5" s="54">
        <f t="shared" si="4"/>
        <v>2.1673262</v>
      </c>
      <c r="M5" s="51"/>
      <c r="N5" s="51"/>
      <c r="O5" s="51"/>
      <c r="P5" s="51"/>
      <c r="Q5" s="51"/>
      <c r="R5" s="51"/>
      <c r="S5" s="51"/>
      <c r="T5" s="51"/>
      <c r="U5" s="51"/>
      <c r="V5" s="51"/>
      <c r="W5" s="51"/>
      <c r="X5" s="51"/>
      <c r="Y5" s="51"/>
      <c r="Z5" s="51"/>
    </row>
    <row r="6">
      <c r="A6" s="52" t="s">
        <v>594</v>
      </c>
      <c r="B6" s="53" t="s">
        <v>595</v>
      </c>
      <c r="C6" s="54">
        <f>SUMIF(prototype_helpers!$B$2:$B$295,B6,prototype_helpers!$I$2:$I$295)</f>
        <v>7.595</v>
      </c>
      <c r="D6" s="54">
        <f>SUMIF(prototype_helpers!$B$2:$B$295,B6,prototype_helpers!$J$2:$J$295)</f>
        <v>20.99925</v>
      </c>
      <c r="E6" s="54">
        <f>SUMIF(prototype_helpers!$B$2:$B$295,B6,prototype_helpers!$K$2:$K$295)</f>
        <v>31.3</v>
      </c>
      <c r="F6" s="54">
        <f t="shared" ref="F6:G6" si="7">D6-C6</f>
        <v>13.40425</v>
      </c>
      <c r="G6" s="54">
        <f t="shared" si="7"/>
        <v>10.30075</v>
      </c>
      <c r="H6" s="54">
        <f>SUMIF(archetype_bias!$A$2:$A$15,B6,archetype_bias!$B$2:$B$15)</f>
        <v>0.3328235714</v>
      </c>
      <c r="I6" s="53" t="b">
        <f t="shared" si="3"/>
        <v>0</v>
      </c>
      <c r="J6" s="54">
        <v>1.904</v>
      </c>
      <c r="K6" s="54">
        <v>1.2087</v>
      </c>
      <c r="L6" s="54">
        <f t="shared" si="4"/>
        <v>2.3013648</v>
      </c>
      <c r="M6" s="51"/>
      <c r="N6" s="51"/>
      <c r="O6" s="51"/>
      <c r="P6" s="51"/>
      <c r="Q6" s="51"/>
      <c r="R6" s="51"/>
      <c r="S6" s="51"/>
      <c r="T6" s="51"/>
      <c r="U6" s="51"/>
      <c r="V6" s="51"/>
      <c r="W6" s="51"/>
      <c r="X6" s="51"/>
      <c r="Y6" s="51"/>
      <c r="Z6" s="51"/>
    </row>
    <row r="7">
      <c r="A7" s="52" t="s">
        <v>596</v>
      </c>
      <c r="B7" s="53" t="s">
        <v>597</v>
      </c>
      <c r="C7" s="54">
        <f>SUMIF(prototype_helpers!$B$2:$B$295,B7,prototype_helpers!$I$2:$I$295)</f>
        <v>11.71</v>
      </c>
      <c r="D7" s="54">
        <f>SUMIF(prototype_helpers!$B$2:$B$295,B7,prototype_helpers!$J$2:$J$295)</f>
        <v>22.707</v>
      </c>
      <c r="E7" s="54">
        <f>SUMIF(prototype_helpers!$B$2:$B$295,B7,prototype_helpers!$K$2:$K$295)</f>
        <v>31.3</v>
      </c>
      <c r="F7" s="54">
        <f t="shared" ref="F7:G7" si="8">D7-C7</f>
        <v>10.997</v>
      </c>
      <c r="G7" s="54">
        <f t="shared" si="8"/>
        <v>8.593</v>
      </c>
      <c r="H7" s="54">
        <f>SUMIF(archetype_bias!$A$2:$A$15,B7,archetype_bias!$B$2:$B$15)</f>
        <v>-0.9446764286</v>
      </c>
      <c r="I7" s="53" t="b">
        <f t="shared" si="3"/>
        <v>0</v>
      </c>
      <c r="J7" s="54">
        <v>1.79</v>
      </c>
      <c r="K7" s="54">
        <v>0.5103</v>
      </c>
      <c r="L7" s="54">
        <f t="shared" si="4"/>
        <v>0.913437</v>
      </c>
      <c r="M7" s="51"/>
      <c r="N7" s="51"/>
      <c r="O7" s="51"/>
      <c r="P7" s="51"/>
      <c r="Q7" s="51"/>
      <c r="R7" s="51"/>
      <c r="S7" s="51"/>
      <c r="T7" s="51"/>
      <c r="U7" s="51"/>
      <c r="V7" s="51"/>
      <c r="W7" s="51"/>
      <c r="X7" s="51"/>
      <c r="Y7" s="51"/>
      <c r="Z7" s="51"/>
    </row>
    <row r="8">
      <c r="A8" s="52" t="s">
        <v>598</v>
      </c>
      <c r="B8" s="53" t="s">
        <v>599</v>
      </c>
      <c r="C8" s="54">
        <f>SUMIF(prototype_helpers!$B$2:$B$295,B8,prototype_helpers!$I$2:$I$295)</f>
        <v>8.391</v>
      </c>
      <c r="D8" s="54">
        <f>SUMIF(prototype_helpers!$B$2:$B$295,B8,prototype_helpers!$J$2:$J$295)</f>
        <v>21.26007</v>
      </c>
      <c r="E8" s="54">
        <f>SUMIF(prototype_helpers!$B$2:$B$295,B8,prototype_helpers!$K$2:$K$295)</f>
        <v>31.3</v>
      </c>
      <c r="F8" s="54">
        <f t="shared" ref="F8:G8" si="9">D8-C8</f>
        <v>12.86907</v>
      </c>
      <c r="G8" s="54">
        <f t="shared" si="9"/>
        <v>10.03993</v>
      </c>
      <c r="H8" s="54">
        <f>SUMIF(archetype_bias!$A$2:$A$15,B8,archetype_bias!$B$2:$B$15)</f>
        <v>0.3515735714</v>
      </c>
      <c r="I8" s="53" t="b">
        <f t="shared" si="3"/>
        <v>0</v>
      </c>
      <c r="J8" s="54">
        <v>1.462</v>
      </c>
      <c r="K8" s="54">
        <v>1.0406</v>
      </c>
      <c r="L8" s="54">
        <f t="shared" si="4"/>
        <v>1.5213572</v>
      </c>
      <c r="M8" s="51"/>
      <c r="N8" s="51"/>
      <c r="O8" s="51"/>
      <c r="P8" s="51"/>
      <c r="Q8" s="51"/>
      <c r="R8" s="51"/>
      <c r="S8" s="51"/>
      <c r="T8" s="51"/>
      <c r="U8" s="51"/>
      <c r="V8" s="51"/>
      <c r="W8" s="51"/>
      <c r="X8" s="51"/>
      <c r="Y8" s="51"/>
      <c r="Z8" s="51"/>
    </row>
    <row r="9">
      <c r="A9" s="52" t="s">
        <v>600</v>
      </c>
      <c r="B9" s="53" t="s">
        <v>601</v>
      </c>
      <c r="C9" s="54">
        <f>SUMIF(prototype_helpers!$B$2:$B$295,B9,prototype_helpers!$I$2:$I$295)</f>
        <v>8.24</v>
      </c>
      <c r="D9" s="54">
        <f>SUMIF(prototype_helpers!$B$2:$B$295,B9,prototype_helpers!$J$2:$J$295)</f>
        <v>21.229</v>
      </c>
      <c r="E9" s="54">
        <f>SUMIF(prototype_helpers!$B$2:$B$295,B9,prototype_helpers!$K$2:$K$295)</f>
        <v>31.3</v>
      </c>
      <c r="F9" s="54">
        <f t="shared" ref="F9:G9" si="10">D9-C9</f>
        <v>12.989</v>
      </c>
      <c r="G9" s="54">
        <f t="shared" si="10"/>
        <v>10.071</v>
      </c>
      <c r="H9" s="54">
        <f>SUMIF(archetype_bias!$A$2:$A$15,B9,archetype_bias!$B$2:$B$15)</f>
        <v>0.2743235714</v>
      </c>
      <c r="I9" s="53" t="b">
        <f t="shared" si="3"/>
        <v>0</v>
      </c>
      <c r="J9" s="54">
        <v>1.546</v>
      </c>
      <c r="K9" s="54">
        <v>0.5126</v>
      </c>
      <c r="L9" s="54">
        <f t="shared" si="4"/>
        <v>0.7924796</v>
      </c>
      <c r="M9" s="51"/>
      <c r="N9" s="51"/>
      <c r="O9" s="51"/>
      <c r="P9" s="51"/>
      <c r="Q9" s="51"/>
      <c r="R9" s="51"/>
      <c r="S9" s="51"/>
      <c r="T9" s="51"/>
      <c r="U9" s="51"/>
      <c r="V9" s="51"/>
      <c r="W9" s="51"/>
      <c r="X9" s="51"/>
      <c r="Y9" s="51"/>
      <c r="Z9" s="51"/>
    </row>
    <row r="10">
      <c r="A10" s="52" t="s">
        <v>602</v>
      </c>
      <c r="B10" s="53" t="s">
        <v>603</v>
      </c>
      <c r="C10" s="54">
        <f>SUMIF(prototype_helpers!$B$2:$B$295,B10,prototype_helpers!$I$2:$I$295)</f>
        <v>9.355</v>
      </c>
      <c r="D10" s="54">
        <f>SUMIF(prototype_helpers!$B$2:$B$295,B10,prototype_helpers!$J$2:$J$295)</f>
        <v>21.81025</v>
      </c>
      <c r="E10" s="54">
        <f>SUMIF(prototype_helpers!$B$2:$B$295,B10,prototype_helpers!$K$2:$K$295)</f>
        <v>31.3</v>
      </c>
      <c r="F10" s="54">
        <f t="shared" ref="F10:G10" si="11">D10-C10</f>
        <v>12.45525</v>
      </c>
      <c r="G10" s="54">
        <f t="shared" si="11"/>
        <v>9.48975</v>
      </c>
      <c r="H10" s="54">
        <f>SUMIF(archetype_bias!$A$2:$A$15,B10,archetype_bias!$B$2:$B$15)</f>
        <v>-0.3466764286</v>
      </c>
      <c r="I10" s="53" t="b">
        <f t="shared" si="3"/>
        <v>0</v>
      </c>
      <c r="J10" s="54">
        <v>0.474</v>
      </c>
      <c r="K10" s="54">
        <v>1.3369</v>
      </c>
      <c r="L10" s="54">
        <f t="shared" si="4"/>
        <v>0.6336906</v>
      </c>
      <c r="M10" s="51"/>
      <c r="N10" s="51"/>
      <c r="O10" s="51"/>
      <c r="P10" s="51"/>
      <c r="Q10" s="51"/>
      <c r="R10" s="51"/>
      <c r="S10" s="51"/>
      <c r="T10" s="51"/>
      <c r="U10" s="51"/>
      <c r="V10" s="51"/>
      <c r="W10" s="51"/>
      <c r="X10" s="51"/>
      <c r="Y10" s="51"/>
      <c r="Z10" s="51"/>
    </row>
    <row r="11">
      <c r="A11" s="52" t="s">
        <v>604</v>
      </c>
      <c r="B11" s="55" t="s">
        <v>605</v>
      </c>
      <c r="C11" s="54">
        <f>SUMIF(prototype_helpers!$B$2:$B$295,B11,prototype_helpers!$I$2:$I$295)</f>
        <v>8.6</v>
      </c>
      <c r="D11" s="54">
        <f>SUMIF(prototype_helpers!$B$2:$B$295,B11,prototype_helpers!$J$2:$J$295)</f>
        <v>21.443</v>
      </c>
      <c r="E11" s="54">
        <f>SUMIF(prototype_helpers!$B$2:$B$295,B11,prototype_helpers!$K$2:$K$295)</f>
        <v>31.3</v>
      </c>
      <c r="F11" s="54">
        <f t="shared" ref="F11:G11" si="12">D11-C11</f>
        <v>12.843</v>
      </c>
      <c r="G11" s="54">
        <f t="shared" si="12"/>
        <v>9.857</v>
      </c>
      <c r="H11" s="54">
        <f>SUMIF(archetype_bias!$A$2:$A$15,B11,archetype_bias!$B$2:$B$15)</f>
        <v>-0.001536428571</v>
      </c>
      <c r="I11" s="53" t="b">
        <f t="shared" si="3"/>
        <v>0</v>
      </c>
      <c r="J11" s="54">
        <v>1.256</v>
      </c>
      <c r="K11" s="54">
        <v>1.2601</v>
      </c>
      <c r="L11" s="54">
        <f t="shared" si="4"/>
        <v>1.5826856</v>
      </c>
      <c r="M11" s="51"/>
      <c r="N11" s="51"/>
      <c r="O11" s="51"/>
      <c r="P11" s="51"/>
      <c r="Q11" s="51"/>
      <c r="R11" s="51"/>
      <c r="S11" s="51"/>
      <c r="T11" s="51"/>
      <c r="U11" s="51"/>
      <c r="V11" s="51"/>
      <c r="W11" s="51"/>
      <c r="X11" s="51"/>
      <c r="Y11" s="51"/>
      <c r="Z11" s="51"/>
    </row>
    <row r="12">
      <c r="A12" s="52" t="s">
        <v>606</v>
      </c>
      <c r="B12" s="53" t="s">
        <v>607</v>
      </c>
      <c r="C12" s="54">
        <f>SUMIF(prototype_helpers!$B$2:$B$295,B12,prototype_helpers!$I$2:$I$295)</f>
        <v>9.175</v>
      </c>
      <c r="D12" s="54">
        <f>SUMIF(prototype_helpers!$B$2:$B$295,B12,prototype_helpers!$J$2:$J$295)</f>
        <v>21.68875</v>
      </c>
      <c r="E12" s="54">
        <f>SUMIF(prototype_helpers!$B$2:$B$295,B12,prototype_helpers!$K$2:$K$295)</f>
        <v>31.3</v>
      </c>
      <c r="F12" s="54">
        <f t="shared" ref="F12:G12" si="13">D12-C12</f>
        <v>12.51375</v>
      </c>
      <c r="G12" s="54">
        <f t="shared" si="13"/>
        <v>9.61125</v>
      </c>
      <c r="H12" s="54">
        <f>SUMIF(archetype_bias!$A$2:$A$15,B12,archetype_bias!$B$2:$B$15)</f>
        <v>-0.01417642857</v>
      </c>
      <c r="I12" s="53" t="b">
        <f t="shared" si="3"/>
        <v>0</v>
      </c>
      <c r="J12" s="54">
        <v>1.298</v>
      </c>
      <c r="K12" s="54">
        <v>0.6641</v>
      </c>
      <c r="L12" s="54">
        <f t="shared" si="4"/>
        <v>0.8620018</v>
      </c>
      <c r="M12" s="51"/>
      <c r="N12" s="51"/>
      <c r="O12" s="51"/>
      <c r="P12" s="51"/>
      <c r="Q12" s="51"/>
      <c r="R12" s="51"/>
      <c r="S12" s="51"/>
      <c r="T12" s="51"/>
      <c r="U12" s="51"/>
      <c r="V12" s="51"/>
      <c r="W12" s="51"/>
      <c r="X12" s="51"/>
      <c r="Y12" s="51"/>
      <c r="Z12" s="51"/>
    </row>
    <row r="13">
      <c r="A13" s="52" t="s">
        <v>608</v>
      </c>
      <c r="B13" s="53" t="s">
        <v>609</v>
      </c>
      <c r="C13" s="54">
        <f>SUMIF(prototype_helpers!$B$2:$B$295,B13,prototype_helpers!$I$2:$I$295)</f>
        <v>8.266</v>
      </c>
      <c r="D13" s="54">
        <f>SUMIF(prototype_helpers!$B$2:$B$295,B13,prototype_helpers!$J$2:$J$295)</f>
        <v>21.31922</v>
      </c>
      <c r="E13" s="54">
        <f>SUMIF(prototype_helpers!$B$2:$B$295,B13,prototype_helpers!$K$2:$K$295)</f>
        <v>31.3</v>
      </c>
      <c r="F13" s="54">
        <f t="shared" ref="F13:G13" si="14">D13-C13</f>
        <v>13.05322</v>
      </c>
      <c r="G13" s="54">
        <f t="shared" si="14"/>
        <v>9.98078</v>
      </c>
      <c r="H13" s="54">
        <f>SUMIF(archetype_bias!$A$2:$A$15,B13,archetype_bias!$B$2:$B$15)</f>
        <v>0.005073571429</v>
      </c>
      <c r="I13" s="53" t="b">
        <f t="shared" si="3"/>
        <v>0</v>
      </c>
      <c r="J13" s="54">
        <v>1.032</v>
      </c>
      <c r="K13" s="54">
        <v>1.2169</v>
      </c>
      <c r="L13" s="54">
        <f t="shared" si="4"/>
        <v>1.2558408</v>
      </c>
      <c r="M13" s="51"/>
      <c r="N13" s="51"/>
      <c r="O13" s="51"/>
      <c r="P13" s="51"/>
      <c r="Q13" s="51"/>
      <c r="R13" s="51"/>
      <c r="S13" s="51"/>
      <c r="T13" s="51"/>
      <c r="U13" s="51"/>
      <c r="V13" s="51"/>
      <c r="W13" s="51"/>
      <c r="X13" s="51"/>
      <c r="Y13" s="51"/>
      <c r="Z13" s="51"/>
    </row>
    <row r="14">
      <c r="A14" s="52" t="s">
        <v>610</v>
      </c>
      <c r="B14" s="53" t="s">
        <v>611</v>
      </c>
      <c r="C14" s="54">
        <f>SUMIF(prototype_helpers!$B$2:$B$295,B14,prototype_helpers!$I$2:$I$295)</f>
        <v>10.005</v>
      </c>
      <c r="D14" s="54">
        <f>SUMIF(prototype_helpers!$B$2:$B$295,B14,prototype_helpers!$J$2:$J$295)</f>
        <v>22.07525</v>
      </c>
      <c r="E14" s="54">
        <f>SUMIF(prototype_helpers!$B$2:$B$295,B14,prototype_helpers!$K$2:$K$295)</f>
        <v>31.3</v>
      </c>
      <c r="F14" s="54">
        <f t="shared" ref="F14:G14" si="15">D14-C14</f>
        <v>12.07025</v>
      </c>
      <c r="G14" s="54">
        <f t="shared" si="15"/>
        <v>9.22475</v>
      </c>
      <c r="H14" s="54">
        <f>SUMIF(archetype_bias!$A$2:$A$15,B14,archetype_bias!$B$2:$B$15)</f>
        <v>-0.4046764286</v>
      </c>
      <c r="I14" s="53" t="b">
        <f t="shared" si="3"/>
        <v>0</v>
      </c>
      <c r="J14" s="54">
        <v>0.864</v>
      </c>
      <c r="K14" s="54">
        <v>1.0516</v>
      </c>
      <c r="L14" s="54">
        <f t="shared" si="4"/>
        <v>0.9085824</v>
      </c>
      <c r="M14" s="51"/>
      <c r="N14" s="51"/>
      <c r="O14" s="51"/>
      <c r="P14" s="51"/>
      <c r="Q14" s="51"/>
      <c r="R14" s="51"/>
      <c r="S14" s="51"/>
      <c r="T14" s="51"/>
      <c r="U14" s="51"/>
      <c r="V14" s="51"/>
      <c r="W14" s="51"/>
      <c r="X14" s="51"/>
      <c r="Y14" s="51"/>
      <c r="Z14" s="51"/>
    </row>
    <row r="15">
      <c r="A15" s="52" t="s">
        <v>612</v>
      </c>
      <c r="B15" s="53" t="s">
        <v>613</v>
      </c>
      <c r="C15" s="54">
        <f>SUMIF(prototype_helpers!$B$2:$B$295,B15,prototype_helpers!$I$2:$I$295)</f>
        <v>6.265</v>
      </c>
      <c r="D15" s="54">
        <f>SUMIF(prototype_helpers!$B$2:$B$295,B15,prototype_helpers!$J$2:$J$295)</f>
        <v>20.13425</v>
      </c>
      <c r="E15" s="54">
        <f>SUMIF(prototype_helpers!$B$2:$B$295,B15,prototype_helpers!$K$2:$K$295)</f>
        <v>31.3</v>
      </c>
      <c r="F15" s="54">
        <f t="shared" ref="F15:G15" si="16">D15-C15</f>
        <v>13.86925</v>
      </c>
      <c r="G15" s="54">
        <f t="shared" si="16"/>
        <v>11.16575</v>
      </c>
      <c r="H15" s="54">
        <f>SUMIF(archetype_bias!$A$2:$A$15,B15,archetype_bias!$B$2:$B$15)</f>
        <v>1.181573571</v>
      </c>
      <c r="I15" s="53" t="b">
        <f t="shared" si="3"/>
        <v>0</v>
      </c>
      <c r="J15" s="54">
        <v>1.322</v>
      </c>
      <c r="K15" s="54">
        <v>1.5096</v>
      </c>
      <c r="L15" s="54">
        <f t="shared" si="4"/>
        <v>1.9956912</v>
      </c>
      <c r="M15" s="51"/>
      <c r="N15" s="51"/>
      <c r="O15" s="51"/>
      <c r="P15" s="51"/>
      <c r="Q15" s="51"/>
      <c r="R15" s="51"/>
      <c r="S15" s="51"/>
      <c r="T15" s="51"/>
      <c r="U15" s="51"/>
      <c r="V15" s="51"/>
      <c r="W15" s="51"/>
      <c r="X15" s="51"/>
      <c r="Y15" s="51"/>
      <c r="Z15" s="51"/>
    </row>
    <row r="16">
      <c r="A16" s="5"/>
      <c r="B16" s="5"/>
      <c r="C16" s="5"/>
      <c r="D16" s="5"/>
      <c r="E16" s="5"/>
      <c r="F16" s="5"/>
      <c r="G16" s="5"/>
      <c r="H16" s="5"/>
      <c r="I16" s="5"/>
      <c r="J16" s="5"/>
      <c r="K16" s="5"/>
      <c r="L16" s="5"/>
    </row>
    <row r="17">
      <c r="A17" s="5"/>
      <c r="B17" s="5"/>
      <c r="C17" s="5"/>
      <c r="D17" s="5"/>
      <c r="E17" s="5"/>
      <c r="F17" s="5"/>
      <c r="G17" s="5"/>
      <c r="H17" s="5"/>
      <c r="I17" s="5"/>
      <c r="J17" s="5"/>
      <c r="K17" s="5"/>
      <c r="L17" s="5"/>
    </row>
    <row r="18">
      <c r="A18" s="5"/>
      <c r="B18" s="5"/>
      <c r="C18" s="5"/>
      <c r="D18" s="5"/>
      <c r="E18" s="5"/>
      <c r="F18" s="5"/>
      <c r="G18" s="5"/>
      <c r="H18" s="5"/>
      <c r="I18" s="5"/>
      <c r="J18" s="5"/>
      <c r="K18" s="5"/>
      <c r="L18" s="5"/>
    </row>
    <row r="19">
      <c r="A19" s="5"/>
      <c r="B19" s="5"/>
      <c r="C19" s="5"/>
      <c r="D19" s="5"/>
      <c r="E19" s="5"/>
      <c r="F19" s="5"/>
      <c r="G19" s="5"/>
      <c r="H19" s="5"/>
      <c r="I19" s="5"/>
      <c r="J19" s="5"/>
      <c r="K19" s="5"/>
      <c r="L19" s="5"/>
    </row>
    <row r="20">
      <c r="A20" s="5"/>
      <c r="B20" s="5"/>
      <c r="C20" s="5"/>
      <c r="D20" s="5"/>
      <c r="E20" s="5"/>
      <c r="F20" s="5"/>
      <c r="G20" s="5"/>
      <c r="H20" s="5"/>
      <c r="I20" s="5"/>
      <c r="J20" s="5"/>
      <c r="K20" s="5"/>
      <c r="L20" s="5"/>
    </row>
    <row r="21" ht="15.75" customHeight="1">
      <c r="A21" s="5"/>
      <c r="B21" s="5"/>
      <c r="C21" s="5"/>
      <c r="D21" s="5"/>
      <c r="E21" s="5"/>
      <c r="F21" s="5"/>
      <c r="G21" s="5"/>
      <c r="H21" s="5"/>
      <c r="I21" s="5"/>
      <c r="J21" s="5"/>
      <c r="K21" s="5"/>
      <c r="L21" s="5"/>
    </row>
    <row r="22" ht="15.75" customHeight="1">
      <c r="A22" s="5"/>
      <c r="B22" s="5"/>
      <c r="C22" s="5"/>
      <c r="D22" s="5"/>
      <c r="E22" s="5"/>
      <c r="F22" s="5"/>
      <c r="G22" s="5"/>
      <c r="H22" s="5"/>
      <c r="I22" s="5"/>
      <c r="J22" s="5"/>
      <c r="K22" s="5"/>
      <c r="L22" s="5"/>
    </row>
    <row r="23" ht="15.75" customHeight="1">
      <c r="A23" s="5"/>
      <c r="B23" s="5"/>
      <c r="C23" s="5"/>
      <c r="D23" s="5"/>
      <c r="E23" s="5"/>
      <c r="F23" s="5"/>
      <c r="G23" s="5"/>
      <c r="H23" s="5"/>
      <c r="I23" s="5"/>
      <c r="J23" s="5"/>
      <c r="K23" s="5"/>
      <c r="L23" s="5"/>
    </row>
    <row r="24" ht="15.75" customHeight="1">
      <c r="A24" s="5"/>
      <c r="B24" s="5"/>
      <c r="C24" s="5"/>
      <c r="D24" s="5"/>
      <c r="E24" s="5"/>
      <c r="F24" s="5"/>
      <c r="G24" s="5"/>
      <c r="H24" s="5"/>
      <c r="I24" s="5"/>
      <c r="J24" s="5"/>
      <c r="K24" s="5"/>
      <c r="L24" s="5"/>
    </row>
    <row r="25" ht="15.75" customHeight="1">
      <c r="A25" s="5"/>
      <c r="B25" s="5"/>
      <c r="C25" s="5"/>
      <c r="D25" s="5"/>
      <c r="E25" s="5"/>
      <c r="F25" s="5"/>
      <c r="G25" s="5"/>
      <c r="H25" s="5"/>
      <c r="I25" s="5"/>
      <c r="J25" s="5"/>
      <c r="K25" s="5"/>
      <c r="L25" s="5"/>
    </row>
    <row r="26" ht="15.75" customHeight="1">
      <c r="A26" s="5"/>
      <c r="B26" s="5"/>
      <c r="C26" s="5"/>
      <c r="D26" s="5"/>
      <c r="E26" s="5"/>
      <c r="F26" s="5"/>
      <c r="G26" s="5"/>
      <c r="H26" s="5"/>
      <c r="I26" s="5"/>
      <c r="J26" s="5"/>
      <c r="K26" s="5"/>
      <c r="L26" s="5"/>
    </row>
    <row r="27" ht="15.75" customHeight="1">
      <c r="A27" s="5"/>
      <c r="B27" s="5"/>
      <c r="C27" s="5"/>
      <c r="D27" s="5"/>
      <c r="E27" s="5"/>
      <c r="F27" s="5"/>
      <c r="G27" s="5"/>
      <c r="H27" s="5"/>
      <c r="I27" s="5"/>
      <c r="J27" s="5"/>
      <c r="K27" s="5"/>
      <c r="L27" s="5"/>
    </row>
    <row r="28" ht="15.75" customHeight="1">
      <c r="A28" s="5"/>
      <c r="B28" s="5"/>
      <c r="C28" s="5"/>
      <c r="D28" s="5"/>
      <c r="E28" s="5"/>
      <c r="F28" s="5"/>
      <c r="G28" s="5"/>
      <c r="H28" s="5"/>
      <c r="I28" s="5"/>
      <c r="J28" s="5"/>
      <c r="K28" s="5"/>
      <c r="L28" s="5"/>
    </row>
    <row r="29" ht="15.75" customHeight="1">
      <c r="A29" s="5"/>
      <c r="B29" s="5"/>
      <c r="C29" s="5"/>
      <c r="D29" s="5"/>
      <c r="E29" s="5"/>
      <c r="F29" s="5"/>
      <c r="G29" s="5"/>
      <c r="H29" s="5"/>
      <c r="I29" s="5"/>
      <c r="J29" s="5"/>
      <c r="K29" s="5"/>
      <c r="L29" s="5"/>
    </row>
    <row r="30" ht="15.75" customHeight="1">
      <c r="A30" s="5"/>
      <c r="B30" s="5"/>
      <c r="C30" s="5"/>
      <c r="D30" s="5"/>
      <c r="E30" s="5"/>
      <c r="F30" s="5"/>
      <c r="G30" s="5"/>
      <c r="H30" s="5"/>
      <c r="I30" s="5"/>
      <c r="J30" s="5"/>
      <c r="K30" s="5"/>
      <c r="L30" s="5"/>
    </row>
    <row r="31" ht="15.75" customHeight="1">
      <c r="A31" s="5"/>
      <c r="B31" s="5"/>
      <c r="C31" s="5"/>
      <c r="D31" s="5"/>
      <c r="E31" s="5"/>
      <c r="F31" s="5"/>
      <c r="G31" s="5"/>
      <c r="H31" s="5"/>
      <c r="I31" s="5"/>
      <c r="J31" s="5"/>
      <c r="K31" s="5"/>
      <c r="L31" s="5"/>
    </row>
    <row r="32" ht="15.75" customHeight="1">
      <c r="A32" s="5"/>
      <c r="B32" s="5"/>
      <c r="C32" s="5"/>
      <c r="D32" s="5"/>
      <c r="E32" s="5"/>
      <c r="F32" s="5"/>
      <c r="G32" s="5"/>
      <c r="H32" s="5"/>
      <c r="I32" s="5"/>
      <c r="J32" s="5"/>
      <c r="K32" s="5"/>
      <c r="L32" s="5"/>
    </row>
    <row r="33" ht="15.75" customHeight="1">
      <c r="A33" s="5"/>
      <c r="B33" s="5"/>
      <c r="C33" s="5"/>
      <c r="D33" s="5"/>
      <c r="E33" s="5"/>
      <c r="F33" s="5"/>
      <c r="G33" s="5"/>
      <c r="H33" s="5"/>
      <c r="I33" s="5"/>
      <c r="J33" s="5"/>
      <c r="K33" s="5"/>
      <c r="L33" s="5"/>
    </row>
    <row r="34" ht="15.75" customHeight="1">
      <c r="A34" s="5"/>
      <c r="B34" s="5"/>
      <c r="C34" s="5"/>
      <c r="D34" s="5"/>
      <c r="E34" s="5"/>
      <c r="F34" s="5"/>
      <c r="G34" s="5"/>
      <c r="H34" s="5"/>
      <c r="I34" s="5"/>
      <c r="J34" s="5"/>
      <c r="K34" s="5"/>
      <c r="L34" s="5"/>
    </row>
    <row r="35" ht="15.75" customHeight="1">
      <c r="A35" s="5"/>
      <c r="B35" s="5"/>
      <c r="C35" s="5"/>
      <c r="D35" s="5"/>
      <c r="E35" s="5"/>
      <c r="F35" s="5"/>
      <c r="G35" s="5"/>
      <c r="H35" s="5"/>
      <c r="I35" s="5"/>
      <c r="J35" s="5"/>
      <c r="K35" s="5"/>
      <c r="L35" s="5"/>
    </row>
    <row r="36" ht="15.75" customHeight="1">
      <c r="A36" s="5"/>
      <c r="B36" s="5"/>
      <c r="C36" s="5"/>
      <c r="D36" s="5"/>
      <c r="E36" s="5"/>
      <c r="F36" s="5"/>
      <c r="G36" s="5"/>
      <c r="H36" s="5"/>
      <c r="I36" s="5"/>
      <c r="J36" s="5"/>
      <c r="K36" s="5"/>
      <c r="L36" s="5"/>
    </row>
    <row r="37" ht="15.75" customHeight="1">
      <c r="A37" s="5"/>
      <c r="B37" s="5"/>
      <c r="C37" s="5"/>
      <c r="D37" s="5"/>
      <c r="E37" s="5"/>
      <c r="F37" s="5"/>
      <c r="G37" s="5"/>
      <c r="H37" s="5"/>
      <c r="I37" s="5"/>
      <c r="J37" s="5"/>
      <c r="K37" s="5"/>
      <c r="L37" s="5"/>
    </row>
    <row r="38" ht="15.75" customHeight="1">
      <c r="A38" s="5"/>
      <c r="B38" s="5"/>
      <c r="C38" s="5"/>
      <c r="D38" s="5"/>
      <c r="E38" s="5"/>
      <c r="F38" s="5"/>
      <c r="G38" s="5"/>
      <c r="H38" s="5"/>
      <c r="I38" s="5"/>
      <c r="J38" s="5"/>
      <c r="K38" s="5"/>
      <c r="L38" s="5"/>
    </row>
    <row r="39" ht="15.75" customHeight="1">
      <c r="A39" s="5"/>
      <c r="B39" s="5"/>
      <c r="C39" s="5"/>
      <c r="D39" s="5"/>
      <c r="E39" s="5"/>
      <c r="F39" s="5"/>
      <c r="G39" s="5"/>
      <c r="H39" s="5"/>
      <c r="I39" s="5"/>
      <c r="J39" s="5"/>
      <c r="K39" s="5"/>
      <c r="L39" s="5"/>
    </row>
    <row r="40" ht="15.75" customHeight="1">
      <c r="A40" s="5"/>
      <c r="B40" s="5"/>
      <c r="C40" s="5"/>
      <c r="D40" s="5"/>
      <c r="E40" s="5"/>
      <c r="F40" s="5"/>
      <c r="G40" s="5"/>
      <c r="H40" s="5"/>
      <c r="I40" s="5"/>
      <c r="J40" s="5"/>
      <c r="K40" s="5"/>
      <c r="L40" s="5"/>
    </row>
    <row r="41" ht="15.75" customHeight="1">
      <c r="A41" s="5"/>
      <c r="B41" s="5"/>
      <c r="C41" s="5"/>
      <c r="D41" s="5"/>
      <c r="E41" s="5"/>
      <c r="F41" s="5"/>
      <c r="G41" s="5"/>
      <c r="H41" s="5"/>
      <c r="I41" s="5"/>
      <c r="J41" s="5"/>
      <c r="K41" s="5"/>
      <c r="L41" s="5"/>
    </row>
    <row r="42" ht="15.75" customHeight="1">
      <c r="A42" s="5"/>
      <c r="B42" s="5"/>
      <c r="C42" s="5"/>
      <c r="D42" s="5"/>
      <c r="E42" s="5"/>
      <c r="F42" s="5"/>
      <c r="G42" s="5"/>
      <c r="H42" s="5"/>
      <c r="I42" s="5"/>
      <c r="J42" s="5"/>
      <c r="K42" s="5"/>
      <c r="L42" s="5"/>
    </row>
    <row r="43" ht="15.75" customHeight="1">
      <c r="A43" s="5"/>
      <c r="B43" s="5"/>
      <c r="C43" s="5"/>
      <c r="D43" s="5"/>
      <c r="E43" s="5"/>
      <c r="F43" s="5"/>
      <c r="G43" s="5"/>
      <c r="H43" s="5"/>
      <c r="I43" s="5"/>
      <c r="J43" s="5"/>
      <c r="K43" s="5"/>
      <c r="L43" s="5"/>
    </row>
    <row r="44" ht="15.75" customHeight="1">
      <c r="A44" s="5"/>
      <c r="B44" s="5"/>
      <c r="C44" s="5"/>
      <c r="D44" s="5"/>
      <c r="E44" s="5"/>
      <c r="F44" s="5"/>
      <c r="G44" s="5"/>
      <c r="H44" s="5"/>
      <c r="I44" s="5"/>
      <c r="J44" s="5"/>
      <c r="K44" s="5"/>
      <c r="L44" s="5"/>
    </row>
    <row r="45" ht="15.75" customHeight="1">
      <c r="A45" s="5"/>
      <c r="B45" s="5"/>
      <c r="C45" s="5"/>
      <c r="D45" s="5"/>
      <c r="E45" s="5"/>
      <c r="F45" s="5"/>
      <c r="G45" s="5"/>
      <c r="H45" s="5"/>
      <c r="I45" s="5"/>
      <c r="J45" s="5"/>
      <c r="K45" s="5"/>
      <c r="L45" s="5"/>
    </row>
    <row r="46" ht="15.75" customHeight="1">
      <c r="A46" s="5"/>
      <c r="B46" s="5"/>
      <c r="C46" s="5"/>
      <c r="D46" s="5"/>
      <c r="E46" s="5"/>
      <c r="F46" s="5"/>
      <c r="G46" s="5"/>
      <c r="H46" s="5"/>
      <c r="I46" s="5"/>
      <c r="J46" s="5"/>
      <c r="K46" s="5"/>
      <c r="L46" s="5"/>
    </row>
    <row r="47" ht="15.75" customHeight="1">
      <c r="A47" s="5"/>
      <c r="B47" s="5"/>
      <c r="C47" s="5"/>
      <c r="D47" s="5"/>
      <c r="E47" s="5"/>
      <c r="F47" s="5"/>
      <c r="G47" s="5"/>
      <c r="H47" s="5"/>
      <c r="I47" s="5"/>
      <c r="J47" s="5"/>
      <c r="K47" s="5"/>
      <c r="L47" s="5"/>
    </row>
    <row r="48" ht="15.75" customHeight="1">
      <c r="A48" s="5"/>
      <c r="B48" s="5"/>
      <c r="C48" s="5"/>
      <c r="D48" s="5"/>
      <c r="E48" s="5"/>
      <c r="F48" s="5"/>
      <c r="G48" s="5"/>
      <c r="H48" s="5"/>
      <c r="I48" s="5"/>
      <c r="J48" s="5"/>
      <c r="K48" s="5"/>
      <c r="L48" s="5"/>
    </row>
    <row r="49" ht="15.75" customHeight="1">
      <c r="A49" s="5"/>
      <c r="B49" s="5"/>
      <c r="C49" s="5"/>
      <c r="D49" s="5"/>
      <c r="E49" s="5"/>
      <c r="F49" s="5"/>
      <c r="G49" s="5"/>
      <c r="H49" s="5"/>
      <c r="I49" s="5"/>
      <c r="J49" s="5"/>
      <c r="K49" s="5"/>
      <c r="L49" s="5"/>
    </row>
    <row r="50" ht="15.75" customHeight="1">
      <c r="A50" s="5"/>
      <c r="B50" s="5"/>
      <c r="C50" s="5"/>
      <c r="D50" s="5"/>
      <c r="E50" s="5"/>
      <c r="F50" s="5"/>
      <c r="G50" s="5"/>
      <c r="H50" s="5"/>
      <c r="I50" s="5"/>
      <c r="J50" s="5"/>
      <c r="K50" s="5"/>
      <c r="L50" s="5"/>
    </row>
    <row r="51" ht="15.75" customHeight="1">
      <c r="A51" s="5"/>
      <c r="B51" s="5"/>
      <c r="C51" s="5"/>
      <c r="D51" s="5"/>
      <c r="E51" s="5"/>
      <c r="F51" s="5"/>
      <c r="G51" s="5"/>
      <c r="H51" s="5"/>
      <c r="I51" s="5"/>
      <c r="J51" s="5"/>
      <c r="K51" s="5"/>
      <c r="L51" s="5"/>
    </row>
    <row r="52" ht="15.75" customHeight="1">
      <c r="A52" s="5"/>
      <c r="B52" s="5"/>
      <c r="C52" s="5"/>
      <c r="D52" s="5"/>
      <c r="E52" s="5"/>
      <c r="F52" s="5"/>
      <c r="G52" s="5"/>
      <c r="H52" s="5"/>
      <c r="I52" s="5"/>
      <c r="J52" s="5"/>
      <c r="K52" s="5"/>
      <c r="L52" s="5"/>
    </row>
    <row r="53" ht="15.75" customHeight="1">
      <c r="A53" s="5"/>
      <c r="B53" s="5"/>
      <c r="C53" s="5"/>
      <c r="D53" s="5"/>
      <c r="E53" s="5"/>
      <c r="F53" s="5"/>
      <c r="G53" s="5"/>
      <c r="H53" s="5"/>
      <c r="I53" s="5"/>
      <c r="J53" s="5"/>
      <c r="K53" s="5"/>
      <c r="L53" s="5"/>
    </row>
    <row r="54" ht="15.75" customHeight="1">
      <c r="A54" s="5"/>
      <c r="B54" s="5"/>
      <c r="C54" s="5"/>
      <c r="D54" s="5"/>
      <c r="E54" s="5"/>
      <c r="F54" s="5"/>
      <c r="G54" s="5"/>
      <c r="H54" s="5"/>
      <c r="I54" s="5"/>
      <c r="J54" s="5"/>
      <c r="K54" s="5"/>
      <c r="L54" s="5"/>
    </row>
    <row r="55" ht="15.75" customHeight="1">
      <c r="A55" s="5"/>
      <c r="B55" s="5"/>
      <c r="C55" s="5"/>
      <c r="D55" s="5"/>
      <c r="E55" s="5"/>
      <c r="F55" s="5"/>
      <c r="G55" s="5"/>
      <c r="H55" s="5"/>
      <c r="I55" s="5"/>
      <c r="J55" s="5"/>
      <c r="K55" s="5"/>
      <c r="L55" s="5"/>
    </row>
    <row r="56" ht="15.75" customHeight="1">
      <c r="A56" s="5"/>
      <c r="B56" s="5"/>
      <c r="C56" s="5"/>
      <c r="D56" s="5"/>
      <c r="E56" s="5"/>
      <c r="F56" s="5"/>
      <c r="G56" s="5"/>
      <c r="H56" s="5"/>
      <c r="I56" s="5"/>
      <c r="J56" s="5"/>
      <c r="K56" s="5"/>
      <c r="L56" s="5"/>
    </row>
    <row r="57" ht="15.75" customHeight="1">
      <c r="A57" s="5"/>
      <c r="B57" s="5"/>
      <c r="C57" s="5"/>
      <c r="D57" s="5"/>
      <c r="E57" s="5"/>
      <c r="F57" s="5"/>
      <c r="G57" s="5"/>
      <c r="H57" s="5"/>
      <c r="I57" s="5"/>
      <c r="J57" s="5"/>
      <c r="K57" s="5"/>
      <c r="L57" s="5"/>
    </row>
    <row r="58" ht="15.75" customHeight="1">
      <c r="A58" s="5"/>
      <c r="B58" s="5"/>
      <c r="C58" s="5"/>
      <c r="D58" s="5"/>
      <c r="E58" s="5"/>
      <c r="F58" s="5"/>
      <c r="G58" s="5"/>
      <c r="H58" s="5"/>
      <c r="I58" s="5"/>
      <c r="J58" s="5"/>
      <c r="K58" s="5"/>
      <c r="L58" s="5"/>
    </row>
    <row r="59" ht="15.75" customHeight="1">
      <c r="A59" s="5"/>
      <c r="B59" s="5"/>
      <c r="C59" s="5"/>
      <c r="D59" s="5"/>
      <c r="E59" s="5"/>
      <c r="F59" s="5"/>
      <c r="G59" s="5"/>
      <c r="H59" s="5"/>
      <c r="I59" s="5"/>
      <c r="J59" s="5"/>
      <c r="K59" s="5"/>
      <c r="L59" s="5"/>
    </row>
    <row r="60" ht="15.75" customHeight="1">
      <c r="A60" s="5"/>
      <c r="B60" s="5"/>
      <c r="C60" s="5"/>
      <c r="D60" s="5"/>
      <c r="E60" s="5"/>
      <c r="F60" s="5"/>
      <c r="G60" s="5"/>
      <c r="H60" s="5"/>
      <c r="I60" s="5"/>
      <c r="J60" s="5"/>
      <c r="K60" s="5"/>
      <c r="L60" s="5"/>
    </row>
    <row r="61" ht="15.75" customHeight="1">
      <c r="A61" s="5"/>
      <c r="B61" s="5"/>
      <c r="C61" s="5"/>
      <c r="D61" s="5"/>
      <c r="E61" s="5"/>
      <c r="F61" s="5"/>
      <c r="G61" s="5"/>
      <c r="H61" s="5"/>
      <c r="I61" s="5"/>
      <c r="J61" s="5"/>
      <c r="K61" s="5"/>
      <c r="L61" s="5"/>
    </row>
    <row r="62" ht="15.75" customHeight="1">
      <c r="A62" s="5"/>
      <c r="B62" s="5"/>
      <c r="C62" s="5"/>
      <c r="D62" s="5"/>
      <c r="E62" s="5"/>
      <c r="F62" s="5"/>
      <c r="G62" s="5"/>
      <c r="H62" s="5"/>
      <c r="I62" s="5"/>
      <c r="J62" s="5"/>
      <c r="K62" s="5"/>
      <c r="L62" s="5"/>
    </row>
    <row r="63" ht="15.75" customHeight="1">
      <c r="A63" s="5"/>
      <c r="B63" s="5"/>
      <c r="C63" s="5"/>
      <c r="D63" s="5"/>
      <c r="E63" s="5"/>
      <c r="F63" s="5"/>
      <c r="G63" s="5"/>
      <c r="H63" s="5"/>
      <c r="I63" s="5"/>
      <c r="J63" s="5"/>
      <c r="K63" s="5"/>
      <c r="L63" s="5"/>
    </row>
    <row r="64" ht="15.75" customHeight="1">
      <c r="A64" s="5"/>
      <c r="B64" s="5"/>
      <c r="C64" s="5"/>
      <c r="D64" s="5"/>
      <c r="E64" s="5"/>
      <c r="F64" s="5"/>
      <c r="G64" s="5"/>
      <c r="H64" s="5"/>
      <c r="I64" s="5"/>
      <c r="J64" s="5"/>
      <c r="K64" s="5"/>
      <c r="L64" s="5"/>
    </row>
    <row r="65" ht="15.75" customHeight="1">
      <c r="A65" s="5"/>
      <c r="B65" s="5"/>
      <c r="C65" s="5"/>
      <c r="D65" s="5"/>
      <c r="E65" s="5"/>
      <c r="F65" s="5"/>
      <c r="G65" s="5"/>
      <c r="H65" s="5"/>
      <c r="I65" s="5"/>
      <c r="J65" s="5"/>
      <c r="K65" s="5"/>
      <c r="L65" s="5"/>
    </row>
    <row r="66" ht="15.75" customHeight="1">
      <c r="A66" s="5"/>
      <c r="B66" s="5"/>
      <c r="C66" s="5"/>
      <c r="D66" s="5"/>
      <c r="E66" s="5"/>
      <c r="F66" s="5"/>
      <c r="G66" s="5"/>
      <c r="H66" s="5"/>
      <c r="I66" s="5"/>
      <c r="J66" s="5"/>
      <c r="K66" s="5"/>
      <c r="L66" s="5"/>
    </row>
    <row r="67" ht="15.75" customHeight="1">
      <c r="A67" s="5"/>
      <c r="B67" s="5"/>
      <c r="C67" s="5"/>
      <c r="D67" s="5"/>
      <c r="E67" s="5"/>
      <c r="F67" s="5"/>
      <c r="G67" s="5"/>
      <c r="H67" s="5"/>
      <c r="I67" s="5"/>
      <c r="J67" s="5"/>
      <c r="K67" s="5"/>
      <c r="L67" s="5"/>
    </row>
    <row r="68" ht="15.75" customHeight="1">
      <c r="A68" s="5"/>
      <c r="B68" s="5"/>
      <c r="C68" s="5"/>
      <c r="D68" s="5"/>
      <c r="E68" s="5"/>
      <c r="F68" s="5"/>
      <c r="G68" s="5"/>
      <c r="H68" s="5"/>
      <c r="I68" s="5"/>
      <c r="J68" s="5"/>
      <c r="K68" s="5"/>
      <c r="L68" s="5"/>
    </row>
    <row r="69" ht="15.75" customHeight="1">
      <c r="A69" s="5"/>
      <c r="B69" s="5"/>
      <c r="C69" s="5"/>
      <c r="D69" s="5"/>
      <c r="E69" s="5"/>
      <c r="F69" s="5"/>
      <c r="G69" s="5"/>
      <c r="H69" s="5"/>
      <c r="I69" s="5"/>
      <c r="J69" s="5"/>
      <c r="K69" s="5"/>
      <c r="L69" s="5"/>
    </row>
    <row r="70" ht="15.75" customHeight="1">
      <c r="A70" s="5"/>
      <c r="B70" s="5"/>
      <c r="C70" s="5"/>
      <c r="D70" s="5"/>
      <c r="E70" s="5"/>
      <c r="F70" s="5"/>
      <c r="G70" s="5"/>
      <c r="H70" s="5"/>
      <c r="I70" s="5"/>
      <c r="J70" s="5"/>
      <c r="K70" s="5"/>
      <c r="L70" s="5"/>
    </row>
    <row r="71" ht="15.75" customHeight="1">
      <c r="A71" s="5"/>
      <c r="B71" s="5"/>
      <c r="C71" s="5"/>
      <c r="D71" s="5"/>
      <c r="E71" s="5"/>
      <c r="F71" s="5"/>
      <c r="G71" s="5"/>
      <c r="H71" s="5"/>
      <c r="I71" s="5"/>
      <c r="J71" s="5"/>
      <c r="K71" s="5"/>
      <c r="L71" s="5"/>
    </row>
    <row r="72" ht="15.75" customHeight="1">
      <c r="A72" s="5"/>
      <c r="B72" s="5"/>
      <c r="C72" s="5"/>
      <c r="D72" s="5"/>
      <c r="E72" s="5"/>
      <c r="F72" s="5"/>
      <c r="G72" s="5"/>
      <c r="H72" s="5"/>
      <c r="I72" s="5"/>
      <c r="J72" s="5"/>
      <c r="K72" s="5"/>
      <c r="L72" s="5"/>
    </row>
    <row r="73" ht="15.75" customHeight="1">
      <c r="A73" s="5"/>
      <c r="B73" s="5"/>
      <c r="C73" s="5"/>
      <c r="D73" s="5"/>
      <c r="E73" s="5"/>
      <c r="F73" s="5"/>
      <c r="G73" s="5"/>
      <c r="H73" s="5"/>
      <c r="I73" s="5"/>
      <c r="J73" s="5"/>
      <c r="K73" s="5"/>
      <c r="L73" s="5"/>
    </row>
    <row r="74" ht="15.75" customHeight="1">
      <c r="A74" s="5"/>
      <c r="B74" s="5"/>
      <c r="C74" s="5"/>
      <c r="D74" s="5"/>
      <c r="E74" s="5"/>
      <c r="F74" s="5"/>
      <c r="G74" s="5"/>
      <c r="H74" s="5"/>
      <c r="I74" s="5"/>
      <c r="J74" s="5"/>
      <c r="K74" s="5"/>
      <c r="L74" s="5"/>
    </row>
    <row r="75" ht="15.75" customHeight="1">
      <c r="A75" s="5"/>
      <c r="B75" s="5"/>
      <c r="C75" s="5"/>
      <c r="D75" s="5"/>
      <c r="E75" s="5"/>
      <c r="F75" s="5"/>
      <c r="G75" s="5"/>
      <c r="H75" s="5"/>
      <c r="I75" s="5"/>
      <c r="J75" s="5"/>
      <c r="K75" s="5"/>
      <c r="L75" s="5"/>
    </row>
    <row r="76" ht="15.75" customHeight="1">
      <c r="A76" s="5"/>
      <c r="B76" s="5"/>
      <c r="C76" s="5"/>
      <c r="D76" s="5"/>
      <c r="E76" s="5"/>
      <c r="F76" s="5"/>
      <c r="G76" s="5"/>
      <c r="H76" s="5"/>
      <c r="I76" s="5"/>
      <c r="J76" s="5"/>
      <c r="K76" s="5"/>
      <c r="L76" s="5"/>
    </row>
    <row r="77" ht="15.75" customHeight="1">
      <c r="A77" s="5"/>
      <c r="B77" s="5"/>
      <c r="C77" s="5"/>
      <c r="D77" s="5"/>
      <c r="E77" s="5"/>
      <c r="F77" s="5"/>
      <c r="G77" s="5"/>
      <c r="H77" s="5"/>
      <c r="I77" s="5"/>
      <c r="J77" s="5"/>
      <c r="K77" s="5"/>
      <c r="L77" s="5"/>
    </row>
    <row r="78" ht="15.75" customHeight="1">
      <c r="A78" s="5"/>
      <c r="B78" s="5"/>
      <c r="C78" s="5"/>
      <c r="D78" s="5"/>
      <c r="E78" s="5"/>
      <c r="F78" s="5"/>
      <c r="G78" s="5"/>
      <c r="H78" s="5"/>
      <c r="I78" s="5"/>
      <c r="J78" s="5"/>
      <c r="K78" s="5"/>
      <c r="L78" s="5"/>
    </row>
    <row r="79" ht="15.75" customHeight="1">
      <c r="A79" s="5"/>
      <c r="B79" s="5"/>
      <c r="C79" s="5"/>
      <c r="D79" s="5"/>
      <c r="E79" s="5"/>
      <c r="F79" s="5"/>
      <c r="G79" s="5"/>
      <c r="H79" s="5"/>
      <c r="I79" s="5"/>
      <c r="J79" s="5"/>
      <c r="K79" s="5"/>
      <c r="L79" s="5"/>
    </row>
    <row r="80" ht="15.75" customHeight="1">
      <c r="A80" s="5"/>
      <c r="B80" s="5"/>
      <c r="C80" s="5"/>
      <c r="D80" s="5"/>
      <c r="E80" s="5"/>
      <c r="F80" s="5"/>
      <c r="G80" s="5"/>
      <c r="H80" s="5"/>
      <c r="I80" s="5"/>
      <c r="J80" s="5"/>
      <c r="K80" s="5"/>
      <c r="L80" s="5"/>
    </row>
    <row r="81" ht="15.75" customHeight="1">
      <c r="A81" s="5"/>
      <c r="B81" s="5"/>
      <c r="C81" s="5"/>
      <c r="D81" s="5"/>
      <c r="E81" s="5"/>
      <c r="F81" s="5"/>
      <c r="G81" s="5"/>
      <c r="H81" s="5"/>
      <c r="I81" s="5"/>
      <c r="J81" s="5"/>
      <c r="K81" s="5"/>
      <c r="L81" s="5"/>
    </row>
    <row r="82" ht="15.75" customHeight="1">
      <c r="A82" s="5"/>
      <c r="B82" s="5"/>
      <c r="C82" s="5"/>
      <c r="D82" s="5"/>
      <c r="E82" s="5"/>
      <c r="F82" s="5"/>
      <c r="G82" s="5"/>
      <c r="H82" s="5"/>
      <c r="I82" s="5"/>
      <c r="J82" s="5"/>
      <c r="K82" s="5"/>
      <c r="L82" s="5"/>
    </row>
    <row r="83" ht="15.75" customHeight="1">
      <c r="A83" s="5"/>
      <c r="B83" s="5"/>
      <c r="C83" s="5"/>
      <c r="D83" s="5"/>
      <c r="E83" s="5"/>
      <c r="F83" s="5"/>
      <c r="G83" s="5"/>
      <c r="H83" s="5"/>
      <c r="I83" s="5"/>
      <c r="J83" s="5"/>
      <c r="K83" s="5"/>
      <c r="L83" s="5"/>
    </row>
    <row r="84" ht="15.75" customHeight="1">
      <c r="A84" s="5"/>
      <c r="B84" s="5"/>
      <c r="C84" s="5"/>
      <c r="D84" s="5"/>
      <c r="E84" s="5"/>
      <c r="F84" s="5"/>
      <c r="G84" s="5"/>
      <c r="H84" s="5"/>
      <c r="I84" s="5"/>
      <c r="J84" s="5"/>
      <c r="K84" s="5"/>
      <c r="L84" s="5"/>
    </row>
    <row r="85" ht="15.75" customHeight="1">
      <c r="A85" s="5"/>
      <c r="B85" s="5"/>
      <c r="C85" s="5"/>
      <c r="D85" s="5"/>
      <c r="E85" s="5"/>
      <c r="F85" s="5"/>
      <c r="G85" s="5"/>
      <c r="H85" s="5"/>
      <c r="I85" s="5"/>
      <c r="J85" s="5"/>
      <c r="K85" s="5"/>
      <c r="L85" s="5"/>
    </row>
    <row r="86" ht="15.75" customHeight="1">
      <c r="A86" s="5"/>
      <c r="B86" s="5"/>
      <c r="C86" s="5"/>
      <c r="D86" s="5"/>
      <c r="E86" s="5"/>
      <c r="F86" s="5"/>
      <c r="G86" s="5"/>
      <c r="H86" s="5"/>
      <c r="I86" s="5"/>
      <c r="J86" s="5"/>
      <c r="K86" s="5"/>
      <c r="L86" s="5"/>
    </row>
    <row r="87" ht="15.75" customHeight="1">
      <c r="A87" s="5"/>
      <c r="B87" s="5"/>
      <c r="C87" s="5"/>
      <c r="D87" s="5"/>
      <c r="E87" s="5"/>
      <c r="F87" s="5"/>
      <c r="G87" s="5"/>
      <c r="H87" s="5"/>
      <c r="I87" s="5"/>
      <c r="J87" s="5"/>
      <c r="K87" s="5"/>
      <c r="L87" s="5"/>
    </row>
    <row r="88" ht="15.75" customHeight="1">
      <c r="A88" s="5"/>
      <c r="B88" s="5"/>
      <c r="C88" s="5"/>
      <c r="D88" s="5"/>
      <c r="E88" s="5"/>
      <c r="F88" s="5"/>
      <c r="G88" s="5"/>
      <c r="H88" s="5"/>
      <c r="I88" s="5"/>
      <c r="J88" s="5"/>
      <c r="K88" s="5"/>
      <c r="L88" s="5"/>
    </row>
    <row r="89" ht="15.75" customHeight="1">
      <c r="A89" s="5"/>
      <c r="B89" s="5"/>
      <c r="C89" s="5"/>
      <c r="D89" s="5"/>
      <c r="E89" s="5"/>
      <c r="F89" s="5"/>
      <c r="G89" s="5"/>
      <c r="H89" s="5"/>
      <c r="I89" s="5"/>
      <c r="J89" s="5"/>
      <c r="K89" s="5"/>
      <c r="L89" s="5"/>
    </row>
    <row r="90" ht="15.75" customHeight="1">
      <c r="A90" s="5"/>
      <c r="B90" s="5"/>
      <c r="C90" s="5"/>
      <c r="D90" s="5"/>
      <c r="E90" s="5"/>
      <c r="F90" s="5"/>
      <c r="G90" s="5"/>
      <c r="H90" s="5"/>
      <c r="I90" s="5"/>
      <c r="J90" s="5"/>
      <c r="K90" s="5"/>
      <c r="L90" s="5"/>
    </row>
    <row r="91" ht="15.75" customHeight="1">
      <c r="A91" s="5"/>
      <c r="B91" s="5"/>
      <c r="C91" s="5"/>
      <c r="D91" s="5"/>
      <c r="E91" s="5"/>
      <c r="F91" s="5"/>
      <c r="G91" s="5"/>
      <c r="H91" s="5"/>
      <c r="I91" s="5"/>
      <c r="J91" s="5"/>
      <c r="K91" s="5"/>
      <c r="L91" s="5"/>
    </row>
    <row r="92" ht="15.75" customHeight="1">
      <c r="A92" s="5"/>
      <c r="B92" s="5"/>
      <c r="C92" s="5"/>
      <c r="D92" s="5"/>
      <c r="E92" s="5"/>
      <c r="F92" s="5"/>
      <c r="G92" s="5"/>
      <c r="H92" s="5"/>
      <c r="I92" s="5"/>
      <c r="J92" s="5"/>
      <c r="K92" s="5"/>
      <c r="L92" s="5"/>
    </row>
    <row r="93" ht="15.75" customHeight="1">
      <c r="A93" s="5"/>
      <c r="B93" s="5"/>
      <c r="C93" s="5"/>
      <c r="D93" s="5"/>
      <c r="E93" s="5"/>
      <c r="F93" s="5"/>
      <c r="G93" s="5"/>
      <c r="H93" s="5"/>
      <c r="I93" s="5"/>
      <c r="J93" s="5"/>
      <c r="K93" s="5"/>
      <c r="L93" s="5"/>
    </row>
    <row r="94" ht="15.75" customHeight="1">
      <c r="A94" s="5"/>
      <c r="B94" s="5"/>
      <c r="C94" s="5"/>
      <c r="D94" s="5"/>
      <c r="E94" s="5"/>
      <c r="F94" s="5"/>
      <c r="G94" s="5"/>
      <c r="H94" s="5"/>
      <c r="I94" s="5"/>
      <c r="J94" s="5"/>
      <c r="K94" s="5"/>
      <c r="L94" s="5"/>
    </row>
    <row r="95" ht="15.75" customHeight="1">
      <c r="A95" s="5"/>
      <c r="B95" s="5"/>
      <c r="C95" s="5"/>
      <c r="D95" s="5"/>
      <c r="E95" s="5"/>
      <c r="F95" s="5"/>
      <c r="G95" s="5"/>
      <c r="H95" s="5"/>
      <c r="I95" s="5"/>
      <c r="J95" s="5"/>
      <c r="K95" s="5"/>
      <c r="L95" s="5"/>
    </row>
    <row r="96" ht="15.75" customHeight="1">
      <c r="A96" s="5"/>
      <c r="B96" s="5"/>
      <c r="C96" s="5"/>
      <c r="D96" s="5"/>
      <c r="E96" s="5"/>
      <c r="F96" s="5"/>
      <c r="G96" s="5"/>
      <c r="H96" s="5"/>
      <c r="I96" s="5"/>
      <c r="J96" s="5"/>
      <c r="K96" s="5"/>
      <c r="L96" s="5"/>
    </row>
    <row r="97" ht="15.75" customHeight="1">
      <c r="A97" s="5"/>
      <c r="B97" s="5"/>
      <c r="C97" s="5"/>
      <c r="D97" s="5"/>
      <c r="E97" s="5"/>
      <c r="F97" s="5"/>
      <c r="G97" s="5"/>
      <c r="H97" s="5"/>
      <c r="I97" s="5"/>
      <c r="J97" s="5"/>
      <c r="K97" s="5"/>
      <c r="L97" s="5"/>
    </row>
    <row r="98" ht="15.75" customHeight="1">
      <c r="A98" s="5"/>
      <c r="B98" s="5"/>
      <c r="C98" s="5"/>
      <c r="D98" s="5"/>
      <c r="E98" s="5"/>
      <c r="F98" s="5"/>
      <c r="G98" s="5"/>
      <c r="H98" s="5"/>
      <c r="I98" s="5"/>
      <c r="J98" s="5"/>
      <c r="K98" s="5"/>
      <c r="L98" s="5"/>
    </row>
    <row r="99" ht="15.75" customHeight="1">
      <c r="A99" s="5"/>
      <c r="B99" s="5"/>
      <c r="C99" s="5"/>
      <c r="D99" s="5"/>
      <c r="E99" s="5"/>
      <c r="F99" s="5"/>
      <c r="G99" s="5"/>
      <c r="H99" s="5"/>
      <c r="I99" s="5"/>
      <c r="J99" s="5"/>
      <c r="K99" s="5"/>
      <c r="L99" s="5"/>
    </row>
    <row r="100" ht="15.75" customHeight="1">
      <c r="A100" s="5"/>
      <c r="B100" s="5"/>
      <c r="C100" s="5"/>
      <c r="D100" s="5"/>
      <c r="E100" s="5"/>
      <c r="F100" s="5"/>
      <c r="G100" s="5"/>
      <c r="H100" s="5"/>
      <c r="I100" s="5"/>
      <c r="J100" s="5"/>
      <c r="K100" s="5"/>
      <c r="L100" s="5"/>
    </row>
    <row r="101" ht="15.75" customHeight="1">
      <c r="A101" s="5"/>
      <c r="B101" s="5"/>
      <c r="C101" s="5"/>
      <c r="D101" s="5"/>
      <c r="E101" s="5"/>
      <c r="F101" s="5"/>
      <c r="G101" s="5"/>
      <c r="H101" s="5"/>
      <c r="I101" s="5"/>
      <c r="J101" s="5"/>
      <c r="K101" s="5"/>
      <c r="L101" s="5"/>
    </row>
    <row r="102" ht="15.75" customHeight="1">
      <c r="A102" s="5"/>
      <c r="B102" s="5"/>
      <c r="C102" s="5"/>
      <c r="D102" s="5"/>
      <c r="E102" s="5"/>
      <c r="F102" s="5"/>
      <c r="G102" s="5"/>
      <c r="H102" s="5"/>
      <c r="I102" s="5"/>
      <c r="J102" s="5"/>
      <c r="K102" s="5"/>
      <c r="L102" s="5"/>
    </row>
    <row r="103" ht="15.75" customHeight="1">
      <c r="A103" s="5"/>
      <c r="B103" s="5"/>
      <c r="C103" s="5"/>
      <c r="D103" s="5"/>
      <c r="E103" s="5"/>
      <c r="F103" s="5"/>
      <c r="G103" s="5"/>
      <c r="H103" s="5"/>
      <c r="I103" s="5"/>
      <c r="J103" s="5"/>
      <c r="K103" s="5"/>
      <c r="L103" s="5"/>
    </row>
    <row r="104" ht="15.75" customHeight="1">
      <c r="A104" s="5"/>
      <c r="B104" s="5"/>
      <c r="C104" s="5"/>
      <c r="D104" s="5"/>
      <c r="E104" s="5"/>
      <c r="F104" s="5"/>
      <c r="G104" s="5"/>
      <c r="H104" s="5"/>
      <c r="I104" s="5"/>
      <c r="J104" s="5"/>
      <c r="K104" s="5"/>
      <c r="L104" s="5"/>
    </row>
    <row r="105" ht="15.75" customHeight="1">
      <c r="A105" s="5"/>
      <c r="B105" s="5"/>
      <c r="C105" s="5"/>
      <c r="D105" s="5"/>
      <c r="E105" s="5"/>
      <c r="F105" s="5"/>
      <c r="G105" s="5"/>
      <c r="H105" s="5"/>
      <c r="I105" s="5"/>
      <c r="J105" s="5"/>
      <c r="K105" s="5"/>
      <c r="L105" s="5"/>
    </row>
    <row r="106" ht="15.75" customHeight="1">
      <c r="A106" s="5"/>
      <c r="B106" s="5"/>
      <c r="C106" s="5"/>
      <c r="D106" s="5"/>
      <c r="E106" s="5"/>
      <c r="F106" s="5"/>
      <c r="G106" s="5"/>
      <c r="H106" s="5"/>
      <c r="I106" s="5"/>
      <c r="J106" s="5"/>
      <c r="K106" s="5"/>
      <c r="L106" s="5"/>
    </row>
    <row r="107" ht="15.75" customHeight="1">
      <c r="A107" s="5"/>
      <c r="B107" s="5"/>
      <c r="C107" s="5"/>
      <c r="D107" s="5"/>
      <c r="E107" s="5"/>
      <c r="F107" s="5"/>
      <c r="G107" s="5"/>
      <c r="H107" s="5"/>
      <c r="I107" s="5"/>
      <c r="J107" s="5"/>
      <c r="K107" s="5"/>
      <c r="L107" s="5"/>
    </row>
    <row r="108" ht="15.75" customHeight="1">
      <c r="A108" s="5"/>
      <c r="B108" s="5"/>
      <c r="C108" s="5"/>
      <c r="D108" s="5"/>
      <c r="E108" s="5"/>
      <c r="F108" s="5"/>
      <c r="G108" s="5"/>
      <c r="H108" s="5"/>
      <c r="I108" s="5"/>
      <c r="J108" s="5"/>
      <c r="K108" s="5"/>
      <c r="L108" s="5"/>
    </row>
    <row r="109" ht="15.75" customHeight="1">
      <c r="A109" s="5"/>
      <c r="B109" s="5"/>
      <c r="C109" s="5"/>
      <c r="D109" s="5"/>
      <c r="E109" s="5"/>
      <c r="F109" s="5"/>
      <c r="G109" s="5"/>
      <c r="H109" s="5"/>
      <c r="I109" s="5"/>
      <c r="J109" s="5"/>
      <c r="K109" s="5"/>
      <c r="L109" s="5"/>
    </row>
    <row r="110" ht="15.75" customHeight="1">
      <c r="A110" s="5"/>
      <c r="B110" s="5"/>
      <c r="C110" s="5"/>
      <c r="D110" s="5"/>
      <c r="E110" s="5"/>
      <c r="F110" s="5"/>
      <c r="G110" s="5"/>
      <c r="H110" s="5"/>
      <c r="I110" s="5"/>
      <c r="J110" s="5"/>
      <c r="K110" s="5"/>
      <c r="L110" s="5"/>
    </row>
    <row r="111" ht="15.75" customHeight="1">
      <c r="A111" s="5"/>
      <c r="B111" s="5"/>
      <c r="C111" s="5"/>
      <c r="D111" s="5"/>
      <c r="E111" s="5"/>
      <c r="F111" s="5"/>
      <c r="G111" s="5"/>
      <c r="H111" s="5"/>
      <c r="I111" s="5"/>
      <c r="J111" s="5"/>
      <c r="K111" s="5"/>
      <c r="L111" s="5"/>
    </row>
    <row r="112" ht="15.75" customHeight="1">
      <c r="A112" s="5"/>
      <c r="B112" s="5"/>
      <c r="C112" s="5"/>
      <c r="D112" s="5"/>
      <c r="E112" s="5"/>
      <c r="F112" s="5"/>
      <c r="G112" s="5"/>
      <c r="H112" s="5"/>
      <c r="I112" s="5"/>
      <c r="J112" s="5"/>
      <c r="K112" s="5"/>
      <c r="L112" s="5"/>
    </row>
    <row r="113" ht="15.75" customHeight="1">
      <c r="A113" s="5"/>
      <c r="B113" s="5"/>
      <c r="C113" s="5"/>
      <c r="D113" s="5"/>
      <c r="E113" s="5"/>
      <c r="F113" s="5"/>
      <c r="G113" s="5"/>
      <c r="H113" s="5"/>
      <c r="I113" s="5"/>
      <c r="J113" s="5"/>
      <c r="K113" s="5"/>
      <c r="L113" s="5"/>
    </row>
    <row r="114" ht="15.75" customHeight="1">
      <c r="A114" s="5"/>
      <c r="B114" s="5"/>
      <c r="C114" s="5"/>
      <c r="D114" s="5"/>
      <c r="E114" s="5"/>
      <c r="F114" s="5"/>
      <c r="G114" s="5"/>
      <c r="H114" s="5"/>
      <c r="I114" s="5"/>
      <c r="J114" s="5"/>
      <c r="K114" s="5"/>
      <c r="L114" s="5"/>
    </row>
    <row r="115" ht="15.75" customHeight="1">
      <c r="A115" s="5"/>
      <c r="B115" s="5"/>
      <c r="C115" s="5"/>
      <c r="D115" s="5"/>
      <c r="E115" s="5"/>
      <c r="F115" s="5"/>
      <c r="G115" s="5"/>
      <c r="H115" s="5"/>
      <c r="I115" s="5"/>
      <c r="J115" s="5"/>
      <c r="K115" s="5"/>
      <c r="L115" s="5"/>
    </row>
    <row r="116" ht="15.75" customHeight="1">
      <c r="A116" s="5"/>
      <c r="B116" s="5"/>
      <c r="C116" s="5"/>
      <c r="D116" s="5"/>
      <c r="E116" s="5"/>
      <c r="F116" s="5"/>
      <c r="G116" s="5"/>
      <c r="H116" s="5"/>
      <c r="I116" s="5"/>
      <c r="J116" s="5"/>
      <c r="K116" s="5"/>
      <c r="L116" s="5"/>
    </row>
    <row r="117" ht="15.75" customHeight="1">
      <c r="A117" s="5"/>
      <c r="B117" s="5"/>
      <c r="C117" s="5"/>
      <c r="D117" s="5"/>
      <c r="E117" s="5"/>
      <c r="F117" s="5"/>
      <c r="G117" s="5"/>
      <c r="H117" s="5"/>
      <c r="I117" s="5"/>
      <c r="J117" s="5"/>
      <c r="K117" s="5"/>
      <c r="L117" s="5"/>
    </row>
    <row r="118" ht="15.75" customHeight="1">
      <c r="A118" s="5"/>
      <c r="B118" s="5"/>
      <c r="C118" s="5"/>
      <c r="D118" s="5"/>
      <c r="E118" s="5"/>
      <c r="F118" s="5"/>
      <c r="G118" s="5"/>
      <c r="H118" s="5"/>
      <c r="I118" s="5"/>
      <c r="J118" s="5"/>
      <c r="K118" s="5"/>
      <c r="L118" s="5"/>
    </row>
    <row r="119" ht="15.75" customHeight="1">
      <c r="A119" s="5"/>
      <c r="B119" s="5"/>
      <c r="C119" s="5"/>
      <c r="D119" s="5"/>
      <c r="E119" s="5"/>
      <c r="F119" s="5"/>
      <c r="G119" s="5"/>
      <c r="H119" s="5"/>
      <c r="I119" s="5"/>
      <c r="J119" s="5"/>
      <c r="K119" s="5"/>
      <c r="L119" s="5"/>
    </row>
    <row r="120" ht="15.75" customHeight="1">
      <c r="A120" s="5"/>
      <c r="B120" s="5"/>
      <c r="C120" s="5"/>
      <c r="D120" s="5"/>
      <c r="E120" s="5"/>
      <c r="F120" s="5"/>
      <c r="G120" s="5"/>
      <c r="H120" s="5"/>
      <c r="I120" s="5"/>
      <c r="J120" s="5"/>
      <c r="K120" s="5"/>
      <c r="L120" s="5"/>
    </row>
    <row r="121" ht="15.75" customHeight="1">
      <c r="A121" s="5"/>
      <c r="B121" s="5"/>
      <c r="C121" s="5"/>
      <c r="D121" s="5"/>
      <c r="E121" s="5"/>
      <c r="F121" s="5"/>
      <c r="G121" s="5"/>
      <c r="H121" s="5"/>
      <c r="I121" s="5"/>
      <c r="J121" s="5"/>
      <c r="K121" s="5"/>
      <c r="L121" s="5"/>
    </row>
    <row r="122" ht="15.75" customHeight="1">
      <c r="A122" s="5"/>
      <c r="B122" s="5"/>
      <c r="C122" s="5"/>
      <c r="D122" s="5"/>
      <c r="E122" s="5"/>
      <c r="F122" s="5"/>
      <c r="G122" s="5"/>
      <c r="H122" s="5"/>
      <c r="I122" s="5"/>
      <c r="J122" s="5"/>
      <c r="K122" s="5"/>
      <c r="L122" s="5"/>
    </row>
    <row r="123" ht="15.75" customHeight="1">
      <c r="A123" s="5"/>
      <c r="B123" s="5"/>
      <c r="C123" s="5"/>
      <c r="D123" s="5"/>
      <c r="E123" s="5"/>
      <c r="F123" s="5"/>
      <c r="G123" s="5"/>
      <c r="H123" s="5"/>
      <c r="I123" s="5"/>
      <c r="J123" s="5"/>
      <c r="K123" s="5"/>
      <c r="L123" s="5"/>
    </row>
    <row r="124" ht="15.75" customHeight="1">
      <c r="A124" s="5"/>
      <c r="B124" s="5"/>
      <c r="C124" s="5"/>
      <c r="D124" s="5"/>
      <c r="E124" s="5"/>
      <c r="F124" s="5"/>
      <c r="G124" s="5"/>
      <c r="H124" s="5"/>
      <c r="I124" s="5"/>
      <c r="J124" s="5"/>
      <c r="K124" s="5"/>
      <c r="L124" s="5"/>
    </row>
    <row r="125" ht="15.75" customHeight="1">
      <c r="A125" s="5"/>
      <c r="B125" s="5"/>
      <c r="C125" s="5"/>
      <c r="D125" s="5"/>
      <c r="E125" s="5"/>
      <c r="F125" s="5"/>
      <c r="G125" s="5"/>
      <c r="H125" s="5"/>
      <c r="I125" s="5"/>
      <c r="J125" s="5"/>
      <c r="K125" s="5"/>
      <c r="L125" s="5"/>
    </row>
    <row r="126" ht="15.75" customHeight="1">
      <c r="A126" s="5"/>
      <c r="B126" s="5"/>
      <c r="C126" s="5"/>
      <c r="D126" s="5"/>
      <c r="E126" s="5"/>
      <c r="F126" s="5"/>
      <c r="G126" s="5"/>
      <c r="H126" s="5"/>
      <c r="I126" s="5"/>
      <c r="J126" s="5"/>
      <c r="K126" s="5"/>
      <c r="L126" s="5"/>
    </row>
    <row r="127" ht="15.75" customHeight="1">
      <c r="A127" s="5"/>
      <c r="B127" s="5"/>
      <c r="C127" s="5"/>
      <c r="D127" s="5"/>
      <c r="E127" s="5"/>
      <c r="F127" s="5"/>
      <c r="G127" s="5"/>
      <c r="H127" s="5"/>
      <c r="I127" s="5"/>
      <c r="J127" s="5"/>
      <c r="K127" s="5"/>
      <c r="L127" s="5"/>
    </row>
    <row r="128" ht="15.75" customHeight="1">
      <c r="A128" s="5"/>
      <c r="B128" s="5"/>
      <c r="C128" s="5"/>
      <c r="D128" s="5"/>
      <c r="E128" s="5"/>
      <c r="F128" s="5"/>
      <c r="G128" s="5"/>
      <c r="H128" s="5"/>
      <c r="I128" s="5"/>
      <c r="J128" s="5"/>
      <c r="K128" s="5"/>
      <c r="L128" s="5"/>
    </row>
    <row r="129" ht="15.75" customHeight="1">
      <c r="A129" s="5"/>
      <c r="B129" s="5"/>
      <c r="C129" s="5"/>
      <c r="D129" s="5"/>
      <c r="E129" s="5"/>
      <c r="F129" s="5"/>
      <c r="G129" s="5"/>
      <c r="H129" s="5"/>
      <c r="I129" s="5"/>
      <c r="J129" s="5"/>
      <c r="K129" s="5"/>
      <c r="L129" s="5"/>
    </row>
    <row r="130" ht="15.75" customHeight="1">
      <c r="A130" s="5"/>
      <c r="B130" s="5"/>
      <c r="C130" s="5"/>
      <c r="D130" s="5"/>
      <c r="E130" s="5"/>
      <c r="F130" s="5"/>
      <c r="G130" s="5"/>
      <c r="H130" s="5"/>
      <c r="I130" s="5"/>
      <c r="J130" s="5"/>
      <c r="K130" s="5"/>
      <c r="L130" s="5"/>
    </row>
    <row r="131" ht="15.75" customHeight="1">
      <c r="A131" s="5"/>
      <c r="B131" s="5"/>
      <c r="C131" s="5"/>
      <c r="D131" s="5"/>
      <c r="E131" s="5"/>
      <c r="F131" s="5"/>
      <c r="G131" s="5"/>
      <c r="H131" s="5"/>
      <c r="I131" s="5"/>
      <c r="J131" s="5"/>
      <c r="K131" s="5"/>
      <c r="L131" s="5"/>
    </row>
    <row r="132" ht="15.75" customHeight="1">
      <c r="A132" s="5"/>
      <c r="B132" s="5"/>
      <c r="C132" s="5"/>
      <c r="D132" s="5"/>
      <c r="E132" s="5"/>
      <c r="F132" s="5"/>
      <c r="G132" s="5"/>
      <c r="H132" s="5"/>
      <c r="I132" s="5"/>
      <c r="J132" s="5"/>
      <c r="K132" s="5"/>
      <c r="L132" s="5"/>
    </row>
    <row r="133" ht="15.75" customHeight="1">
      <c r="A133" s="5"/>
      <c r="B133" s="5"/>
      <c r="C133" s="5"/>
      <c r="D133" s="5"/>
      <c r="E133" s="5"/>
      <c r="F133" s="5"/>
      <c r="G133" s="5"/>
      <c r="H133" s="5"/>
      <c r="I133" s="5"/>
      <c r="J133" s="5"/>
      <c r="K133" s="5"/>
      <c r="L133" s="5"/>
    </row>
    <row r="134" ht="15.75" customHeight="1">
      <c r="A134" s="5"/>
      <c r="B134" s="5"/>
      <c r="C134" s="5"/>
      <c r="D134" s="5"/>
      <c r="E134" s="5"/>
      <c r="F134" s="5"/>
      <c r="G134" s="5"/>
      <c r="H134" s="5"/>
      <c r="I134" s="5"/>
      <c r="J134" s="5"/>
      <c r="K134" s="5"/>
      <c r="L134" s="5"/>
    </row>
    <row r="135" ht="15.75" customHeight="1">
      <c r="A135" s="5"/>
      <c r="B135" s="5"/>
      <c r="C135" s="5"/>
      <c r="D135" s="5"/>
      <c r="E135" s="5"/>
      <c r="F135" s="5"/>
      <c r="G135" s="5"/>
      <c r="H135" s="5"/>
      <c r="I135" s="5"/>
      <c r="J135" s="5"/>
      <c r="K135" s="5"/>
      <c r="L135" s="5"/>
    </row>
    <row r="136" ht="15.75" customHeight="1">
      <c r="A136" s="5"/>
      <c r="B136" s="5"/>
      <c r="C136" s="5"/>
      <c r="D136" s="5"/>
      <c r="E136" s="5"/>
      <c r="F136" s="5"/>
      <c r="G136" s="5"/>
      <c r="H136" s="5"/>
      <c r="I136" s="5"/>
      <c r="J136" s="5"/>
      <c r="K136" s="5"/>
      <c r="L136" s="5"/>
    </row>
    <row r="137" ht="15.75" customHeight="1">
      <c r="A137" s="5"/>
      <c r="B137" s="5"/>
      <c r="C137" s="5"/>
      <c r="D137" s="5"/>
      <c r="E137" s="5"/>
      <c r="F137" s="5"/>
      <c r="G137" s="5"/>
      <c r="H137" s="5"/>
      <c r="I137" s="5"/>
      <c r="J137" s="5"/>
      <c r="K137" s="5"/>
      <c r="L137" s="5"/>
    </row>
    <row r="138" ht="15.75" customHeight="1">
      <c r="A138" s="5"/>
      <c r="B138" s="5"/>
      <c r="C138" s="5"/>
      <c r="D138" s="5"/>
      <c r="E138" s="5"/>
      <c r="F138" s="5"/>
      <c r="G138" s="5"/>
      <c r="H138" s="5"/>
      <c r="I138" s="5"/>
      <c r="J138" s="5"/>
      <c r="K138" s="5"/>
      <c r="L138" s="5"/>
    </row>
    <row r="139" ht="15.75" customHeight="1">
      <c r="A139" s="5"/>
      <c r="B139" s="5"/>
      <c r="C139" s="5"/>
      <c r="D139" s="5"/>
      <c r="E139" s="5"/>
      <c r="F139" s="5"/>
      <c r="G139" s="5"/>
      <c r="H139" s="5"/>
      <c r="I139" s="5"/>
      <c r="J139" s="5"/>
      <c r="K139" s="5"/>
      <c r="L139" s="5"/>
    </row>
    <row r="140" ht="15.75" customHeight="1">
      <c r="A140" s="5"/>
      <c r="B140" s="5"/>
      <c r="C140" s="5"/>
      <c r="D140" s="5"/>
      <c r="E140" s="5"/>
      <c r="F140" s="5"/>
      <c r="G140" s="5"/>
      <c r="H140" s="5"/>
      <c r="I140" s="5"/>
      <c r="J140" s="5"/>
      <c r="K140" s="5"/>
      <c r="L140" s="5"/>
    </row>
    <row r="141" ht="15.75" customHeight="1">
      <c r="A141" s="5"/>
      <c r="B141" s="5"/>
      <c r="C141" s="5"/>
      <c r="D141" s="5"/>
      <c r="E141" s="5"/>
      <c r="F141" s="5"/>
      <c r="G141" s="5"/>
      <c r="H141" s="5"/>
      <c r="I141" s="5"/>
      <c r="J141" s="5"/>
      <c r="K141" s="5"/>
      <c r="L141" s="5"/>
    </row>
    <row r="142" ht="15.75" customHeight="1">
      <c r="A142" s="5"/>
      <c r="B142" s="5"/>
      <c r="C142" s="5"/>
      <c r="D142" s="5"/>
      <c r="E142" s="5"/>
      <c r="F142" s="5"/>
      <c r="G142" s="5"/>
      <c r="H142" s="5"/>
      <c r="I142" s="5"/>
      <c r="J142" s="5"/>
      <c r="K142" s="5"/>
      <c r="L142" s="5"/>
    </row>
    <row r="143" ht="15.75" customHeight="1">
      <c r="A143" s="5"/>
      <c r="B143" s="5"/>
      <c r="C143" s="5"/>
      <c r="D143" s="5"/>
      <c r="E143" s="5"/>
      <c r="F143" s="5"/>
      <c r="G143" s="5"/>
      <c r="H143" s="5"/>
      <c r="I143" s="5"/>
      <c r="J143" s="5"/>
      <c r="K143" s="5"/>
      <c r="L143" s="5"/>
    </row>
    <row r="144" ht="15.75" customHeight="1">
      <c r="A144" s="5"/>
      <c r="B144" s="5"/>
      <c r="C144" s="5"/>
      <c r="D144" s="5"/>
      <c r="E144" s="5"/>
      <c r="F144" s="5"/>
      <c r="G144" s="5"/>
      <c r="H144" s="5"/>
      <c r="I144" s="5"/>
      <c r="J144" s="5"/>
      <c r="K144" s="5"/>
      <c r="L144" s="5"/>
    </row>
    <row r="145" ht="15.75" customHeight="1">
      <c r="A145" s="5"/>
      <c r="B145" s="5"/>
      <c r="C145" s="5"/>
      <c r="D145" s="5"/>
      <c r="E145" s="5"/>
      <c r="F145" s="5"/>
      <c r="G145" s="5"/>
      <c r="H145" s="5"/>
      <c r="I145" s="5"/>
      <c r="J145" s="5"/>
      <c r="K145" s="5"/>
      <c r="L145" s="5"/>
    </row>
    <row r="146" ht="15.75" customHeight="1">
      <c r="A146" s="5"/>
      <c r="B146" s="5"/>
      <c r="C146" s="5"/>
      <c r="D146" s="5"/>
      <c r="E146" s="5"/>
      <c r="F146" s="5"/>
      <c r="G146" s="5"/>
      <c r="H146" s="5"/>
      <c r="I146" s="5"/>
      <c r="J146" s="5"/>
      <c r="K146" s="5"/>
      <c r="L146" s="5"/>
    </row>
    <row r="147" ht="15.75" customHeight="1">
      <c r="A147" s="5"/>
      <c r="B147" s="5"/>
      <c r="C147" s="5"/>
      <c r="D147" s="5"/>
      <c r="E147" s="5"/>
      <c r="F147" s="5"/>
      <c r="G147" s="5"/>
      <c r="H147" s="5"/>
      <c r="I147" s="5"/>
      <c r="J147" s="5"/>
      <c r="K147" s="5"/>
      <c r="L147" s="5"/>
    </row>
    <row r="148" ht="15.75" customHeight="1">
      <c r="A148" s="5"/>
      <c r="B148" s="5"/>
      <c r="C148" s="5"/>
      <c r="D148" s="5"/>
      <c r="E148" s="5"/>
      <c r="F148" s="5"/>
      <c r="G148" s="5"/>
      <c r="H148" s="5"/>
      <c r="I148" s="5"/>
      <c r="J148" s="5"/>
      <c r="K148" s="5"/>
      <c r="L148" s="5"/>
    </row>
    <row r="149" ht="15.75" customHeight="1">
      <c r="A149" s="5"/>
      <c r="B149" s="5"/>
      <c r="C149" s="5"/>
      <c r="D149" s="5"/>
      <c r="E149" s="5"/>
      <c r="F149" s="5"/>
      <c r="G149" s="5"/>
      <c r="H149" s="5"/>
      <c r="I149" s="5"/>
      <c r="J149" s="5"/>
      <c r="K149" s="5"/>
      <c r="L149" s="5"/>
    </row>
    <row r="150" ht="15.75" customHeight="1">
      <c r="A150" s="5"/>
      <c r="B150" s="5"/>
      <c r="C150" s="5"/>
      <c r="D150" s="5"/>
      <c r="E150" s="5"/>
      <c r="F150" s="5"/>
      <c r="G150" s="5"/>
      <c r="H150" s="5"/>
      <c r="I150" s="5"/>
      <c r="J150" s="5"/>
      <c r="K150" s="5"/>
      <c r="L150" s="5"/>
    </row>
    <row r="151" ht="15.75" customHeight="1">
      <c r="A151" s="5"/>
      <c r="B151" s="5"/>
      <c r="C151" s="5"/>
      <c r="D151" s="5"/>
      <c r="E151" s="5"/>
      <c r="F151" s="5"/>
      <c r="G151" s="5"/>
      <c r="H151" s="5"/>
      <c r="I151" s="5"/>
      <c r="J151" s="5"/>
      <c r="K151" s="5"/>
      <c r="L151" s="5"/>
    </row>
    <row r="152" ht="15.75" customHeight="1">
      <c r="A152" s="5"/>
      <c r="B152" s="5"/>
      <c r="C152" s="5"/>
      <c r="D152" s="5"/>
      <c r="E152" s="5"/>
      <c r="F152" s="5"/>
      <c r="G152" s="5"/>
      <c r="H152" s="5"/>
      <c r="I152" s="5"/>
      <c r="J152" s="5"/>
      <c r="K152" s="5"/>
      <c r="L152" s="5"/>
    </row>
    <row r="153" ht="15.75" customHeight="1">
      <c r="A153" s="5"/>
      <c r="B153" s="5"/>
      <c r="C153" s="5"/>
      <c r="D153" s="5"/>
      <c r="E153" s="5"/>
      <c r="F153" s="5"/>
      <c r="G153" s="5"/>
      <c r="H153" s="5"/>
      <c r="I153" s="5"/>
      <c r="J153" s="5"/>
      <c r="K153" s="5"/>
      <c r="L153" s="5"/>
    </row>
    <row r="154" ht="15.75" customHeight="1">
      <c r="A154" s="5"/>
      <c r="B154" s="5"/>
      <c r="C154" s="5"/>
      <c r="D154" s="5"/>
      <c r="E154" s="5"/>
      <c r="F154" s="5"/>
      <c r="G154" s="5"/>
      <c r="H154" s="5"/>
      <c r="I154" s="5"/>
      <c r="J154" s="5"/>
      <c r="K154" s="5"/>
      <c r="L154" s="5"/>
    </row>
    <row r="155" ht="15.75" customHeight="1">
      <c r="A155" s="5"/>
      <c r="B155" s="5"/>
      <c r="C155" s="5"/>
      <c r="D155" s="5"/>
      <c r="E155" s="5"/>
      <c r="F155" s="5"/>
      <c r="G155" s="5"/>
      <c r="H155" s="5"/>
      <c r="I155" s="5"/>
      <c r="J155" s="5"/>
      <c r="K155" s="5"/>
      <c r="L155" s="5"/>
    </row>
    <row r="156" ht="15.75" customHeight="1">
      <c r="A156" s="5"/>
      <c r="B156" s="5"/>
      <c r="C156" s="5"/>
      <c r="D156" s="5"/>
      <c r="E156" s="5"/>
      <c r="F156" s="5"/>
      <c r="G156" s="5"/>
      <c r="H156" s="5"/>
      <c r="I156" s="5"/>
      <c r="J156" s="5"/>
      <c r="K156" s="5"/>
      <c r="L156" s="5"/>
    </row>
    <row r="157" ht="15.75" customHeight="1">
      <c r="A157" s="5"/>
      <c r="B157" s="5"/>
      <c r="C157" s="5"/>
      <c r="D157" s="5"/>
      <c r="E157" s="5"/>
      <c r="F157" s="5"/>
      <c r="G157" s="5"/>
      <c r="H157" s="5"/>
      <c r="I157" s="5"/>
      <c r="J157" s="5"/>
      <c r="K157" s="5"/>
      <c r="L157" s="5"/>
    </row>
    <row r="158" ht="15.75" customHeight="1">
      <c r="A158" s="5"/>
      <c r="B158" s="5"/>
      <c r="C158" s="5"/>
      <c r="D158" s="5"/>
      <c r="E158" s="5"/>
      <c r="F158" s="5"/>
      <c r="G158" s="5"/>
      <c r="H158" s="5"/>
      <c r="I158" s="5"/>
      <c r="J158" s="5"/>
      <c r="K158" s="5"/>
      <c r="L158" s="5"/>
    </row>
    <row r="159" ht="15.75" customHeight="1">
      <c r="A159" s="5"/>
      <c r="B159" s="5"/>
      <c r="C159" s="5"/>
      <c r="D159" s="5"/>
      <c r="E159" s="5"/>
      <c r="F159" s="5"/>
      <c r="G159" s="5"/>
      <c r="H159" s="5"/>
      <c r="I159" s="5"/>
      <c r="J159" s="5"/>
      <c r="K159" s="5"/>
      <c r="L159" s="5"/>
    </row>
    <row r="160" ht="15.75" customHeight="1">
      <c r="A160" s="5"/>
      <c r="B160" s="5"/>
      <c r="C160" s="5"/>
      <c r="D160" s="5"/>
      <c r="E160" s="5"/>
      <c r="F160" s="5"/>
      <c r="G160" s="5"/>
      <c r="H160" s="5"/>
      <c r="I160" s="5"/>
      <c r="J160" s="5"/>
      <c r="K160" s="5"/>
      <c r="L160" s="5"/>
    </row>
    <row r="161" ht="15.75" customHeight="1">
      <c r="A161" s="5"/>
      <c r="B161" s="5"/>
      <c r="C161" s="5"/>
      <c r="D161" s="5"/>
      <c r="E161" s="5"/>
      <c r="F161" s="5"/>
      <c r="G161" s="5"/>
      <c r="H161" s="5"/>
      <c r="I161" s="5"/>
      <c r="J161" s="5"/>
      <c r="K161" s="5"/>
      <c r="L161" s="5"/>
    </row>
    <row r="162" ht="15.75" customHeight="1">
      <c r="A162" s="5"/>
      <c r="B162" s="5"/>
      <c r="C162" s="5"/>
      <c r="D162" s="5"/>
      <c r="E162" s="5"/>
      <c r="F162" s="5"/>
      <c r="G162" s="5"/>
      <c r="H162" s="5"/>
      <c r="I162" s="5"/>
      <c r="J162" s="5"/>
      <c r="K162" s="5"/>
      <c r="L162" s="5"/>
    </row>
    <row r="163" ht="15.75" customHeight="1">
      <c r="A163" s="5"/>
      <c r="B163" s="5"/>
      <c r="C163" s="5"/>
      <c r="D163" s="5"/>
      <c r="E163" s="5"/>
      <c r="F163" s="5"/>
      <c r="G163" s="5"/>
      <c r="H163" s="5"/>
      <c r="I163" s="5"/>
      <c r="J163" s="5"/>
      <c r="K163" s="5"/>
      <c r="L163" s="5"/>
    </row>
    <row r="164" ht="15.75" customHeight="1">
      <c r="A164" s="5"/>
      <c r="B164" s="5"/>
      <c r="C164" s="5"/>
      <c r="D164" s="5"/>
      <c r="E164" s="5"/>
      <c r="F164" s="5"/>
      <c r="G164" s="5"/>
      <c r="H164" s="5"/>
      <c r="I164" s="5"/>
      <c r="J164" s="5"/>
      <c r="K164" s="5"/>
      <c r="L164" s="5"/>
    </row>
    <row r="165" ht="15.75" customHeight="1">
      <c r="A165" s="5"/>
      <c r="B165" s="5"/>
      <c r="C165" s="5"/>
      <c r="D165" s="5"/>
      <c r="E165" s="5"/>
      <c r="F165" s="5"/>
      <c r="G165" s="5"/>
      <c r="H165" s="5"/>
      <c r="I165" s="5"/>
      <c r="J165" s="5"/>
      <c r="K165" s="5"/>
      <c r="L165" s="5"/>
    </row>
    <row r="166" ht="15.75" customHeight="1">
      <c r="A166" s="5"/>
      <c r="B166" s="5"/>
      <c r="C166" s="5"/>
      <c r="D166" s="5"/>
      <c r="E166" s="5"/>
      <c r="F166" s="5"/>
      <c r="G166" s="5"/>
      <c r="H166" s="5"/>
      <c r="I166" s="5"/>
      <c r="J166" s="5"/>
      <c r="K166" s="5"/>
      <c r="L166" s="5"/>
    </row>
    <row r="167" ht="15.75" customHeight="1">
      <c r="A167" s="5"/>
      <c r="B167" s="5"/>
      <c r="C167" s="5"/>
      <c r="D167" s="5"/>
      <c r="E167" s="5"/>
      <c r="F167" s="5"/>
      <c r="G167" s="5"/>
      <c r="H167" s="5"/>
      <c r="I167" s="5"/>
      <c r="J167" s="5"/>
      <c r="K167" s="5"/>
      <c r="L167" s="5"/>
    </row>
    <row r="168" ht="15.75" customHeight="1">
      <c r="A168" s="5"/>
      <c r="B168" s="5"/>
      <c r="C168" s="5"/>
      <c r="D168" s="5"/>
      <c r="E168" s="5"/>
      <c r="F168" s="5"/>
      <c r="G168" s="5"/>
      <c r="H168" s="5"/>
      <c r="I168" s="5"/>
      <c r="J168" s="5"/>
      <c r="K168" s="5"/>
      <c r="L168" s="5"/>
    </row>
    <row r="169" ht="15.75" customHeight="1">
      <c r="A169" s="5"/>
      <c r="B169" s="5"/>
      <c r="C169" s="5"/>
      <c r="D169" s="5"/>
      <c r="E169" s="5"/>
      <c r="F169" s="5"/>
      <c r="G169" s="5"/>
      <c r="H169" s="5"/>
      <c r="I169" s="5"/>
      <c r="J169" s="5"/>
      <c r="K169" s="5"/>
      <c r="L169" s="5"/>
    </row>
    <row r="170" ht="15.75" customHeight="1">
      <c r="A170" s="5"/>
      <c r="B170" s="5"/>
      <c r="C170" s="5"/>
      <c r="D170" s="5"/>
      <c r="E170" s="5"/>
      <c r="F170" s="5"/>
      <c r="G170" s="5"/>
      <c r="H170" s="5"/>
      <c r="I170" s="5"/>
      <c r="J170" s="5"/>
      <c r="K170" s="5"/>
      <c r="L170" s="5"/>
    </row>
    <row r="171" ht="15.75" customHeight="1">
      <c r="A171" s="5"/>
      <c r="B171" s="5"/>
      <c r="C171" s="5"/>
      <c r="D171" s="5"/>
      <c r="E171" s="5"/>
      <c r="F171" s="5"/>
      <c r="G171" s="5"/>
      <c r="H171" s="5"/>
      <c r="I171" s="5"/>
      <c r="J171" s="5"/>
      <c r="K171" s="5"/>
      <c r="L171" s="5"/>
    </row>
    <row r="172" ht="15.75" customHeight="1">
      <c r="A172" s="5"/>
      <c r="B172" s="5"/>
      <c r="C172" s="5"/>
      <c r="D172" s="5"/>
      <c r="E172" s="5"/>
      <c r="F172" s="5"/>
      <c r="G172" s="5"/>
      <c r="H172" s="5"/>
      <c r="I172" s="5"/>
      <c r="J172" s="5"/>
      <c r="K172" s="5"/>
      <c r="L172" s="5"/>
    </row>
    <row r="173" ht="15.75" customHeight="1">
      <c r="A173" s="5"/>
      <c r="B173" s="5"/>
      <c r="C173" s="5"/>
      <c r="D173" s="5"/>
      <c r="E173" s="5"/>
      <c r="F173" s="5"/>
      <c r="G173" s="5"/>
      <c r="H173" s="5"/>
      <c r="I173" s="5"/>
      <c r="J173" s="5"/>
      <c r="K173" s="5"/>
      <c r="L173" s="5"/>
    </row>
    <row r="174" ht="15.75" customHeight="1">
      <c r="A174" s="5"/>
      <c r="B174" s="5"/>
      <c r="C174" s="5"/>
      <c r="D174" s="5"/>
      <c r="E174" s="5"/>
      <c r="F174" s="5"/>
      <c r="G174" s="5"/>
      <c r="H174" s="5"/>
      <c r="I174" s="5"/>
      <c r="J174" s="5"/>
      <c r="K174" s="5"/>
      <c r="L174" s="5"/>
    </row>
    <row r="175" ht="15.75" customHeight="1">
      <c r="A175" s="5"/>
      <c r="B175" s="5"/>
      <c r="C175" s="5"/>
      <c r="D175" s="5"/>
      <c r="E175" s="5"/>
      <c r="F175" s="5"/>
      <c r="G175" s="5"/>
      <c r="H175" s="5"/>
      <c r="I175" s="5"/>
      <c r="J175" s="5"/>
      <c r="K175" s="5"/>
      <c r="L175" s="5"/>
    </row>
    <row r="176" ht="15.75" customHeight="1">
      <c r="A176" s="5"/>
      <c r="B176" s="5"/>
      <c r="C176" s="5"/>
      <c r="D176" s="5"/>
      <c r="E176" s="5"/>
      <c r="F176" s="5"/>
      <c r="G176" s="5"/>
      <c r="H176" s="5"/>
      <c r="I176" s="5"/>
      <c r="J176" s="5"/>
      <c r="K176" s="5"/>
      <c r="L176" s="5"/>
    </row>
    <row r="177" ht="15.75" customHeight="1">
      <c r="A177" s="5"/>
      <c r="B177" s="5"/>
      <c r="C177" s="5"/>
      <c r="D177" s="5"/>
      <c r="E177" s="5"/>
      <c r="F177" s="5"/>
      <c r="G177" s="5"/>
      <c r="H177" s="5"/>
      <c r="I177" s="5"/>
      <c r="J177" s="5"/>
      <c r="K177" s="5"/>
      <c r="L177" s="5"/>
    </row>
    <row r="178" ht="15.75" customHeight="1">
      <c r="A178" s="5"/>
      <c r="B178" s="5"/>
      <c r="C178" s="5"/>
      <c r="D178" s="5"/>
      <c r="E178" s="5"/>
      <c r="F178" s="5"/>
      <c r="G178" s="5"/>
      <c r="H178" s="5"/>
      <c r="I178" s="5"/>
      <c r="J178" s="5"/>
      <c r="K178" s="5"/>
      <c r="L178" s="5"/>
    </row>
    <row r="179" ht="15.75" customHeight="1">
      <c r="A179" s="5"/>
      <c r="B179" s="5"/>
      <c r="C179" s="5"/>
      <c r="D179" s="5"/>
      <c r="E179" s="5"/>
      <c r="F179" s="5"/>
      <c r="G179" s="5"/>
      <c r="H179" s="5"/>
      <c r="I179" s="5"/>
      <c r="J179" s="5"/>
      <c r="K179" s="5"/>
      <c r="L179" s="5"/>
    </row>
    <row r="180" ht="15.75" customHeight="1">
      <c r="A180" s="5"/>
      <c r="B180" s="5"/>
      <c r="C180" s="5"/>
      <c r="D180" s="5"/>
      <c r="E180" s="5"/>
      <c r="F180" s="5"/>
      <c r="G180" s="5"/>
      <c r="H180" s="5"/>
      <c r="I180" s="5"/>
      <c r="J180" s="5"/>
      <c r="K180" s="5"/>
      <c r="L180" s="5"/>
    </row>
    <row r="181" ht="15.75" customHeight="1">
      <c r="A181" s="5"/>
      <c r="B181" s="5"/>
      <c r="C181" s="5"/>
      <c r="D181" s="5"/>
      <c r="E181" s="5"/>
      <c r="F181" s="5"/>
      <c r="G181" s="5"/>
      <c r="H181" s="5"/>
      <c r="I181" s="5"/>
      <c r="J181" s="5"/>
      <c r="K181" s="5"/>
      <c r="L181" s="5"/>
    </row>
    <row r="182" ht="15.75" customHeight="1">
      <c r="A182" s="5"/>
      <c r="B182" s="5"/>
      <c r="C182" s="5"/>
      <c r="D182" s="5"/>
      <c r="E182" s="5"/>
      <c r="F182" s="5"/>
      <c r="G182" s="5"/>
      <c r="H182" s="5"/>
      <c r="I182" s="5"/>
      <c r="J182" s="5"/>
      <c r="K182" s="5"/>
      <c r="L182" s="5"/>
    </row>
    <row r="183" ht="15.75" customHeight="1">
      <c r="A183" s="5"/>
      <c r="B183" s="5"/>
      <c r="C183" s="5"/>
      <c r="D183" s="5"/>
      <c r="E183" s="5"/>
      <c r="F183" s="5"/>
      <c r="G183" s="5"/>
      <c r="H183" s="5"/>
      <c r="I183" s="5"/>
      <c r="J183" s="5"/>
      <c r="K183" s="5"/>
      <c r="L183" s="5"/>
    </row>
    <row r="184" ht="15.75" customHeight="1">
      <c r="A184" s="5"/>
      <c r="B184" s="5"/>
      <c r="C184" s="5"/>
      <c r="D184" s="5"/>
      <c r="E184" s="5"/>
      <c r="F184" s="5"/>
      <c r="G184" s="5"/>
      <c r="H184" s="5"/>
      <c r="I184" s="5"/>
      <c r="J184" s="5"/>
      <c r="K184" s="5"/>
      <c r="L184" s="5"/>
    </row>
    <row r="185" ht="15.75" customHeight="1">
      <c r="A185" s="5"/>
      <c r="B185" s="5"/>
      <c r="C185" s="5"/>
      <c r="D185" s="5"/>
      <c r="E185" s="5"/>
      <c r="F185" s="5"/>
      <c r="G185" s="5"/>
      <c r="H185" s="5"/>
      <c r="I185" s="5"/>
      <c r="J185" s="5"/>
      <c r="K185" s="5"/>
      <c r="L185" s="5"/>
    </row>
    <row r="186" ht="15.75" customHeight="1">
      <c r="A186" s="5"/>
      <c r="B186" s="5"/>
      <c r="C186" s="5"/>
      <c r="D186" s="5"/>
      <c r="E186" s="5"/>
      <c r="F186" s="5"/>
      <c r="G186" s="5"/>
      <c r="H186" s="5"/>
      <c r="I186" s="5"/>
      <c r="J186" s="5"/>
      <c r="K186" s="5"/>
      <c r="L186" s="5"/>
    </row>
    <row r="187" ht="15.75" customHeight="1">
      <c r="A187" s="5"/>
      <c r="B187" s="5"/>
      <c r="C187" s="5"/>
      <c r="D187" s="5"/>
      <c r="E187" s="5"/>
      <c r="F187" s="5"/>
      <c r="G187" s="5"/>
      <c r="H187" s="5"/>
      <c r="I187" s="5"/>
      <c r="J187" s="5"/>
      <c r="K187" s="5"/>
      <c r="L187" s="5"/>
    </row>
    <row r="188" ht="15.75" customHeight="1">
      <c r="A188" s="5"/>
      <c r="B188" s="5"/>
      <c r="C188" s="5"/>
      <c r="D188" s="5"/>
      <c r="E188" s="5"/>
      <c r="F188" s="5"/>
      <c r="G188" s="5"/>
      <c r="H188" s="5"/>
      <c r="I188" s="5"/>
      <c r="J188" s="5"/>
      <c r="K188" s="5"/>
      <c r="L188" s="5"/>
    </row>
    <row r="189" ht="15.75" customHeight="1">
      <c r="A189" s="5"/>
      <c r="B189" s="5"/>
      <c r="C189" s="5"/>
      <c r="D189" s="5"/>
      <c r="E189" s="5"/>
      <c r="F189" s="5"/>
      <c r="G189" s="5"/>
      <c r="H189" s="5"/>
      <c r="I189" s="5"/>
      <c r="J189" s="5"/>
      <c r="K189" s="5"/>
      <c r="L189" s="5"/>
    </row>
    <row r="190" ht="15.75" customHeight="1">
      <c r="A190" s="5"/>
      <c r="B190" s="5"/>
      <c r="C190" s="5"/>
      <c r="D190" s="5"/>
      <c r="E190" s="5"/>
      <c r="F190" s="5"/>
      <c r="G190" s="5"/>
      <c r="H190" s="5"/>
      <c r="I190" s="5"/>
      <c r="J190" s="5"/>
      <c r="K190" s="5"/>
      <c r="L190" s="5"/>
    </row>
    <row r="191" ht="15.75" customHeight="1">
      <c r="A191" s="5"/>
      <c r="B191" s="5"/>
      <c r="C191" s="5"/>
      <c r="D191" s="5"/>
      <c r="E191" s="5"/>
      <c r="F191" s="5"/>
      <c r="G191" s="5"/>
      <c r="H191" s="5"/>
      <c r="I191" s="5"/>
      <c r="J191" s="5"/>
      <c r="K191" s="5"/>
      <c r="L191" s="5"/>
    </row>
    <row r="192" ht="15.75" customHeight="1">
      <c r="A192" s="5"/>
      <c r="B192" s="5"/>
      <c r="C192" s="5"/>
      <c r="D192" s="5"/>
      <c r="E192" s="5"/>
      <c r="F192" s="5"/>
      <c r="G192" s="5"/>
      <c r="H192" s="5"/>
      <c r="I192" s="5"/>
      <c r="J192" s="5"/>
      <c r="K192" s="5"/>
      <c r="L192" s="5"/>
    </row>
    <row r="193" ht="15.75" customHeight="1">
      <c r="A193" s="5"/>
      <c r="B193" s="5"/>
      <c r="C193" s="5"/>
      <c r="D193" s="5"/>
      <c r="E193" s="5"/>
      <c r="F193" s="5"/>
      <c r="G193" s="5"/>
      <c r="H193" s="5"/>
      <c r="I193" s="5"/>
      <c r="J193" s="5"/>
      <c r="K193" s="5"/>
      <c r="L193" s="5"/>
    </row>
    <row r="194" ht="15.75" customHeight="1">
      <c r="A194" s="5"/>
      <c r="B194" s="5"/>
      <c r="C194" s="5"/>
      <c r="D194" s="5"/>
      <c r="E194" s="5"/>
      <c r="F194" s="5"/>
      <c r="G194" s="5"/>
      <c r="H194" s="5"/>
      <c r="I194" s="5"/>
      <c r="J194" s="5"/>
      <c r="K194" s="5"/>
      <c r="L194" s="5"/>
    </row>
    <row r="195" ht="15.75" customHeight="1">
      <c r="A195" s="5"/>
      <c r="B195" s="5"/>
      <c r="C195" s="5"/>
      <c r="D195" s="5"/>
      <c r="E195" s="5"/>
      <c r="F195" s="5"/>
      <c r="G195" s="5"/>
      <c r="H195" s="5"/>
      <c r="I195" s="5"/>
      <c r="J195" s="5"/>
      <c r="K195" s="5"/>
      <c r="L195" s="5"/>
    </row>
    <row r="196" ht="15.75" customHeight="1">
      <c r="A196" s="5"/>
      <c r="B196" s="5"/>
      <c r="C196" s="5"/>
      <c r="D196" s="5"/>
      <c r="E196" s="5"/>
      <c r="F196" s="5"/>
      <c r="G196" s="5"/>
      <c r="H196" s="5"/>
      <c r="I196" s="5"/>
      <c r="J196" s="5"/>
      <c r="K196" s="5"/>
      <c r="L196" s="5"/>
    </row>
    <row r="197" ht="15.75" customHeight="1">
      <c r="A197" s="5"/>
      <c r="B197" s="5"/>
      <c r="C197" s="5"/>
      <c r="D197" s="5"/>
      <c r="E197" s="5"/>
      <c r="F197" s="5"/>
      <c r="G197" s="5"/>
      <c r="H197" s="5"/>
      <c r="I197" s="5"/>
      <c r="J197" s="5"/>
      <c r="K197" s="5"/>
      <c r="L197" s="5"/>
    </row>
    <row r="198" ht="15.75" customHeight="1">
      <c r="A198" s="5"/>
      <c r="B198" s="5"/>
      <c r="C198" s="5"/>
      <c r="D198" s="5"/>
      <c r="E198" s="5"/>
      <c r="F198" s="5"/>
      <c r="G198" s="5"/>
      <c r="H198" s="5"/>
      <c r="I198" s="5"/>
      <c r="J198" s="5"/>
      <c r="K198" s="5"/>
      <c r="L198" s="5"/>
    </row>
    <row r="199" ht="15.75" customHeight="1">
      <c r="A199" s="5"/>
      <c r="B199" s="5"/>
      <c r="C199" s="5"/>
      <c r="D199" s="5"/>
      <c r="E199" s="5"/>
      <c r="F199" s="5"/>
      <c r="G199" s="5"/>
      <c r="H199" s="5"/>
      <c r="I199" s="5"/>
      <c r="J199" s="5"/>
      <c r="K199" s="5"/>
      <c r="L199" s="5"/>
    </row>
    <row r="200" ht="15.75" customHeight="1">
      <c r="A200" s="5"/>
      <c r="B200" s="5"/>
      <c r="C200" s="5"/>
      <c r="D200" s="5"/>
      <c r="E200" s="5"/>
      <c r="F200" s="5"/>
      <c r="G200" s="5"/>
      <c r="H200" s="5"/>
      <c r="I200" s="5"/>
      <c r="J200" s="5"/>
      <c r="K200" s="5"/>
      <c r="L200" s="5"/>
    </row>
    <row r="201" ht="15.75" customHeight="1">
      <c r="A201" s="5"/>
      <c r="B201" s="5"/>
      <c r="C201" s="5"/>
      <c r="D201" s="5"/>
      <c r="E201" s="5"/>
      <c r="F201" s="5"/>
      <c r="G201" s="5"/>
      <c r="H201" s="5"/>
      <c r="I201" s="5"/>
      <c r="J201" s="5"/>
      <c r="K201" s="5"/>
      <c r="L201" s="5"/>
    </row>
    <row r="202" ht="15.75" customHeight="1">
      <c r="A202" s="5"/>
      <c r="B202" s="5"/>
      <c r="C202" s="5"/>
      <c r="D202" s="5"/>
      <c r="E202" s="5"/>
      <c r="F202" s="5"/>
      <c r="G202" s="5"/>
      <c r="H202" s="5"/>
      <c r="I202" s="5"/>
      <c r="J202" s="5"/>
      <c r="K202" s="5"/>
      <c r="L202" s="5"/>
    </row>
    <row r="203" ht="15.75" customHeight="1">
      <c r="A203" s="5"/>
      <c r="B203" s="5"/>
      <c r="C203" s="5"/>
      <c r="D203" s="5"/>
      <c r="E203" s="5"/>
      <c r="F203" s="5"/>
      <c r="G203" s="5"/>
      <c r="H203" s="5"/>
      <c r="I203" s="5"/>
      <c r="J203" s="5"/>
      <c r="K203" s="5"/>
      <c r="L203" s="5"/>
    </row>
    <row r="204" ht="15.75" customHeight="1">
      <c r="A204" s="5"/>
      <c r="B204" s="5"/>
      <c r="C204" s="5"/>
      <c r="D204" s="5"/>
      <c r="E204" s="5"/>
      <c r="F204" s="5"/>
      <c r="G204" s="5"/>
      <c r="H204" s="5"/>
      <c r="I204" s="5"/>
      <c r="J204" s="5"/>
      <c r="K204" s="5"/>
      <c r="L204" s="5"/>
    </row>
    <row r="205" ht="15.75" customHeight="1">
      <c r="A205" s="5"/>
      <c r="B205" s="5"/>
      <c r="C205" s="5"/>
      <c r="D205" s="5"/>
      <c r="E205" s="5"/>
      <c r="F205" s="5"/>
      <c r="G205" s="5"/>
      <c r="H205" s="5"/>
      <c r="I205" s="5"/>
      <c r="J205" s="5"/>
      <c r="K205" s="5"/>
      <c r="L205" s="5"/>
    </row>
    <row r="206" ht="15.75" customHeight="1">
      <c r="A206" s="5"/>
      <c r="B206" s="5"/>
      <c r="C206" s="5"/>
      <c r="D206" s="5"/>
      <c r="E206" s="5"/>
      <c r="F206" s="5"/>
      <c r="G206" s="5"/>
      <c r="H206" s="5"/>
      <c r="I206" s="5"/>
      <c r="J206" s="5"/>
      <c r="K206" s="5"/>
      <c r="L206" s="5"/>
    </row>
    <row r="207" ht="15.75" customHeight="1">
      <c r="A207" s="5"/>
      <c r="B207" s="5"/>
      <c r="C207" s="5"/>
      <c r="D207" s="5"/>
      <c r="E207" s="5"/>
      <c r="F207" s="5"/>
      <c r="G207" s="5"/>
      <c r="H207" s="5"/>
      <c r="I207" s="5"/>
      <c r="J207" s="5"/>
      <c r="K207" s="5"/>
      <c r="L207" s="5"/>
    </row>
    <row r="208" ht="15.75" customHeight="1">
      <c r="A208" s="5"/>
      <c r="B208" s="5"/>
      <c r="C208" s="5"/>
      <c r="D208" s="5"/>
      <c r="E208" s="5"/>
      <c r="F208" s="5"/>
      <c r="G208" s="5"/>
      <c r="H208" s="5"/>
      <c r="I208" s="5"/>
      <c r="J208" s="5"/>
      <c r="K208" s="5"/>
      <c r="L208" s="5"/>
    </row>
    <row r="209" ht="15.75" customHeight="1">
      <c r="A209" s="5"/>
      <c r="B209" s="5"/>
      <c r="C209" s="5"/>
      <c r="D209" s="5"/>
      <c r="E209" s="5"/>
      <c r="F209" s="5"/>
      <c r="G209" s="5"/>
      <c r="H209" s="5"/>
      <c r="I209" s="5"/>
      <c r="J209" s="5"/>
      <c r="K209" s="5"/>
      <c r="L209" s="5"/>
    </row>
    <row r="210" ht="15.75" customHeight="1">
      <c r="A210" s="5"/>
      <c r="B210" s="5"/>
      <c r="C210" s="5"/>
      <c r="D210" s="5"/>
      <c r="E210" s="5"/>
      <c r="F210" s="5"/>
      <c r="G210" s="5"/>
      <c r="H210" s="5"/>
      <c r="I210" s="5"/>
      <c r="J210" s="5"/>
      <c r="K210" s="5"/>
      <c r="L210" s="5"/>
    </row>
    <row r="211" ht="15.75" customHeight="1">
      <c r="A211" s="5"/>
      <c r="B211" s="5"/>
      <c r="C211" s="5"/>
      <c r="D211" s="5"/>
      <c r="E211" s="5"/>
      <c r="F211" s="5"/>
      <c r="G211" s="5"/>
      <c r="H211" s="5"/>
      <c r="I211" s="5"/>
      <c r="J211" s="5"/>
      <c r="K211" s="5"/>
      <c r="L211" s="5"/>
    </row>
    <row r="212" ht="15.75" customHeight="1">
      <c r="A212" s="5"/>
      <c r="B212" s="5"/>
      <c r="C212" s="5"/>
      <c r="D212" s="5"/>
      <c r="E212" s="5"/>
      <c r="F212" s="5"/>
      <c r="G212" s="5"/>
      <c r="H212" s="5"/>
      <c r="I212" s="5"/>
      <c r="J212" s="5"/>
      <c r="K212" s="5"/>
      <c r="L212" s="5"/>
    </row>
    <row r="213" ht="15.75" customHeight="1">
      <c r="A213" s="5"/>
      <c r="B213" s="5"/>
      <c r="C213" s="5"/>
      <c r="D213" s="5"/>
      <c r="E213" s="5"/>
      <c r="F213" s="5"/>
      <c r="G213" s="5"/>
      <c r="H213" s="5"/>
      <c r="I213" s="5"/>
      <c r="J213" s="5"/>
      <c r="K213" s="5"/>
      <c r="L213" s="5"/>
    </row>
    <row r="214" ht="15.75" customHeight="1">
      <c r="A214" s="5"/>
      <c r="B214" s="5"/>
      <c r="C214" s="5"/>
      <c r="D214" s="5"/>
      <c r="E214" s="5"/>
      <c r="F214" s="5"/>
      <c r="G214" s="5"/>
      <c r="H214" s="5"/>
      <c r="I214" s="5"/>
      <c r="J214" s="5"/>
      <c r="K214" s="5"/>
      <c r="L214" s="5"/>
    </row>
    <row r="215" ht="15.75" customHeight="1">
      <c r="A215" s="5"/>
      <c r="B215" s="5"/>
      <c r="C215" s="5"/>
      <c r="D215" s="5"/>
      <c r="E215" s="5"/>
      <c r="F215" s="5"/>
      <c r="G215" s="5"/>
      <c r="H215" s="5"/>
      <c r="I215" s="5"/>
      <c r="J215" s="5"/>
      <c r="K215" s="5"/>
      <c r="L215" s="5"/>
    </row>
    <row r="216" ht="15.75" customHeight="1">
      <c r="A216" s="5"/>
      <c r="B216" s="5"/>
      <c r="C216" s="5"/>
      <c r="D216" s="5"/>
      <c r="E216" s="5"/>
      <c r="F216" s="5"/>
      <c r="G216" s="5"/>
      <c r="H216" s="5"/>
      <c r="I216" s="5"/>
      <c r="J216" s="5"/>
      <c r="K216" s="5"/>
      <c r="L216" s="5"/>
    </row>
    <row r="217" ht="15.75" customHeight="1">
      <c r="A217" s="5"/>
      <c r="B217" s="5"/>
      <c r="C217" s="5"/>
      <c r="D217" s="5"/>
      <c r="E217" s="5"/>
      <c r="F217" s="5"/>
      <c r="G217" s="5"/>
      <c r="H217" s="5"/>
      <c r="I217" s="5"/>
      <c r="J217" s="5"/>
      <c r="K217" s="5"/>
      <c r="L217" s="5"/>
    </row>
    <row r="218" ht="15.75" customHeight="1">
      <c r="A218" s="5"/>
      <c r="B218" s="5"/>
      <c r="C218" s="5"/>
      <c r="D218" s="5"/>
      <c r="E218" s="5"/>
      <c r="F218" s="5"/>
      <c r="G218" s="5"/>
      <c r="H218" s="5"/>
      <c r="I218" s="5"/>
      <c r="J218" s="5"/>
      <c r="K218" s="5"/>
      <c r="L218" s="5"/>
    </row>
    <row r="219" ht="15.75" customHeight="1">
      <c r="A219" s="5"/>
      <c r="B219" s="5"/>
      <c r="C219" s="5"/>
      <c r="D219" s="5"/>
      <c r="E219" s="5"/>
      <c r="F219" s="5"/>
      <c r="G219" s="5"/>
      <c r="H219" s="5"/>
      <c r="I219" s="5"/>
      <c r="J219" s="5"/>
      <c r="K219" s="5"/>
      <c r="L219" s="5"/>
    </row>
    <row r="220" ht="15.75" customHeight="1">
      <c r="A220" s="5"/>
      <c r="B220" s="5"/>
      <c r="C220" s="5"/>
      <c r="D220" s="5"/>
      <c r="E220" s="5"/>
      <c r="F220" s="5"/>
      <c r="G220" s="5"/>
      <c r="H220" s="5"/>
      <c r="I220" s="5"/>
      <c r="J220" s="5"/>
      <c r="K220" s="5"/>
      <c r="L220" s="5"/>
    </row>
    <row r="221" ht="15.75" customHeight="1">
      <c r="A221" s="5"/>
      <c r="B221" s="5"/>
      <c r="C221" s="5"/>
      <c r="D221" s="5"/>
      <c r="E221" s="5"/>
      <c r="F221" s="5"/>
      <c r="G221" s="5"/>
      <c r="H221" s="5"/>
      <c r="I221" s="5"/>
      <c r="J221" s="5"/>
      <c r="K221" s="5"/>
      <c r="L221" s="5"/>
    </row>
    <row r="222" ht="15.75" customHeight="1">
      <c r="A222" s="5"/>
      <c r="B222" s="5"/>
      <c r="C222" s="5"/>
      <c r="D222" s="5"/>
      <c r="E222" s="5"/>
      <c r="F222" s="5"/>
      <c r="G222" s="5"/>
      <c r="H222" s="5"/>
      <c r="I222" s="5"/>
      <c r="J222" s="5"/>
      <c r="K222" s="5"/>
      <c r="L222" s="5"/>
    </row>
    <row r="223" ht="15.75" customHeight="1">
      <c r="A223" s="5"/>
      <c r="B223" s="5"/>
      <c r="C223" s="5"/>
      <c r="D223" s="5"/>
      <c r="E223" s="5"/>
      <c r="F223" s="5"/>
      <c r="G223" s="5"/>
      <c r="H223" s="5"/>
      <c r="I223" s="5"/>
      <c r="J223" s="5"/>
      <c r="K223" s="5"/>
      <c r="L223" s="5"/>
    </row>
    <row r="224" ht="15.75" customHeight="1">
      <c r="A224" s="5"/>
      <c r="B224" s="5"/>
      <c r="C224" s="5"/>
      <c r="D224" s="5"/>
      <c r="E224" s="5"/>
      <c r="F224" s="5"/>
      <c r="G224" s="5"/>
      <c r="H224" s="5"/>
      <c r="I224" s="5"/>
      <c r="J224" s="5"/>
      <c r="K224" s="5"/>
      <c r="L224" s="5"/>
    </row>
    <row r="225" ht="15.75" customHeight="1">
      <c r="A225" s="5"/>
      <c r="B225" s="5"/>
      <c r="C225" s="5"/>
      <c r="D225" s="5"/>
      <c r="E225" s="5"/>
      <c r="F225" s="5"/>
      <c r="G225" s="5"/>
      <c r="H225" s="5"/>
      <c r="I225" s="5"/>
      <c r="J225" s="5"/>
      <c r="K225" s="5"/>
      <c r="L225" s="5"/>
    </row>
    <row r="226" ht="15.75" customHeight="1">
      <c r="A226" s="5"/>
      <c r="B226" s="5"/>
      <c r="C226" s="5"/>
      <c r="D226" s="5"/>
      <c r="E226" s="5"/>
      <c r="F226" s="5"/>
      <c r="G226" s="5"/>
      <c r="H226" s="5"/>
      <c r="I226" s="5"/>
      <c r="J226" s="5"/>
      <c r="K226" s="5"/>
      <c r="L226" s="5"/>
    </row>
    <row r="227" ht="15.75" customHeight="1">
      <c r="A227" s="5"/>
      <c r="B227" s="5"/>
      <c r="C227" s="5"/>
      <c r="D227" s="5"/>
      <c r="E227" s="5"/>
      <c r="F227" s="5"/>
      <c r="G227" s="5"/>
      <c r="H227" s="5"/>
      <c r="I227" s="5"/>
      <c r="J227" s="5"/>
      <c r="K227" s="5"/>
      <c r="L227" s="5"/>
    </row>
    <row r="228" ht="15.75" customHeight="1">
      <c r="A228" s="5"/>
      <c r="B228" s="5"/>
      <c r="C228" s="5"/>
      <c r="D228" s="5"/>
      <c r="E228" s="5"/>
      <c r="F228" s="5"/>
      <c r="G228" s="5"/>
      <c r="H228" s="5"/>
      <c r="I228" s="5"/>
      <c r="J228" s="5"/>
      <c r="K228" s="5"/>
      <c r="L228" s="5"/>
    </row>
    <row r="229" ht="15.75" customHeight="1">
      <c r="A229" s="5"/>
      <c r="B229" s="5"/>
      <c r="C229" s="5"/>
      <c r="D229" s="5"/>
      <c r="E229" s="5"/>
      <c r="F229" s="5"/>
      <c r="G229" s="5"/>
      <c r="H229" s="5"/>
      <c r="I229" s="5"/>
      <c r="J229" s="5"/>
      <c r="K229" s="5"/>
      <c r="L229" s="5"/>
    </row>
    <row r="230" ht="15.75" customHeight="1">
      <c r="A230" s="5"/>
      <c r="B230" s="5"/>
      <c r="C230" s="5"/>
      <c r="D230" s="5"/>
      <c r="E230" s="5"/>
      <c r="F230" s="5"/>
      <c r="G230" s="5"/>
      <c r="H230" s="5"/>
      <c r="I230" s="5"/>
      <c r="J230" s="5"/>
      <c r="K230" s="5"/>
      <c r="L230" s="5"/>
    </row>
    <row r="231" ht="15.75" customHeight="1">
      <c r="A231" s="5"/>
      <c r="B231" s="5"/>
      <c r="C231" s="5"/>
      <c r="D231" s="5"/>
      <c r="E231" s="5"/>
      <c r="F231" s="5"/>
      <c r="G231" s="5"/>
      <c r="H231" s="5"/>
      <c r="I231" s="5"/>
      <c r="J231" s="5"/>
      <c r="K231" s="5"/>
      <c r="L231" s="5"/>
    </row>
    <row r="232" ht="15.75" customHeight="1">
      <c r="A232" s="5"/>
      <c r="B232" s="5"/>
      <c r="C232" s="5"/>
      <c r="D232" s="5"/>
      <c r="E232" s="5"/>
      <c r="F232" s="5"/>
      <c r="G232" s="5"/>
      <c r="H232" s="5"/>
      <c r="I232" s="5"/>
      <c r="J232" s="5"/>
      <c r="K232" s="5"/>
      <c r="L232" s="5"/>
    </row>
    <row r="233" ht="15.75" customHeight="1">
      <c r="A233" s="5"/>
      <c r="B233" s="5"/>
      <c r="C233" s="5"/>
      <c r="D233" s="5"/>
      <c r="E233" s="5"/>
      <c r="F233" s="5"/>
      <c r="G233" s="5"/>
      <c r="H233" s="5"/>
      <c r="I233" s="5"/>
      <c r="J233" s="5"/>
      <c r="K233" s="5"/>
      <c r="L233" s="5"/>
    </row>
    <row r="234" ht="15.75" customHeight="1">
      <c r="A234" s="5"/>
      <c r="B234" s="5"/>
      <c r="C234" s="5"/>
      <c r="D234" s="5"/>
      <c r="E234" s="5"/>
      <c r="F234" s="5"/>
      <c r="G234" s="5"/>
      <c r="H234" s="5"/>
      <c r="I234" s="5"/>
      <c r="J234" s="5"/>
      <c r="K234" s="5"/>
      <c r="L234" s="5"/>
    </row>
    <row r="235" ht="15.75" customHeight="1">
      <c r="A235" s="5"/>
      <c r="B235" s="5"/>
      <c r="C235" s="5"/>
      <c r="D235" s="5"/>
      <c r="E235" s="5"/>
      <c r="F235" s="5"/>
      <c r="G235" s="5"/>
      <c r="H235" s="5"/>
      <c r="I235" s="5"/>
      <c r="J235" s="5"/>
      <c r="K235" s="5"/>
      <c r="L235" s="5"/>
    </row>
    <row r="236" ht="15.75" customHeight="1">
      <c r="A236" s="5"/>
      <c r="B236" s="5"/>
      <c r="C236" s="5"/>
      <c r="D236" s="5"/>
      <c r="E236" s="5"/>
      <c r="F236" s="5"/>
      <c r="G236" s="5"/>
      <c r="H236" s="5"/>
      <c r="I236" s="5"/>
      <c r="J236" s="5"/>
      <c r="K236" s="5"/>
      <c r="L236" s="5"/>
    </row>
    <row r="237" ht="15.75" customHeight="1">
      <c r="A237" s="5"/>
      <c r="B237" s="5"/>
      <c r="C237" s="5"/>
      <c r="D237" s="5"/>
      <c r="E237" s="5"/>
      <c r="F237" s="5"/>
      <c r="G237" s="5"/>
      <c r="H237" s="5"/>
      <c r="I237" s="5"/>
      <c r="J237" s="5"/>
      <c r="K237" s="5"/>
      <c r="L237" s="5"/>
    </row>
    <row r="238" ht="15.75" customHeight="1">
      <c r="A238" s="5"/>
      <c r="B238" s="5"/>
      <c r="C238" s="5"/>
      <c r="D238" s="5"/>
      <c r="E238" s="5"/>
      <c r="F238" s="5"/>
      <c r="G238" s="5"/>
      <c r="H238" s="5"/>
      <c r="I238" s="5"/>
      <c r="J238" s="5"/>
      <c r="K238" s="5"/>
      <c r="L238" s="5"/>
    </row>
    <row r="239" ht="15.75" customHeight="1">
      <c r="A239" s="5"/>
      <c r="B239" s="5"/>
      <c r="C239" s="5"/>
      <c r="D239" s="5"/>
      <c r="E239" s="5"/>
      <c r="F239" s="5"/>
      <c r="G239" s="5"/>
      <c r="H239" s="5"/>
      <c r="I239" s="5"/>
      <c r="J239" s="5"/>
      <c r="K239" s="5"/>
      <c r="L239" s="5"/>
    </row>
    <row r="240" ht="15.75" customHeight="1">
      <c r="A240" s="5"/>
      <c r="B240" s="5"/>
      <c r="C240" s="5"/>
      <c r="D240" s="5"/>
      <c r="E240" s="5"/>
      <c r="F240" s="5"/>
      <c r="G240" s="5"/>
      <c r="H240" s="5"/>
      <c r="I240" s="5"/>
      <c r="J240" s="5"/>
      <c r="K240" s="5"/>
      <c r="L240" s="5"/>
    </row>
    <row r="241" ht="15.75" customHeight="1">
      <c r="A241" s="5"/>
      <c r="B241" s="5"/>
      <c r="C241" s="5"/>
      <c r="D241" s="5"/>
      <c r="E241" s="5"/>
      <c r="F241" s="5"/>
      <c r="G241" s="5"/>
      <c r="H241" s="5"/>
      <c r="I241" s="5"/>
      <c r="J241" s="5"/>
      <c r="K241" s="5"/>
      <c r="L241" s="5"/>
    </row>
    <row r="242" ht="15.75" customHeight="1">
      <c r="A242" s="5"/>
      <c r="B242" s="5"/>
      <c r="C242" s="5"/>
      <c r="D242" s="5"/>
      <c r="E242" s="5"/>
      <c r="F242" s="5"/>
      <c r="G242" s="5"/>
      <c r="H242" s="5"/>
      <c r="I242" s="5"/>
      <c r="J242" s="5"/>
      <c r="K242" s="5"/>
      <c r="L242" s="5"/>
    </row>
    <row r="243" ht="15.75" customHeight="1">
      <c r="A243" s="5"/>
      <c r="B243" s="5"/>
      <c r="C243" s="5"/>
      <c r="D243" s="5"/>
      <c r="E243" s="5"/>
      <c r="F243" s="5"/>
      <c r="G243" s="5"/>
      <c r="H243" s="5"/>
      <c r="I243" s="5"/>
      <c r="J243" s="5"/>
      <c r="K243" s="5"/>
      <c r="L243" s="5"/>
    </row>
    <row r="244" ht="15.75" customHeight="1">
      <c r="A244" s="5"/>
      <c r="B244" s="5"/>
      <c r="C244" s="5"/>
      <c r="D244" s="5"/>
      <c r="E244" s="5"/>
      <c r="F244" s="5"/>
      <c r="G244" s="5"/>
      <c r="H244" s="5"/>
      <c r="I244" s="5"/>
      <c r="J244" s="5"/>
      <c r="K244" s="5"/>
      <c r="L244" s="5"/>
    </row>
    <row r="245" ht="15.75" customHeight="1">
      <c r="A245" s="5"/>
      <c r="B245" s="5"/>
      <c r="C245" s="5"/>
      <c r="D245" s="5"/>
      <c r="E245" s="5"/>
      <c r="F245" s="5"/>
      <c r="G245" s="5"/>
      <c r="H245" s="5"/>
      <c r="I245" s="5"/>
      <c r="J245" s="5"/>
      <c r="K245" s="5"/>
      <c r="L245" s="5"/>
    </row>
    <row r="246" ht="15.75" customHeight="1">
      <c r="A246" s="5"/>
      <c r="B246" s="5"/>
      <c r="C246" s="5"/>
      <c r="D246" s="5"/>
      <c r="E246" s="5"/>
      <c r="F246" s="5"/>
      <c r="G246" s="5"/>
      <c r="H246" s="5"/>
      <c r="I246" s="5"/>
      <c r="J246" s="5"/>
      <c r="K246" s="5"/>
      <c r="L246" s="5"/>
    </row>
    <row r="247" ht="15.75" customHeight="1">
      <c r="A247" s="5"/>
      <c r="B247" s="5"/>
      <c r="C247" s="5"/>
      <c r="D247" s="5"/>
      <c r="E247" s="5"/>
      <c r="F247" s="5"/>
      <c r="G247" s="5"/>
      <c r="H247" s="5"/>
      <c r="I247" s="5"/>
      <c r="J247" s="5"/>
      <c r="K247" s="5"/>
      <c r="L247" s="5"/>
    </row>
    <row r="248" ht="15.75" customHeight="1">
      <c r="A248" s="5"/>
      <c r="B248" s="5"/>
      <c r="C248" s="5"/>
      <c r="D248" s="5"/>
      <c r="E248" s="5"/>
      <c r="F248" s="5"/>
      <c r="G248" s="5"/>
      <c r="H248" s="5"/>
      <c r="I248" s="5"/>
      <c r="J248" s="5"/>
      <c r="K248" s="5"/>
      <c r="L248" s="5"/>
    </row>
    <row r="249" ht="15.75" customHeight="1">
      <c r="A249" s="5"/>
      <c r="B249" s="5"/>
      <c r="C249" s="5"/>
      <c r="D249" s="5"/>
      <c r="E249" s="5"/>
      <c r="F249" s="5"/>
      <c r="G249" s="5"/>
      <c r="H249" s="5"/>
      <c r="I249" s="5"/>
      <c r="J249" s="5"/>
      <c r="K249" s="5"/>
      <c r="L249" s="5"/>
    </row>
    <row r="250" ht="15.75" customHeight="1">
      <c r="A250" s="5"/>
      <c r="B250" s="5"/>
      <c r="C250" s="5"/>
      <c r="D250" s="5"/>
      <c r="E250" s="5"/>
      <c r="F250" s="5"/>
      <c r="G250" s="5"/>
      <c r="H250" s="5"/>
      <c r="I250" s="5"/>
      <c r="J250" s="5"/>
      <c r="K250" s="5"/>
      <c r="L250" s="5"/>
    </row>
    <row r="251" ht="15.75" customHeight="1">
      <c r="A251" s="5"/>
      <c r="B251" s="5"/>
      <c r="C251" s="5"/>
      <c r="D251" s="5"/>
      <c r="E251" s="5"/>
      <c r="F251" s="5"/>
      <c r="G251" s="5"/>
      <c r="H251" s="5"/>
      <c r="I251" s="5"/>
      <c r="J251" s="5"/>
      <c r="K251" s="5"/>
      <c r="L251" s="5"/>
    </row>
    <row r="252" ht="15.75" customHeight="1">
      <c r="A252" s="5"/>
      <c r="B252" s="5"/>
      <c r="C252" s="5"/>
      <c r="D252" s="5"/>
      <c r="E252" s="5"/>
      <c r="F252" s="5"/>
      <c r="G252" s="5"/>
      <c r="H252" s="5"/>
      <c r="I252" s="5"/>
      <c r="J252" s="5"/>
      <c r="K252" s="5"/>
      <c r="L252" s="5"/>
    </row>
    <row r="253" ht="15.75" customHeight="1">
      <c r="A253" s="5"/>
      <c r="B253" s="5"/>
      <c r="C253" s="5"/>
      <c r="D253" s="5"/>
      <c r="E253" s="5"/>
      <c r="F253" s="5"/>
      <c r="G253" s="5"/>
      <c r="H253" s="5"/>
      <c r="I253" s="5"/>
      <c r="J253" s="5"/>
      <c r="K253" s="5"/>
      <c r="L253" s="5"/>
    </row>
    <row r="254" ht="15.75" customHeight="1">
      <c r="A254" s="5"/>
      <c r="B254" s="5"/>
      <c r="C254" s="5"/>
      <c r="D254" s="5"/>
      <c r="E254" s="5"/>
      <c r="F254" s="5"/>
      <c r="G254" s="5"/>
      <c r="H254" s="5"/>
      <c r="I254" s="5"/>
      <c r="J254" s="5"/>
      <c r="K254" s="5"/>
      <c r="L254" s="5"/>
    </row>
    <row r="255" ht="15.75" customHeight="1">
      <c r="A255" s="5"/>
      <c r="B255" s="5"/>
      <c r="C255" s="5"/>
      <c r="D255" s="5"/>
      <c r="E255" s="5"/>
      <c r="F255" s="5"/>
      <c r="G255" s="5"/>
      <c r="H255" s="5"/>
      <c r="I255" s="5"/>
      <c r="J255" s="5"/>
      <c r="K255" s="5"/>
      <c r="L255" s="5"/>
    </row>
    <row r="256" ht="15.75" customHeight="1">
      <c r="A256" s="5"/>
      <c r="B256" s="5"/>
      <c r="C256" s="5"/>
      <c r="D256" s="5"/>
      <c r="E256" s="5"/>
      <c r="F256" s="5"/>
      <c r="G256" s="5"/>
      <c r="H256" s="5"/>
      <c r="I256" s="5"/>
      <c r="J256" s="5"/>
      <c r="K256" s="5"/>
      <c r="L256" s="5"/>
    </row>
    <row r="257" ht="15.75" customHeight="1">
      <c r="A257" s="5"/>
      <c r="B257" s="5"/>
      <c r="C257" s="5"/>
      <c r="D257" s="5"/>
      <c r="E257" s="5"/>
      <c r="F257" s="5"/>
      <c r="G257" s="5"/>
      <c r="H257" s="5"/>
      <c r="I257" s="5"/>
      <c r="J257" s="5"/>
      <c r="K257" s="5"/>
      <c r="L257" s="5"/>
    </row>
    <row r="258" ht="15.75" customHeight="1">
      <c r="A258" s="5"/>
      <c r="B258" s="5"/>
      <c r="C258" s="5"/>
      <c r="D258" s="5"/>
      <c r="E258" s="5"/>
      <c r="F258" s="5"/>
      <c r="G258" s="5"/>
      <c r="H258" s="5"/>
      <c r="I258" s="5"/>
      <c r="J258" s="5"/>
      <c r="K258" s="5"/>
      <c r="L258" s="5"/>
    </row>
    <row r="259" ht="15.75" customHeight="1">
      <c r="A259" s="5"/>
      <c r="B259" s="5"/>
      <c r="C259" s="5"/>
      <c r="D259" s="5"/>
      <c r="E259" s="5"/>
      <c r="F259" s="5"/>
      <c r="G259" s="5"/>
      <c r="H259" s="5"/>
      <c r="I259" s="5"/>
      <c r="J259" s="5"/>
      <c r="K259" s="5"/>
      <c r="L259" s="5"/>
    </row>
    <row r="260" ht="15.75" customHeight="1">
      <c r="A260" s="5"/>
      <c r="B260" s="5"/>
      <c r="C260" s="5"/>
      <c r="D260" s="5"/>
      <c r="E260" s="5"/>
      <c r="F260" s="5"/>
      <c r="G260" s="5"/>
      <c r="H260" s="5"/>
      <c r="I260" s="5"/>
      <c r="J260" s="5"/>
      <c r="K260" s="5"/>
      <c r="L260" s="5"/>
    </row>
    <row r="261" ht="15.75" customHeight="1">
      <c r="A261" s="5"/>
      <c r="B261" s="5"/>
      <c r="C261" s="5"/>
      <c r="D261" s="5"/>
      <c r="E261" s="5"/>
      <c r="F261" s="5"/>
      <c r="G261" s="5"/>
      <c r="H261" s="5"/>
      <c r="I261" s="5"/>
      <c r="J261" s="5"/>
      <c r="K261" s="5"/>
      <c r="L261" s="5"/>
    </row>
    <row r="262" ht="15.75" customHeight="1">
      <c r="A262" s="5"/>
      <c r="B262" s="5"/>
      <c r="C262" s="5"/>
      <c r="D262" s="5"/>
      <c r="E262" s="5"/>
      <c r="F262" s="5"/>
      <c r="G262" s="5"/>
      <c r="H262" s="5"/>
      <c r="I262" s="5"/>
      <c r="J262" s="5"/>
      <c r="K262" s="5"/>
      <c r="L262" s="5"/>
    </row>
    <row r="263" ht="15.75" customHeight="1">
      <c r="A263" s="5"/>
      <c r="B263" s="5"/>
      <c r="C263" s="5"/>
      <c r="D263" s="5"/>
      <c r="E263" s="5"/>
      <c r="F263" s="5"/>
      <c r="G263" s="5"/>
      <c r="H263" s="5"/>
      <c r="I263" s="5"/>
      <c r="J263" s="5"/>
      <c r="K263" s="5"/>
      <c r="L263" s="5"/>
    </row>
    <row r="264" ht="15.75" customHeight="1">
      <c r="A264" s="5"/>
      <c r="B264" s="5"/>
      <c r="C264" s="5"/>
      <c r="D264" s="5"/>
      <c r="E264" s="5"/>
      <c r="F264" s="5"/>
      <c r="G264" s="5"/>
      <c r="H264" s="5"/>
      <c r="I264" s="5"/>
      <c r="J264" s="5"/>
      <c r="K264" s="5"/>
      <c r="L264" s="5"/>
    </row>
    <row r="265" ht="15.75" customHeight="1">
      <c r="A265" s="5"/>
      <c r="B265" s="5"/>
      <c r="C265" s="5"/>
      <c r="D265" s="5"/>
      <c r="E265" s="5"/>
      <c r="F265" s="5"/>
      <c r="G265" s="5"/>
      <c r="H265" s="5"/>
      <c r="I265" s="5"/>
      <c r="J265" s="5"/>
      <c r="K265" s="5"/>
      <c r="L265" s="5"/>
    </row>
    <row r="266" ht="15.75" customHeight="1">
      <c r="A266" s="5"/>
      <c r="B266" s="5"/>
      <c r="C266" s="5"/>
      <c r="D266" s="5"/>
      <c r="E266" s="5"/>
      <c r="F266" s="5"/>
      <c r="G266" s="5"/>
      <c r="H266" s="5"/>
      <c r="I266" s="5"/>
      <c r="J266" s="5"/>
      <c r="K266" s="5"/>
      <c r="L266" s="5"/>
    </row>
    <row r="267" ht="15.75" customHeight="1">
      <c r="A267" s="5"/>
      <c r="B267" s="5"/>
      <c r="C267" s="5"/>
      <c r="D267" s="5"/>
      <c r="E267" s="5"/>
      <c r="F267" s="5"/>
      <c r="G267" s="5"/>
      <c r="H267" s="5"/>
      <c r="I267" s="5"/>
      <c r="J267" s="5"/>
      <c r="K267" s="5"/>
      <c r="L267" s="5"/>
    </row>
    <row r="268" ht="15.75" customHeight="1">
      <c r="A268" s="5"/>
      <c r="B268" s="5"/>
      <c r="C268" s="5"/>
      <c r="D268" s="5"/>
      <c r="E268" s="5"/>
      <c r="F268" s="5"/>
      <c r="G268" s="5"/>
      <c r="H268" s="5"/>
      <c r="I268" s="5"/>
      <c r="J268" s="5"/>
      <c r="K268" s="5"/>
      <c r="L268" s="5"/>
    </row>
    <row r="269" ht="15.75" customHeight="1">
      <c r="A269" s="5"/>
      <c r="B269" s="5"/>
      <c r="C269" s="5"/>
      <c r="D269" s="5"/>
      <c r="E269" s="5"/>
      <c r="F269" s="5"/>
      <c r="G269" s="5"/>
      <c r="H269" s="5"/>
      <c r="I269" s="5"/>
      <c r="J269" s="5"/>
      <c r="K269" s="5"/>
      <c r="L269" s="5"/>
    </row>
    <row r="270" ht="15.75" customHeight="1">
      <c r="A270" s="5"/>
      <c r="B270" s="5"/>
      <c r="C270" s="5"/>
      <c r="D270" s="5"/>
      <c r="E270" s="5"/>
      <c r="F270" s="5"/>
      <c r="G270" s="5"/>
      <c r="H270" s="5"/>
      <c r="I270" s="5"/>
      <c r="J270" s="5"/>
      <c r="K270" s="5"/>
      <c r="L270" s="5"/>
    </row>
    <row r="271" ht="15.75" customHeight="1">
      <c r="A271" s="5"/>
      <c r="B271" s="5"/>
      <c r="C271" s="5"/>
      <c r="D271" s="5"/>
      <c r="E271" s="5"/>
      <c r="F271" s="5"/>
      <c r="G271" s="5"/>
      <c r="H271" s="5"/>
      <c r="I271" s="5"/>
      <c r="J271" s="5"/>
      <c r="K271" s="5"/>
      <c r="L271" s="5"/>
    </row>
    <row r="272" ht="15.75" customHeight="1">
      <c r="A272" s="5"/>
      <c r="B272" s="5"/>
      <c r="C272" s="5"/>
      <c r="D272" s="5"/>
      <c r="E272" s="5"/>
      <c r="F272" s="5"/>
      <c r="G272" s="5"/>
      <c r="H272" s="5"/>
      <c r="I272" s="5"/>
      <c r="J272" s="5"/>
      <c r="K272" s="5"/>
      <c r="L272" s="5"/>
    </row>
    <row r="273" ht="15.75" customHeight="1">
      <c r="A273" s="5"/>
      <c r="B273" s="5"/>
      <c r="C273" s="5"/>
      <c r="D273" s="5"/>
      <c r="E273" s="5"/>
      <c r="F273" s="5"/>
      <c r="G273" s="5"/>
      <c r="H273" s="5"/>
      <c r="I273" s="5"/>
      <c r="J273" s="5"/>
      <c r="K273" s="5"/>
      <c r="L273" s="5"/>
    </row>
    <row r="274" ht="15.75" customHeight="1">
      <c r="A274" s="5"/>
      <c r="B274" s="5"/>
      <c r="C274" s="5"/>
      <c r="D274" s="5"/>
      <c r="E274" s="5"/>
      <c r="F274" s="5"/>
      <c r="G274" s="5"/>
      <c r="H274" s="5"/>
      <c r="I274" s="5"/>
      <c r="J274" s="5"/>
      <c r="K274" s="5"/>
      <c r="L274" s="5"/>
    </row>
    <row r="275" ht="15.75" customHeight="1">
      <c r="A275" s="5"/>
      <c r="B275" s="5"/>
      <c r="C275" s="5"/>
      <c r="D275" s="5"/>
      <c r="E275" s="5"/>
      <c r="F275" s="5"/>
      <c r="G275" s="5"/>
      <c r="H275" s="5"/>
      <c r="I275" s="5"/>
      <c r="J275" s="5"/>
      <c r="K275" s="5"/>
      <c r="L275" s="5"/>
    </row>
    <row r="276" ht="15.75" customHeight="1">
      <c r="A276" s="5"/>
      <c r="B276" s="5"/>
      <c r="C276" s="5"/>
      <c r="D276" s="5"/>
      <c r="E276" s="5"/>
      <c r="F276" s="5"/>
      <c r="G276" s="5"/>
      <c r="H276" s="5"/>
      <c r="I276" s="5"/>
      <c r="J276" s="5"/>
      <c r="K276" s="5"/>
      <c r="L276" s="5"/>
    </row>
    <row r="277" ht="15.75" customHeight="1">
      <c r="A277" s="5"/>
      <c r="B277" s="5"/>
      <c r="C277" s="5"/>
      <c r="D277" s="5"/>
      <c r="E277" s="5"/>
      <c r="F277" s="5"/>
      <c r="G277" s="5"/>
      <c r="H277" s="5"/>
      <c r="I277" s="5"/>
      <c r="J277" s="5"/>
      <c r="K277" s="5"/>
      <c r="L277" s="5"/>
    </row>
    <row r="278" ht="15.75" customHeight="1">
      <c r="A278" s="5"/>
      <c r="B278" s="5"/>
      <c r="C278" s="5"/>
      <c r="D278" s="5"/>
      <c r="E278" s="5"/>
      <c r="F278" s="5"/>
      <c r="G278" s="5"/>
      <c r="H278" s="5"/>
      <c r="I278" s="5"/>
      <c r="J278" s="5"/>
      <c r="K278" s="5"/>
      <c r="L278" s="5"/>
    </row>
    <row r="279" ht="15.75" customHeight="1">
      <c r="A279" s="5"/>
      <c r="B279" s="5"/>
      <c r="C279" s="5"/>
      <c r="D279" s="5"/>
      <c r="E279" s="5"/>
      <c r="F279" s="5"/>
      <c r="G279" s="5"/>
      <c r="H279" s="5"/>
      <c r="I279" s="5"/>
      <c r="J279" s="5"/>
      <c r="K279" s="5"/>
      <c r="L279" s="5"/>
    </row>
    <row r="280" ht="15.75" customHeight="1">
      <c r="A280" s="5"/>
      <c r="B280" s="5"/>
      <c r="C280" s="5"/>
      <c r="D280" s="5"/>
      <c r="E280" s="5"/>
      <c r="F280" s="5"/>
      <c r="G280" s="5"/>
      <c r="H280" s="5"/>
      <c r="I280" s="5"/>
      <c r="J280" s="5"/>
      <c r="K280" s="5"/>
      <c r="L280" s="5"/>
    </row>
    <row r="281" ht="15.75" customHeight="1">
      <c r="A281" s="5"/>
      <c r="B281" s="5"/>
      <c r="C281" s="5"/>
      <c r="D281" s="5"/>
      <c r="E281" s="5"/>
      <c r="F281" s="5"/>
      <c r="G281" s="5"/>
      <c r="H281" s="5"/>
      <c r="I281" s="5"/>
      <c r="J281" s="5"/>
      <c r="K281" s="5"/>
      <c r="L281" s="5"/>
    </row>
    <row r="282" ht="15.75" customHeight="1">
      <c r="A282" s="5"/>
      <c r="B282" s="5"/>
      <c r="C282" s="5"/>
      <c r="D282" s="5"/>
      <c r="E282" s="5"/>
      <c r="F282" s="5"/>
      <c r="G282" s="5"/>
      <c r="H282" s="5"/>
      <c r="I282" s="5"/>
      <c r="J282" s="5"/>
      <c r="K282" s="5"/>
      <c r="L282" s="5"/>
    </row>
    <row r="283" ht="15.75" customHeight="1">
      <c r="A283" s="5"/>
      <c r="B283" s="5"/>
      <c r="C283" s="5"/>
      <c r="D283" s="5"/>
      <c r="E283" s="5"/>
      <c r="F283" s="5"/>
      <c r="G283" s="5"/>
      <c r="H283" s="5"/>
      <c r="I283" s="5"/>
      <c r="J283" s="5"/>
      <c r="K283" s="5"/>
      <c r="L283" s="5"/>
    </row>
    <row r="284" ht="15.75" customHeight="1">
      <c r="A284" s="5"/>
      <c r="B284" s="5"/>
      <c r="C284" s="5"/>
      <c r="D284" s="5"/>
      <c r="E284" s="5"/>
      <c r="F284" s="5"/>
      <c r="G284" s="5"/>
      <c r="H284" s="5"/>
      <c r="I284" s="5"/>
      <c r="J284" s="5"/>
      <c r="K284" s="5"/>
      <c r="L284" s="5"/>
    </row>
    <row r="285" ht="15.75" customHeight="1">
      <c r="A285" s="5"/>
      <c r="B285" s="5"/>
      <c r="C285" s="5"/>
      <c r="D285" s="5"/>
      <c r="E285" s="5"/>
      <c r="F285" s="5"/>
      <c r="G285" s="5"/>
      <c r="H285" s="5"/>
      <c r="I285" s="5"/>
      <c r="J285" s="5"/>
      <c r="K285" s="5"/>
      <c r="L285" s="5"/>
    </row>
    <row r="286" ht="15.75" customHeight="1">
      <c r="A286" s="5"/>
      <c r="B286" s="5"/>
      <c r="C286" s="5"/>
      <c r="D286" s="5"/>
      <c r="E286" s="5"/>
      <c r="F286" s="5"/>
      <c r="G286" s="5"/>
      <c r="H286" s="5"/>
      <c r="I286" s="5"/>
      <c r="J286" s="5"/>
      <c r="K286" s="5"/>
      <c r="L286" s="5"/>
    </row>
    <row r="287" ht="15.75" customHeight="1">
      <c r="A287" s="5"/>
      <c r="B287" s="5"/>
      <c r="C287" s="5"/>
      <c r="D287" s="5"/>
      <c r="E287" s="5"/>
      <c r="F287" s="5"/>
      <c r="G287" s="5"/>
      <c r="H287" s="5"/>
      <c r="I287" s="5"/>
      <c r="J287" s="5"/>
      <c r="K287" s="5"/>
      <c r="L287" s="5"/>
    </row>
    <row r="288" ht="15.75" customHeight="1">
      <c r="A288" s="5"/>
      <c r="B288" s="5"/>
      <c r="C288" s="5"/>
      <c r="D288" s="5"/>
      <c r="E288" s="5"/>
      <c r="F288" s="5"/>
      <c r="G288" s="5"/>
      <c r="H288" s="5"/>
      <c r="I288" s="5"/>
      <c r="J288" s="5"/>
      <c r="K288" s="5"/>
      <c r="L288" s="5"/>
    </row>
    <row r="289" ht="15.75" customHeight="1">
      <c r="A289" s="5"/>
      <c r="B289" s="5"/>
      <c r="C289" s="5"/>
      <c r="D289" s="5"/>
      <c r="E289" s="5"/>
      <c r="F289" s="5"/>
      <c r="G289" s="5"/>
      <c r="H289" s="5"/>
      <c r="I289" s="5"/>
      <c r="J289" s="5"/>
      <c r="K289" s="5"/>
      <c r="L289" s="5"/>
    </row>
    <row r="290" ht="15.75" customHeight="1">
      <c r="A290" s="5"/>
      <c r="B290" s="5"/>
      <c r="C290" s="5"/>
      <c r="D290" s="5"/>
      <c r="E290" s="5"/>
      <c r="F290" s="5"/>
      <c r="G290" s="5"/>
      <c r="H290" s="5"/>
      <c r="I290" s="5"/>
      <c r="J290" s="5"/>
      <c r="K290" s="5"/>
      <c r="L290" s="5"/>
    </row>
    <row r="291" ht="15.75" customHeight="1">
      <c r="A291" s="5"/>
      <c r="B291" s="5"/>
      <c r="C291" s="5"/>
      <c r="D291" s="5"/>
      <c r="E291" s="5"/>
      <c r="F291" s="5"/>
      <c r="G291" s="5"/>
      <c r="H291" s="5"/>
      <c r="I291" s="5"/>
      <c r="J291" s="5"/>
      <c r="K291" s="5"/>
      <c r="L291" s="5"/>
    </row>
    <row r="292" ht="15.75" customHeight="1">
      <c r="A292" s="5"/>
      <c r="B292" s="5"/>
      <c r="C292" s="5"/>
      <c r="D292" s="5"/>
      <c r="E292" s="5"/>
      <c r="F292" s="5"/>
      <c r="G292" s="5"/>
      <c r="H292" s="5"/>
      <c r="I292" s="5"/>
      <c r="J292" s="5"/>
      <c r="K292" s="5"/>
      <c r="L292" s="5"/>
    </row>
    <row r="293" ht="15.75" customHeight="1">
      <c r="A293" s="5"/>
      <c r="B293" s="5"/>
      <c r="C293" s="5"/>
      <c r="D293" s="5"/>
      <c r="E293" s="5"/>
      <c r="F293" s="5"/>
      <c r="G293" s="5"/>
      <c r="H293" s="5"/>
      <c r="I293" s="5"/>
      <c r="J293" s="5"/>
      <c r="K293" s="5"/>
      <c r="L293" s="5"/>
    </row>
    <row r="294" ht="15.75" customHeight="1">
      <c r="A294" s="5"/>
      <c r="B294" s="5"/>
      <c r="C294" s="5"/>
      <c r="D294" s="5"/>
      <c r="E294" s="5"/>
      <c r="F294" s="5"/>
      <c r="G294" s="5"/>
      <c r="H294" s="5"/>
      <c r="I294" s="5"/>
      <c r="J294" s="5"/>
      <c r="K294" s="5"/>
      <c r="L294" s="5"/>
    </row>
    <row r="295" ht="15.75" customHeight="1">
      <c r="A295" s="5"/>
      <c r="B295" s="5"/>
      <c r="C295" s="5"/>
      <c r="D295" s="5"/>
      <c r="E295" s="5"/>
      <c r="F295" s="5"/>
      <c r="G295" s="5"/>
      <c r="H295" s="5"/>
      <c r="I295" s="5"/>
      <c r="J295" s="5"/>
      <c r="K295" s="5"/>
      <c r="L295" s="5"/>
    </row>
    <row r="296" ht="15.75" customHeight="1">
      <c r="A296" s="5"/>
      <c r="B296" s="5"/>
      <c r="C296" s="5"/>
      <c r="D296" s="5"/>
      <c r="E296" s="5"/>
      <c r="F296" s="5"/>
      <c r="G296" s="5"/>
      <c r="H296" s="5"/>
      <c r="I296" s="5"/>
      <c r="J296" s="5"/>
      <c r="K296" s="5"/>
      <c r="L296" s="5"/>
    </row>
    <row r="297" ht="15.75" customHeight="1">
      <c r="A297" s="5"/>
      <c r="B297" s="5"/>
      <c r="C297" s="5"/>
      <c r="D297" s="5"/>
      <c r="E297" s="5"/>
      <c r="F297" s="5"/>
      <c r="G297" s="5"/>
      <c r="H297" s="5"/>
      <c r="I297" s="5"/>
      <c r="J297" s="5"/>
      <c r="K297" s="5"/>
      <c r="L297" s="5"/>
    </row>
    <row r="298" ht="15.75" customHeight="1">
      <c r="A298" s="5"/>
      <c r="B298" s="5"/>
      <c r="C298" s="5"/>
      <c r="D298" s="5"/>
      <c r="E298" s="5"/>
      <c r="F298" s="5"/>
      <c r="G298" s="5"/>
      <c r="H298" s="5"/>
      <c r="I298" s="5"/>
      <c r="J298" s="5"/>
      <c r="K298" s="5"/>
      <c r="L298" s="5"/>
    </row>
    <row r="299" ht="15.75" customHeight="1">
      <c r="A299" s="5"/>
      <c r="B299" s="5"/>
      <c r="C299" s="5"/>
      <c r="D299" s="5"/>
      <c r="E299" s="5"/>
      <c r="F299" s="5"/>
      <c r="G299" s="5"/>
      <c r="H299" s="5"/>
      <c r="I299" s="5"/>
      <c r="J299" s="5"/>
      <c r="K299" s="5"/>
      <c r="L299" s="5"/>
    </row>
    <row r="300" ht="15.75" customHeight="1">
      <c r="A300" s="5"/>
      <c r="B300" s="5"/>
      <c r="C300" s="5"/>
      <c r="D300" s="5"/>
      <c r="E300" s="5"/>
      <c r="F300" s="5"/>
      <c r="G300" s="5"/>
      <c r="H300" s="5"/>
      <c r="I300" s="5"/>
      <c r="J300" s="5"/>
      <c r="K300" s="5"/>
      <c r="L300" s="5"/>
    </row>
    <row r="301" ht="15.75" customHeight="1">
      <c r="A301" s="5"/>
      <c r="B301" s="5"/>
      <c r="C301" s="5"/>
      <c r="D301" s="5"/>
      <c r="E301" s="5"/>
      <c r="F301" s="5"/>
      <c r="G301" s="5"/>
      <c r="H301" s="5"/>
      <c r="I301" s="5"/>
      <c r="J301" s="5"/>
      <c r="K301" s="5"/>
      <c r="L301" s="5"/>
    </row>
    <row r="302" ht="15.75" customHeight="1">
      <c r="A302" s="5"/>
      <c r="B302" s="5"/>
      <c r="C302" s="5"/>
      <c r="D302" s="5"/>
      <c r="E302" s="5"/>
      <c r="F302" s="5"/>
      <c r="G302" s="5"/>
      <c r="H302" s="5"/>
      <c r="I302" s="5"/>
      <c r="J302" s="5"/>
      <c r="K302" s="5"/>
      <c r="L302" s="5"/>
    </row>
    <row r="303" ht="15.75" customHeight="1">
      <c r="A303" s="5"/>
      <c r="B303" s="5"/>
      <c r="C303" s="5"/>
      <c r="D303" s="5"/>
      <c r="E303" s="5"/>
      <c r="F303" s="5"/>
      <c r="G303" s="5"/>
      <c r="H303" s="5"/>
      <c r="I303" s="5"/>
      <c r="J303" s="5"/>
      <c r="K303" s="5"/>
      <c r="L303" s="5"/>
    </row>
    <row r="304" ht="15.75" customHeight="1">
      <c r="A304" s="5"/>
      <c r="B304" s="5"/>
      <c r="C304" s="5"/>
      <c r="D304" s="5"/>
      <c r="E304" s="5"/>
      <c r="F304" s="5"/>
      <c r="G304" s="5"/>
      <c r="H304" s="5"/>
      <c r="I304" s="5"/>
      <c r="J304" s="5"/>
      <c r="K304" s="5"/>
      <c r="L304" s="5"/>
    </row>
    <row r="305" ht="15.75" customHeight="1">
      <c r="A305" s="5"/>
      <c r="B305" s="5"/>
      <c r="C305" s="5"/>
      <c r="D305" s="5"/>
      <c r="E305" s="5"/>
      <c r="F305" s="5"/>
      <c r="G305" s="5"/>
      <c r="H305" s="5"/>
      <c r="I305" s="5"/>
      <c r="J305" s="5"/>
      <c r="K305" s="5"/>
      <c r="L305" s="5"/>
    </row>
    <row r="306" ht="15.75" customHeight="1">
      <c r="A306" s="5"/>
      <c r="B306" s="5"/>
      <c r="C306" s="5"/>
      <c r="D306" s="5"/>
      <c r="E306" s="5"/>
      <c r="F306" s="5"/>
      <c r="G306" s="5"/>
      <c r="H306" s="5"/>
      <c r="I306" s="5"/>
      <c r="J306" s="5"/>
      <c r="K306" s="5"/>
      <c r="L306" s="5"/>
    </row>
    <row r="307" ht="15.75" customHeight="1">
      <c r="A307" s="5"/>
      <c r="B307" s="5"/>
      <c r="C307" s="5"/>
      <c r="D307" s="5"/>
      <c r="E307" s="5"/>
      <c r="F307" s="5"/>
      <c r="G307" s="5"/>
      <c r="H307" s="5"/>
      <c r="I307" s="5"/>
      <c r="J307" s="5"/>
      <c r="K307" s="5"/>
      <c r="L307" s="5"/>
    </row>
    <row r="308" ht="15.75" customHeight="1">
      <c r="A308" s="5"/>
      <c r="B308" s="5"/>
      <c r="C308" s="5"/>
      <c r="D308" s="5"/>
      <c r="E308" s="5"/>
      <c r="F308" s="5"/>
      <c r="G308" s="5"/>
      <c r="H308" s="5"/>
      <c r="I308" s="5"/>
      <c r="J308" s="5"/>
      <c r="K308" s="5"/>
      <c r="L308" s="5"/>
    </row>
    <row r="309" ht="15.75" customHeight="1">
      <c r="A309" s="5"/>
      <c r="B309" s="5"/>
      <c r="C309" s="5"/>
      <c r="D309" s="5"/>
      <c r="E309" s="5"/>
      <c r="F309" s="5"/>
      <c r="G309" s="5"/>
      <c r="H309" s="5"/>
      <c r="I309" s="5"/>
      <c r="J309" s="5"/>
      <c r="K309" s="5"/>
      <c r="L309" s="5"/>
    </row>
    <row r="310" ht="15.75" customHeight="1">
      <c r="A310" s="5"/>
      <c r="B310" s="5"/>
      <c r="C310" s="5"/>
      <c r="D310" s="5"/>
      <c r="E310" s="5"/>
      <c r="F310" s="5"/>
      <c r="G310" s="5"/>
      <c r="H310" s="5"/>
      <c r="I310" s="5"/>
      <c r="J310" s="5"/>
      <c r="K310" s="5"/>
      <c r="L310" s="5"/>
    </row>
    <row r="311" ht="15.75" customHeight="1">
      <c r="A311" s="5"/>
      <c r="B311" s="5"/>
      <c r="C311" s="5"/>
      <c r="D311" s="5"/>
      <c r="E311" s="5"/>
      <c r="F311" s="5"/>
      <c r="G311" s="5"/>
      <c r="H311" s="5"/>
      <c r="I311" s="5"/>
      <c r="J311" s="5"/>
      <c r="K311" s="5"/>
      <c r="L311" s="5"/>
    </row>
    <row r="312" ht="15.75" customHeight="1">
      <c r="A312" s="5"/>
      <c r="B312" s="5"/>
      <c r="C312" s="5"/>
      <c r="D312" s="5"/>
      <c r="E312" s="5"/>
      <c r="F312" s="5"/>
      <c r="G312" s="5"/>
      <c r="H312" s="5"/>
      <c r="I312" s="5"/>
      <c r="J312" s="5"/>
      <c r="K312" s="5"/>
      <c r="L312" s="5"/>
    </row>
    <row r="313" ht="15.75" customHeight="1">
      <c r="A313" s="5"/>
      <c r="B313" s="5"/>
      <c r="C313" s="5"/>
      <c r="D313" s="5"/>
      <c r="E313" s="5"/>
      <c r="F313" s="5"/>
      <c r="G313" s="5"/>
      <c r="H313" s="5"/>
      <c r="I313" s="5"/>
      <c r="J313" s="5"/>
      <c r="K313" s="5"/>
      <c r="L313" s="5"/>
    </row>
    <row r="314" ht="15.75" customHeight="1">
      <c r="A314" s="5"/>
      <c r="B314" s="5"/>
      <c r="C314" s="5"/>
      <c r="D314" s="5"/>
      <c r="E314" s="5"/>
      <c r="F314" s="5"/>
      <c r="G314" s="5"/>
      <c r="H314" s="5"/>
      <c r="I314" s="5"/>
      <c r="J314" s="5"/>
      <c r="K314" s="5"/>
      <c r="L314" s="5"/>
    </row>
    <row r="315" ht="15.75" customHeight="1">
      <c r="A315" s="5"/>
      <c r="B315" s="5"/>
      <c r="C315" s="5"/>
      <c r="D315" s="5"/>
      <c r="E315" s="5"/>
      <c r="F315" s="5"/>
      <c r="G315" s="5"/>
      <c r="H315" s="5"/>
      <c r="I315" s="5"/>
      <c r="J315" s="5"/>
      <c r="K315" s="5"/>
      <c r="L315" s="5"/>
    </row>
    <row r="316" ht="15.75" customHeight="1">
      <c r="A316" s="5"/>
      <c r="B316" s="5"/>
      <c r="C316" s="5"/>
      <c r="D316" s="5"/>
      <c r="E316" s="5"/>
      <c r="F316" s="5"/>
      <c r="G316" s="5"/>
      <c r="H316" s="5"/>
      <c r="I316" s="5"/>
      <c r="J316" s="5"/>
      <c r="K316" s="5"/>
      <c r="L316" s="5"/>
    </row>
    <row r="317" ht="15.75" customHeight="1">
      <c r="A317" s="5"/>
      <c r="B317" s="5"/>
      <c r="C317" s="5"/>
      <c r="D317" s="5"/>
      <c r="E317" s="5"/>
      <c r="F317" s="5"/>
      <c r="G317" s="5"/>
      <c r="H317" s="5"/>
      <c r="I317" s="5"/>
      <c r="J317" s="5"/>
      <c r="K317" s="5"/>
      <c r="L317" s="5"/>
    </row>
    <row r="318" ht="15.75" customHeight="1">
      <c r="A318" s="5"/>
      <c r="B318" s="5"/>
      <c r="C318" s="5"/>
      <c r="D318" s="5"/>
      <c r="E318" s="5"/>
      <c r="F318" s="5"/>
      <c r="G318" s="5"/>
      <c r="H318" s="5"/>
      <c r="I318" s="5"/>
      <c r="J318" s="5"/>
      <c r="K318" s="5"/>
      <c r="L318" s="5"/>
    </row>
    <row r="319" ht="15.75" customHeight="1">
      <c r="A319" s="5"/>
      <c r="B319" s="5"/>
      <c r="C319" s="5"/>
      <c r="D319" s="5"/>
      <c r="E319" s="5"/>
      <c r="F319" s="5"/>
      <c r="G319" s="5"/>
      <c r="H319" s="5"/>
      <c r="I319" s="5"/>
      <c r="J319" s="5"/>
      <c r="K319" s="5"/>
      <c r="L319" s="5"/>
    </row>
    <row r="320" ht="15.75" customHeight="1">
      <c r="A320" s="5"/>
      <c r="B320" s="5"/>
      <c r="C320" s="5"/>
      <c r="D320" s="5"/>
      <c r="E320" s="5"/>
      <c r="F320" s="5"/>
      <c r="G320" s="5"/>
      <c r="H320" s="5"/>
      <c r="I320" s="5"/>
      <c r="J320" s="5"/>
      <c r="K320" s="5"/>
      <c r="L320" s="5"/>
    </row>
    <row r="321" ht="15.75" customHeight="1">
      <c r="A321" s="5"/>
      <c r="B321" s="5"/>
      <c r="C321" s="5"/>
      <c r="D321" s="5"/>
      <c r="E321" s="5"/>
      <c r="F321" s="5"/>
      <c r="G321" s="5"/>
      <c r="H321" s="5"/>
      <c r="I321" s="5"/>
      <c r="J321" s="5"/>
      <c r="K321" s="5"/>
      <c r="L321" s="5"/>
    </row>
    <row r="322" ht="15.75" customHeight="1">
      <c r="A322" s="5"/>
      <c r="B322" s="5"/>
      <c r="C322" s="5"/>
      <c r="D322" s="5"/>
      <c r="E322" s="5"/>
      <c r="F322" s="5"/>
      <c r="G322" s="5"/>
      <c r="H322" s="5"/>
      <c r="I322" s="5"/>
      <c r="J322" s="5"/>
      <c r="K322" s="5"/>
      <c r="L322" s="5"/>
    </row>
    <row r="323" ht="15.75" customHeight="1">
      <c r="A323" s="5"/>
      <c r="B323" s="5"/>
      <c r="C323" s="5"/>
      <c r="D323" s="5"/>
      <c r="E323" s="5"/>
      <c r="F323" s="5"/>
      <c r="G323" s="5"/>
      <c r="H323" s="5"/>
      <c r="I323" s="5"/>
      <c r="J323" s="5"/>
      <c r="K323" s="5"/>
      <c r="L323" s="5"/>
    </row>
    <row r="324" ht="15.75" customHeight="1">
      <c r="A324" s="5"/>
      <c r="B324" s="5"/>
      <c r="C324" s="5"/>
      <c r="D324" s="5"/>
      <c r="E324" s="5"/>
      <c r="F324" s="5"/>
      <c r="G324" s="5"/>
      <c r="H324" s="5"/>
      <c r="I324" s="5"/>
      <c r="J324" s="5"/>
      <c r="K324" s="5"/>
      <c r="L324" s="5"/>
    </row>
    <row r="325" ht="15.75" customHeight="1">
      <c r="A325" s="5"/>
      <c r="B325" s="5"/>
      <c r="C325" s="5"/>
      <c r="D325" s="5"/>
      <c r="E325" s="5"/>
      <c r="F325" s="5"/>
      <c r="G325" s="5"/>
      <c r="H325" s="5"/>
      <c r="I325" s="5"/>
      <c r="J325" s="5"/>
      <c r="K325" s="5"/>
      <c r="L325" s="5"/>
    </row>
    <row r="326" ht="15.75" customHeight="1">
      <c r="A326" s="5"/>
      <c r="B326" s="5"/>
      <c r="C326" s="5"/>
      <c r="D326" s="5"/>
      <c r="E326" s="5"/>
      <c r="F326" s="5"/>
      <c r="G326" s="5"/>
      <c r="H326" s="5"/>
      <c r="I326" s="5"/>
      <c r="J326" s="5"/>
      <c r="K326" s="5"/>
      <c r="L326" s="5"/>
    </row>
    <row r="327" ht="15.75" customHeight="1">
      <c r="A327" s="5"/>
      <c r="B327" s="5"/>
      <c r="C327" s="5"/>
      <c r="D327" s="5"/>
      <c r="E327" s="5"/>
      <c r="F327" s="5"/>
      <c r="G327" s="5"/>
      <c r="H327" s="5"/>
      <c r="I327" s="5"/>
      <c r="J327" s="5"/>
      <c r="K327" s="5"/>
      <c r="L327" s="5"/>
    </row>
    <row r="328" ht="15.75" customHeight="1">
      <c r="A328" s="5"/>
      <c r="B328" s="5"/>
      <c r="C328" s="5"/>
      <c r="D328" s="5"/>
      <c r="E328" s="5"/>
      <c r="F328" s="5"/>
      <c r="G328" s="5"/>
      <c r="H328" s="5"/>
      <c r="I328" s="5"/>
      <c r="J328" s="5"/>
      <c r="K328" s="5"/>
      <c r="L328" s="5"/>
    </row>
    <row r="329" ht="15.75" customHeight="1">
      <c r="A329" s="5"/>
      <c r="B329" s="5"/>
      <c r="C329" s="5"/>
      <c r="D329" s="5"/>
      <c r="E329" s="5"/>
      <c r="F329" s="5"/>
      <c r="G329" s="5"/>
      <c r="H329" s="5"/>
      <c r="I329" s="5"/>
      <c r="J329" s="5"/>
      <c r="K329" s="5"/>
      <c r="L329" s="5"/>
    </row>
    <row r="330" ht="15.75" customHeight="1">
      <c r="A330" s="5"/>
      <c r="B330" s="5"/>
      <c r="C330" s="5"/>
      <c r="D330" s="5"/>
      <c r="E330" s="5"/>
      <c r="F330" s="5"/>
      <c r="G330" s="5"/>
      <c r="H330" s="5"/>
      <c r="I330" s="5"/>
      <c r="J330" s="5"/>
      <c r="K330" s="5"/>
      <c r="L330" s="5"/>
    </row>
    <row r="331" ht="15.75" customHeight="1">
      <c r="A331" s="5"/>
      <c r="B331" s="5"/>
      <c r="C331" s="5"/>
      <c r="D331" s="5"/>
      <c r="E331" s="5"/>
      <c r="F331" s="5"/>
      <c r="G331" s="5"/>
      <c r="H331" s="5"/>
      <c r="I331" s="5"/>
      <c r="J331" s="5"/>
      <c r="K331" s="5"/>
      <c r="L331" s="5"/>
    </row>
    <row r="332" ht="15.75" customHeight="1">
      <c r="A332" s="5"/>
      <c r="B332" s="5"/>
      <c r="C332" s="5"/>
      <c r="D332" s="5"/>
      <c r="E332" s="5"/>
      <c r="F332" s="5"/>
      <c r="G332" s="5"/>
      <c r="H332" s="5"/>
      <c r="I332" s="5"/>
      <c r="J332" s="5"/>
      <c r="K332" s="5"/>
      <c r="L332" s="5"/>
    </row>
    <row r="333" ht="15.75" customHeight="1">
      <c r="A333" s="5"/>
      <c r="B333" s="5"/>
      <c r="C333" s="5"/>
      <c r="D333" s="5"/>
      <c r="E333" s="5"/>
      <c r="F333" s="5"/>
      <c r="G333" s="5"/>
      <c r="H333" s="5"/>
      <c r="I333" s="5"/>
      <c r="J333" s="5"/>
      <c r="K333" s="5"/>
      <c r="L333" s="5"/>
    </row>
    <row r="334" ht="15.75" customHeight="1">
      <c r="A334" s="5"/>
      <c r="B334" s="5"/>
      <c r="C334" s="5"/>
      <c r="D334" s="5"/>
      <c r="E334" s="5"/>
      <c r="F334" s="5"/>
      <c r="G334" s="5"/>
      <c r="H334" s="5"/>
      <c r="I334" s="5"/>
      <c r="J334" s="5"/>
      <c r="K334" s="5"/>
      <c r="L334" s="5"/>
    </row>
    <row r="335" ht="15.75" customHeight="1">
      <c r="A335" s="5"/>
      <c r="B335" s="5"/>
      <c r="C335" s="5"/>
      <c r="D335" s="5"/>
      <c r="E335" s="5"/>
      <c r="F335" s="5"/>
      <c r="G335" s="5"/>
      <c r="H335" s="5"/>
      <c r="I335" s="5"/>
      <c r="J335" s="5"/>
      <c r="K335" s="5"/>
      <c r="L335" s="5"/>
    </row>
    <row r="336" ht="15.75" customHeight="1">
      <c r="A336" s="5"/>
      <c r="B336" s="5"/>
      <c r="C336" s="5"/>
      <c r="D336" s="5"/>
      <c r="E336" s="5"/>
      <c r="F336" s="5"/>
      <c r="G336" s="5"/>
      <c r="H336" s="5"/>
      <c r="I336" s="5"/>
      <c r="J336" s="5"/>
      <c r="K336" s="5"/>
      <c r="L336" s="5"/>
    </row>
    <row r="337" ht="15.75" customHeight="1">
      <c r="A337" s="5"/>
      <c r="B337" s="5"/>
      <c r="C337" s="5"/>
      <c r="D337" s="5"/>
      <c r="E337" s="5"/>
      <c r="F337" s="5"/>
      <c r="G337" s="5"/>
      <c r="H337" s="5"/>
      <c r="I337" s="5"/>
      <c r="J337" s="5"/>
      <c r="K337" s="5"/>
      <c r="L337" s="5"/>
    </row>
    <row r="338" ht="15.75" customHeight="1">
      <c r="A338" s="5"/>
      <c r="B338" s="5"/>
      <c r="C338" s="5"/>
      <c r="D338" s="5"/>
      <c r="E338" s="5"/>
      <c r="F338" s="5"/>
      <c r="G338" s="5"/>
      <c r="H338" s="5"/>
      <c r="I338" s="5"/>
      <c r="J338" s="5"/>
      <c r="K338" s="5"/>
      <c r="L338" s="5"/>
    </row>
    <row r="339" ht="15.75" customHeight="1">
      <c r="A339" s="5"/>
      <c r="B339" s="5"/>
      <c r="C339" s="5"/>
      <c r="D339" s="5"/>
      <c r="E339" s="5"/>
      <c r="F339" s="5"/>
      <c r="G339" s="5"/>
      <c r="H339" s="5"/>
      <c r="I339" s="5"/>
      <c r="J339" s="5"/>
      <c r="K339" s="5"/>
      <c r="L339" s="5"/>
    </row>
    <row r="340" ht="15.75" customHeight="1">
      <c r="A340" s="5"/>
      <c r="B340" s="5"/>
      <c r="C340" s="5"/>
      <c r="D340" s="5"/>
      <c r="E340" s="5"/>
      <c r="F340" s="5"/>
      <c r="G340" s="5"/>
      <c r="H340" s="5"/>
      <c r="I340" s="5"/>
      <c r="J340" s="5"/>
      <c r="K340" s="5"/>
      <c r="L340" s="5"/>
    </row>
    <row r="341" ht="15.75" customHeight="1">
      <c r="A341" s="5"/>
      <c r="B341" s="5"/>
      <c r="C341" s="5"/>
      <c r="D341" s="5"/>
      <c r="E341" s="5"/>
      <c r="F341" s="5"/>
      <c r="G341" s="5"/>
      <c r="H341" s="5"/>
      <c r="I341" s="5"/>
      <c r="J341" s="5"/>
      <c r="K341" s="5"/>
      <c r="L341" s="5"/>
    </row>
    <row r="342" ht="15.75" customHeight="1">
      <c r="A342" s="5"/>
      <c r="B342" s="5"/>
      <c r="C342" s="5"/>
      <c r="D342" s="5"/>
      <c r="E342" s="5"/>
      <c r="F342" s="5"/>
      <c r="G342" s="5"/>
      <c r="H342" s="5"/>
      <c r="I342" s="5"/>
      <c r="J342" s="5"/>
      <c r="K342" s="5"/>
      <c r="L342" s="5"/>
    </row>
    <row r="343" ht="15.75" customHeight="1">
      <c r="A343" s="5"/>
      <c r="B343" s="5"/>
      <c r="C343" s="5"/>
      <c r="D343" s="5"/>
      <c r="E343" s="5"/>
      <c r="F343" s="5"/>
      <c r="G343" s="5"/>
      <c r="H343" s="5"/>
      <c r="I343" s="5"/>
      <c r="J343" s="5"/>
      <c r="K343" s="5"/>
      <c r="L343" s="5"/>
    </row>
    <row r="344" ht="15.75" customHeight="1">
      <c r="A344" s="5"/>
      <c r="B344" s="5"/>
      <c r="C344" s="5"/>
      <c r="D344" s="5"/>
      <c r="E344" s="5"/>
      <c r="F344" s="5"/>
      <c r="G344" s="5"/>
      <c r="H344" s="5"/>
      <c r="I344" s="5"/>
      <c r="J344" s="5"/>
      <c r="K344" s="5"/>
      <c r="L344" s="5"/>
    </row>
    <row r="345" ht="15.75" customHeight="1">
      <c r="A345" s="5"/>
      <c r="B345" s="5"/>
      <c r="C345" s="5"/>
      <c r="D345" s="5"/>
      <c r="E345" s="5"/>
      <c r="F345" s="5"/>
      <c r="G345" s="5"/>
      <c r="H345" s="5"/>
      <c r="I345" s="5"/>
      <c r="J345" s="5"/>
      <c r="K345" s="5"/>
      <c r="L345" s="5"/>
    </row>
    <row r="346" ht="15.75" customHeight="1">
      <c r="A346" s="5"/>
      <c r="B346" s="5"/>
      <c r="C346" s="5"/>
      <c r="D346" s="5"/>
      <c r="E346" s="5"/>
      <c r="F346" s="5"/>
      <c r="G346" s="5"/>
      <c r="H346" s="5"/>
      <c r="I346" s="5"/>
      <c r="J346" s="5"/>
      <c r="K346" s="5"/>
      <c r="L346" s="5"/>
    </row>
    <row r="347" ht="15.75" customHeight="1">
      <c r="A347" s="5"/>
      <c r="B347" s="5"/>
      <c r="C347" s="5"/>
      <c r="D347" s="5"/>
      <c r="E347" s="5"/>
      <c r="F347" s="5"/>
      <c r="G347" s="5"/>
      <c r="H347" s="5"/>
      <c r="I347" s="5"/>
      <c r="J347" s="5"/>
      <c r="K347" s="5"/>
      <c r="L347" s="5"/>
    </row>
    <row r="348" ht="15.75" customHeight="1">
      <c r="A348" s="5"/>
      <c r="B348" s="5"/>
      <c r="C348" s="5"/>
      <c r="D348" s="5"/>
      <c r="E348" s="5"/>
      <c r="F348" s="5"/>
      <c r="G348" s="5"/>
      <c r="H348" s="5"/>
      <c r="I348" s="5"/>
      <c r="J348" s="5"/>
      <c r="K348" s="5"/>
      <c r="L348" s="5"/>
    </row>
    <row r="349" ht="15.75" customHeight="1">
      <c r="A349" s="5"/>
      <c r="B349" s="5"/>
      <c r="C349" s="5"/>
      <c r="D349" s="5"/>
      <c r="E349" s="5"/>
      <c r="F349" s="5"/>
      <c r="G349" s="5"/>
      <c r="H349" s="5"/>
      <c r="I349" s="5"/>
      <c r="J349" s="5"/>
      <c r="K349" s="5"/>
      <c r="L349" s="5"/>
    </row>
    <row r="350" ht="15.75" customHeight="1">
      <c r="A350" s="5"/>
      <c r="B350" s="5"/>
      <c r="C350" s="5"/>
      <c r="D350" s="5"/>
      <c r="E350" s="5"/>
      <c r="F350" s="5"/>
      <c r="G350" s="5"/>
      <c r="H350" s="5"/>
      <c r="I350" s="5"/>
      <c r="J350" s="5"/>
      <c r="K350" s="5"/>
      <c r="L350" s="5"/>
    </row>
    <row r="351" ht="15.75" customHeight="1">
      <c r="A351" s="5"/>
      <c r="B351" s="5"/>
      <c r="C351" s="5"/>
      <c r="D351" s="5"/>
      <c r="E351" s="5"/>
      <c r="F351" s="5"/>
      <c r="G351" s="5"/>
      <c r="H351" s="5"/>
      <c r="I351" s="5"/>
      <c r="J351" s="5"/>
      <c r="K351" s="5"/>
      <c r="L351" s="5"/>
    </row>
    <row r="352" ht="15.75" customHeight="1">
      <c r="A352" s="5"/>
      <c r="B352" s="5"/>
      <c r="C352" s="5"/>
      <c r="D352" s="5"/>
      <c r="E352" s="5"/>
      <c r="F352" s="5"/>
      <c r="G352" s="5"/>
      <c r="H352" s="5"/>
      <c r="I352" s="5"/>
      <c r="J352" s="5"/>
      <c r="K352" s="5"/>
      <c r="L352" s="5"/>
    </row>
    <row r="353" ht="15.75" customHeight="1">
      <c r="A353" s="5"/>
      <c r="B353" s="5"/>
      <c r="C353" s="5"/>
      <c r="D353" s="5"/>
      <c r="E353" s="5"/>
      <c r="F353" s="5"/>
      <c r="G353" s="5"/>
      <c r="H353" s="5"/>
      <c r="I353" s="5"/>
      <c r="J353" s="5"/>
      <c r="K353" s="5"/>
      <c r="L353" s="5"/>
    </row>
    <row r="354" ht="15.75" customHeight="1">
      <c r="A354" s="5"/>
      <c r="B354" s="5"/>
      <c r="C354" s="5"/>
      <c r="D354" s="5"/>
      <c r="E354" s="5"/>
      <c r="F354" s="5"/>
      <c r="G354" s="5"/>
      <c r="H354" s="5"/>
      <c r="I354" s="5"/>
      <c r="J354" s="5"/>
      <c r="K354" s="5"/>
      <c r="L354" s="5"/>
    </row>
    <row r="355" ht="15.75" customHeight="1">
      <c r="A355" s="5"/>
      <c r="B355" s="5"/>
      <c r="C355" s="5"/>
      <c r="D355" s="5"/>
      <c r="E355" s="5"/>
      <c r="F355" s="5"/>
      <c r="G355" s="5"/>
      <c r="H355" s="5"/>
      <c r="I355" s="5"/>
      <c r="J355" s="5"/>
      <c r="K355" s="5"/>
      <c r="L355" s="5"/>
    </row>
    <row r="356" ht="15.75" customHeight="1">
      <c r="A356" s="5"/>
      <c r="B356" s="5"/>
      <c r="C356" s="5"/>
      <c r="D356" s="5"/>
      <c r="E356" s="5"/>
      <c r="F356" s="5"/>
      <c r="G356" s="5"/>
      <c r="H356" s="5"/>
      <c r="I356" s="5"/>
      <c r="J356" s="5"/>
      <c r="K356" s="5"/>
      <c r="L356" s="5"/>
    </row>
    <row r="357" ht="15.75" customHeight="1">
      <c r="A357" s="5"/>
      <c r="B357" s="5"/>
      <c r="C357" s="5"/>
      <c r="D357" s="5"/>
      <c r="E357" s="5"/>
      <c r="F357" s="5"/>
      <c r="G357" s="5"/>
      <c r="H357" s="5"/>
      <c r="I357" s="5"/>
      <c r="J357" s="5"/>
      <c r="K357" s="5"/>
      <c r="L357" s="5"/>
    </row>
    <row r="358" ht="15.75" customHeight="1">
      <c r="A358" s="5"/>
      <c r="B358" s="5"/>
      <c r="C358" s="5"/>
      <c r="D358" s="5"/>
      <c r="E358" s="5"/>
      <c r="F358" s="5"/>
      <c r="G358" s="5"/>
      <c r="H358" s="5"/>
      <c r="I358" s="5"/>
      <c r="J358" s="5"/>
      <c r="K358" s="5"/>
      <c r="L358" s="5"/>
    </row>
    <row r="359" ht="15.75" customHeight="1">
      <c r="A359" s="5"/>
      <c r="B359" s="5"/>
      <c r="C359" s="5"/>
      <c r="D359" s="5"/>
      <c r="E359" s="5"/>
      <c r="F359" s="5"/>
      <c r="G359" s="5"/>
      <c r="H359" s="5"/>
      <c r="I359" s="5"/>
      <c r="J359" s="5"/>
      <c r="K359" s="5"/>
      <c r="L359" s="5"/>
    </row>
    <row r="360" ht="15.75" customHeight="1">
      <c r="A360" s="5"/>
      <c r="B360" s="5"/>
      <c r="C360" s="5"/>
      <c r="D360" s="5"/>
      <c r="E360" s="5"/>
      <c r="F360" s="5"/>
      <c r="G360" s="5"/>
      <c r="H360" s="5"/>
      <c r="I360" s="5"/>
      <c r="J360" s="5"/>
      <c r="K360" s="5"/>
      <c r="L360" s="5"/>
    </row>
    <row r="361" ht="15.75" customHeight="1">
      <c r="A361" s="5"/>
      <c r="B361" s="5"/>
      <c r="C361" s="5"/>
      <c r="D361" s="5"/>
      <c r="E361" s="5"/>
      <c r="F361" s="5"/>
      <c r="G361" s="5"/>
      <c r="H361" s="5"/>
      <c r="I361" s="5"/>
      <c r="J361" s="5"/>
      <c r="K361" s="5"/>
      <c r="L361" s="5"/>
    </row>
    <row r="362" ht="15.75" customHeight="1">
      <c r="A362" s="5"/>
      <c r="B362" s="5"/>
      <c r="C362" s="5"/>
      <c r="D362" s="5"/>
      <c r="E362" s="5"/>
      <c r="F362" s="5"/>
      <c r="G362" s="5"/>
      <c r="H362" s="5"/>
      <c r="I362" s="5"/>
      <c r="J362" s="5"/>
      <c r="K362" s="5"/>
      <c r="L362" s="5"/>
    </row>
    <row r="363" ht="15.75" customHeight="1">
      <c r="A363" s="5"/>
      <c r="B363" s="5"/>
      <c r="C363" s="5"/>
      <c r="D363" s="5"/>
      <c r="E363" s="5"/>
      <c r="F363" s="5"/>
      <c r="G363" s="5"/>
      <c r="H363" s="5"/>
      <c r="I363" s="5"/>
      <c r="J363" s="5"/>
      <c r="K363" s="5"/>
      <c r="L363" s="5"/>
    </row>
    <row r="364" ht="15.75" customHeight="1">
      <c r="A364" s="5"/>
      <c r="B364" s="5"/>
      <c r="C364" s="5"/>
      <c r="D364" s="5"/>
      <c r="E364" s="5"/>
      <c r="F364" s="5"/>
      <c r="G364" s="5"/>
      <c r="H364" s="5"/>
      <c r="I364" s="5"/>
      <c r="J364" s="5"/>
      <c r="K364" s="5"/>
      <c r="L364" s="5"/>
    </row>
    <row r="365" ht="15.75" customHeight="1">
      <c r="A365" s="5"/>
      <c r="B365" s="5"/>
      <c r="C365" s="5"/>
      <c r="D365" s="5"/>
      <c r="E365" s="5"/>
      <c r="F365" s="5"/>
      <c r="G365" s="5"/>
      <c r="H365" s="5"/>
      <c r="I365" s="5"/>
      <c r="J365" s="5"/>
      <c r="K365" s="5"/>
      <c r="L365" s="5"/>
    </row>
    <row r="366" ht="15.75" customHeight="1">
      <c r="A366" s="5"/>
      <c r="B366" s="5"/>
      <c r="C366" s="5"/>
      <c r="D366" s="5"/>
      <c r="E366" s="5"/>
      <c r="F366" s="5"/>
      <c r="G366" s="5"/>
      <c r="H366" s="5"/>
      <c r="I366" s="5"/>
      <c r="J366" s="5"/>
      <c r="K366" s="5"/>
      <c r="L366" s="5"/>
    </row>
    <row r="367" ht="15.75" customHeight="1">
      <c r="A367" s="5"/>
      <c r="B367" s="5"/>
      <c r="C367" s="5"/>
      <c r="D367" s="5"/>
      <c r="E367" s="5"/>
      <c r="F367" s="5"/>
      <c r="G367" s="5"/>
      <c r="H367" s="5"/>
      <c r="I367" s="5"/>
      <c r="J367" s="5"/>
      <c r="K367" s="5"/>
      <c r="L367" s="5"/>
    </row>
    <row r="368" ht="15.75" customHeight="1">
      <c r="A368" s="5"/>
      <c r="B368" s="5"/>
      <c r="C368" s="5"/>
      <c r="D368" s="5"/>
      <c r="E368" s="5"/>
      <c r="F368" s="5"/>
      <c r="G368" s="5"/>
      <c r="H368" s="5"/>
      <c r="I368" s="5"/>
      <c r="J368" s="5"/>
      <c r="K368" s="5"/>
      <c r="L368" s="5"/>
    </row>
    <row r="369" ht="15.75" customHeight="1">
      <c r="A369" s="5"/>
      <c r="B369" s="5"/>
      <c r="C369" s="5"/>
      <c r="D369" s="5"/>
      <c r="E369" s="5"/>
      <c r="F369" s="5"/>
      <c r="G369" s="5"/>
      <c r="H369" s="5"/>
      <c r="I369" s="5"/>
      <c r="J369" s="5"/>
      <c r="K369" s="5"/>
      <c r="L369" s="5"/>
    </row>
    <row r="370" ht="15.75" customHeight="1">
      <c r="A370" s="5"/>
      <c r="B370" s="5"/>
      <c r="C370" s="5"/>
      <c r="D370" s="5"/>
      <c r="E370" s="5"/>
      <c r="F370" s="5"/>
      <c r="G370" s="5"/>
      <c r="H370" s="5"/>
      <c r="I370" s="5"/>
      <c r="J370" s="5"/>
      <c r="K370" s="5"/>
      <c r="L370" s="5"/>
    </row>
    <row r="371" ht="15.75" customHeight="1">
      <c r="A371" s="5"/>
      <c r="B371" s="5"/>
      <c r="C371" s="5"/>
      <c r="D371" s="5"/>
      <c r="E371" s="5"/>
      <c r="F371" s="5"/>
      <c r="G371" s="5"/>
      <c r="H371" s="5"/>
      <c r="I371" s="5"/>
      <c r="J371" s="5"/>
      <c r="K371" s="5"/>
      <c r="L371" s="5"/>
    </row>
    <row r="372" ht="15.75" customHeight="1">
      <c r="A372" s="5"/>
      <c r="B372" s="5"/>
      <c r="C372" s="5"/>
      <c r="D372" s="5"/>
      <c r="E372" s="5"/>
      <c r="F372" s="5"/>
      <c r="G372" s="5"/>
      <c r="H372" s="5"/>
      <c r="I372" s="5"/>
      <c r="J372" s="5"/>
      <c r="K372" s="5"/>
      <c r="L372" s="5"/>
    </row>
    <row r="373" ht="15.75" customHeight="1">
      <c r="A373" s="5"/>
      <c r="B373" s="5"/>
      <c r="C373" s="5"/>
      <c r="D373" s="5"/>
      <c r="E373" s="5"/>
      <c r="F373" s="5"/>
      <c r="G373" s="5"/>
      <c r="H373" s="5"/>
      <c r="I373" s="5"/>
      <c r="J373" s="5"/>
      <c r="K373" s="5"/>
      <c r="L373" s="5"/>
    </row>
    <row r="374" ht="15.75" customHeight="1">
      <c r="A374" s="5"/>
      <c r="B374" s="5"/>
      <c r="C374" s="5"/>
      <c r="D374" s="5"/>
      <c r="E374" s="5"/>
      <c r="F374" s="5"/>
      <c r="G374" s="5"/>
      <c r="H374" s="5"/>
      <c r="I374" s="5"/>
      <c r="J374" s="5"/>
      <c r="K374" s="5"/>
      <c r="L374" s="5"/>
    </row>
    <row r="375" ht="15.75" customHeight="1">
      <c r="A375" s="5"/>
      <c r="B375" s="5"/>
      <c r="C375" s="5"/>
      <c r="D375" s="5"/>
      <c r="E375" s="5"/>
      <c r="F375" s="5"/>
      <c r="G375" s="5"/>
      <c r="H375" s="5"/>
      <c r="I375" s="5"/>
      <c r="J375" s="5"/>
      <c r="K375" s="5"/>
      <c r="L375" s="5"/>
    </row>
    <row r="376" ht="15.75" customHeight="1">
      <c r="A376" s="5"/>
      <c r="B376" s="5"/>
      <c r="C376" s="5"/>
      <c r="D376" s="5"/>
      <c r="E376" s="5"/>
      <c r="F376" s="5"/>
      <c r="G376" s="5"/>
      <c r="H376" s="5"/>
      <c r="I376" s="5"/>
      <c r="J376" s="5"/>
      <c r="K376" s="5"/>
      <c r="L376" s="5"/>
    </row>
    <row r="377" ht="15.75" customHeight="1">
      <c r="A377" s="5"/>
      <c r="B377" s="5"/>
      <c r="C377" s="5"/>
      <c r="D377" s="5"/>
      <c r="E377" s="5"/>
      <c r="F377" s="5"/>
      <c r="G377" s="5"/>
      <c r="H377" s="5"/>
      <c r="I377" s="5"/>
      <c r="J377" s="5"/>
      <c r="K377" s="5"/>
      <c r="L377" s="5"/>
    </row>
    <row r="378" ht="15.75" customHeight="1">
      <c r="A378" s="5"/>
      <c r="B378" s="5"/>
      <c r="C378" s="5"/>
      <c r="D378" s="5"/>
      <c r="E378" s="5"/>
      <c r="F378" s="5"/>
      <c r="G378" s="5"/>
      <c r="H378" s="5"/>
      <c r="I378" s="5"/>
      <c r="J378" s="5"/>
      <c r="K378" s="5"/>
      <c r="L378" s="5"/>
    </row>
    <row r="379" ht="15.75" customHeight="1">
      <c r="A379" s="5"/>
      <c r="B379" s="5"/>
      <c r="C379" s="5"/>
      <c r="D379" s="5"/>
      <c r="E379" s="5"/>
      <c r="F379" s="5"/>
      <c r="G379" s="5"/>
      <c r="H379" s="5"/>
      <c r="I379" s="5"/>
      <c r="J379" s="5"/>
      <c r="K379" s="5"/>
      <c r="L379" s="5"/>
    </row>
    <row r="380" ht="15.75" customHeight="1">
      <c r="A380" s="5"/>
      <c r="B380" s="5"/>
      <c r="C380" s="5"/>
      <c r="D380" s="5"/>
      <c r="E380" s="5"/>
      <c r="F380" s="5"/>
      <c r="G380" s="5"/>
      <c r="H380" s="5"/>
      <c r="I380" s="5"/>
      <c r="J380" s="5"/>
      <c r="K380" s="5"/>
      <c r="L380" s="5"/>
    </row>
    <row r="381" ht="15.75" customHeight="1">
      <c r="A381" s="5"/>
      <c r="B381" s="5"/>
      <c r="C381" s="5"/>
      <c r="D381" s="5"/>
      <c r="E381" s="5"/>
      <c r="F381" s="5"/>
      <c r="G381" s="5"/>
      <c r="H381" s="5"/>
      <c r="I381" s="5"/>
      <c r="J381" s="5"/>
      <c r="K381" s="5"/>
      <c r="L381" s="5"/>
    </row>
    <row r="382" ht="15.75" customHeight="1">
      <c r="A382" s="5"/>
      <c r="B382" s="5"/>
      <c r="C382" s="5"/>
      <c r="D382" s="5"/>
      <c r="E382" s="5"/>
      <c r="F382" s="5"/>
      <c r="G382" s="5"/>
      <c r="H382" s="5"/>
      <c r="I382" s="5"/>
      <c r="J382" s="5"/>
      <c r="K382" s="5"/>
      <c r="L382" s="5"/>
    </row>
    <row r="383" ht="15.75" customHeight="1">
      <c r="A383" s="5"/>
      <c r="B383" s="5"/>
      <c r="C383" s="5"/>
      <c r="D383" s="5"/>
      <c r="E383" s="5"/>
      <c r="F383" s="5"/>
      <c r="G383" s="5"/>
      <c r="H383" s="5"/>
      <c r="I383" s="5"/>
      <c r="J383" s="5"/>
      <c r="K383" s="5"/>
      <c r="L383" s="5"/>
    </row>
    <row r="384" ht="15.75" customHeight="1">
      <c r="A384" s="5"/>
      <c r="B384" s="5"/>
      <c r="C384" s="5"/>
      <c r="D384" s="5"/>
      <c r="E384" s="5"/>
      <c r="F384" s="5"/>
      <c r="G384" s="5"/>
      <c r="H384" s="5"/>
      <c r="I384" s="5"/>
      <c r="J384" s="5"/>
      <c r="K384" s="5"/>
      <c r="L384" s="5"/>
    </row>
    <row r="385" ht="15.75" customHeight="1">
      <c r="A385" s="5"/>
      <c r="B385" s="5"/>
      <c r="C385" s="5"/>
      <c r="D385" s="5"/>
      <c r="E385" s="5"/>
      <c r="F385" s="5"/>
      <c r="G385" s="5"/>
      <c r="H385" s="5"/>
      <c r="I385" s="5"/>
      <c r="J385" s="5"/>
      <c r="K385" s="5"/>
      <c r="L385" s="5"/>
    </row>
    <row r="386" ht="15.75" customHeight="1">
      <c r="A386" s="5"/>
      <c r="B386" s="5"/>
      <c r="C386" s="5"/>
      <c r="D386" s="5"/>
      <c r="E386" s="5"/>
      <c r="F386" s="5"/>
      <c r="G386" s="5"/>
      <c r="H386" s="5"/>
      <c r="I386" s="5"/>
      <c r="J386" s="5"/>
      <c r="K386" s="5"/>
      <c r="L386" s="5"/>
    </row>
    <row r="387" ht="15.75" customHeight="1">
      <c r="A387" s="5"/>
      <c r="B387" s="5"/>
      <c r="C387" s="5"/>
      <c r="D387" s="5"/>
      <c r="E387" s="5"/>
      <c r="F387" s="5"/>
      <c r="G387" s="5"/>
      <c r="H387" s="5"/>
      <c r="I387" s="5"/>
      <c r="J387" s="5"/>
      <c r="K387" s="5"/>
      <c r="L387" s="5"/>
    </row>
    <row r="388" ht="15.75" customHeight="1">
      <c r="A388" s="5"/>
      <c r="B388" s="5"/>
      <c r="C388" s="5"/>
      <c r="D388" s="5"/>
      <c r="E388" s="5"/>
      <c r="F388" s="5"/>
      <c r="G388" s="5"/>
      <c r="H388" s="5"/>
      <c r="I388" s="5"/>
      <c r="J388" s="5"/>
      <c r="K388" s="5"/>
      <c r="L388" s="5"/>
    </row>
    <row r="389" ht="15.75" customHeight="1">
      <c r="A389" s="5"/>
      <c r="B389" s="5"/>
      <c r="C389" s="5"/>
      <c r="D389" s="5"/>
      <c r="E389" s="5"/>
      <c r="F389" s="5"/>
      <c r="G389" s="5"/>
      <c r="H389" s="5"/>
      <c r="I389" s="5"/>
      <c r="J389" s="5"/>
      <c r="K389" s="5"/>
      <c r="L389" s="5"/>
    </row>
    <row r="390" ht="15.75" customHeight="1">
      <c r="A390" s="5"/>
      <c r="B390" s="5"/>
      <c r="C390" s="5"/>
      <c r="D390" s="5"/>
      <c r="E390" s="5"/>
      <c r="F390" s="5"/>
      <c r="G390" s="5"/>
      <c r="H390" s="5"/>
      <c r="I390" s="5"/>
      <c r="J390" s="5"/>
      <c r="K390" s="5"/>
      <c r="L390" s="5"/>
    </row>
    <row r="391" ht="15.75" customHeight="1">
      <c r="A391" s="5"/>
      <c r="B391" s="5"/>
      <c r="C391" s="5"/>
      <c r="D391" s="5"/>
      <c r="E391" s="5"/>
      <c r="F391" s="5"/>
      <c r="G391" s="5"/>
      <c r="H391" s="5"/>
      <c r="I391" s="5"/>
      <c r="J391" s="5"/>
      <c r="K391" s="5"/>
      <c r="L391" s="5"/>
    </row>
    <row r="392" ht="15.75" customHeight="1">
      <c r="A392" s="5"/>
      <c r="B392" s="5"/>
      <c r="C392" s="5"/>
      <c r="D392" s="5"/>
      <c r="E392" s="5"/>
      <c r="F392" s="5"/>
      <c r="G392" s="5"/>
      <c r="H392" s="5"/>
      <c r="I392" s="5"/>
      <c r="J392" s="5"/>
      <c r="K392" s="5"/>
      <c r="L392" s="5"/>
    </row>
    <row r="393" ht="15.75" customHeight="1">
      <c r="A393" s="5"/>
      <c r="B393" s="5"/>
      <c r="C393" s="5"/>
      <c r="D393" s="5"/>
      <c r="E393" s="5"/>
      <c r="F393" s="5"/>
      <c r="G393" s="5"/>
      <c r="H393" s="5"/>
      <c r="I393" s="5"/>
      <c r="J393" s="5"/>
      <c r="K393" s="5"/>
      <c r="L393" s="5"/>
    </row>
    <row r="394" ht="15.75" customHeight="1">
      <c r="A394" s="5"/>
      <c r="B394" s="5"/>
      <c r="C394" s="5"/>
      <c r="D394" s="5"/>
      <c r="E394" s="5"/>
      <c r="F394" s="5"/>
      <c r="G394" s="5"/>
      <c r="H394" s="5"/>
      <c r="I394" s="5"/>
      <c r="J394" s="5"/>
      <c r="K394" s="5"/>
      <c r="L394" s="5"/>
    </row>
    <row r="395" ht="15.75" customHeight="1">
      <c r="A395" s="5"/>
      <c r="B395" s="5"/>
      <c r="C395" s="5"/>
      <c r="D395" s="5"/>
      <c r="E395" s="5"/>
      <c r="F395" s="5"/>
      <c r="G395" s="5"/>
      <c r="H395" s="5"/>
      <c r="I395" s="5"/>
      <c r="J395" s="5"/>
      <c r="K395" s="5"/>
      <c r="L395" s="5"/>
    </row>
    <row r="396" ht="15.75" customHeight="1">
      <c r="A396" s="5"/>
      <c r="B396" s="5"/>
      <c r="C396" s="5"/>
      <c r="D396" s="5"/>
      <c r="E396" s="5"/>
      <c r="F396" s="5"/>
      <c r="G396" s="5"/>
      <c r="H396" s="5"/>
      <c r="I396" s="5"/>
      <c r="J396" s="5"/>
      <c r="K396" s="5"/>
      <c r="L396" s="5"/>
    </row>
    <row r="397" ht="15.75" customHeight="1">
      <c r="A397" s="5"/>
      <c r="B397" s="5"/>
      <c r="C397" s="5"/>
      <c r="D397" s="5"/>
      <c r="E397" s="5"/>
      <c r="F397" s="5"/>
      <c r="G397" s="5"/>
      <c r="H397" s="5"/>
      <c r="I397" s="5"/>
      <c r="J397" s="5"/>
      <c r="K397" s="5"/>
      <c r="L397" s="5"/>
    </row>
    <row r="398" ht="15.75" customHeight="1">
      <c r="A398" s="5"/>
      <c r="B398" s="5"/>
      <c r="C398" s="5"/>
      <c r="D398" s="5"/>
      <c r="E398" s="5"/>
      <c r="F398" s="5"/>
      <c r="G398" s="5"/>
      <c r="H398" s="5"/>
      <c r="I398" s="5"/>
      <c r="J398" s="5"/>
      <c r="K398" s="5"/>
      <c r="L398" s="5"/>
    </row>
    <row r="399" ht="15.75" customHeight="1">
      <c r="A399" s="5"/>
      <c r="B399" s="5"/>
      <c r="C399" s="5"/>
      <c r="D399" s="5"/>
      <c r="E399" s="5"/>
      <c r="F399" s="5"/>
      <c r="G399" s="5"/>
      <c r="H399" s="5"/>
      <c r="I399" s="5"/>
      <c r="J399" s="5"/>
      <c r="K399" s="5"/>
      <c r="L399" s="5"/>
    </row>
    <row r="400" ht="15.75" customHeight="1">
      <c r="A400" s="5"/>
      <c r="B400" s="5"/>
      <c r="C400" s="5"/>
      <c r="D400" s="5"/>
      <c r="E400" s="5"/>
      <c r="F400" s="5"/>
      <c r="G400" s="5"/>
      <c r="H400" s="5"/>
      <c r="I400" s="5"/>
      <c r="J400" s="5"/>
      <c r="K400" s="5"/>
      <c r="L400" s="5"/>
    </row>
    <row r="401" ht="15.75" customHeight="1">
      <c r="A401" s="5"/>
      <c r="B401" s="5"/>
      <c r="C401" s="5"/>
      <c r="D401" s="5"/>
      <c r="E401" s="5"/>
      <c r="F401" s="5"/>
      <c r="G401" s="5"/>
      <c r="H401" s="5"/>
      <c r="I401" s="5"/>
      <c r="J401" s="5"/>
      <c r="K401" s="5"/>
      <c r="L401" s="5"/>
    </row>
    <row r="402" ht="15.75" customHeight="1">
      <c r="A402" s="5"/>
      <c r="B402" s="5"/>
      <c r="C402" s="5"/>
      <c r="D402" s="5"/>
      <c r="E402" s="5"/>
      <c r="F402" s="5"/>
      <c r="G402" s="5"/>
      <c r="H402" s="5"/>
      <c r="I402" s="5"/>
      <c r="J402" s="5"/>
      <c r="K402" s="5"/>
      <c r="L402" s="5"/>
    </row>
    <row r="403" ht="15.75" customHeight="1">
      <c r="A403" s="5"/>
      <c r="B403" s="5"/>
      <c r="C403" s="5"/>
      <c r="D403" s="5"/>
      <c r="E403" s="5"/>
      <c r="F403" s="5"/>
      <c r="G403" s="5"/>
      <c r="H403" s="5"/>
      <c r="I403" s="5"/>
      <c r="J403" s="5"/>
      <c r="K403" s="5"/>
      <c r="L403" s="5"/>
    </row>
    <row r="404" ht="15.75" customHeight="1">
      <c r="A404" s="5"/>
      <c r="B404" s="5"/>
      <c r="C404" s="5"/>
      <c r="D404" s="5"/>
      <c r="E404" s="5"/>
      <c r="F404" s="5"/>
      <c r="G404" s="5"/>
      <c r="H404" s="5"/>
      <c r="I404" s="5"/>
      <c r="J404" s="5"/>
      <c r="K404" s="5"/>
      <c r="L404" s="5"/>
    </row>
    <row r="405" ht="15.75" customHeight="1">
      <c r="A405" s="5"/>
      <c r="B405" s="5"/>
      <c r="C405" s="5"/>
      <c r="D405" s="5"/>
      <c r="E405" s="5"/>
      <c r="F405" s="5"/>
      <c r="G405" s="5"/>
      <c r="H405" s="5"/>
      <c r="I405" s="5"/>
      <c r="J405" s="5"/>
      <c r="K405" s="5"/>
      <c r="L405" s="5"/>
    </row>
    <row r="406" ht="15.75" customHeight="1">
      <c r="A406" s="5"/>
      <c r="B406" s="5"/>
      <c r="C406" s="5"/>
      <c r="D406" s="5"/>
      <c r="E406" s="5"/>
      <c r="F406" s="5"/>
      <c r="G406" s="5"/>
      <c r="H406" s="5"/>
      <c r="I406" s="5"/>
      <c r="J406" s="5"/>
      <c r="K406" s="5"/>
      <c r="L406" s="5"/>
    </row>
    <row r="407" ht="15.75" customHeight="1">
      <c r="A407" s="5"/>
      <c r="B407" s="5"/>
      <c r="C407" s="5"/>
      <c r="D407" s="5"/>
      <c r="E407" s="5"/>
      <c r="F407" s="5"/>
      <c r="G407" s="5"/>
      <c r="H407" s="5"/>
      <c r="I407" s="5"/>
      <c r="J407" s="5"/>
      <c r="K407" s="5"/>
      <c r="L407" s="5"/>
    </row>
    <row r="408" ht="15.75" customHeight="1">
      <c r="A408" s="5"/>
      <c r="B408" s="5"/>
      <c r="C408" s="5"/>
      <c r="D408" s="5"/>
      <c r="E408" s="5"/>
      <c r="F408" s="5"/>
      <c r="G408" s="5"/>
      <c r="H408" s="5"/>
      <c r="I408" s="5"/>
      <c r="J408" s="5"/>
      <c r="K408" s="5"/>
      <c r="L408" s="5"/>
    </row>
    <row r="409" ht="15.75" customHeight="1">
      <c r="A409" s="5"/>
      <c r="B409" s="5"/>
      <c r="C409" s="5"/>
      <c r="D409" s="5"/>
      <c r="E409" s="5"/>
      <c r="F409" s="5"/>
      <c r="G409" s="5"/>
      <c r="H409" s="5"/>
      <c r="I409" s="5"/>
      <c r="J409" s="5"/>
      <c r="K409" s="5"/>
      <c r="L409" s="5"/>
    </row>
    <row r="410" ht="15.75" customHeight="1">
      <c r="A410" s="5"/>
      <c r="B410" s="5"/>
      <c r="C410" s="5"/>
      <c r="D410" s="5"/>
      <c r="E410" s="5"/>
      <c r="F410" s="5"/>
      <c r="G410" s="5"/>
      <c r="H410" s="5"/>
      <c r="I410" s="5"/>
      <c r="J410" s="5"/>
      <c r="K410" s="5"/>
      <c r="L410" s="5"/>
    </row>
    <row r="411" ht="15.75" customHeight="1">
      <c r="A411" s="5"/>
      <c r="B411" s="5"/>
      <c r="C411" s="5"/>
      <c r="D411" s="5"/>
      <c r="E411" s="5"/>
      <c r="F411" s="5"/>
      <c r="G411" s="5"/>
      <c r="H411" s="5"/>
      <c r="I411" s="5"/>
      <c r="J411" s="5"/>
      <c r="K411" s="5"/>
      <c r="L411" s="5"/>
    </row>
    <row r="412" ht="15.75" customHeight="1">
      <c r="A412" s="5"/>
      <c r="B412" s="5"/>
      <c r="C412" s="5"/>
      <c r="D412" s="5"/>
      <c r="E412" s="5"/>
      <c r="F412" s="5"/>
      <c r="G412" s="5"/>
      <c r="H412" s="5"/>
      <c r="I412" s="5"/>
      <c r="J412" s="5"/>
      <c r="K412" s="5"/>
      <c r="L412" s="5"/>
    </row>
    <row r="413" ht="15.75" customHeight="1">
      <c r="A413" s="5"/>
      <c r="B413" s="5"/>
      <c r="C413" s="5"/>
      <c r="D413" s="5"/>
      <c r="E413" s="5"/>
      <c r="F413" s="5"/>
      <c r="G413" s="5"/>
      <c r="H413" s="5"/>
      <c r="I413" s="5"/>
      <c r="J413" s="5"/>
      <c r="K413" s="5"/>
      <c r="L413" s="5"/>
    </row>
    <row r="414" ht="15.75" customHeight="1">
      <c r="A414" s="5"/>
      <c r="B414" s="5"/>
      <c r="C414" s="5"/>
      <c r="D414" s="5"/>
      <c r="E414" s="5"/>
      <c r="F414" s="5"/>
      <c r="G414" s="5"/>
      <c r="H414" s="5"/>
      <c r="I414" s="5"/>
      <c r="J414" s="5"/>
      <c r="K414" s="5"/>
      <c r="L414" s="5"/>
    </row>
    <row r="415" ht="15.75" customHeight="1">
      <c r="A415" s="5"/>
      <c r="B415" s="5"/>
      <c r="C415" s="5"/>
      <c r="D415" s="5"/>
      <c r="E415" s="5"/>
      <c r="F415" s="5"/>
      <c r="G415" s="5"/>
      <c r="H415" s="5"/>
      <c r="I415" s="5"/>
      <c r="J415" s="5"/>
      <c r="K415" s="5"/>
      <c r="L415" s="5"/>
    </row>
    <row r="416" ht="15.75" customHeight="1">
      <c r="A416" s="5"/>
      <c r="B416" s="5"/>
      <c r="C416" s="5"/>
      <c r="D416" s="5"/>
      <c r="E416" s="5"/>
      <c r="F416" s="5"/>
      <c r="G416" s="5"/>
      <c r="H416" s="5"/>
      <c r="I416" s="5"/>
      <c r="J416" s="5"/>
      <c r="K416" s="5"/>
      <c r="L416" s="5"/>
    </row>
    <row r="417" ht="15.75" customHeight="1">
      <c r="A417" s="5"/>
      <c r="B417" s="5"/>
      <c r="C417" s="5"/>
      <c r="D417" s="5"/>
      <c r="E417" s="5"/>
      <c r="F417" s="5"/>
      <c r="G417" s="5"/>
      <c r="H417" s="5"/>
      <c r="I417" s="5"/>
      <c r="J417" s="5"/>
      <c r="K417" s="5"/>
      <c r="L417" s="5"/>
    </row>
    <row r="418" ht="15.75" customHeight="1">
      <c r="A418" s="5"/>
      <c r="B418" s="5"/>
      <c r="C418" s="5"/>
      <c r="D418" s="5"/>
      <c r="E418" s="5"/>
      <c r="F418" s="5"/>
      <c r="G418" s="5"/>
      <c r="H418" s="5"/>
      <c r="I418" s="5"/>
      <c r="J418" s="5"/>
      <c r="K418" s="5"/>
      <c r="L418" s="5"/>
    </row>
    <row r="419" ht="15.75" customHeight="1">
      <c r="A419" s="5"/>
      <c r="B419" s="5"/>
      <c r="C419" s="5"/>
      <c r="D419" s="5"/>
      <c r="E419" s="5"/>
      <c r="F419" s="5"/>
      <c r="G419" s="5"/>
      <c r="H419" s="5"/>
      <c r="I419" s="5"/>
      <c r="J419" s="5"/>
      <c r="K419" s="5"/>
      <c r="L419" s="5"/>
    </row>
    <row r="420" ht="15.75" customHeight="1">
      <c r="A420" s="5"/>
      <c r="B420" s="5"/>
      <c r="C420" s="5"/>
      <c r="D420" s="5"/>
      <c r="E420" s="5"/>
      <c r="F420" s="5"/>
      <c r="G420" s="5"/>
      <c r="H420" s="5"/>
      <c r="I420" s="5"/>
      <c r="J420" s="5"/>
      <c r="K420" s="5"/>
      <c r="L420" s="5"/>
    </row>
    <row r="421" ht="15.75" customHeight="1">
      <c r="A421" s="5"/>
      <c r="B421" s="5"/>
      <c r="C421" s="5"/>
      <c r="D421" s="5"/>
      <c r="E421" s="5"/>
      <c r="F421" s="5"/>
      <c r="G421" s="5"/>
      <c r="H421" s="5"/>
      <c r="I421" s="5"/>
      <c r="J421" s="5"/>
      <c r="K421" s="5"/>
      <c r="L421" s="5"/>
    </row>
    <row r="422" ht="15.75" customHeight="1">
      <c r="A422" s="5"/>
      <c r="B422" s="5"/>
      <c r="C422" s="5"/>
      <c r="D422" s="5"/>
      <c r="E422" s="5"/>
      <c r="F422" s="5"/>
      <c r="G422" s="5"/>
      <c r="H422" s="5"/>
      <c r="I422" s="5"/>
      <c r="J422" s="5"/>
      <c r="K422" s="5"/>
      <c r="L422" s="5"/>
    </row>
    <row r="423" ht="15.75" customHeight="1">
      <c r="A423" s="5"/>
      <c r="B423" s="5"/>
      <c r="C423" s="5"/>
      <c r="D423" s="5"/>
      <c r="E423" s="5"/>
      <c r="F423" s="5"/>
      <c r="G423" s="5"/>
      <c r="H423" s="5"/>
      <c r="I423" s="5"/>
      <c r="J423" s="5"/>
      <c r="K423" s="5"/>
      <c r="L423" s="5"/>
    </row>
    <row r="424" ht="15.75" customHeight="1">
      <c r="A424" s="5"/>
      <c r="B424" s="5"/>
      <c r="C424" s="5"/>
      <c r="D424" s="5"/>
      <c r="E424" s="5"/>
      <c r="F424" s="5"/>
      <c r="G424" s="5"/>
      <c r="H424" s="5"/>
      <c r="I424" s="5"/>
      <c r="J424" s="5"/>
      <c r="K424" s="5"/>
      <c r="L424" s="5"/>
    </row>
    <row r="425" ht="15.75" customHeight="1">
      <c r="A425" s="5"/>
      <c r="B425" s="5"/>
      <c r="C425" s="5"/>
      <c r="D425" s="5"/>
      <c r="E425" s="5"/>
      <c r="F425" s="5"/>
      <c r="G425" s="5"/>
      <c r="H425" s="5"/>
      <c r="I425" s="5"/>
      <c r="J425" s="5"/>
      <c r="K425" s="5"/>
      <c r="L425" s="5"/>
    </row>
    <row r="426" ht="15.75" customHeight="1">
      <c r="A426" s="5"/>
      <c r="B426" s="5"/>
      <c r="C426" s="5"/>
      <c r="D426" s="5"/>
      <c r="E426" s="5"/>
      <c r="F426" s="5"/>
      <c r="G426" s="5"/>
      <c r="H426" s="5"/>
      <c r="I426" s="5"/>
      <c r="J426" s="5"/>
      <c r="K426" s="5"/>
      <c r="L426" s="5"/>
    </row>
    <row r="427" ht="15.75" customHeight="1">
      <c r="A427" s="5"/>
      <c r="B427" s="5"/>
      <c r="C427" s="5"/>
      <c r="D427" s="5"/>
      <c r="E427" s="5"/>
      <c r="F427" s="5"/>
      <c r="G427" s="5"/>
      <c r="H427" s="5"/>
      <c r="I427" s="5"/>
      <c r="J427" s="5"/>
      <c r="K427" s="5"/>
      <c r="L427" s="5"/>
    </row>
    <row r="428" ht="15.75" customHeight="1">
      <c r="A428" s="5"/>
      <c r="B428" s="5"/>
      <c r="C428" s="5"/>
      <c r="D428" s="5"/>
      <c r="E428" s="5"/>
      <c r="F428" s="5"/>
      <c r="G428" s="5"/>
      <c r="H428" s="5"/>
      <c r="I428" s="5"/>
      <c r="J428" s="5"/>
      <c r="K428" s="5"/>
      <c r="L428" s="5"/>
    </row>
    <row r="429" ht="15.75" customHeight="1">
      <c r="A429" s="5"/>
      <c r="B429" s="5"/>
      <c r="C429" s="5"/>
      <c r="D429" s="5"/>
      <c r="E429" s="5"/>
      <c r="F429" s="5"/>
      <c r="G429" s="5"/>
      <c r="H429" s="5"/>
      <c r="I429" s="5"/>
      <c r="J429" s="5"/>
      <c r="K429" s="5"/>
      <c r="L429" s="5"/>
    </row>
    <row r="430" ht="15.75" customHeight="1">
      <c r="A430" s="5"/>
      <c r="B430" s="5"/>
      <c r="C430" s="5"/>
      <c r="D430" s="5"/>
      <c r="E430" s="5"/>
      <c r="F430" s="5"/>
      <c r="G430" s="5"/>
      <c r="H430" s="5"/>
      <c r="I430" s="5"/>
      <c r="J430" s="5"/>
      <c r="K430" s="5"/>
      <c r="L430" s="5"/>
    </row>
    <row r="431" ht="15.75" customHeight="1">
      <c r="A431" s="5"/>
      <c r="B431" s="5"/>
      <c r="C431" s="5"/>
      <c r="D431" s="5"/>
      <c r="E431" s="5"/>
      <c r="F431" s="5"/>
      <c r="G431" s="5"/>
      <c r="H431" s="5"/>
      <c r="I431" s="5"/>
      <c r="J431" s="5"/>
      <c r="K431" s="5"/>
      <c r="L431" s="5"/>
    </row>
    <row r="432" ht="15.75" customHeight="1">
      <c r="A432" s="5"/>
      <c r="B432" s="5"/>
      <c r="C432" s="5"/>
      <c r="D432" s="5"/>
      <c r="E432" s="5"/>
      <c r="F432" s="5"/>
      <c r="G432" s="5"/>
      <c r="H432" s="5"/>
      <c r="I432" s="5"/>
      <c r="J432" s="5"/>
      <c r="K432" s="5"/>
      <c r="L432" s="5"/>
    </row>
    <row r="433" ht="15.75" customHeight="1">
      <c r="A433" s="5"/>
      <c r="B433" s="5"/>
      <c r="C433" s="5"/>
      <c r="D433" s="5"/>
      <c r="E433" s="5"/>
      <c r="F433" s="5"/>
      <c r="G433" s="5"/>
      <c r="H433" s="5"/>
      <c r="I433" s="5"/>
      <c r="J433" s="5"/>
      <c r="K433" s="5"/>
      <c r="L433" s="5"/>
    </row>
    <row r="434" ht="15.75" customHeight="1">
      <c r="A434" s="5"/>
      <c r="B434" s="5"/>
      <c r="C434" s="5"/>
      <c r="D434" s="5"/>
      <c r="E434" s="5"/>
      <c r="F434" s="5"/>
      <c r="G434" s="5"/>
      <c r="H434" s="5"/>
      <c r="I434" s="5"/>
      <c r="J434" s="5"/>
      <c r="K434" s="5"/>
      <c r="L434" s="5"/>
    </row>
    <row r="435" ht="15.75" customHeight="1">
      <c r="A435" s="5"/>
      <c r="B435" s="5"/>
      <c r="C435" s="5"/>
      <c r="D435" s="5"/>
      <c r="E435" s="5"/>
      <c r="F435" s="5"/>
      <c r="G435" s="5"/>
      <c r="H435" s="5"/>
      <c r="I435" s="5"/>
      <c r="J435" s="5"/>
      <c r="K435" s="5"/>
      <c r="L435" s="5"/>
    </row>
    <row r="436" ht="15.75" customHeight="1">
      <c r="A436" s="5"/>
      <c r="B436" s="5"/>
      <c r="C436" s="5"/>
      <c r="D436" s="5"/>
      <c r="E436" s="5"/>
      <c r="F436" s="5"/>
      <c r="G436" s="5"/>
      <c r="H436" s="5"/>
      <c r="I436" s="5"/>
      <c r="J436" s="5"/>
      <c r="K436" s="5"/>
      <c r="L436" s="5"/>
    </row>
    <row r="437" ht="15.75" customHeight="1">
      <c r="A437" s="5"/>
      <c r="B437" s="5"/>
      <c r="C437" s="5"/>
      <c r="D437" s="5"/>
      <c r="E437" s="5"/>
      <c r="F437" s="5"/>
      <c r="G437" s="5"/>
      <c r="H437" s="5"/>
      <c r="I437" s="5"/>
      <c r="J437" s="5"/>
      <c r="K437" s="5"/>
      <c r="L437" s="5"/>
    </row>
    <row r="438" ht="15.75" customHeight="1">
      <c r="A438" s="5"/>
      <c r="B438" s="5"/>
      <c r="C438" s="5"/>
      <c r="D438" s="5"/>
      <c r="E438" s="5"/>
      <c r="F438" s="5"/>
      <c r="G438" s="5"/>
      <c r="H438" s="5"/>
      <c r="I438" s="5"/>
      <c r="J438" s="5"/>
      <c r="K438" s="5"/>
      <c r="L438" s="5"/>
    </row>
    <row r="439" ht="15.75" customHeight="1">
      <c r="A439" s="5"/>
      <c r="B439" s="5"/>
      <c r="C439" s="5"/>
      <c r="D439" s="5"/>
      <c r="E439" s="5"/>
      <c r="F439" s="5"/>
      <c r="G439" s="5"/>
      <c r="H439" s="5"/>
      <c r="I439" s="5"/>
      <c r="J439" s="5"/>
      <c r="K439" s="5"/>
      <c r="L439" s="5"/>
    </row>
    <row r="440" ht="15.75" customHeight="1">
      <c r="A440" s="5"/>
      <c r="B440" s="5"/>
      <c r="C440" s="5"/>
      <c r="D440" s="5"/>
      <c r="E440" s="5"/>
      <c r="F440" s="5"/>
      <c r="G440" s="5"/>
      <c r="H440" s="5"/>
      <c r="I440" s="5"/>
      <c r="J440" s="5"/>
      <c r="K440" s="5"/>
      <c r="L440" s="5"/>
    </row>
    <row r="441" ht="15.75" customHeight="1">
      <c r="A441" s="5"/>
      <c r="B441" s="5"/>
      <c r="C441" s="5"/>
      <c r="D441" s="5"/>
      <c r="E441" s="5"/>
      <c r="F441" s="5"/>
      <c r="G441" s="5"/>
      <c r="H441" s="5"/>
      <c r="I441" s="5"/>
      <c r="J441" s="5"/>
      <c r="K441" s="5"/>
      <c r="L441" s="5"/>
    </row>
    <row r="442" ht="15.75" customHeight="1">
      <c r="A442" s="5"/>
      <c r="B442" s="5"/>
      <c r="C442" s="5"/>
      <c r="D442" s="5"/>
      <c r="E442" s="5"/>
      <c r="F442" s="5"/>
      <c r="G442" s="5"/>
      <c r="H442" s="5"/>
      <c r="I442" s="5"/>
      <c r="J442" s="5"/>
      <c r="K442" s="5"/>
      <c r="L442" s="5"/>
    </row>
    <row r="443" ht="15.75" customHeight="1">
      <c r="A443" s="5"/>
      <c r="B443" s="5"/>
      <c r="C443" s="5"/>
      <c r="D443" s="5"/>
      <c r="E443" s="5"/>
      <c r="F443" s="5"/>
      <c r="G443" s="5"/>
      <c r="H443" s="5"/>
      <c r="I443" s="5"/>
      <c r="J443" s="5"/>
      <c r="K443" s="5"/>
      <c r="L443" s="5"/>
    </row>
    <row r="444" ht="15.75" customHeight="1">
      <c r="A444" s="5"/>
      <c r="B444" s="5"/>
      <c r="C444" s="5"/>
      <c r="D444" s="5"/>
      <c r="E444" s="5"/>
      <c r="F444" s="5"/>
      <c r="G444" s="5"/>
      <c r="H444" s="5"/>
      <c r="I444" s="5"/>
      <c r="J444" s="5"/>
      <c r="K444" s="5"/>
      <c r="L444" s="5"/>
    </row>
    <row r="445" ht="15.75" customHeight="1">
      <c r="A445" s="5"/>
      <c r="B445" s="5"/>
      <c r="C445" s="5"/>
      <c r="D445" s="5"/>
      <c r="E445" s="5"/>
      <c r="F445" s="5"/>
      <c r="G445" s="5"/>
      <c r="H445" s="5"/>
      <c r="I445" s="5"/>
      <c r="J445" s="5"/>
      <c r="K445" s="5"/>
      <c r="L445" s="5"/>
    </row>
    <row r="446" ht="15.75" customHeight="1">
      <c r="A446" s="5"/>
      <c r="B446" s="5"/>
      <c r="C446" s="5"/>
      <c r="D446" s="5"/>
      <c r="E446" s="5"/>
      <c r="F446" s="5"/>
      <c r="G446" s="5"/>
      <c r="H446" s="5"/>
      <c r="I446" s="5"/>
      <c r="J446" s="5"/>
      <c r="K446" s="5"/>
      <c r="L446" s="5"/>
    </row>
    <row r="447" ht="15.75" customHeight="1">
      <c r="A447" s="5"/>
      <c r="B447" s="5"/>
      <c r="C447" s="5"/>
      <c r="D447" s="5"/>
      <c r="E447" s="5"/>
      <c r="F447" s="5"/>
      <c r="G447" s="5"/>
      <c r="H447" s="5"/>
      <c r="I447" s="5"/>
      <c r="J447" s="5"/>
      <c r="K447" s="5"/>
      <c r="L447" s="5"/>
    </row>
    <row r="448" ht="15.75" customHeight="1">
      <c r="A448" s="5"/>
      <c r="B448" s="5"/>
      <c r="C448" s="5"/>
      <c r="D448" s="5"/>
      <c r="E448" s="5"/>
      <c r="F448" s="5"/>
      <c r="G448" s="5"/>
      <c r="H448" s="5"/>
      <c r="I448" s="5"/>
      <c r="J448" s="5"/>
      <c r="K448" s="5"/>
      <c r="L448" s="5"/>
    </row>
    <row r="449" ht="15.75" customHeight="1">
      <c r="A449" s="5"/>
      <c r="B449" s="5"/>
      <c r="C449" s="5"/>
      <c r="D449" s="5"/>
      <c r="E449" s="5"/>
      <c r="F449" s="5"/>
      <c r="G449" s="5"/>
      <c r="H449" s="5"/>
      <c r="I449" s="5"/>
      <c r="J449" s="5"/>
      <c r="K449" s="5"/>
      <c r="L449" s="5"/>
    </row>
    <row r="450" ht="15.75" customHeight="1">
      <c r="A450" s="5"/>
      <c r="B450" s="5"/>
      <c r="C450" s="5"/>
      <c r="D450" s="5"/>
      <c r="E450" s="5"/>
      <c r="F450" s="5"/>
      <c r="G450" s="5"/>
      <c r="H450" s="5"/>
      <c r="I450" s="5"/>
      <c r="J450" s="5"/>
      <c r="K450" s="5"/>
      <c r="L450" s="5"/>
    </row>
    <row r="451" ht="15.75" customHeight="1">
      <c r="A451" s="5"/>
      <c r="B451" s="5"/>
      <c r="C451" s="5"/>
      <c r="D451" s="5"/>
      <c r="E451" s="5"/>
      <c r="F451" s="5"/>
      <c r="G451" s="5"/>
      <c r="H451" s="5"/>
      <c r="I451" s="5"/>
      <c r="J451" s="5"/>
      <c r="K451" s="5"/>
      <c r="L451" s="5"/>
    </row>
    <row r="452" ht="15.75" customHeight="1">
      <c r="A452" s="5"/>
      <c r="B452" s="5"/>
      <c r="C452" s="5"/>
      <c r="D452" s="5"/>
      <c r="E452" s="5"/>
      <c r="F452" s="5"/>
      <c r="G452" s="5"/>
      <c r="H452" s="5"/>
      <c r="I452" s="5"/>
      <c r="J452" s="5"/>
      <c r="K452" s="5"/>
      <c r="L452" s="5"/>
    </row>
    <row r="453" ht="15.75" customHeight="1">
      <c r="A453" s="5"/>
      <c r="B453" s="5"/>
      <c r="C453" s="5"/>
      <c r="D453" s="5"/>
      <c r="E453" s="5"/>
      <c r="F453" s="5"/>
      <c r="G453" s="5"/>
      <c r="H453" s="5"/>
      <c r="I453" s="5"/>
      <c r="J453" s="5"/>
      <c r="K453" s="5"/>
      <c r="L453" s="5"/>
    </row>
    <row r="454" ht="15.75" customHeight="1">
      <c r="A454" s="5"/>
      <c r="B454" s="5"/>
      <c r="C454" s="5"/>
      <c r="D454" s="5"/>
      <c r="E454" s="5"/>
      <c r="F454" s="5"/>
      <c r="G454" s="5"/>
      <c r="H454" s="5"/>
      <c r="I454" s="5"/>
      <c r="J454" s="5"/>
      <c r="K454" s="5"/>
      <c r="L454" s="5"/>
    </row>
    <row r="455" ht="15.75" customHeight="1">
      <c r="A455" s="5"/>
      <c r="B455" s="5"/>
      <c r="C455" s="5"/>
      <c r="D455" s="5"/>
      <c r="E455" s="5"/>
      <c r="F455" s="5"/>
      <c r="G455" s="5"/>
      <c r="H455" s="5"/>
      <c r="I455" s="5"/>
      <c r="J455" s="5"/>
      <c r="K455" s="5"/>
      <c r="L455" s="5"/>
    </row>
    <row r="456" ht="15.75" customHeight="1">
      <c r="A456" s="5"/>
      <c r="B456" s="5"/>
      <c r="C456" s="5"/>
      <c r="D456" s="5"/>
      <c r="E456" s="5"/>
      <c r="F456" s="5"/>
      <c r="G456" s="5"/>
      <c r="H456" s="5"/>
      <c r="I456" s="5"/>
      <c r="J456" s="5"/>
      <c r="K456" s="5"/>
      <c r="L456" s="5"/>
    </row>
    <row r="457" ht="15.75" customHeight="1">
      <c r="A457" s="5"/>
      <c r="B457" s="5"/>
      <c r="C457" s="5"/>
      <c r="D457" s="5"/>
      <c r="E457" s="5"/>
      <c r="F457" s="5"/>
      <c r="G457" s="5"/>
      <c r="H457" s="5"/>
      <c r="I457" s="5"/>
      <c r="J457" s="5"/>
      <c r="K457" s="5"/>
      <c r="L457" s="5"/>
    </row>
    <row r="458" ht="15.75" customHeight="1">
      <c r="A458" s="5"/>
      <c r="B458" s="5"/>
      <c r="C458" s="5"/>
      <c r="D458" s="5"/>
      <c r="E458" s="5"/>
      <c r="F458" s="5"/>
      <c r="G458" s="5"/>
      <c r="H458" s="5"/>
      <c r="I458" s="5"/>
      <c r="J458" s="5"/>
      <c r="K458" s="5"/>
      <c r="L458" s="5"/>
    </row>
    <row r="459" ht="15.75" customHeight="1">
      <c r="A459" s="5"/>
      <c r="B459" s="5"/>
      <c r="C459" s="5"/>
      <c r="D459" s="5"/>
      <c r="E459" s="5"/>
      <c r="F459" s="5"/>
      <c r="G459" s="5"/>
      <c r="H459" s="5"/>
      <c r="I459" s="5"/>
      <c r="J459" s="5"/>
      <c r="K459" s="5"/>
      <c r="L459" s="5"/>
    </row>
    <row r="460" ht="15.75" customHeight="1">
      <c r="A460" s="5"/>
      <c r="B460" s="5"/>
      <c r="C460" s="5"/>
      <c r="D460" s="5"/>
      <c r="E460" s="5"/>
      <c r="F460" s="5"/>
      <c r="G460" s="5"/>
      <c r="H460" s="5"/>
      <c r="I460" s="5"/>
      <c r="J460" s="5"/>
      <c r="K460" s="5"/>
      <c r="L460" s="5"/>
    </row>
    <row r="461" ht="15.75" customHeight="1">
      <c r="A461" s="5"/>
      <c r="B461" s="5"/>
      <c r="C461" s="5"/>
      <c r="D461" s="5"/>
      <c r="E461" s="5"/>
      <c r="F461" s="5"/>
      <c r="G461" s="5"/>
      <c r="H461" s="5"/>
      <c r="I461" s="5"/>
      <c r="J461" s="5"/>
      <c r="K461" s="5"/>
      <c r="L461" s="5"/>
    </row>
    <row r="462" ht="15.75" customHeight="1">
      <c r="A462" s="5"/>
      <c r="B462" s="5"/>
      <c r="C462" s="5"/>
      <c r="D462" s="5"/>
      <c r="E462" s="5"/>
      <c r="F462" s="5"/>
      <c r="G462" s="5"/>
      <c r="H462" s="5"/>
      <c r="I462" s="5"/>
      <c r="J462" s="5"/>
      <c r="K462" s="5"/>
      <c r="L462" s="5"/>
    </row>
    <row r="463" ht="15.75" customHeight="1">
      <c r="A463" s="5"/>
      <c r="B463" s="5"/>
      <c r="C463" s="5"/>
      <c r="D463" s="5"/>
      <c r="E463" s="5"/>
      <c r="F463" s="5"/>
      <c r="G463" s="5"/>
      <c r="H463" s="5"/>
      <c r="I463" s="5"/>
      <c r="J463" s="5"/>
      <c r="K463" s="5"/>
      <c r="L463" s="5"/>
    </row>
    <row r="464" ht="15.75" customHeight="1">
      <c r="A464" s="5"/>
      <c r="B464" s="5"/>
      <c r="C464" s="5"/>
      <c r="D464" s="5"/>
      <c r="E464" s="5"/>
      <c r="F464" s="5"/>
      <c r="G464" s="5"/>
      <c r="H464" s="5"/>
      <c r="I464" s="5"/>
      <c r="J464" s="5"/>
      <c r="K464" s="5"/>
      <c r="L464" s="5"/>
    </row>
    <row r="465" ht="15.75" customHeight="1">
      <c r="A465" s="5"/>
      <c r="B465" s="5"/>
      <c r="C465" s="5"/>
      <c r="D465" s="5"/>
      <c r="E465" s="5"/>
      <c r="F465" s="5"/>
      <c r="G465" s="5"/>
      <c r="H465" s="5"/>
      <c r="I465" s="5"/>
      <c r="J465" s="5"/>
      <c r="K465" s="5"/>
      <c r="L465" s="5"/>
    </row>
    <row r="466" ht="15.75" customHeight="1">
      <c r="A466" s="5"/>
      <c r="B466" s="5"/>
      <c r="C466" s="5"/>
      <c r="D466" s="5"/>
      <c r="E466" s="5"/>
      <c r="F466" s="5"/>
      <c r="G466" s="5"/>
      <c r="H466" s="5"/>
      <c r="I466" s="5"/>
      <c r="J466" s="5"/>
      <c r="K466" s="5"/>
      <c r="L466" s="5"/>
    </row>
    <row r="467" ht="15.75" customHeight="1">
      <c r="A467" s="5"/>
      <c r="B467" s="5"/>
      <c r="C467" s="5"/>
      <c r="D467" s="5"/>
      <c r="E467" s="5"/>
      <c r="F467" s="5"/>
      <c r="G467" s="5"/>
      <c r="H467" s="5"/>
      <c r="I467" s="5"/>
      <c r="J467" s="5"/>
      <c r="K467" s="5"/>
      <c r="L467" s="5"/>
    </row>
    <row r="468" ht="15.75" customHeight="1">
      <c r="A468" s="5"/>
      <c r="B468" s="5"/>
      <c r="C468" s="5"/>
      <c r="D468" s="5"/>
      <c r="E468" s="5"/>
      <c r="F468" s="5"/>
      <c r="G468" s="5"/>
      <c r="H468" s="5"/>
      <c r="I468" s="5"/>
      <c r="J468" s="5"/>
      <c r="K468" s="5"/>
      <c r="L468" s="5"/>
    </row>
    <row r="469" ht="15.75" customHeight="1">
      <c r="A469" s="5"/>
      <c r="B469" s="5"/>
      <c r="C469" s="5"/>
      <c r="D469" s="5"/>
      <c r="E469" s="5"/>
      <c r="F469" s="5"/>
      <c r="G469" s="5"/>
      <c r="H469" s="5"/>
      <c r="I469" s="5"/>
      <c r="J469" s="5"/>
      <c r="K469" s="5"/>
      <c r="L469" s="5"/>
    </row>
    <row r="470" ht="15.75" customHeight="1">
      <c r="A470" s="5"/>
      <c r="B470" s="5"/>
      <c r="C470" s="5"/>
      <c r="D470" s="5"/>
      <c r="E470" s="5"/>
      <c r="F470" s="5"/>
      <c r="G470" s="5"/>
      <c r="H470" s="5"/>
      <c r="I470" s="5"/>
      <c r="J470" s="5"/>
      <c r="K470" s="5"/>
      <c r="L470" s="5"/>
    </row>
    <row r="471" ht="15.75" customHeight="1">
      <c r="A471" s="5"/>
      <c r="B471" s="5"/>
      <c r="C471" s="5"/>
      <c r="D471" s="5"/>
      <c r="E471" s="5"/>
      <c r="F471" s="5"/>
      <c r="G471" s="5"/>
      <c r="H471" s="5"/>
      <c r="I471" s="5"/>
      <c r="J471" s="5"/>
      <c r="K471" s="5"/>
      <c r="L471" s="5"/>
    </row>
    <row r="472" ht="15.75" customHeight="1">
      <c r="A472" s="5"/>
      <c r="B472" s="5"/>
      <c r="C472" s="5"/>
      <c r="D472" s="5"/>
      <c r="E472" s="5"/>
      <c r="F472" s="5"/>
      <c r="G472" s="5"/>
      <c r="H472" s="5"/>
      <c r="I472" s="5"/>
      <c r="J472" s="5"/>
      <c r="K472" s="5"/>
      <c r="L472" s="5"/>
    </row>
    <row r="473" ht="15.75" customHeight="1">
      <c r="A473" s="5"/>
      <c r="B473" s="5"/>
      <c r="C473" s="5"/>
      <c r="D473" s="5"/>
      <c r="E473" s="5"/>
      <c r="F473" s="5"/>
      <c r="G473" s="5"/>
      <c r="H473" s="5"/>
      <c r="I473" s="5"/>
      <c r="J473" s="5"/>
      <c r="K473" s="5"/>
      <c r="L473" s="5"/>
    </row>
    <row r="474" ht="15.75" customHeight="1">
      <c r="A474" s="5"/>
      <c r="B474" s="5"/>
      <c r="C474" s="5"/>
      <c r="D474" s="5"/>
      <c r="E474" s="5"/>
      <c r="F474" s="5"/>
      <c r="G474" s="5"/>
      <c r="H474" s="5"/>
      <c r="I474" s="5"/>
      <c r="J474" s="5"/>
      <c r="K474" s="5"/>
      <c r="L474" s="5"/>
    </row>
    <row r="475" ht="15.75" customHeight="1">
      <c r="A475" s="5"/>
      <c r="B475" s="5"/>
      <c r="C475" s="5"/>
      <c r="D475" s="5"/>
      <c r="E475" s="5"/>
      <c r="F475" s="5"/>
      <c r="G475" s="5"/>
      <c r="H475" s="5"/>
      <c r="I475" s="5"/>
      <c r="J475" s="5"/>
      <c r="K475" s="5"/>
      <c r="L475" s="5"/>
    </row>
    <row r="476" ht="15.75" customHeight="1">
      <c r="A476" s="5"/>
      <c r="B476" s="5"/>
      <c r="C476" s="5"/>
      <c r="D476" s="5"/>
      <c r="E476" s="5"/>
      <c r="F476" s="5"/>
      <c r="G476" s="5"/>
      <c r="H476" s="5"/>
      <c r="I476" s="5"/>
      <c r="J476" s="5"/>
      <c r="K476" s="5"/>
      <c r="L476" s="5"/>
    </row>
    <row r="477" ht="15.75" customHeight="1">
      <c r="A477" s="5"/>
      <c r="B477" s="5"/>
      <c r="C477" s="5"/>
      <c r="D477" s="5"/>
      <c r="E477" s="5"/>
      <c r="F477" s="5"/>
      <c r="G477" s="5"/>
      <c r="H477" s="5"/>
      <c r="I477" s="5"/>
      <c r="J477" s="5"/>
      <c r="K477" s="5"/>
      <c r="L477" s="5"/>
    </row>
    <row r="478" ht="15.75" customHeight="1">
      <c r="A478" s="5"/>
      <c r="B478" s="5"/>
      <c r="C478" s="5"/>
      <c r="D478" s="5"/>
      <c r="E478" s="5"/>
      <c r="F478" s="5"/>
      <c r="G478" s="5"/>
      <c r="H478" s="5"/>
      <c r="I478" s="5"/>
      <c r="J478" s="5"/>
      <c r="K478" s="5"/>
      <c r="L478" s="5"/>
    </row>
    <row r="479" ht="15.75" customHeight="1">
      <c r="A479" s="5"/>
      <c r="B479" s="5"/>
      <c r="C479" s="5"/>
      <c r="D479" s="5"/>
      <c r="E479" s="5"/>
      <c r="F479" s="5"/>
      <c r="G479" s="5"/>
      <c r="H479" s="5"/>
      <c r="I479" s="5"/>
      <c r="J479" s="5"/>
      <c r="K479" s="5"/>
      <c r="L479" s="5"/>
    </row>
    <row r="480" ht="15.75" customHeight="1">
      <c r="A480" s="5"/>
      <c r="B480" s="5"/>
      <c r="C480" s="5"/>
      <c r="D480" s="5"/>
      <c r="E480" s="5"/>
      <c r="F480" s="5"/>
      <c r="G480" s="5"/>
      <c r="H480" s="5"/>
      <c r="I480" s="5"/>
      <c r="J480" s="5"/>
      <c r="K480" s="5"/>
      <c r="L480" s="5"/>
    </row>
    <row r="481" ht="15.75" customHeight="1">
      <c r="A481" s="5"/>
      <c r="B481" s="5"/>
      <c r="C481" s="5"/>
      <c r="D481" s="5"/>
      <c r="E481" s="5"/>
      <c r="F481" s="5"/>
      <c r="G481" s="5"/>
      <c r="H481" s="5"/>
      <c r="I481" s="5"/>
      <c r="J481" s="5"/>
      <c r="K481" s="5"/>
      <c r="L481" s="5"/>
    </row>
    <row r="482" ht="15.75" customHeight="1">
      <c r="A482" s="5"/>
      <c r="B482" s="5"/>
      <c r="C482" s="5"/>
      <c r="D482" s="5"/>
      <c r="E482" s="5"/>
      <c r="F482" s="5"/>
      <c r="G482" s="5"/>
      <c r="H482" s="5"/>
      <c r="I482" s="5"/>
      <c r="J482" s="5"/>
      <c r="K482" s="5"/>
      <c r="L482" s="5"/>
    </row>
    <row r="483" ht="15.75" customHeight="1">
      <c r="A483" s="5"/>
      <c r="B483" s="5"/>
      <c r="C483" s="5"/>
      <c r="D483" s="5"/>
      <c r="E483" s="5"/>
      <c r="F483" s="5"/>
      <c r="G483" s="5"/>
      <c r="H483" s="5"/>
      <c r="I483" s="5"/>
      <c r="J483" s="5"/>
      <c r="K483" s="5"/>
      <c r="L483" s="5"/>
    </row>
    <row r="484" ht="15.75" customHeight="1">
      <c r="A484" s="5"/>
      <c r="B484" s="5"/>
      <c r="C484" s="5"/>
      <c r="D484" s="5"/>
      <c r="E484" s="5"/>
      <c r="F484" s="5"/>
      <c r="G484" s="5"/>
      <c r="H484" s="5"/>
      <c r="I484" s="5"/>
      <c r="J484" s="5"/>
      <c r="K484" s="5"/>
      <c r="L484" s="5"/>
    </row>
    <row r="485" ht="15.75" customHeight="1">
      <c r="A485" s="5"/>
      <c r="B485" s="5"/>
      <c r="C485" s="5"/>
      <c r="D485" s="5"/>
      <c r="E485" s="5"/>
      <c r="F485" s="5"/>
      <c r="G485" s="5"/>
      <c r="H485" s="5"/>
      <c r="I485" s="5"/>
      <c r="J485" s="5"/>
      <c r="K485" s="5"/>
      <c r="L485" s="5"/>
    </row>
    <row r="486" ht="15.75" customHeight="1">
      <c r="A486" s="5"/>
      <c r="B486" s="5"/>
      <c r="C486" s="5"/>
      <c r="D486" s="5"/>
      <c r="E486" s="5"/>
      <c r="F486" s="5"/>
      <c r="G486" s="5"/>
      <c r="H486" s="5"/>
      <c r="I486" s="5"/>
      <c r="J486" s="5"/>
      <c r="K486" s="5"/>
      <c r="L486" s="5"/>
    </row>
    <row r="487" ht="15.75" customHeight="1">
      <c r="A487" s="5"/>
      <c r="B487" s="5"/>
      <c r="C487" s="5"/>
      <c r="D487" s="5"/>
      <c r="E487" s="5"/>
      <c r="F487" s="5"/>
      <c r="G487" s="5"/>
      <c r="H487" s="5"/>
      <c r="I487" s="5"/>
      <c r="J487" s="5"/>
      <c r="K487" s="5"/>
      <c r="L487" s="5"/>
    </row>
    <row r="488" ht="15.75" customHeight="1">
      <c r="A488" s="5"/>
      <c r="B488" s="5"/>
      <c r="C488" s="5"/>
      <c r="D488" s="5"/>
      <c r="E488" s="5"/>
      <c r="F488" s="5"/>
      <c r="G488" s="5"/>
      <c r="H488" s="5"/>
      <c r="I488" s="5"/>
      <c r="J488" s="5"/>
      <c r="K488" s="5"/>
      <c r="L488" s="5"/>
    </row>
    <row r="489" ht="15.75" customHeight="1">
      <c r="A489" s="5"/>
      <c r="B489" s="5"/>
      <c r="C489" s="5"/>
      <c r="D489" s="5"/>
      <c r="E489" s="5"/>
      <c r="F489" s="5"/>
      <c r="G489" s="5"/>
      <c r="H489" s="5"/>
      <c r="I489" s="5"/>
      <c r="J489" s="5"/>
      <c r="K489" s="5"/>
      <c r="L489" s="5"/>
    </row>
    <row r="490" ht="15.75" customHeight="1">
      <c r="A490" s="5"/>
      <c r="B490" s="5"/>
      <c r="C490" s="5"/>
      <c r="D490" s="5"/>
      <c r="E490" s="5"/>
      <c r="F490" s="5"/>
      <c r="G490" s="5"/>
      <c r="H490" s="5"/>
      <c r="I490" s="5"/>
      <c r="J490" s="5"/>
      <c r="K490" s="5"/>
      <c r="L490" s="5"/>
    </row>
    <row r="491" ht="15.75" customHeight="1">
      <c r="A491" s="5"/>
      <c r="B491" s="5"/>
      <c r="C491" s="5"/>
      <c r="D491" s="5"/>
      <c r="E491" s="5"/>
      <c r="F491" s="5"/>
      <c r="G491" s="5"/>
      <c r="H491" s="5"/>
      <c r="I491" s="5"/>
      <c r="J491" s="5"/>
      <c r="K491" s="5"/>
      <c r="L491" s="5"/>
    </row>
    <row r="492" ht="15.75" customHeight="1">
      <c r="A492" s="5"/>
      <c r="B492" s="5"/>
      <c r="C492" s="5"/>
      <c r="D492" s="5"/>
      <c r="E492" s="5"/>
      <c r="F492" s="5"/>
      <c r="G492" s="5"/>
      <c r="H492" s="5"/>
      <c r="I492" s="5"/>
      <c r="J492" s="5"/>
      <c r="K492" s="5"/>
      <c r="L492" s="5"/>
    </row>
    <row r="493" ht="15.75" customHeight="1">
      <c r="A493" s="5"/>
      <c r="B493" s="5"/>
      <c r="C493" s="5"/>
      <c r="D493" s="5"/>
      <c r="E493" s="5"/>
      <c r="F493" s="5"/>
      <c r="G493" s="5"/>
      <c r="H493" s="5"/>
      <c r="I493" s="5"/>
      <c r="J493" s="5"/>
      <c r="K493" s="5"/>
      <c r="L493" s="5"/>
    </row>
    <row r="494" ht="15.75" customHeight="1">
      <c r="A494" s="5"/>
      <c r="B494" s="5"/>
      <c r="C494" s="5"/>
      <c r="D494" s="5"/>
      <c r="E494" s="5"/>
      <c r="F494" s="5"/>
      <c r="G494" s="5"/>
      <c r="H494" s="5"/>
      <c r="I494" s="5"/>
      <c r="J494" s="5"/>
      <c r="K494" s="5"/>
      <c r="L494" s="5"/>
    </row>
    <row r="495" ht="15.75" customHeight="1">
      <c r="A495" s="5"/>
      <c r="B495" s="5"/>
      <c r="C495" s="5"/>
      <c r="D495" s="5"/>
      <c r="E495" s="5"/>
      <c r="F495" s="5"/>
      <c r="G495" s="5"/>
      <c r="H495" s="5"/>
      <c r="I495" s="5"/>
      <c r="J495" s="5"/>
      <c r="K495" s="5"/>
      <c r="L495" s="5"/>
    </row>
    <row r="496" ht="15.75" customHeight="1">
      <c r="A496" s="5"/>
      <c r="B496" s="5"/>
      <c r="C496" s="5"/>
      <c r="D496" s="5"/>
      <c r="E496" s="5"/>
      <c r="F496" s="5"/>
      <c r="G496" s="5"/>
      <c r="H496" s="5"/>
      <c r="I496" s="5"/>
      <c r="J496" s="5"/>
      <c r="K496" s="5"/>
      <c r="L496" s="5"/>
    </row>
    <row r="497" ht="15.75" customHeight="1">
      <c r="A497" s="5"/>
      <c r="B497" s="5"/>
      <c r="C497" s="5"/>
      <c r="D497" s="5"/>
      <c r="E497" s="5"/>
      <c r="F497" s="5"/>
      <c r="G497" s="5"/>
      <c r="H497" s="5"/>
      <c r="I497" s="5"/>
      <c r="J497" s="5"/>
      <c r="K497" s="5"/>
      <c r="L497" s="5"/>
    </row>
    <row r="498" ht="15.75" customHeight="1">
      <c r="A498" s="5"/>
      <c r="B498" s="5"/>
      <c r="C498" s="5"/>
      <c r="D498" s="5"/>
      <c r="E498" s="5"/>
      <c r="F498" s="5"/>
      <c r="G498" s="5"/>
      <c r="H498" s="5"/>
      <c r="I498" s="5"/>
      <c r="J498" s="5"/>
      <c r="K498" s="5"/>
      <c r="L498" s="5"/>
    </row>
    <row r="499" ht="15.75" customHeight="1">
      <c r="A499" s="5"/>
      <c r="B499" s="5"/>
      <c r="C499" s="5"/>
      <c r="D499" s="5"/>
      <c r="E499" s="5"/>
      <c r="F499" s="5"/>
      <c r="G499" s="5"/>
      <c r="H499" s="5"/>
      <c r="I499" s="5"/>
      <c r="J499" s="5"/>
      <c r="K499" s="5"/>
      <c r="L499" s="5"/>
    </row>
    <row r="500" ht="15.75" customHeight="1">
      <c r="A500" s="5"/>
      <c r="B500" s="5"/>
      <c r="C500" s="5"/>
      <c r="D500" s="5"/>
      <c r="E500" s="5"/>
      <c r="F500" s="5"/>
      <c r="G500" s="5"/>
      <c r="H500" s="5"/>
      <c r="I500" s="5"/>
      <c r="J500" s="5"/>
      <c r="K500" s="5"/>
      <c r="L500" s="5"/>
    </row>
    <row r="501" ht="15.75" customHeight="1">
      <c r="A501" s="5"/>
      <c r="B501" s="5"/>
      <c r="C501" s="5"/>
      <c r="D501" s="5"/>
      <c r="E501" s="5"/>
      <c r="F501" s="5"/>
      <c r="G501" s="5"/>
      <c r="H501" s="5"/>
      <c r="I501" s="5"/>
      <c r="J501" s="5"/>
      <c r="K501" s="5"/>
      <c r="L501" s="5"/>
    </row>
    <row r="502" ht="15.75" customHeight="1">
      <c r="A502" s="5"/>
      <c r="B502" s="5"/>
      <c r="C502" s="5"/>
      <c r="D502" s="5"/>
      <c r="E502" s="5"/>
      <c r="F502" s="5"/>
      <c r="G502" s="5"/>
      <c r="H502" s="5"/>
      <c r="I502" s="5"/>
      <c r="J502" s="5"/>
      <c r="K502" s="5"/>
      <c r="L502" s="5"/>
    </row>
    <row r="503" ht="15.75" customHeight="1">
      <c r="A503" s="5"/>
      <c r="B503" s="5"/>
      <c r="C503" s="5"/>
      <c r="D503" s="5"/>
      <c r="E503" s="5"/>
      <c r="F503" s="5"/>
      <c r="G503" s="5"/>
      <c r="H503" s="5"/>
      <c r="I503" s="5"/>
      <c r="J503" s="5"/>
      <c r="K503" s="5"/>
      <c r="L503" s="5"/>
    </row>
    <row r="504" ht="15.75" customHeight="1">
      <c r="A504" s="5"/>
      <c r="B504" s="5"/>
      <c r="C504" s="5"/>
      <c r="D504" s="5"/>
      <c r="E504" s="5"/>
      <c r="F504" s="5"/>
      <c r="G504" s="5"/>
      <c r="H504" s="5"/>
      <c r="I504" s="5"/>
      <c r="J504" s="5"/>
      <c r="K504" s="5"/>
      <c r="L504" s="5"/>
    </row>
    <row r="505" ht="15.75" customHeight="1">
      <c r="A505" s="5"/>
      <c r="B505" s="5"/>
      <c r="C505" s="5"/>
      <c r="D505" s="5"/>
      <c r="E505" s="5"/>
      <c r="F505" s="5"/>
      <c r="G505" s="5"/>
      <c r="H505" s="5"/>
      <c r="I505" s="5"/>
      <c r="J505" s="5"/>
      <c r="K505" s="5"/>
      <c r="L505" s="5"/>
    </row>
    <row r="506" ht="15.75" customHeight="1">
      <c r="A506" s="5"/>
      <c r="B506" s="5"/>
      <c r="C506" s="5"/>
      <c r="D506" s="5"/>
      <c r="E506" s="5"/>
      <c r="F506" s="5"/>
      <c r="G506" s="5"/>
      <c r="H506" s="5"/>
      <c r="I506" s="5"/>
      <c r="J506" s="5"/>
      <c r="K506" s="5"/>
      <c r="L506" s="5"/>
    </row>
    <row r="507" ht="15.75" customHeight="1">
      <c r="A507" s="5"/>
      <c r="B507" s="5"/>
      <c r="C507" s="5"/>
      <c r="D507" s="5"/>
      <c r="E507" s="5"/>
      <c r="F507" s="5"/>
      <c r="G507" s="5"/>
      <c r="H507" s="5"/>
      <c r="I507" s="5"/>
      <c r="J507" s="5"/>
      <c r="K507" s="5"/>
      <c r="L507" s="5"/>
    </row>
    <row r="508" ht="15.75" customHeight="1">
      <c r="A508" s="5"/>
      <c r="B508" s="5"/>
      <c r="C508" s="5"/>
      <c r="D508" s="5"/>
      <c r="E508" s="5"/>
      <c r="F508" s="5"/>
      <c r="G508" s="5"/>
      <c r="H508" s="5"/>
      <c r="I508" s="5"/>
      <c r="J508" s="5"/>
      <c r="K508" s="5"/>
      <c r="L508" s="5"/>
    </row>
    <row r="509" ht="15.75" customHeight="1">
      <c r="A509" s="5"/>
      <c r="B509" s="5"/>
      <c r="C509" s="5"/>
      <c r="D509" s="5"/>
      <c r="E509" s="5"/>
      <c r="F509" s="5"/>
      <c r="G509" s="5"/>
      <c r="H509" s="5"/>
      <c r="I509" s="5"/>
      <c r="J509" s="5"/>
      <c r="K509" s="5"/>
      <c r="L509" s="5"/>
    </row>
    <row r="510" ht="15.75" customHeight="1">
      <c r="A510" s="5"/>
      <c r="B510" s="5"/>
      <c r="C510" s="5"/>
      <c r="D510" s="5"/>
      <c r="E510" s="5"/>
      <c r="F510" s="5"/>
      <c r="G510" s="5"/>
      <c r="H510" s="5"/>
      <c r="I510" s="5"/>
      <c r="J510" s="5"/>
      <c r="K510" s="5"/>
      <c r="L510" s="5"/>
    </row>
    <row r="511" ht="15.75" customHeight="1">
      <c r="A511" s="5"/>
      <c r="B511" s="5"/>
      <c r="C511" s="5"/>
      <c r="D511" s="5"/>
      <c r="E511" s="5"/>
      <c r="F511" s="5"/>
      <c r="G511" s="5"/>
      <c r="H511" s="5"/>
      <c r="I511" s="5"/>
      <c r="J511" s="5"/>
      <c r="K511" s="5"/>
      <c r="L511" s="5"/>
    </row>
    <row r="512" ht="15.75" customHeight="1">
      <c r="A512" s="5"/>
      <c r="B512" s="5"/>
      <c r="C512" s="5"/>
      <c r="D512" s="5"/>
      <c r="E512" s="5"/>
      <c r="F512" s="5"/>
      <c r="G512" s="5"/>
      <c r="H512" s="5"/>
      <c r="I512" s="5"/>
      <c r="J512" s="5"/>
      <c r="K512" s="5"/>
      <c r="L512" s="5"/>
    </row>
    <row r="513" ht="15.75" customHeight="1">
      <c r="A513" s="5"/>
      <c r="B513" s="5"/>
      <c r="C513" s="5"/>
      <c r="D513" s="5"/>
      <c r="E513" s="5"/>
      <c r="F513" s="5"/>
      <c r="G513" s="5"/>
      <c r="H513" s="5"/>
      <c r="I513" s="5"/>
      <c r="J513" s="5"/>
      <c r="K513" s="5"/>
      <c r="L513" s="5"/>
    </row>
    <row r="514" ht="15.75" customHeight="1">
      <c r="A514" s="5"/>
      <c r="B514" s="5"/>
      <c r="C514" s="5"/>
      <c r="D514" s="5"/>
      <c r="E514" s="5"/>
      <c r="F514" s="5"/>
      <c r="G514" s="5"/>
      <c r="H514" s="5"/>
      <c r="I514" s="5"/>
      <c r="J514" s="5"/>
      <c r="K514" s="5"/>
      <c r="L514" s="5"/>
    </row>
    <row r="515" ht="15.75" customHeight="1">
      <c r="A515" s="5"/>
      <c r="B515" s="5"/>
      <c r="C515" s="5"/>
      <c r="D515" s="5"/>
      <c r="E515" s="5"/>
      <c r="F515" s="5"/>
      <c r="G515" s="5"/>
      <c r="H515" s="5"/>
      <c r="I515" s="5"/>
      <c r="J515" s="5"/>
      <c r="K515" s="5"/>
      <c r="L515" s="5"/>
    </row>
    <row r="516" ht="15.75" customHeight="1">
      <c r="A516" s="5"/>
      <c r="B516" s="5"/>
      <c r="C516" s="5"/>
      <c r="D516" s="5"/>
      <c r="E516" s="5"/>
      <c r="F516" s="5"/>
      <c r="G516" s="5"/>
      <c r="H516" s="5"/>
      <c r="I516" s="5"/>
      <c r="J516" s="5"/>
      <c r="K516" s="5"/>
      <c r="L516" s="5"/>
    </row>
    <row r="517" ht="15.75" customHeight="1">
      <c r="A517" s="5"/>
      <c r="B517" s="5"/>
      <c r="C517" s="5"/>
      <c r="D517" s="5"/>
      <c r="E517" s="5"/>
      <c r="F517" s="5"/>
      <c r="G517" s="5"/>
      <c r="H517" s="5"/>
      <c r="I517" s="5"/>
      <c r="J517" s="5"/>
      <c r="K517" s="5"/>
      <c r="L517" s="5"/>
    </row>
    <row r="518" ht="15.75" customHeight="1">
      <c r="A518" s="5"/>
      <c r="B518" s="5"/>
      <c r="C518" s="5"/>
      <c r="D518" s="5"/>
      <c r="E518" s="5"/>
      <c r="F518" s="5"/>
      <c r="G518" s="5"/>
      <c r="H518" s="5"/>
      <c r="I518" s="5"/>
      <c r="J518" s="5"/>
      <c r="K518" s="5"/>
      <c r="L518" s="5"/>
    </row>
    <row r="519" ht="15.75" customHeight="1">
      <c r="A519" s="5"/>
      <c r="B519" s="5"/>
      <c r="C519" s="5"/>
      <c r="D519" s="5"/>
      <c r="E519" s="5"/>
      <c r="F519" s="5"/>
      <c r="G519" s="5"/>
      <c r="H519" s="5"/>
      <c r="I519" s="5"/>
      <c r="J519" s="5"/>
      <c r="K519" s="5"/>
      <c r="L519" s="5"/>
    </row>
    <row r="520" ht="15.75" customHeight="1">
      <c r="A520" s="5"/>
      <c r="B520" s="5"/>
      <c r="C520" s="5"/>
      <c r="D520" s="5"/>
      <c r="E520" s="5"/>
      <c r="F520" s="5"/>
      <c r="G520" s="5"/>
      <c r="H520" s="5"/>
      <c r="I520" s="5"/>
      <c r="J520" s="5"/>
      <c r="K520" s="5"/>
      <c r="L520" s="5"/>
    </row>
    <row r="521" ht="15.75" customHeight="1">
      <c r="A521" s="5"/>
      <c r="B521" s="5"/>
      <c r="C521" s="5"/>
      <c r="D521" s="5"/>
      <c r="E521" s="5"/>
      <c r="F521" s="5"/>
      <c r="G521" s="5"/>
      <c r="H521" s="5"/>
      <c r="I521" s="5"/>
      <c r="J521" s="5"/>
      <c r="K521" s="5"/>
      <c r="L521" s="5"/>
    </row>
    <row r="522" ht="15.75" customHeight="1">
      <c r="A522" s="5"/>
      <c r="B522" s="5"/>
      <c r="C522" s="5"/>
      <c r="D522" s="5"/>
      <c r="E522" s="5"/>
      <c r="F522" s="5"/>
      <c r="G522" s="5"/>
      <c r="H522" s="5"/>
      <c r="I522" s="5"/>
      <c r="J522" s="5"/>
      <c r="K522" s="5"/>
      <c r="L522" s="5"/>
    </row>
    <row r="523" ht="15.75" customHeight="1">
      <c r="A523" s="5"/>
      <c r="B523" s="5"/>
      <c r="C523" s="5"/>
      <c r="D523" s="5"/>
      <c r="E523" s="5"/>
      <c r="F523" s="5"/>
      <c r="G523" s="5"/>
      <c r="H523" s="5"/>
      <c r="I523" s="5"/>
      <c r="J523" s="5"/>
      <c r="K523" s="5"/>
      <c r="L523" s="5"/>
    </row>
    <row r="524" ht="15.75" customHeight="1">
      <c r="A524" s="5"/>
      <c r="B524" s="5"/>
      <c r="C524" s="5"/>
      <c r="D524" s="5"/>
      <c r="E524" s="5"/>
      <c r="F524" s="5"/>
      <c r="G524" s="5"/>
      <c r="H524" s="5"/>
      <c r="I524" s="5"/>
      <c r="J524" s="5"/>
      <c r="K524" s="5"/>
      <c r="L524" s="5"/>
    </row>
    <row r="525" ht="15.75" customHeight="1">
      <c r="A525" s="5"/>
      <c r="B525" s="5"/>
      <c r="C525" s="5"/>
      <c r="D525" s="5"/>
      <c r="E525" s="5"/>
      <c r="F525" s="5"/>
      <c r="G525" s="5"/>
      <c r="H525" s="5"/>
      <c r="I525" s="5"/>
      <c r="J525" s="5"/>
      <c r="K525" s="5"/>
      <c r="L525" s="5"/>
    </row>
    <row r="526" ht="15.75" customHeight="1">
      <c r="A526" s="5"/>
      <c r="B526" s="5"/>
      <c r="C526" s="5"/>
      <c r="D526" s="5"/>
      <c r="E526" s="5"/>
      <c r="F526" s="5"/>
      <c r="G526" s="5"/>
      <c r="H526" s="5"/>
      <c r="I526" s="5"/>
      <c r="J526" s="5"/>
      <c r="K526" s="5"/>
      <c r="L526" s="5"/>
    </row>
    <row r="527" ht="15.75" customHeight="1">
      <c r="A527" s="5"/>
      <c r="B527" s="5"/>
      <c r="C527" s="5"/>
      <c r="D527" s="5"/>
      <c r="E527" s="5"/>
      <c r="F527" s="5"/>
      <c r="G527" s="5"/>
      <c r="H527" s="5"/>
      <c r="I527" s="5"/>
      <c r="J527" s="5"/>
      <c r="K527" s="5"/>
      <c r="L527" s="5"/>
    </row>
    <row r="528" ht="15.75" customHeight="1">
      <c r="A528" s="5"/>
      <c r="B528" s="5"/>
      <c r="C528" s="5"/>
      <c r="D528" s="5"/>
      <c r="E528" s="5"/>
      <c r="F528" s="5"/>
      <c r="G528" s="5"/>
      <c r="H528" s="5"/>
      <c r="I528" s="5"/>
      <c r="J528" s="5"/>
      <c r="K528" s="5"/>
      <c r="L528" s="5"/>
    </row>
    <row r="529" ht="15.75" customHeight="1">
      <c r="A529" s="5"/>
      <c r="B529" s="5"/>
      <c r="C529" s="5"/>
      <c r="D529" s="5"/>
      <c r="E529" s="5"/>
      <c r="F529" s="5"/>
      <c r="G529" s="5"/>
      <c r="H529" s="5"/>
      <c r="I529" s="5"/>
      <c r="J529" s="5"/>
      <c r="K529" s="5"/>
      <c r="L529" s="5"/>
    </row>
    <row r="530" ht="15.75" customHeight="1">
      <c r="A530" s="5"/>
      <c r="B530" s="5"/>
      <c r="C530" s="5"/>
      <c r="D530" s="5"/>
      <c r="E530" s="5"/>
      <c r="F530" s="5"/>
      <c r="G530" s="5"/>
      <c r="H530" s="5"/>
      <c r="I530" s="5"/>
      <c r="J530" s="5"/>
      <c r="K530" s="5"/>
      <c r="L530" s="5"/>
    </row>
    <row r="531" ht="15.75" customHeight="1">
      <c r="A531" s="5"/>
      <c r="B531" s="5"/>
      <c r="C531" s="5"/>
      <c r="D531" s="5"/>
      <c r="E531" s="5"/>
      <c r="F531" s="5"/>
      <c r="G531" s="5"/>
      <c r="H531" s="5"/>
      <c r="I531" s="5"/>
      <c r="J531" s="5"/>
      <c r="K531" s="5"/>
      <c r="L531" s="5"/>
    </row>
    <row r="532" ht="15.75" customHeight="1">
      <c r="A532" s="5"/>
      <c r="B532" s="5"/>
      <c r="C532" s="5"/>
      <c r="D532" s="5"/>
      <c r="E532" s="5"/>
      <c r="F532" s="5"/>
      <c r="G532" s="5"/>
      <c r="H532" s="5"/>
      <c r="I532" s="5"/>
      <c r="J532" s="5"/>
      <c r="K532" s="5"/>
      <c r="L532" s="5"/>
    </row>
    <row r="533" ht="15.75" customHeight="1">
      <c r="A533" s="5"/>
      <c r="B533" s="5"/>
      <c r="C533" s="5"/>
      <c r="D533" s="5"/>
      <c r="E533" s="5"/>
      <c r="F533" s="5"/>
      <c r="G533" s="5"/>
      <c r="H533" s="5"/>
      <c r="I533" s="5"/>
      <c r="J533" s="5"/>
      <c r="K533" s="5"/>
      <c r="L533" s="5"/>
    </row>
    <row r="534" ht="15.75" customHeight="1">
      <c r="A534" s="5"/>
      <c r="B534" s="5"/>
      <c r="C534" s="5"/>
      <c r="D534" s="5"/>
      <c r="E534" s="5"/>
      <c r="F534" s="5"/>
      <c r="G534" s="5"/>
      <c r="H534" s="5"/>
      <c r="I534" s="5"/>
      <c r="J534" s="5"/>
      <c r="K534" s="5"/>
      <c r="L534" s="5"/>
    </row>
    <row r="535" ht="15.75" customHeight="1">
      <c r="A535" s="5"/>
      <c r="B535" s="5"/>
      <c r="C535" s="5"/>
      <c r="D535" s="5"/>
      <c r="E535" s="5"/>
      <c r="F535" s="5"/>
      <c r="G535" s="5"/>
      <c r="H535" s="5"/>
      <c r="I535" s="5"/>
      <c r="J535" s="5"/>
      <c r="K535" s="5"/>
      <c r="L535" s="5"/>
    </row>
    <row r="536" ht="15.75" customHeight="1">
      <c r="A536" s="5"/>
      <c r="B536" s="5"/>
      <c r="C536" s="5"/>
      <c r="D536" s="5"/>
      <c r="E536" s="5"/>
      <c r="F536" s="5"/>
      <c r="G536" s="5"/>
      <c r="H536" s="5"/>
      <c r="I536" s="5"/>
      <c r="J536" s="5"/>
      <c r="K536" s="5"/>
      <c r="L536" s="5"/>
    </row>
    <row r="537" ht="15.75" customHeight="1">
      <c r="A537" s="5"/>
      <c r="B537" s="5"/>
      <c r="C537" s="5"/>
      <c r="D537" s="5"/>
      <c r="E537" s="5"/>
      <c r="F537" s="5"/>
      <c r="G537" s="5"/>
      <c r="H537" s="5"/>
      <c r="I537" s="5"/>
      <c r="J537" s="5"/>
      <c r="K537" s="5"/>
      <c r="L537" s="5"/>
    </row>
    <row r="538" ht="15.75" customHeight="1">
      <c r="A538" s="5"/>
      <c r="B538" s="5"/>
      <c r="C538" s="5"/>
      <c r="D538" s="5"/>
      <c r="E538" s="5"/>
      <c r="F538" s="5"/>
      <c r="G538" s="5"/>
      <c r="H538" s="5"/>
      <c r="I538" s="5"/>
      <c r="J538" s="5"/>
      <c r="K538" s="5"/>
      <c r="L538" s="5"/>
    </row>
    <row r="539" ht="15.75" customHeight="1">
      <c r="A539" s="5"/>
      <c r="B539" s="5"/>
      <c r="C539" s="5"/>
      <c r="D539" s="5"/>
      <c r="E539" s="5"/>
      <c r="F539" s="5"/>
      <c r="G539" s="5"/>
      <c r="H539" s="5"/>
      <c r="I539" s="5"/>
      <c r="J539" s="5"/>
      <c r="K539" s="5"/>
      <c r="L539" s="5"/>
    </row>
    <row r="540" ht="15.75" customHeight="1">
      <c r="A540" s="5"/>
      <c r="B540" s="5"/>
      <c r="C540" s="5"/>
      <c r="D540" s="5"/>
      <c r="E540" s="5"/>
      <c r="F540" s="5"/>
      <c r="G540" s="5"/>
      <c r="H540" s="5"/>
      <c r="I540" s="5"/>
      <c r="J540" s="5"/>
      <c r="K540" s="5"/>
      <c r="L540" s="5"/>
    </row>
    <row r="541" ht="15.75" customHeight="1">
      <c r="A541" s="5"/>
      <c r="B541" s="5"/>
      <c r="C541" s="5"/>
      <c r="D541" s="5"/>
      <c r="E541" s="5"/>
      <c r="F541" s="5"/>
      <c r="G541" s="5"/>
      <c r="H541" s="5"/>
      <c r="I541" s="5"/>
      <c r="J541" s="5"/>
      <c r="K541" s="5"/>
      <c r="L541" s="5"/>
    </row>
    <row r="542" ht="15.75" customHeight="1">
      <c r="A542" s="5"/>
      <c r="B542" s="5"/>
      <c r="C542" s="5"/>
      <c r="D542" s="5"/>
      <c r="E542" s="5"/>
      <c r="F542" s="5"/>
      <c r="G542" s="5"/>
      <c r="H542" s="5"/>
      <c r="I542" s="5"/>
      <c r="J542" s="5"/>
      <c r="K542" s="5"/>
      <c r="L542" s="5"/>
    </row>
    <row r="543" ht="15.75" customHeight="1">
      <c r="A543" s="5"/>
      <c r="B543" s="5"/>
      <c r="C543" s="5"/>
      <c r="D543" s="5"/>
      <c r="E543" s="5"/>
      <c r="F543" s="5"/>
      <c r="G543" s="5"/>
      <c r="H543" s="5"/>
      <c r="I543" s="5"/>
      <c r="J543" s="5"/>
      <c r="K543" s="5"/>
      <c r="L543" s="5"/>
    </row>
    <row r="544" ht="15.75" customHeight="1">
      <c r="A544" s="5"/>
      <c r="B544" s="5"/>
      <c r="C544" s="5"/>
      <c r="D544" s="5"/>
      <c r="E544" s="5"/>
      <c r="F544" s="5"/>
      <c r="G544" s="5"/>
      <c r="H544" s="5"/>
      <c r="I544" s="5"/>
      <c r="J544" s="5"/>
      <c r="K544" s="5"/>
      <c r="L544" s="5"/>
    </row>
    <row r="545" ht="15.75" customHeight="1">
      <c r="A545" s="5"/>
      <c r="B545" s="5"/>
      <c r="C545" s="5"/>
      <c r="D545" s="5"/>
      <c r="E545" s="5"/>
      <c r="F545" s="5"/>
      <c r="G545" s="5"/>
      <c r="H545" s="5"/>
      <c r="I545" s="5"/>
      <c r="J545" s="5"/>
      <c r="K545" s="5"/>
      <c r="L545" s="5"/>
    </row>
    <row r="546" ht="15.75" customHeight="1">
      <c r="A546" s="5"/>
      <c r="B546" s="5"/>
      <c r="C546" s="5"/>
      <c r="D546" s="5"/>
      <c r="E546" s="5"/>
      <c r="F546" s="5"/>
      <c r="G546" s="5"/>
      <c r="H546" s="5"/>
      <c r="I546" s="5"/>
      <c r="J546" s="5"/>
      <c r="K546" s="5"/>
      <c r="L546" s="5"/>
    </row>
    <row r="547" ht="15.75" customHeight="1">
      <c r="A547" s="5"/>
      <c r="B547" s="5"/>
      <c r="C547" s="5"/>
      <c r="D547" s="5"/>
      <c r="E547" s="5"/>
      <c r="F547" s="5"/>
      <c r="G547" s="5"/>
      <c r="H547" s="5"/>
      <c r="I547" s="5"/>
      <c r="J547" s="5"/>
      <c r="K547" s="5"/>
      <c r="L547" s="5"/>
    </row>
    <row r="548" ht="15.75" customHeight="1">
      <c r="A548" s="5"/>
      <c r="B548" s="5"/>
      <c r="C548" s="5"/>
      <c r="D548" s="5"/>
      <c r="E548" s="5"/>
      <c r="F548" s="5"/>
      <c r="G548" s="5"/>
      <c r="H548" s="5"/>
      <c r="I548" s="5"/>
      <c r="J548" s="5"/>
      <c r="K548" s="5"/>
      <c r="L548" s="5"/>
    </row>
    <row r="549" ht="15.75" customHeight="1">
      <c r="A549" s="5"/>
      <c r="B549" s="5"/>
      <c r="C549" s="5"/>
      <c r="D549" s="5"/>
      <c r="E549" s="5"/>
      <c r="F549" s="5"/>
      <c r="G549" s="5"/>
      <c r="H549" s="5"/>
      <c r="I549" s="5"/>
      <c r="J549" s="5"/>
      <c r="K549" s="5"/>
      <c r="L549" s="5"/>
    </row>
    <row r="550" ht="15.75" customHeight="1">
      <c r="A550" s="5"/>
      <c r="B550" s="5"/>
      <c r="C550" s="5"/>
      <c r="D550" s="5"/>
      <c r="E550" s="5"/>
      <c r="F550" s="5"/>
      <c r="G550" s="5"/>
      <c r="H550" s="5"/>
      <c r="I550" s="5"/>
      <c r="J550" s="5"/>
      <c r="K550" s="5"/>
      <c r="L550" s="5"/>
    </row>
    <row r="551" ht="15.75" customHeight="1">
      <c r="A551" s="5"/>
      <c r="B551" s="5"/>
      <c r="C551" s="5"/>
      <c r="D551" s="5"/>
      <c r="E551" s="5"/>
      <c r="F551" s="5"/>
      <c r="G551" s="5"/>
      <c r="H551" s="5"/>
      <c r="I551" s="5"/>
      <c r="J551" s="5"/>
      <c r="K551" s="5"/>
      <c r="L551" s="5"/>
    </row>
    <row r="552" ht="15.75" customHeight="1">
      <c r="A552" s="5"/>
      <c r="B552" s="5"/>
      <c r="C552" s="5"/>
      <c r="D552" s="5"/>
      <c r="E552" s="5"/>
      <c r="F552" s="5"/>
      <c r="G552" s="5"/>
      <c r="H552" s="5"/>
      <c r="I552" s="5"/>
      <c r="J552" s="5"/>
      <c r="K552" s="5"/>
      <c r="L552" s="5"/>
    </row>
    <row r="553" ht="15.75" customHeight="1">
      <c r="A553" s="5"/>
      <c r="B553" s="5"/>
      <c r="C553" s="5"/>
      <c r="D553" s="5"/>
      <c r="E553" s="5"/>
      <c r="F553" s="5"/>
      <c r="G553" s="5"/>
      <c r="H553" s="5"/>
      <c r="I553" s="5"/>
      <c r="J553" s="5"/>
      <c r="K553" s="5"/>
      <c r="L553" s="5"/>
    </row>
    <row r="554" ht="15.75" customHeight="1">
      <c r="A554" s="5"/>
      <c r="B554" s="5"/>
      <c r="C554" s="5"/>
      <c r="D554" s="5"/>
      <c r="E554" s="5"/>
      <c r="F554" s="5"/>
      <c r="G554" s="5"/>
      <c r="H554" s="5"/>
      <c r="I554" s="5"/>
      <c r="J554" s="5"/>
      <c r="K554" s="5"/>
      <c r="L554" s="5"/>
    </row>
    <row r="555" ht="15.75" customHeight="1">
      <c r="A555" s="5"/>
      <c r="B555" s="5"/>
      <c r="C555" s="5"/>
      <c r="D555" s="5"/>
      <c r="E555" s="5"/>
      <c r="F555" s="5"/>
      <c r="G555" s="5"/>
      <c r="H555" s="5"/>
      <c r="I555" s="5"/>
      <c r="J555" s="5"/>
      <c r="K555" s="5"/>
      <c r="L555" s="5"/>
    </row>
    <row r="556" ht="15.75" customHeight="1">
      <c r="A556" s="5"/>
      <c r="B556" s="5"/>
      <c r="C556" s="5"/>
      <c r="D556" s="5"/>
      <c r="E556" s="5"/>
      <c r="F556" s="5"/>
      <c r="G556" s="5"/>
      <c r="H556" s="5"/>
      <c r="I556" s="5"/>
      <c r="J556" s="5"/>
      <c r="K556" s="5"/>
      <c r="L556" s="5"/>
    </row>
    <row r="557" ht="15.75" customHeight="1">
      <c r="A557" s="5"/>
      <c r="B557" s="5"/>
      <c r="C557" s="5"/>
      <c r="D557" s="5"/>
      <c r="E557" s="5"/>
      <c r="F557" s="5"/>
      <c r="G557" s="5"/>
      <c r="H557" s="5"/>
      <c r="I557" s="5"/>
      <c r="J557" s="5"/>
      <c r="K557" s="5"/>
      <c r="L557" s="5"/>
    </row>
    <row r="558" ht="15.75" customHeight="1">
      <c r="A558" s="5"/>
      <c r="B558" s="5"/>
      <c r="C558" s="5"/>
      <c r="D558" s="5"/>
      <c r="E558" s="5"/>
      <c r="F558" s="5"/>
      <c r="G558" s="5"/>
      <c r="H558" s="5"/>
      <c r="I558" s="5"/>
      <c r="J558" s="5"/>
      <c r="K558" s="5"/>
      <c r="L558" s="5"/>
    </row>
    <row r="559" ht="15.75" customHeight="1">
      <c r="A559" s="5"/>
      <c r="B559" s="5"/>
      <c r="C559" s="5"/>
      <c r="D559" s="5"/>
      <c r="E559" s="5"/>
      <c r="F559" s="5"/>
      <c r="G559" s="5"/>
      <c r="H559" s="5"/>
      <c r="I559" s="5"/>
      <c r="J559" s="5"/>
      <c r="K559" s="5"/>
      <c r="L559" s="5"/>
    </row>
    <row r="560" ht="15.75" customHeight="1">
      <c r="A560" s="5"/>
      <c r="B560" s="5"/>
      <c r="C560" s="5"/>
      <c r="D560" s="5"/>
      <c r="E560" s="5"/>
      <c r="F560" s="5"/>
      <c r="G560" s="5"/>
      <c r="H560" s="5"/>
      <c r="I560" s="5"/>
      <c r="J560" s="5"/>
      <c r="K560" s="5"/>
      <c r="L560" s="5"/>
    </row>
    <row r="561" ht="15.75" customHeight="1">
      <c r="A561" s="5"/>
      <c r="B561" s="5"/>
      <c r="C561" s="5"/>
      <c r="D561" s="5"/>
      <c r="E561" s="5"/>
      <c r="F561" s="5"/>
      <c r="G561" s="5"/>
      <c r="H561" s="5"/>
      <c r="I561" s="5"/>
      <c r="J561" s="5"/>
      <c r="K561" s="5"/>
      <c r="L561" s="5"/>
    </row>
    <row r="562" ht="15.75" customHeight="1">
      <c r="A562" s="5"/>
      <c r="B562" s="5"/>
      <c r="C562" s="5"/>
      <c r="D562" s="5"/>
      <c r="E562" s="5"/>
      <c r="F562" s="5"/>
      <c r="G562" s="5"/>
      <c r="H562" s="5"/>
      <c r="I562" s="5"/>
      <c r="J562" s="5"/>
      <c r="K562" s="5"/>
      <c r="L562" s="5"/>
    </row>
    <row r="563" ht="15.75" customHeight="1">
      <c r="A563" s="5"/>
      <c r="B563" s="5"/>
      <c r="C563" s="5"/>
      <c r="D563" s="5"/>
      <c r="E563" s="5"/>
      <c r="F563" s="5"/>
      <c r="G563" s="5"/>
      <c r="H563" s="5"/>
      <c r="I563" s="5"/>
      <c r="J563" s="5"/>
      <c r="K563" s="5"/>
      <c r="L563" s="5"/>
    </row>
    <row r="564" ht="15.75" customHeight="1">
      <c r="A564" s="5"/>
      <c r="B564" s="5"/>
      <c r="C564" s="5"/>
      <c r="D564" s="5"/>
      <c r="E564" s="5"/>
      <c r="F564" s="5"/>
      <c r="G564" s="5"/>
      <c r="H564" s="5"/>
      <c r="I564" s="5"/>
      <c r="J564" s="5"/>
      <c r="K564" s="5"/>
      <c r="L564" s="5"/>
    </row>
    <row r="565" ht="15.75" customHeight="1">
      <c r="A565" s="5"/>
      <c r="B565" s="5"/>
      <c r="C565" s="5"/>
      <c r="D565" s="5"/>
      <c r="E565" s="5"/>
      <c r="F565" s="5"/>
      <c r="G565" s="5"/>
      <c r="H565" s="5"/>
      <c r="I565" s="5"/>
      <c r="J565" s="5"/>
      <c r="K565" s="5"/>
      <c r="L565" s="5"/>
    </row>
    <row r="566" ht="15.75" customHeight="1">
      <c r="A566" s="5"/>
      <c r="B566" s="5"/>
      <c r="C566" s="5"/>
      <c r="D566" s="5"/>
      <c r="E566" s="5"/>
      <c r="F566" s="5"/>
      <c r="G566" s="5"/>
      <c r="H566" s="5"/>
      <c r="I566" s="5"/>
      <c r="J566" s="5"/>
      <c r="K566" s="5"/>
      <c r="L566" s="5"/>
    </row>
    <row r="567" ht="15.75" customHeight="1">
      <c r="A567" s="5"/>
      <c r="B567" s="5"/>
      <c r="C567" s="5"/>
      <c r="D567" s="5"/>
      <c r="E567" s="5"/>
      <c r="F567" s="5"/>
      <c r="G567" s="5"/>
      <c r="H567" s="5"/>
      <c r="I567" s="5"/>
      <c r="J567" s="5"/>
      <c r="K567" s="5"/>
      <c r="L567" s="5"/>
    </row>
    <row r="568" ht="15.75" customHeight="1">
      <c r="A568" s="5"/>
      <c r="B568" s="5"/>
      <c r="C568" s="5"/>
      <c r="D568" s="5"/>
      <c r="E568" s="5"/>
      <c r="F568" s="5"/>
      <c r="G568" s="5"/>
      <c r="H568" s="5"/>
      <c r="I568" s="5"/>
      <c r="J568" s="5"/>
      <c r="K568" s="5"/>
      <c r="L568" s="5"/>
    </row>
    <row r="569" ht="15.75" customHeight="1">
      <c r="A569" s="5"/>
      <c r="B569" s="5"/>
      <c r="C569" s="5"/>
      <c r="D569" s="5"/>
      <c r="E569" s="5"/>
      <c r="F569" s="5"/>
      <c r="G569" s="5"/>
      <c r="H569" s="5"/>
      <c r="I569" s="5"/>
      <c r="J569" s="5"/>
      <c r="K569" s="5"/>
      <c r="L569" s="5"/>
    </row>
    <row r="570" ht="15.75" customHeight="1">
      <c r="A570" s="5"/>
      <c r="B570" s="5"/>
      <c r="C570" s="5"/>
      <c r="D570" s="5"/>
      <c r="E570" s="5"/>
      <c r="F570" s="5"/>
      <c r="G570" s="5"/>
      <c r="H570" s="5"/>
      <c r="I570" s="5"/>
      <c r="J570" s="5"/>
      <c r="K570" s="5"/>
      <c r="L570" s="5"/>
    </row>
    <row r="571" ht="15.75" customHeight="1">
      <c r="A571" s="5"/>
      <c r="B571" s="5"/>
      <c r="C571" s="5"/>
      <c r="D571" s="5"/>
      <c r="E571" s="5"/>
      <c r="F571" s="5"/>
      <c r="G571" s="5"/>
      <c r="H571" s="5"/>
      <c r="I571" s="5"/>
      <c r="J571" s="5"/>
      <c r="K571" s="5"/>
      <c r="L571" s="5"/>
    </row>
    <row r="572" ht="15.75" customHeight="1">
      <c r="A572" s="5"/>
      <c r="B572" s="5"/>
      <c r="C572" s="5"/>
      <c r="D572" s="5"/>
      <c r="E572" s="5"/>
      <c r="F572" s="5"/>
      <c r="G572" s="5"/>
      <c r="H572" s="5"/>
      <c r="I572" s="5"/>
      <c r="J572" s="5"/>
      <c r="K572" s="5"/>
      <c r="L572" s="5"/>
    </row>
    <row r="573" ht="15.75" customHeight="1">
      <c r="A573" s="5"/>
      <c r="B573" s="5"/>
      <c r="C573" s="5"/>
      <c r="D573" s="5"/>
      <c r="E573" s="5"/>
      <c r="F573" s="5"/>
      <c r="G573" s="5"/>
      <c r="H573" s="5"/>
      <c r="I573" s="5"/>
      <c r="J573" s="5"/>
      <c r="K573" s="5"/>
      <c r="L573" s="5"/>
    </row>
    <row r="574" ht="15.75" customHeight="1">
      <c r="A574" s="5"/>
      <c r="B574" s="5"/>
      <c r="C574" s="5"/>
      <c r="D574" s="5"/>
      <c r="E574" s="5"/>
      <c r="F574" s="5"/>
      <c r="G574" s="5"/>
      <c r="H574" s="5"/>
      <c r="I574" s="5"/>
      <c r="J574" s="5"/>
      <c r="K574" s="5"/>
      <c r="L574" s="5"/>
    </row>
    <row r="575" ht="15.75" customHeight="1">
      <c r="A575" s="5"/>
      <c r="B575" s="5"/>
      <c r="C575" s="5"/>
      <c r="D575" s="5"/>
      <c r="E575" s="5"/>
      <c r="F575" s="5"/>
      <c r="G575" s="5"/>
      <c r="H575" s="5"/>
      <c r="I575" s="5"/>
      <c r="J575" s="5"/>
      <c r="K575" s="5"/>
      <c r="L575" s="5"/>
    </row>
    <row r="576" ht="15.75" customHeight="1">
      <c r="A576" s="5"/>
      <c r="B576" s="5"/>
      <c r="C576" s="5"/>
      <c r="D576" s="5"/>
      <c r="E576" s="5"/>
      <c r="F576" s="5"/>
      <c r="G576" s="5"/>
      <c r="H576" s="5"/>
      <c r="I576" s="5"/>
      <c r="J576" s="5"/>
      <c r="K576" s="5"/>
      <c r="L576" s="5"/>
    </row>
    <row r="577" ht="15.75" customHeight="1">
      <c r="A577" s="5"/>
      <c r="B577" s="5"/>
      <c r="C577" s="5"/>
      <c r="D577" s="5"/>
      <c r="E577" s="5"/>
      <c r="F577" s="5"/>
      <c r="G577" s="5"/>
      <c r="H577" s="5"/>
      <c r="I577" s="5"/>
      <c r="J577" s="5"/>
      <c r="K577" s="5"/>
      <c r="L577" s="5"/>
    </row>
    <row r="578" ht="15.75" customHeight="1">
      <c r="A578" s="5"/>
      <c r="B578" s="5"/>
      <c r="C578" s="5"/>
      <c r="D578" s="5"/>
      <c r="E578" s="5"/>
      <c r="F578" s="5"/>
      <c r="G578" s="5"/>
      <c r="H578" s="5"/>
      <c r="I578" s="5"/>
      <c r="J578" s="5"/>
      <c r="K578" s="5"/>
      <c r="L578" s="5"/>
    </row>
    <row r="579" ht="15.75" customHeight="1">
      <c r="A579" s="5"/>
      <c r="B579" s="5"/>
      <c r="C579" s="5"/>
      <c r="D579" s="5"/>
      <c r="E579" s="5"/>
      <c r="F579" s="5"/>
      <c r="G579" s="5"/>
      <c r="H579" s="5"/>
      <c r="I579" s="5"/>
      <c r="J579" s="5"/>
      <c r="K579" s="5"/>
      <c r="L579" s="5"/>
    </row>
    <row r="580" ht="15.75" customHeight="1">
      <c r="A580" s="5"/>
      <c r="B580" s="5"/>
      <c r="C580" s="5"/>
      <c r="D580" s="5"/>
      <c r="E580" s="5"/>
      <c r="F580" s="5"/>
      <c r="G580" s="5"/>
      <c r="H580" s="5"/>
      <c r="I580" s="5"/>
      <c r="J580" s="5"/>
      <c r="K580" s="5"/>
      <c r="L580" s="5"/>
    </row>
    <row r="581" ht="15.75" customHeight="1">
      <c r="A581" s="5"/>
      <c r="B581" s="5"/>
      <c r="C581" s="5"/>
      <c r="D581" s="5"/>
      <c r="E581" s="5"/>
      <c r="F581" s="5"/>
      <c r="G581" s="5"/>
      <c r="H581" s="5"/>
      <c r="I581" s="5"/>
      <c r="J581" s="5"/>
      <c r="K581" s="5"/>
      <c r="L581" s="5"/>
    </row>
    <row r="582" ht="15.75" customHeight="1">
      <c r="A582" s="5"/>
      <c r="B582" s="5"/>
      <c r="C582" s="5"/>
      <c r="D582" s="5"/>
      <c r="E582" s="5"/>
      <c r="F582" s="5"/>
      <c r="G582" s="5"/>
      <c r="H582" s="5"/>
      <c r="I582" s="5"/>
      <c r="J582" s="5"/>
      <c r="K582" s="5"/>
      <c r="L582" s="5"/>
    </row>
    <row r="583" ht="15.75" customHeight="1">
      <c r="A583" s="5"/>
      <c r="B583" s="5"/>
      <c r="C583" s="5"/>
      <c r="D583" s="5"/>
      <c r="E583" s="5"/>
      <c r="F583" s="5"/>
      <c r="G583" s="5"/>
      <c r="H583" s="5"/>
      <c r="I583" s="5"/>
      <c r="J583" s="5"/>
      <c r="K583" s="5"/>
      <c r="L583" s="5"/>
    </row>
    <row r="584" ht="15.75" customHeight="1">
      <c r="A584" s="5"/>
      <c r="B584" s="5"/>
      <c r="C584" s="5"/>
      <c r="D584" s="5"/>
      <c r="E584" s="5"/>
      <c r="F584" s="5"/>
      <c r="G584" s="5"/>
      <c r="H584" s="5"/>
      <c r="I584" s="5"/>
      <c r="J584" s="5"/>
      <c r="K584" s="5"/>
      <c r="L584" s="5"/>
    </row>
    <row r="585" ht="15.75" customHeight="1">
      <c r="A585" s="5"/>
      <c r="B585" s="5"/>
      <c r="C585" s="5"/>
      <c r="D585" s="5"/>
      <c r="E585" s="5"/>
      <c r="F585" s="5"/>
      <c r="G585" s="5"/>
      <c r="H585" s="5"/>
      <c r="I585" s="5"/>
      <c r="J585" s="5"/>
      <c r="K585" s="5"/>
      <c r="L585" s="5"/>
    </row>
    <row r="586" ht="15.75" customHeight="1">
      <c r="A586" s="5"/>
      <c r="B586" s="5"/>
      <c r="C586" s="5"/>
      <c r="D586" s="5"/>
      <c r="E586" s="5"/>
      <c r="F586" s="5"/>
      <c r="G586" s="5"/>
      <c r="H586" s="5"/>
      <c r="I586" s="5"/>
      <c r="J586" s="5"/>
      <c r="K586" s="5"/>
      <c r="L586" s="5"/>
    </row>
    <row r="587" ht="15.75" customHeight="1">
      <c r="A587" s="5"/>
      <c r="B587" s="5"/>
      <c r="C587" s="5"/>
      <c r="D587" s="5"/>
      <c r="E587" s="5"/>
      <c r="F587" s="5"/>
      <c r="G587" s="5"/>
      <c r="H587" s="5"/>
      <c r="I587" s="5"/>
      <c r="J587" s="5"/>
      <c r="K587" s="5"/>
      <c r="L587" s="5"/>
    </row>
    <row r="588" ht="15.75" customHeight="1">
      <c r="A588" s="5"/>
      <c r="B588" s="5"/>
      <c r="C588" s="5"/>
      <c r="D588" s="5"/>
      <c r="E588" s="5"/>
      <c r="F588" s="5"/>
      <c r="G588" s="5"/>
      <c r="H588" s="5"/>
      <c r="I588" s="5"/>
      <c r="J588" s="5"/>
      <c r="K588" s="5"/>
      <c r="L588" s="5"/>
    </row>
    <row r="589" ht="15.75" customHeight="1">
      <c r="A589" s="5"/>
      <c r="B589" s="5"/>
      <c r="C589" s="5"/>
      <c r="D589" s="5"/>
      <c r="E589" s="5"/>
      <c r="F589" s="5"/>
      <c r="G589" s="5"/>
      <c r="H589" s="5"/>
      <c r="I589" s="5"/>
      <c r="J589" s="5"/>
      <c r="K589" s="5"/>
      <c r="L589" s="5"/>
    </row>
    <row r="590" ht="15.75" customHeight="1">
      <c r="A590" s="5"/>
      <c r="B590" s="5"/>
      <c r="C590" s="5"/>
      <c r="D590" s="5"/>
      <c r="E590" s="5"/>
      <c r="F590" s="5"/>
      <c r="G590" s="5"/>
      <c r="H590" s="5"/>
      <c r="I590" s="5"/>
      <c r="J590" s="5"/>
      <c r="K590" s="5"/>
      <c r="L590" s="5"/>
    </row>
    <row r="591" ht="15.75" customHeight="1">
      <c r="A591" s="5"/>
      <c r="B591" s="5"/>
      <c r="C591" s="5"/>
      <c r="D591" s="5"/>
      <c r="E591" s="5"/>
      <c r="F591" s="5"/>
      <c r="G591" s="5"/>
      <c r="H591" s="5"/>
      <c r="I591" s="5"/>
      <c r="J591" s="5"/>
      <c r="K591" s="5"/>
      <c r="L591" s="5"/>
    </row>
    <row r="592" ht="15.75" customHeight="1">
      <c r="A592" s="5"/>
      <c r="B592" s="5"/>
      <c r="C592" s="5"/>
      <c r="D592" s="5"/>
      <c r="E592" s="5"/>
      <c r="F592" s="5"/>
      <c r="G592" s="5"/>
      <c r="H592" s="5"/>
      <c r="I592" s="5"/>
      <c r="J592" s="5"/>
      <c r="K592" s="5"/>
      <c r="L592" s="5"/>
    </row>
    <row r="593" ht="15.75" customHeight="1">
      <c r="A593" s="5"/>
      <c r="B593" s="5"/>
      <c r="C593" s="5"/>
      <c r="D593" s="5"/>
      <c r="E593" s="5"/>
      <c r="F593" s="5"/>
      <c r="G593" s="5"/>
      <c r="H593" s="5"/>
      <c r="I593" s="5"/>
      <c r="J593" s="5"/>
      <c r="K593" s="5"/>
      <c r="L593" s="5"/>
    </row>
    <row r="594" ht="15.75" customHeight="1">
      <c r="A594" s="5"/>
      <c r="B594" s="5"/>
      <c r="C594" s="5"/>
      <c r="D594" s="5"/>
      <c r="E594" s="5"/>
      <c r="F594" s="5"/>
      <c r="G594" s="5"/>
      <c r="H594" s="5"/>
      <c r="I594" s="5"/>
      <c r="J594" s="5"/>
      <c r="K594" s="5"/>
      <c r="L594" s="5"/>
    </row>
    <row r="595" ht="15.75" customHeight="1">
      <c r="A595" s="5"/>
      <c r="B595" s="5"/>
      <c r="C595" s="5"/>
      <c r="D595" s="5"/>
      <c r="E595" s="5"/>
      <c r="F595" s="5"/>
      <c r="G595" s="5"/>
      <c r="H595" s="5"/>
      <c r="I595" s="5"/>
      <c r="J595" s="5"/>
      <c r="K595" s="5"/>
      <c r="L595" s="5"/>
    </row>
    <row r="596" ht="15.75" customHeight="1">
      <c r="A596" s="5"/>
      <c r="B596" s="5"/>
      <c r="C596" s="5"/>
      <c r="D596" s="5"/>
      <c r="E596" s="5"/>
      <c r="F596" s="5"/>
      <c r="G596" s="5"/>
      <c r="H596" s="5"/>
      <c r="I596" s="5"/>
      <c r="J596" s="5"/>
      <c r="K596" s="5"/>
      <c r="L596" s="5"/>
    </row>
    <row r="597" ht="15.75" customHeight="1">
      <c r="A597" s="5"/>
      <c r="B597" s="5"/>
      <c r="C597" s="5"/>
      <c r="D597" s="5"/>
      <c r="E597" s="5"/>
      <c r="F597" s="5"/>
      <c r="G597" s="5"/>
      <c r="H597" s="5"/>
      <c r="I597" s="5"/>
      <c r="J597" s="5"/>
      <c r="K597" s="5"/>
      <c r="L597" s="5"/>
    </row>
    <row r="598" ht="15.75" customHeight="1">
      <c r="A598" s="5"/>
      <c r="B598" s="5"/>
      <c r="C598" s="5"/>
      <c r="D598" s="5"/>
      <c r="E598" s="5"/>
      <c r="F598" s="5"/>
      <c r="G598" s="5"/>
      <c r="H598" s="5"/>
      <c r="I598" s="5"/>
      <c r="J598" s="5"/>
      <c r="K598" s="5"/>
      <c r="L598" s="5"/>
    </row>
    <row r="599" ht="15.75" customHeight="1">
      <c r="A599" s="5"/>
      <c r="B599" s="5"/>
      <c r="C599" s="5"/>
      <c r="D599" s="5"/>
      <c r="E599" s="5"/>
      <c r="F599" s="5"/>
      <c r="G599" s="5"/>
      <c r="H599" s="5"/>
      <c r="I599" s="5"/>
      <c r="J599" s="5"/>
      <c r="K599" s="5"/>
      <c r="L599" s="5"/>
    </row>
    <row r="600" ht="15.75" customHeight="1">
      <c r="A600" s="5"/>
      <c r="B600" s="5"/>
      <c r="C600" s="5"/>
      <c r="D600" s="5"/>
      <c r="E600" s="5"/>
      <c r="F600" s="5"/>
      <c r="G600" s="5"/>
      <c r="H600" s="5"/>
      <c r="I600" s="5"/>
      <c r="J600" s="5"/>
      <c r="K600" s="5"/>
      <c r="L600" s="5"/>
    </row>
    <row r="601" ht="15.75" customHeight="1">
      <c r="A601" s="5"/>
      <c r="B601" s="5"/>
      <c r="C601" s="5"/>
      <c r="D601" s="5"/>
      <c r="E601" s="5"/>
      <c r="F601" s="5"/>
      <c r="G601" s="5"/>
      <c r="H601" s="5"/>
      <c r="I601" s="5"/>
      <c r="J601" s="5"/>
      <c r="K601" s="5"/>
      <c r="L601" s="5"/>
    </row>
    <row r="602" ht="15.75" customHeight="1">
      <c r="A602" s="5"/>
      <c r="B602" s="5"/>
      <c r="C602" s="5"/>
      <c r="D602" s="5"/>
      <c r="E602" s="5"/>
      <c r="F602" s="5"/>
      <c r="G602" s="5"/>
      <c r="H602" s="5"/>
      <c r="I602" s="5"/>
      <c r="J602" s="5"/>
      <c r="K602" s="5"/>
      <c r="L602" s="5"/>
    </row>
    <row r="603" ht="15.75" customHeight="1">
      <c r="A603" s="5"/>
      <c r="B603" s="5"/>
      <c r="C603" s="5"/>
      <c r="D603" s="5"/>
      <c r="E603" s="5"/>
      <c r="F603" s="5"/>
      <c r="G603" s="5"/>
      <c r="H603" s="5"/>
      <c r="I603" s="5"/>
      <c r="J603" s="5"/>
      <c r="K603" s="5"/>
      <c r="L603" s="5"/>
    </row>
    <row r="604" ht="15.75" customHeight="1">
      <c r="A604" s="5"/>
      <c r="B604" s="5"/>
      <c r="C604" s="5"/>
      <c r="D604" s="5"/>
      <c r="E604" s="5"/>
      <c r="F604" s="5"/>
      <c r="G604" s="5"/>
      <c r="H604" s="5"/>
      <c r="I604" s="5"/>
      <c r="J604" s="5"/>
      <c r="K604" s="5"/>
      <c r="L604" s="5"/>
    </row>
    <row r="605" ht="15.75" customHeight="1">
      <c r="A605" s="5"/>
      <c r="B605" s="5"/>
      <c r="C605" s="5"/>
      <c r="D605" s="5"/>
      <c r="E605" s="5"/>
      <c r="F605" s="5"/>
      <c r="G605" s="5"/>
      <c r="H605" s="5"/>
      <c r="I605" s="5"/>
      <c r="J605" s="5"/>
      <c r="K605" s="5"/>
      <c r="L605" s="5"/>
    </row>
    <row r="606" ht="15.75" customHeight="1">
      <c r="A606" s="5"/>
      <c r="B606" s="5"/>
      <c r="C606" s="5"/>
      <c r="D606" s="5"/>
      <c r="E606" s="5"/>
      <c r="F606" s="5"/>
      <c r="G606" s="5"/>
      <c r="H606" s="5"/>
      <c r="I606" s="5"/>
      <c r="J606" s="5"/>
      <c r="K606" s="5"/>
      <c r="L606" s="5"/>
    </row>
    <row r="607" ht="15.75" customHeight="1">
      <c r="A607" s="5"/>
      <c r="B607" s="5"/>
      <c r="C607" s="5"/>
      <c r="D607" s="5"/>
      <c r="E607" s="5"/>
      <c r="F607" s="5"/>
      <c r="G607" s="5"/>
      <c r="H607" s="5"/>
      <c r="I607" s="5"/>
      <c r="J607" s="5"/>
      <c r="K607" s="5"/>
      <c r="L607" s="5"/>
    </row>
    <row r="608" ht="15.75" customHeight="1">
      <c r="A608" s="5"/>
      <c r="B608" s="5"/>
      <c r="C608" s="5"/>
      <c r="D608" s="5"/>
      <c r="E608" s="5"/>
      <c r="F608" s="5"/>
      <c r="G608" s="5"/>
      <c r="H608" s="5"/>
      <c r="I608" s="5"/>
      <c r="J608" s="5"/>
      <c r="K608" s="5"/>
      <c r="L608" s="5"/>
    </row>
    <row r="609" ht="15.75" customHeight="1">
      <c r="A609" s="5"/>
      <c r="B609" s="5"/>
      <c r="C609" s="5"/>
      <c r="D609" s="5"/>
      <c r="E609" s="5"/>
      <c r="F609" s="5"/>
      <c r="G609" s="5"/>
      <c r="H609" s="5"/>
      <c r="I609" s="5"/>
      <c r="J609" s="5"/>
      <c r="K609" s="5"/>
      <c r="L609" s="5"/>
    </row>
    <row r="610" ht="15.75" customHeight="1">
      <c r="A610" s="5"/>
      <c r="B610" s="5"/>
      <c r="C610" s="5"/>
      <c r="D610" s="5"/>
      <c r="E610" s="5"/>
      <c r="F610" s="5"/>
      <c r="G610" s="5"/>
      <c r="H610" s="5"/>
      <c r="I610" s="5"/>
      <c r="J610" s="5"/>
      <c r="K610" s="5"/>
      <c r="L610" s="5"/>
    </row>
    <row r="611" ht="15.75" customHeight="1">
      <c r="A611" s="5"/>
      <c r="B611" s="5"/>
      <c r="C611" s="5"/>
      <c r="D611" s="5"/>
      <c r="E611" s="5"/>
      <c r="F611" s="5"/>
      <c r="G611" s="5"/>
      <c r="H611" s="5"/>
      <c r="I611" s="5"/>
      <c r="J611" s="5"/>
      <c r="K611" s="5"/>
      <c r="L611" s="5"/>
    </row>
    <row r="612" ht="15.75" customHeight="1">
      <c r="A612" s="5"/>
      <c r="B612" s="5"/>
      <c r="C612" s="5"/>
      <c r="D612" s="5"/>
      <c r="E612" s="5"/>
      <c r="F612" s="5"/>
      <c r="G612" s="5"/>
      <c r="H612" s="5"/>
      <c r="I612" s="5"/>
      <c r="J612" s="5"/>
      <c r="K612" s="5"/>
      <c r="L612" s="5"/>
    </row>
    <row r="613" ht="15.75" customHeight="1">
      <c r="A613" s="5"/>
      <c r="B613" s="5"/>
      <c r="C613" s="5"/>
      <c r="D613" s="5"/>
      <c r="E613" s="5"/>
      <c r="F613" s="5"/>
      <c r="G613" s="5"/>
      <c r="H613" s="5"/>
      <c r="I613" s="5"/>
      <c r="J613" s="5"/>
      <c r="K613" s="5"/>
      <c r="L613" s="5"/>
    </row>
    <row r="614" ht="15.75" customHeight="1">
      <c r="A614" s="5"/>
      <c r="B614" s="5"/>
      <c r="C614" s="5"/>
      <c r="D614" s="5"/>
      <c r="E614" s="5"/>
      <c r="F614" s="5"/>
      <c r="G614" s="5"/>
      <c r="H614" s="5"/>
      <c r="I614" s="5"/>
      <c r="J614" s="5"/>
      <c r="K614" s="5"/>
      <c r="L614" s="5"/>
    </row>
    <row r="615" ht="15.75" customHeight="1">
      <c r="A615" s="5"/>
      <c r="B615" s="5"/>
      <c r="C615" s="5"/>
      <c r="D615" s="5"/>
      <c r="E615" s="5"/>
      <c r="F615" s="5"/>
      <c r="G615" s="5"/>
      <c r="H615" s="5"/>
      <c r="I615" s="5"/>
      <c r="J615" s="5"/>
      <c r="K615" s="5"/>
      <c r="L615" s="5"/>
    </row>
    <row r="616" ht="15.75" customHeight="1">
      <c r="A616" s="5"/>
      <c r="B616" s="5"/>
      <c r="C616" s="5"/>
      <c r="D616" s="5"/>
      <c r="E616" s="5"/>
      <c r="F616" s="5"/>
      <c r="G616" s="5"/>
      <c r="H616" s="5"/>
      <c r="I616" s="5"/>
      <c r="J616" s="5"/>
      <c r="K616" s="5"/>
      <c r="L616" s="5"/>
    </row>
    <row r="617" ht="15.75" customHeight="1">
      <c r="A617" s="5"/>
      <c r="B617" s="5"/>
      <c r="C617" s="5"/>
      <c r="D617" s="5"/>
      <c r="E617" s="5"/>
      <c r="F617" s="5"/>
      <c r="G617" s="5"/>
      <c r="H617" s="5"/>
      <c r="I617" s="5"/>
      <c r="J617" s="5"/>
      <c r="K617" s="5"/>
      <c r="L617" s="5"/>
    </row>
    <row r="618" ht="15.75" customHeight="1">
      <c r="A618" s="5"/>
      <c r="B618" s="5"/>
      <c r="C618" s="5"/>
      <c r="D618" s="5"/>
      <c r="E618" s="5"/>
      <c r="F618" s="5"/>
      <c r="G618" s="5"/>
      <c r="H618" s="5"/>
      <c r="I618" s="5"/>
      <c r="J618" s="5"/>
      <c r="K618" s="5"/>
      <c r="L618" s="5"/>
    </row>
    <row r="619" ht="15.75" customHeight="1">
      <c r="A619" s="5"/>
      <c r="B619" s="5"/>
      <c r="C619" s="5"/>
      <c r="D619" s="5"/>
      <c r="E619" s="5"/>
      <c r="F619" s="5"/>
      <c r="G619" s="5"/>
      <c r="H619" s="5"/>
      <c r="I619" s="5"/>
      <c r="J619" s="5"/>
      <c r="K619" s="5"/>
      <c r="L619" s="5"/>
    </row>
    <row r="620" ht="15.75" customHeight="1">
      <c r="A620" s="5"/>
      <c r="B620" s="5"/>
      <c r="C620" s="5"/>
      <c r="D620" s="5"/>
      <c r="E620" s="5"/>
      <c r="F620" s="5"/>
      <c r="G620" s="5"/>
      <c r="H620" s="5"/>
      <c r="I620" s="5"/>
      <c r="J620" s="5"/>
      <c r="K620" s="5"/>
      <c r="L620" s="5"/>
    </row>
    <row r="621" ht="15.75" customHeight="1">
      <c r="A621" s="5"/>
      <c r="B621" s="5"/>
      <c r="C621" s="5"/>
      <c r="D621" s="5"/>
      <c r="E621" s="5"/>
      <c r="F621" s="5"/>
      <c r="G621" s="5"/>
      <c r="H621" s="5"/>
      <c r="I621" s="5"/>
      <c r="J621" s="5"/>
      <c r="K621" s="5"/>
      <c r="L621" s="5"/>
    </row>
    <row r="622" ht="15.75" customHeight="1">
      <c r="A622" s="5"/>
      <c r="B622" s="5"/>
      <c r="C622" s="5"/>
      <c r="D622" s="5"/>
      <c r="E622" s="5"/>
      <c r="F622" s="5"/>
      <c r="G622" s="5"/>
      <c r="H622" s="5"/>
      <c r="I622" s="5"/>
      <c r="J622" s="5"/>
      <c r="K622" s="5"/>
      <c r="L622" s="5"/>
    </row>
    <row r="623" ht="15.75" customHeight="1">
      <c r="A623" s="5"/>
      <c r="B623" s="5"/>
      <c r="C623" s="5"/>
      <c r="D623" s="5"/>
      <c r="E623" s="5"/>
      <c r="F623" s="5"/>
      <c r="G623" s="5"/>
      <c r="H623" s="5"/>
      <c r="I623" s="5"/>
      <c r="J623" s="5"/>
      <c r="K623" s="5"/>
      <c r="L623" s="5"/>
    </row>
    <row r="624" ht="15.75" customHeight="1">
      <c r="A624" s="5"/>
      <c r="B624" s="5"/>
      <c r="C624" s="5"/>
      <c r="D624" s="5"/>
      <c r="E624" s="5"/>
      <c r="F624" s="5"/>
      <c r="G624" s="5"/>
      <c r="H624" s="5"/>
      <c r="I624" s="5"/>
      <c r="J624" s="5"/>
      <c r="K624" s="5"/>
      <c r="L624" s="5"/>
    </row>
    <row r="625" ht="15.75" customHeight="1">
      <c r="A625" s="5"/>
      <c r="B625" s="5"/>
      <c r="C625" s="5"/>
      <c r="D625" s="5"/>
      <c r="E625" s="5"/>
      <c r="F625" s="5"/>
      <c r="G625" s="5"/>
      <c r="H625" s="5"/>
      <c r="I625" s="5"/>
      <c r="J625" s="5"/>
      <c r="K625" s="5"/>
      <c r="L625" s="5"/>
    </row>
    <row r="626" ht="15.75" customHeight="1">
      <c r="A626" s="5"/>
      <c r="B626" s="5"/>
      <c r="C626" s="5"/>
      <c r="D626" s="5"/>
      <c r="E626" s="5"/>
      <c r="F626" s="5"/>
      <c r="G626" s="5"/>
      <c r="H626" s="5"/>
      <c r="I626" s="5"/>
      <c r="J626" s="5"/>
      <c r="K626" s="5"/>
      <c r="L626" s="5"/>
    </row>
    <row r="627" ht="15.75" customHeight="1">
      <c r="A627" s="5"/>
      <c r="B627" s="5"/>
      <c r="C627" s="5"/>
      <c r="D627" s="5"/>
      <c r="E627" s="5"/>
      <c r="F627" s="5"/>
      <c r="G627" s="5"/>
      <c r="H627" s="5"/>
      <c r="I627" s="5"/>
      <c r="J627" s="5"/>
      <c r="K627" s="5"/>
      <c r="L627" s="5"/>
    </row>
    <row r="628" ht="15.75" customHeight="1">
      <c r="A628" s="5"/>
      <c r="B628" s="5"/>
      <c r="C628" s="5"/>
      <c r="D628" s="5"/>
      <c r="E628" s="5"/>
      <c r="F628" s="5"/>
      <c r="G628" s="5"/>
      <c r="H628" s="5"/>
      <c r="I628" s="5"/>
      <c r="J628" s="5"/>
      <c r="K628" s="5"/>
      <c r="L628" s="5"/>
    </row>
    <row r="629" ht="15.75" customHeight="1">
      <c r="A629" s="5"/>
      <c r="B629" s="5"/>
      <c r="C629" s="5"/>
      <c r="D629" s="5"/>
      <c r="E629" s="5"/>
      <c r="F629" s="5"/>
      <c r="G629" s="5"/>
      <c r="H629" s="5"/>
      <c r="I629" s="5"/>
      <c r="J629" s="5"/>
      <c r="K629" s="5"/>
      <c r="L629" s="5"/>
    </row>
    <row r="630" ht="15.75" customHeight="1">
      <c r="A630" s="5"/>
      <c r="B630" s="5"/>
      <c r="C630" s="5"/>
      <c r="D630" s="5"/>
      <c r="E630" s="5"/>
      <c r="F630" s="5"/>
      <c r="G630" s="5"/>
      <c r="H630" s="5"/>
      <c r="I630" s="5"/>
      <c r="J630" s="5"/>
      <c r="K630" s="5"/>
      <c r="L630" s="5"/>
    </row>
    <row r="631" ht="15.75" customHeight="1">
      <c r="A631" s="5"/>
      <c r="B631" s="5"/>
      <c r="C631" s="5"/>
      <c r="D631" s="5"/>
      <c r="E631" s="5"/>
      <c r="F631" s="5"/>
      <c r="G631" s="5"/>
      <c r="H631" s="5"/>
      <c r="I631" s="5"/>
      <c r="J631" s="5"/>
      <c r="K631" s="5"/>
      <c r="L631" s="5"/>
    </row>
    <row r="632" ht="15.75" customHeight="1">
      <c r="A632" s="5"/>
      <c r="B632" s="5"/>
      <c r="C632" s="5"/>
      <c r="D632" s="5"/>
      <c r="E632" s="5"/>
      <c r="F632" s="5"/>
      <c r="G632" s="5"/>
      <c r="H632" s="5"/>
      <c r="I632" s="5"/>
      <c r="J632" s="5"/>
      <c r="K632" s="5"/>
      <c r="L632" s="5"/>
    </row>
    <row r="633" ht="15.75" customHeight="1">
      <c r="A633" s="5"/>
      <c r="B633" s="5"/>
      <c r="C633" s="5"/>
      <c r="D633" s="5"/>
      <c r="E633" s="5"/>
      <c r="F633" s="5"/>
      <c r="G633" s="5"/>
      <c r="H633" s="5"/>
      <c r="I633" s="5"/>
      <c r="J633" s="5"/>
      <c r="K633" s="5"/>
      <c r="L633" s="5"/>
    </row>
    <row r="634" ht="15.75" customHeight="1">
      <c r="A634" s="5"/>
      <c r="B634" s="5"/>
      <c r="C634" s="5"/>
      <c r="D634" s="5"/>
      <c r="E634" s="5"/>
      <c r="F634" s="5"/>
      <c r="G634" s="5"/>
      <c r="H634" s="5"/>
      <c r="I634" s="5"/>
      <c r="J634" s="5"/>
      <c r="K634" s="5"/>
      <c r="L634" s="5"/>
    </row>
    <row r="635" ht="15.75" customHeight="1">
      <c r="A635" s="5"/>
      <c r="B635" s="5"/>
      <c r="C635" s="5"/>
      <c r="D635" s="5"/>
      <c r="E635" s="5"/>
      <c r="F635" s="5"/>
      <c r="G635" s="5"/>
      <c r="H635" s="5"/>
      <c r="I635" s="5"/>
      <c r="J635" s="5"/>
      <c r="K635" s="5"/>
      <c r="L635" s="5"/>
    </row>
    <row r="636" ht="15.75" customHeight="1">
      <c r="A636" s="5"/>
      <c r="B636" s="5"/>
      <c r="C636" s="5"/>
      <c r="D636" s="5"/>
      <c r="E636" s="5"/>
      <c r="F636" s="5"/>
      <c r="G636" s="5"/>
      <c r="H636" s="5"/>
      <c r="I636" s="5"/>
      <c r="J636" s="5"/>
      <c r="K636" s="5"/>
      <c r="L636" s="5"/>
    </row>
    <row r="637" ht="15.75" customHeight="1">
      <c r="A637" s="5"/>
      <c r="B637" s="5"/>
      <c r="C637" s="5"/>
      <c r="D637" s="5"/>
      <c r="E637" s="5"/>
      <c r="F637" s="5"/>
      <c r="G637" s="5"/>
      <c r="H637" s="5"/>
      <c r="I637" s="5"/>
      <c r="J637" s="5"/>
      <c r="K637" s="5"/>
      <c r="L637" s="5"/>
    </row>
    <row r="638" ht="15.75" customHeight="1">
      <c r="A638" s="5"/>
      <c r="B638" s="5"/>
      <c r="C638" s="5"/>
      <c r="D638" s="5"/>
      <c r="E638" s="5"/>
      <c r="F638" s="5"/>
      <c r="G638" s="5"/>
      <c r="H638" s="5"/>
      <c r="I638" s="5"/>
      <c r="J638" s="5"/>
      <c r="K638" s="5"/>
      <c r="L638" s="5"/>
    </row>
    <row r="639" ht="15.75" customHeight="1">
      <c r="A639" s="5"/>
      <c r="B639" s="5"/>
      <c r="C639" s="5"/>
      <c r="D639" s="5"/>
      <c r="E639" s="5"/>
      <c r="F639" s="5"/>
      <c r="G639" s="5"/>
      <c r="H639" s="5"/>
      <c r="I639" s="5"/>
      <c r="J639" s="5"/>
      <c r="K639" s="5"/>
      <c r="L639" s="5"/>
    </row>
    <row r="640" ht="15.75" customHeight="1">
      <c r="A640" s="5"/>
      <c r="B640" s="5"/>
      <c r="C640" s="5"/>
      <c r="D640" s="5"/>
      <c r="E640" s="5"/>
      <c r="F640" s="5"/>
      <c r="G640" s="5"/>
      <c r="H640" s="5"/>
      <c r="I640" s="5"/>
      <c r="J640" s="5"/>
      <c r="K640" s="5"/>
      <c r="L640" s="5"/>
    </row>
    <row r="641" ht="15.75" customHeight="1">
      <c r="A641" s="5"/>
      <c r="B641" s="5"/>
      <c r="C641" s="5"/>
      <c r="D641" s="5"/>
      <c r="E641" s="5"/>
      <c r="F641" s="5"/>
      <c r="G641" s="5"/>
      <c r="H641" s="5"/>
      <c r="I641" s="5"/>
      <c r="J641" s="5"/>
      <c r="K641" s="5"/>
      <c r="L641" s="5"/>
    </row>
    <row r="642" ht="15.75" customHeight="1">
      <c r="A642" s="5"/>
      <c r="B642" s="5"/>
      <c r="C642" s="5"/>
      <c r="D642" s="5"/>
      <c r="E642" s="5"/>
      <c r="F642" s="5"/>
      <c r="G642" s="5"/>
      <c r="H642" s="5"/>
      <c r="I642" s="5"/>
      <c r="J642" s="5"/>
      <c r="K642" s="5"/>
      <c r="L642" s="5"/>
    </row>
    <row r="643" ht="15.75" customHeight="1">
      <c r="A643" s="5"/>
      <c r="B643" s="5"/>
      <c r="C643" s="5"/>
      <c r="D643" s="5"/>
      <c r="E643" s="5"/>
      <c r="F643" s="5"/>
      <c r="G643" s="5"/>
      <c r="H643" s="5"/>
      <c r="I643" s="5"/>
      <c r="J643" s="5"/>
      <c r="K643" s="5"/>
      <c r="L643" s="5"/>
    </row>
    <row r="644" ht="15.75" customHeight="1">
      <c r="A644" s="5"/>
      <c r="B644" s="5"/>
      <c r="C644" s="5"/>
      <c r="D644" s="5"/>
      <c r="E644" s="5"/>
      <c r="F644" s="5"/>
      <c r="G644" s="5"/>
      <c r="H644" s="5"/>
      <c r="I644" s="5"/>
      <c r="J644" s="5"/>
      <c r="K644" s="5"/>
      <c r="L644" s="5"/>
    </row>
    <row r="645" ht="15.75" customHeight="1">
      <c r="A645" s="5"/>
      <c r="B645" s="5"/>
      <c r="C645" s="5"/>
      <c r="D645" s="5"/>
      <c r="E645" s="5"/>
      <c r="F645" s="5"/>
      <c r="G645" s="5"/>
      <c r="H645" s="5"/>
      <c r="I645" s="5"/>
      <c r="J645" s="5"/>
      <c r="K645" s="5"/>
      <c r="L645" s="5"/>
    </row>
    <row r="646" ht="15.75" customHeight="1">
      <c r="A646" s="5"/>
      <c r="B646" s="5"/>
      <c r="C646" s="5"/>
      <c r="D646" s="5"/>
      <c r="E646" s="5"/>
      <c r="F646" s="5"/>
      <c r="G646" s="5"/>
      <c r="H646" s="5"/>
      <c r="I646" s="5"/>
      <c r="J646" s="5"/>
      <c r="K646" s="5"/>
      <c r="L646" s="5"/>
    </row>
    <row r="647" ht="15.75" customHeight="1">
      <c r="A647" s="5"/>
      <c r="B647" s="5"/>
      <c r="C647" s="5"/>
      <c r="D647" s="5"/>
      <c r="E647" s="5"/>
      <c r="F647" s="5"/>
      <c r="G647" s="5"/>
      <c r="H647" s="5"/>
      <c r="I647" s="5"/>
      <c r="J647" s="5"/>
      <c r="K647" s="5"/>
      <c r="L647" s="5"/>
    </row>
    <row r="648" ht="15.75" customHeight="1">
      <c r="A648" s="5"/>
      <c r="B648" s="5"/>
      <c r="C648" s="5"/>
      <c r="D648" s="5"/>
      <c r="E648" s="5"/>
      <c r="F648" s="5"/>
      <c r="G648" s="5"/>
      <c r="H648" s="5"/>
      <c r="I648" s="5"/>
      <c r="J648" s="5"/>
      <c r="K648" s="5"/>
      <c r="L648" s="5"/>
    </row>
    <row r="649" ht="15.75" customHeight="1">
      <c r="A649" s="5"/>
      <c r="B649" s="5"/>
      <c r="C649" s="5"/>
      <c r="D649" s="5"/>
      <c r="E649" s="5"/>
      <c r="F649" s="5"/>
      <c r="G649" s="5"/>
      <c r="H649" s="5"/>
      <c r="I649" s="5"/>
      <c r="J649" s="5"/>
      <c r="K649" s="5"/>
      <c r="L649" s="5"/>
    </row>
    <row r="650" ht="15.75" customHeight="1">
      <c r="A650" s="5"/>
      <c r="B650" s="5"/>
      <c r="C650" s="5"/>
      <c r="D650" s="5"/>
      <c r="E650" s="5"/>
      <c r="F650" s="5"/>
      <c r="G650" s="5"/>
      <c r="H650" s="5"/>
      <c r="I650" s="5"/>
      <c r="J650" s="5"/>
      <c r="K650" s="5"/>
      <c r="L650" s="5"/>
    </row>
    <row r="651" ht="15.75" customHeight="1">
      <c r="A651" s="5"/>
      <c r="B651" s="5"/>
      <c r="C651" s="5"/>
      <c r="D651" s="5"/>
      <c r="E651" s="5"/>
      <c r="F651" s="5"/>
      <c r="G651" s="5"/>
      <c r="H651" s="5"/>
      <c r="I651" s="5"/>
      <c r="J651" s="5"/>
      <c r="K651" s="5"/>
      <c r="L651" s="5"/>
    </row>
    <row r="652" ht="15.75" customHeight="1">
      <c r="A652" s="5"/>
      <c r="B652" s="5"/>
      <c r="C652" s="5"/>
      <c r="D652" s="5"/>
      <c r="E652" s="5"/>
      <c r="F652" s="5"/>
      <c r="G652" s="5"/>
      <c r="H652" s="5"/>
      <c r="I652" s="5"/>
      <c r="J652" s="5"/>
      <c r="K652" s="5"/>
      <c r="L652" s="5"/>
    </row>
    <row r="653" ht="15.75" customHeight="1">
      <c r="A653" s="5"/>
      <c r="B653" s="5"/>
      <c r="C653" s="5"/>
      <c r="D653" s="5"/>
      <c r="E653" s="5"/>
      <c r="F653" s="5"/>
      <c r="G653" s="5"/>
      <c r="H653" s="5"/>
      <c r="I653" s="5"/>
      <c r="J653" s="5"/>
      <c r="K653" s="5"/>
      <c r="L653" s="5"/>
    </row>
    <row r="654" ht="15.75" customHeight="1">
      <c r="A654" s="5"/>
      <c r="B654" s="5"/>
      <c r="C654" s="5"/>
      <c r="D654" s="5"/>
      <c r="E654" s="5"/>
      <c r="F654" s="5"/>
      <c r="G654" s="5"/>
      <c r="H654" s="5"/>
      <c r="I654" s="5"/>
      <c r="J654" s="5"/>
      <c r="K654" s="5"/>
      <c r="L654" s="5"/>
    </row>
    <row r="655" ht="15.75" customHeight="1">
      <c r="A655" s="5"/>
      <c r="B655" s="5"/>
      <c r="C655" s="5"/>
      <c r="D655" s="5"/>
      <c r="E655" s="5"/>
      <c r="F655" s="5"/>
      <c r="G655" s="5"/>
      <c r="H655" s="5"/>
      <c r="I655" s="5"/>
      <c r="J655" s="5"/>
      <c r="K655" s="5"/>
      <c r="L655" s="5"/>
    </row>
    <row r="656" ht="15.75" customHeight="1">
      <c r="A656" s="5"/>
      <c r="B656" s="5"/>
      <c r="C656" s="5"/>
      <c r="D656" s="5"/>
      <c r="E656" s="5"/>
      <c r="F656" s="5"/>
      <c r="G656" s="5"/>
      <c r="H656" s="5"/>
      <c r="I656" s="5"/>
      <c r="J656" s="5"/>
      <c r="K656" s="5"/>
      <c r="L656" s="5"/>
    </row>
    <row r="657" ht="15.75" customHeight="1">
      <c r="A657" s="5"/>
      <c r="B657" s="5"/>
      <c r="C657" s="5"/>
      <c r="D657" s="5"/>
      <c r="E657" s="5"/>
      <c r="F657" s="5"/>
      <c r="G657" s="5"/>
      <c r="H657" s="5"/>
      <c r="I657" s="5"/>
      <c r="J657" s="5"/>
      <c r="K657" s="5"/>
      <c r="L657" s="5"/>
    </row>
    <row r="658" ht="15.75" customHeight="1">
      <c r="A658" s="5"/>
      <c r="B658" s="5"/>
      <c r="C658" s="5"/>
      <c r="D658" s="5"/>
      <c r="E658" s="5"/>
      <c r="F658" s="5"/>
      <c r="G658" s="5"/>
      <c r="H658" s="5"/>
      <c r="I658" s="5"/>
      <c r="J658" s="5"/>
      <c r="K658" s="5"/>
      <c r="L658" s="5"/>
    </row>
    <row r="659" ht="15.75" customHeight="1">
      <c r="A659" s="5"/>
      <c r="B659" s="5"/>
      <c r="C659" s="5"/>
      <c r="D659" s="5"/>
      <c r="E659" s="5"/>
      <c r="F659" s="5"/>
      <c r="G659" s="5"/>
      <c r="H659" s="5"/>
      <c r="I659" s="5"/>
      <c r="J659" s="5"/>
      <c r="K659" s="5"/>
      <c r="L659" s="5"/>
    </row>
    <row r="660" ht="15.75" customHeight="1">
      <c r="A660" s="5"/>
      <c r="B660" s="5"/>
      <c r="C660" s="5"/>
      <c r="D660" s="5"/>
      <c r="E660" s="5"/>
      <c r="F660" s="5"/>
      <c r="G660" s="5"/>
      <c r="H660" s="5"/>
      <c r="I660" s="5"/>
      <c r="J660" s="5"/>
      <c r="K660" s="5"/>
      <c r="L660" s="5"/>
    </row>
    <row r="661" ht="15.75" customHeight="1">
      <c r="A661" s="5"/>
      <c r="B661" s="5"/>
      <c r="C661" s="5"/>
      <c r="D661" s="5"/>
      <c r="E661" s="5"/>
      <c r="F661" s="5"/>
      <c r="G661" s="5"/>
      <c r="H661" s="5"/>
      <c r="I661" s="5"/>
      <c r="J661" s="5"/>
      <c r="K661" s="5"/>
      <c r="L661" s="5"/>
    </row>
    <row r="662" ht="15.75" customHeight="1">
      <c r="A662" s="5"/>
      <c r="B662" s="5"/>
      <c r="C662" s="5"/>
      <c r="D662" s="5"/>
      <c r="E662" s="5"/>
      <c r="F662" s="5"/>
      <c r="G662" s="5"/>
      <c r="H662" s="5"/>
      <c r="I662" s="5"/>
      <c r="J662" s="5"/>
      <c r="K662" s="5"/>
      <c r="L662" s="5"/>
    </row>
    <row r="663" ht="15.75" customHeight="1">
      <c r="A663" s="5"/>
      <c r="B663" s="5"/>
      <c r="C663" s="5"/>
      <c r="D663" s="5"/>
      <c r="E663" s="5"/>
      <c r="F663" s="5"/>
      <c r="G663" s="5"/>
      <c r="H663" s="5"/>
      <c r="I663" s="5"/>
      <c r="J663" s="5"/>
      <c r="K663" s="5"/>
      <c r="L663" s="5"/>
    </row>
    <row r="664" ht="15.75" customHeight="1">
      <c r="A664" s="5"/>
      <c r="B664" s="5"/>
      <c r="C664" s="5"/>
      <c r="D664" s="5"/>
      <c r="E664" s="5"/>
      <c r="F664" s="5"/>
      <c r="G664" s="5"/>
      <c r="H664" s="5"/>
      <c r="I664" s="5"/>
      <c r="J664" s="5"/>
      <c r="K664" s="5"/>
      <c r="L664" s="5"/>
    </row>
    <row r="665" ht="15.75" customHeight="1">
      <c r="A665" s="5"/>
      <c r="B665" s="5"/>
      <c r="C665" s="5"/>
      <c r="D665" s="5"/>
      <c r="E665" s="5"/>
      <c r="F665" s="5"/>
      <c r="G665" s="5"/>
      <c r="H665" s="5"/>
      <c r="I665" s="5"/>
      <c r="J665" s="5"/>
      <c r="K665" s="5"/>
      <c r="L665" s="5"/>
    </row>
    <row r="666" ht="15.75" customHeight="1">
      <c r="A666" s="5"/>
      <c r="B666" s="5"/>
      <c r="C666" s="5"/>
      <c r="D666" s="5"/>
      <c r="E666" s="5"/>
      <c r="F666" s="5"/>
      <c r="G666" s="5"/>
      <c r="H666" s="5"/>
      <c r="I666" s="5"/>
      <c r="J666" s="5"/>
      <c r="K666" s="5"/>
      <c r="L666" s="5"/>
    </row>
    <row r="667" ht="15.75" customHeight="1">
      <c r="A667" s="5"/>
      <c r="B667" s="5"/>
      <c r="C667" s="5"/>
      <c r="D667" s="5"/>
      <c r="E667" s="5"/>
      <c r="F667" s="5"/>
      <c r="G667" s="5"/>
      <c r="H667" s="5"/>
      <c r="I667" s="5"/>
      <c r="J667" s="5"/>
      <c r="K667" s="5"/>
      <c r="L667" s="5"/>
    </row>
    <row r="668" ht="15.75" customHeight="1">
      <c r="A668" s="5"/>
      <c r="B668" s="5"/>
      <c r="C668" s="5"/>
      <c r="D668" s="5"/>
      <c r="E668" s="5"/>
      <c r="F668" s="5"/>
      <c r="G668" s="5"/>
      <c r="H668" s="5"/>
      <c r="I668" s="5"/>
      <c r="J668" s="5"/>
      <c r="K668" s="5"/>
      <c r="L668" s="5"/>
    </row>
    <row r="669" ht="15.75" customHeight="1">
      <c r="A669" s="5"/>
      <c r="B669" s="5"/>
      <c r="C669" s="5"/>
      <c r="D669" s="5"/>
      <c r="E669" s="5"/>
      <c r="F669" s="5"/>
      <c r="G669" s="5"/>
      <c r="H669" s="5"/>
      <c r="I669" s="5"/>
      <c r="J669" s="5"/>
      <c r="K669" s="5"/>
      <c r="L669" s="5"/>
    </row>
    <row r="670" ht="15.75" customHeight="1">
      <c r="A670" s="5"/>
      <c r="B670" s="5"/>
      <c r="C670" s="5"/>
      <c r="D670" s="5"/>
      <c r="E670" s="5"/>
      <c r="F670" s="5"/>
      <c r="G670" s="5"/>
      <c r="H670" s="5"/>
      <c r="I670" s="5"/>
      <c r="J670" s="5"/>
      <c r="K670" s="5"/>
      <c r="L670" s="5"/>
    </row>
    <row r="671" ht="15.75" customHeight="1">
      <c r="A671" s="5"/>
      <c r="B671" s="5"/>
      <c r="C671" s="5"/>
      <c r="D671" s="5"/>
      <c r="E671" s="5"/>
      <c r="F671" s="5"/>
      <c r="G671" s="5"/>
      <c r="H671" s="5"/>
      <c r="I671" s="5"/>
      <c r="J671" s="5"/>
      <c r="K671" s="5"/>
      <c r="L671" s="5"/>
    </row>
    <row r="672" ht="15.75" customHeight="1">
      <c r="A672" s="5"/>
      <c r="B672" s="5"/>
      <c r="C672" s="5"/>
      <c r="D672" s="5"/>
      <c r="E672" s="5"/>
      <c r="F672" s="5"/>
      <c r="G672" s="5"/>
      <c r="H672" s="5"/>
      <c r="I672" s="5"/>
      <c r="J672" s="5"/>
      <c r="K672" s="5"/>
      <c r="L672" s="5"/>
    </row>
    <row r="673" ht="15.75" customHeight="1">
      <c r="A673" s="5"/>
      <c r="B673" s="5"/>
      <c r="C673" s="5"/>
      <c r="D673" s="5"/>
      <c r="E673" s="5"/>
      <c r="F673" s="5"/>
      <c r="G673" s="5"/>
      <c r="H673" s="5"/>
      <c r="I673" s="5"/>
      <c r="J673" s="5"/>
      <c r="K673" s="5"/>
      <c r="L673" s="5"/>
    </row>
    <row r="674" ht="15.75" customHeight="1">
      <c r="A674" s="5"/>
      <c r="B674" s="5"/>
      <c r="C674" s="5"/>
      <c r="D674" s="5"/>
      <c r="E674" s="5"/>
      <c r="F674" s="5"/>
      <c r="G674" s="5"/>
      <c r="H674" s="5"/>
      <c r="I674" s="5"/>
      <c r="J674" s="5"/>
      <c r="K674" s="5"/>
      <c r="L674" s="5"/>
    </row>
    <row r="675" ht="15.75" customHeight="1">
      <c r="A675" s="5"/>
      <c r="B675" s="5"/>
      <c r="C675" s="5"/>
      <c r="D675" s="5"/>
      <c r="E675" s="5"/>
      <c r="F675" s="5"/>
      <c r="G675" s="5"/>
      <c r="H675" s="5"/>
      <c r="I675" s="5"/>
      <c r="J675" s="5"/>
      <c r="K675" s="5"/>
      <c r="L675" s="5"/>
    </row>
    <row r="676" ht="15.75" customHeight="1">
      <c r="A676" s="5"/>
      <c r="B676" s="5"/>
      <c r="C676" s="5"/>
      <c r="D676" s="5"/>
      <c r="E676" s="5"/>
      <c r="F676" s="5"/>
      <c r="G676" s="5"/>
      <c r="H676" s="5"/>
      <c r="I676" s="5"/>
      <c r="J676" s="5"/>
      <c r="K676" s="5"/>
      <c r="L676" s="5"/>
    </row>
    <row r="677" ht="15.75" customHeight="1">
      <c r="A677" s="5"/>
      <c r="B677" s="5"/>
      <c r="C677" s="5"/>
      <c r="D677" s="5"/>
      <c r="E677" s="5"/>
      <c r="F677" s="5"/>
      <c r="G677" s="5"/>
      <c r="H677" s="5"/>
      <c r="I677" s="5"/>
      <c r="J677" s="5"/>
      <c r="K677" s="5"/>
      <c r="L677" s="5"/>
    </row>
    <row r="678" ht="15.75" customHeight="1">
      <c r="A678" s="5"/>
      <c r="B678" s="5"/>
      <c r="C678" s="5"/>
      <c r="D678" s="5"/>
      <c r="E678" s="5"/>
      <c r="F678" s="5"/>
      <c r="G678" s="5"/>
      <c r="H678" s="5"/>
      <c r="I678" s="5"/>
      <c r="J678" s="5"/>
      <c r="K678" s="5"/>
      <c r="L678" s="5"/>
    </row>
    <row r="679" ht="15.75" customHeight="1">
      <c r="A679" s="5"/>
      <c r="B679" s="5"/>
      <c r="C679" s="5"/>
      <c r="D679" s="5"/>
      <c r="E679" s="5"/>
      <c r="F679" s="5"/>
      <c r="G679" s="5"/>
      <c r="H679" s="5"/>
      <c r="I679" s="5"/>
      <c r="J679" s="5"/>
      <c r="K679" s="5"/>
      <c r="L679" s="5"/>
    </row>
    <row r="680" ht="15.75" customHeight="1">
      <c r="A680" s="5"/>
      <c r="B680" s="5"/>
      <c r="C680" s="5"/>
      <c r="D680" s="5"/>
      <c r="E680" s="5"/>
      <c r="F680" s="5"/>
      <c r="G680" s="5"/>
      <c r="H680" s="5"/>
      <c r="I680" s="5"/>
      <c r="J680" s="5"/>
      <c r="K680" s="5"/>
      <c r="L680" s="5"/>
    </row>
    <row r="681" ht="15.75" customHeight="1">
      <c r="A681" s="5"/>
      <c r="B681" s="5"/>
      <c r="C681" s="5"/>
      <c r="D681" s="5"/>
      <c r="E681" s="5"/>
      <c r="F681" s="5"/>
      <c r="G681" s="5"/>
      <c r="H681" s="5"/>
      <c r="I681" s="5"/>
      <c r="J681" s="5"/>
      <c r="K681" s="5"/>
      <c r="L681" s="5"/>
    </row>
    <row r="682" ht="15.75" customHeight="1">
      <c r="A682" s="5"/>
      <c r="B682" s="5"/>
      <c r="C682" s="5"/>
      <c r="D682" s="5"/>
      <c r="E682" s="5"/>
      <c r="F682" s="5"/>
      <c r="G682" s="5"/>
      <c r="H682" s="5"/>
      <c r="I682" s="5"/>
      <c r="J682" s="5"/>
      <c r="K682" s="5"/>
      <c r="L682" s="5"/>
    </row>
    <row r="683" ht="15.75" customHeight="1">
      <c r="A683" s="5"/>
      <c r="B683" s="5"/>
      <c r="C683" s="5"/>
      <c r="D683" s="5"/>
      <c r="E683" s="5"/>
      <c r="F683" s="5"/>
      <c r="G683" s="5"/>
      <c r="H683" s="5"/>
      <c r="I683" s="5"/>
      <c r="J683" s="5"/>
      <c r="K683" s="5"/>
      <c r="L683" s="5"/>
    </row>
    <row r="684" ht="15.75" customHeight="1">
      <c r="A684" s="5"/>
      <c r="B684" s="5"/>
      <c r="C684" s="5"/>
      <c r="D684" s="5"/>
      <c r="E684" s="5"/>
      <c r="F684" s="5"/>
      <c r="G684" s="5"/>
      <c r="H684" s="5"/>
      <c r="I684" s="5"/>
      <c r="J684" s="5"/>
      <c r="K684" s="5"/>
      <c r="L684" s="5"/>
    </row>
    <row r="685" ht="15.75" customHeight="1">
      <c r="A685" s="5"/>
      <c r="B685" s="5"/>
      <c r="C685" s="5"/>
      <c r="D685" s="5"/>
      <c r="E685" s="5"/>
      <c r="F685" s="5"/>
      <c r="G685" s="5"/>
      <c r="H685" s="5"/>
      <c r="I685" s="5"/>
      <c r="J685" s="5"/>
      <c r="K685" s="5"/>
      <c r="L685" s="5"/>
    </row>
    <row r="686" ht="15.75" customHeight="1">
      <c r="A686" s="5"/>
      <c r="B686" s="5"/>
      <c r="C686" s="5"/>
      <c r="D686" s="5"/>
      <c r="E686" s="5"/>
      <c r="F686" s="5"/>
      <c r="G686" s="5"/>
      <c r="H686" s="5"/>
      <c r="I686" s="5"/>
      <c r="J686" s="5"/>
      <c r="K686" s="5"/>
      <c r="L686" s="5"/>
    </row>
    <row r="687" ht="15.75" customHeight="1">
      <c r="A687" s="5"/>
      <c r="B687" s="5"/>
      <c r="C687" s="5"/>
      <c r="D687" s="5"/>
      <c r="E687" s="5"/>
      <c r="F687" s="5"/>
      <c r="G687" s="5"/>
      <c r="H687" s="5"/>
      <c r="I687" s="5"/>
      <c r="J687" s="5"/>
      <c r="K687" s="5"/>
      <c r="L687" s="5"/>
    </row>
    <row r="688" ht="15.75" customHeight="1">
      <c r="A688" s="5"/>
      <c r="B688" s="5"/>
      <c r="C688" s="5"/>
      <c r="D688" s="5"/>
      <c r="E688" s="5"/>
      <c r="F688" s="5"/>
      <c r="G688" s="5"/>
      <c r="H688" s="5"/>
      <c r="I688" s="5"/>
      <c r="J688" s="5"/>
      <c r="K688" s="5"/>
      <c r="L688" s="5"/>
    </row>
    <row r="689" ht="15.75" customHeight="1">
      <c r="A689" s="5"/>
      <c r="B689" s="5"/>
      <c r="C689" s="5"/>
      <c r="D689" s="5"/>
      <c r="E689" s="5"/>
      <c r="F689" s="5"/>
      <c r="G689" s="5"/>
      <c r="H689" s="5"/>
      <c r="I689" s="5"/>
      <c r="J689" s="5"/>
      <c r="K689" s="5"/>
      <c r="L689" s="5"/>
    </row>
    <row r="690" ht="15.75" customHeight="1">
      <c r="A690" s="5"/>
      <c r="B690" s="5"/>
      <c r="C690" s="5"/>
      <c r="D690" s="5"/>
      <c r="E690" s="5"/>
      <c r="F690" s="5"/>
      <c r="G690" s="5"/>
      <c r="H690" s="5"/>
      <c r="I690" s="5"/>
      <c r="J690" s="5"/>
      <c r="K690" s="5"/>
      <c r="L690" s="5"/>
    </row>
    <row r="691" ht="15.75" customHeight="1">
      <c r="A691" s="5"/>
      <c r="B691" s="5"/>
      <c r="C691" s="5"/>
      <c r="D691" s="5"/>
      <c r="E691" s="5"/>
      <c r="F691" s="5"/>
      <c r="G691" s="5"/>
      <c r="H691" s="5"/>
      <c r="I691" s="5"/>
      <c r="J691" s="5"/>
      <c r="K691" s="5"/>
      <c r="L691" s="5"/>
    </row>
    <row r="692" ht="15.75" customHeight="1">
      <c r="A692" s="5"/>
      <c r="B692" s="5"/>
      <c r="C692" s="5"/>
      <c r="D692" s="5"/>
      <c r="E692" s="5"/>
      <c r="F692" s="5"/>
      <c r="G692" s="5"/>
      <c r="H692" s="5"/>
      <c r="I692" s="5"/>
      <c r="J692" s="5"/>
      <c r="K692" s="5"/>
      <c r="L692" s="5"/>
    </row>
    <row r="693" ht="15.75" customHeight="1">
      <c r="A693" s="5"/>
      <c r="B693" s="5"/>
      <c r="C693" s="5"/>
      <c r="D693" s="5"/>
      <c r="E693" s="5"/>
      <c r="F693" s="5"/>
      <c r="G693" s="5"/>
      <c r="H693" s="5"/>
      <c r="I693" s="5"/>
      <c r="J693" s="5"/>
      <c r="K693" s="5"/>
      <c r="L693" s="5"/>
    </row>
    <row r="694" ht="15.75" customHeight="1">
      <c r="A694" s="5"/>
      <c r="B694" s="5"/>
      <c r="C694" s="5"/>
      <c r="D694" s="5"/>
      <c r="E694" s="5"/>
      <c r="F694" s="5"/>
      <c r="G694" s="5"/>
      <c r="H694" s="5"/>
      <c r="I694" s="5"/>
      <c r="J694" s="5"/>
      <c r="K694" s="5"/>
      <c r="L694" s="5"/>
    </row>
    <row r="695" ht="15.75" customHeight="1">
      <c r="A695" s="5"/>
      <c r="B695" s="5"/>
      <c r="C695" s="5"/>
      <c r="D695" s="5"/>
      <c r="E695" s="5"/>
      <c r="F695" s="5"/>
      <c r="G695" s="5"/>
      <c r="H695" s="5"/>
      <c r="I695" s="5"/>
      <c r="J695" s="5"/>
      <c r="K695" s="5"/>
      <c r="L695" s="5"/>
    </row>
    <row r="696" ht="15.75" customHeight="1">
      <c r="A696" s="5"/>
      <c r="B696" s="5"/>
      <c r="C696" s="5"/>
      <c r="D696" s="5"/>
      <c r="E696" s="5"/>
      <c r="F696" s="5"/>
      <c r="G696" s="5"/>
      <c r="H696" s="5"/>
      <c r="I696" s="5"/>
      <c r="J696" s="5"/>
      <c r="K696" s="5"/>
      <c r="L696" s="5"/>
    </row>
    <row r="697" ht="15.75" customHeight="1">
      <c r="A697" s="5"/>
      <c r="B697" s="5"/>
      <c r="C697" s="5"/>
      <c r="D697" s="5"/>
      <c r="E697" s="5"/>
      <c r="F697" s="5"/>
      <c r="G697" s="5"/>
      <c r="H697" s="5"/>
      <c r="I697" s="5"/>
      <c r="J697" s="5"/>
      <c r="K697" s="5"/>
      <c r="L697" s="5"/>
    </row>
    <row r="698" ht="15.75" customHeight="1">
      <c r="A698" s="5"/>
      <c r="B698" s="5"/>
      <c r="C698" s="5"/>
      <c r="D698" s="5"/>
      <c r="E698" s="5"/>
      <c r="F698" s="5"/>
      <c r="G698" s="5"/>
      <c r="H698" s="5"/>
      <c r="I698" s="5"/>
      <c r="J698" s="5"/>
      <c r="K698" s="5"/>
      <c r="L698" s="5"/>
    </row>
    <row r="699" ht="15.75" customHeight="1">
      <c r="A699" s="5"/>
      <c r="B699" s="5"/>
      <c r="C699" s="5"/>
      <c r="D699" s="5"/>
      <c r="E699" s="5"/>
      <c r="F699" s="5"/>
      <c r="G699" s="5"/>
      <c r="H699" s="5"/>
      <c r="I699" s="5"/>
      <c r="J699" s="5"/>
      <c r="K699" s="5"/>
      <c r="L699" s="5"/>
    </row>
    <row r="700" ht="15.75" customHeight="1">
      <c r="A700" s="5"/>
      <c r="B700" s="5"/>
      <c r="C700" s="5"/>
      <c r="D700" s="5"/>
      <c r="E700" s="5"/>
      <c r="F700" s="5"/>
      <c r="G700" s="5"/>
      <c r="H700" s="5"/>
      <c r="I700" s="5"/>
      <c r="J700" s="5"/>
      <c r="K700" s="5"/>
      <c r="L700" s="5"/>
    </row>
    <row r="701" ht="15.75" customHeight="1">
      <c r="A701" s="5"/>
      <c r="B701" s="5"/>
      <c r="C701" s="5"/>
      <c r="D701" s="5"/>
      <c r="E701" s="5"/>
      <c r="F701" s="5"/>
      <c r="G701" s="5"/>
      <c r="H701" s="5"/>
      <c r="I701" s="5"/>
      <c r="J701" s="5"/>
      <c r="K701" s="5"/>
      <c r="L701" s="5"/>
    </row>
    <row r="702" ht="15.75" customHeight="1">
      <c r="A702" s="5"/>
      <c r="B702" s="5"/>
      <c r="C702" s="5"/>
      <c r="D702" s="5"/>
      <c r="E702" s="5"/>
      <c r="F702" s="5"/>
      <c r="G702" s="5"/>
      <c r="H702" s="5"/>
      <c r="I702" s="5"/>
      <c r="J702" s="5"/>
      <c r="K702" s="5"/>
      <c r="L702" s="5"/>
    </row>
    <row r="703" ht="15.75" customHeight="1">
      <c r="A703" s="5"/>
      <c r="B703" s="5"/>
      <c r="C703" s="5"/>
      <c r="D703" s="5"/>
      <c r="E703" s="5"/>
      <c r="F703" s="5"/>
      <c r="G703" s="5"/>
      <c r="H703" s="5"/>
      <c r="I703" s="5"/>
      <c r="J703" s="5"/>
      <c r="K703" s="5"/>
      <c r="L703" s="5"/>
    </row>
    <row r="704" ht="15.75" customHeight="1">
      <c r="A704" s="5"/>
      <c r="B704" s="5"/>
      <c r="C704" s="5"/>
      <c r="D704" s="5"/>
      <c r="E704" s="5"/>
      <c r="F704" s="5"/>
      <c r="G704" s="5"/>
      <c r="H704" s="5"/>
      <c r="I704" s="5"/>
      <c r="J704" s="5"/>
      <c r="K704" s="5"/>
      <c r="L704" s="5"/>
    </row>
    <row r="705" ht="15.75" customHeight="1">
      <c r="A705" s="5"/>
      <c r="B705" s="5"/>
      <c r="C705" s="5"/>
      <c r="D705" s="5"/>
      <c r="E705" s="5"/>
      <c r="F705" s="5"/>
      <c r="G705" s="5"/>
      <c r="H705" s="5"/>
      <c r="I705" s="5"/>
      <c r="J705" s="5"/>
      <c r="K705" s="5"/>
      <c r="L705" s="5"/>
    </row>
    <row r="706" ht="15.75" customHeight="1">
      <c r="A706" s="5"/>
      <c r="B706" s="5"/>
      <c r="C706" s="5"/>
      <c r="D706" s="5"/>
      <c r="E706" s="5"/>
      <c r="F706" s="5"/>
      <c r="G706" s="5"/>
      <c r="H706" s="5"/>
      <c r="I706" s="5"/>
      <c r="J706" s="5"/>
      <c r="K706" s="5"/>
      <c r="L706" s="5"/>
    </row>
    <row r="707" ht="15.75" customHeight="1">
      <c r="A707" s="5"/>
      <c r="B707" s="5"/>
      <c r="C707" s="5"/>
      <c r="D707" s="5"/>
      <c r="E707" s="5"/>
      <c r="F707" s="5"/>
      <c r="G707" s="5"/>
      <c r="H707" s="5"/>
      <c r="I707" s="5"/>
      <c r="J707" s="5"/>
      <c r="K707" s="5"/>
      <c r="L707" s="5"/>
    </row>
    <row r="708" ht="15.75" customHeight="1">
      <c r="A708" s="5"/>
      <c r="B708" s="5"/>
      <c r="C708" s="5"/>
      <c r="D708" s="5"/>
      <c r="E708" s="5"/>
      <c r="F708" s="5"/>
      <c r="G708" s="5"/>
      <c r="H708" s="5"/>
      <c r="I708" s="5"/>
      <c r="J708" s="5"/>
      <c r="K708" s="5"/>
      <c r="L708" s="5"/>
    </row>
    <row r="709" ht="15.75" customHeight="1">
      <c r="A709" s="5"/>
      <c r="B709" s="5"/>
      <c r="C709" s="5"/>
      <c r="D709" s="5"/>
      <c r="E709" s="5"/>
      <c r="F709" s="5"/>
      <c r="G709" s="5"/>
      <c r="H709" s="5"/>
      <c r="I709" s="5"/>
      <c r="J709" s="5"/>
      <c r="K709" s="5"/>
      <c r="L709" s="5"/>
    </row>
    <row r="710" ht="15.75" customHeight="1">
      <c r="A710" s="5"/>
      <c r="B710" s="5"/>
      <c r="C710" s="5"/>
      <c r="D710" s="5"/>
      <c r="E710" s="5"/>
      <c r="F710" s="5"/>
      <c r="G710" s="5"/>
      <c r="H710" s="5"/>
      <c r="I710" s="5"/>
      <c r="J710" s="5"/>
      <c r="K710" s="5"/>
      <c r="L710" s="5"/>
    </row>
    <row r="711" ht="15.75" customHeight="1">
      <c r="A711" s="5"/>
      <c r="B711" s="5"/>
      <c r="C711" s="5"/>
      <c r="D711" s="5"/>
      <c r="E711" s="5"/>
      <c r="F711" s="5"/>
      <c r="G711" s="5"/>
      <c r="H711" s="5"/>
      <c r="I711" s="5"/>
      <c r="J711" s="5"/>
      <c r="K711" s="5"/>
      <c r="L711" s="5"/>
    </row>
    <row r="712" ht="15.75" customHeight="1">
      <c r="A712" s="5"/>
      <c r="B712" s="5"/>
      <c r="C712" s="5"/>
      <c r="D712" s="5"/>
      <c r="E712" s="5"/>
      <c r="F712" s="5"/>
      <c r="G712" s="5"/>
      <c r="H712" s="5"/>
      <c r="I712" s="5"/>
      <c r="J712" s="5"/>
      <c r="K712" s="5"/>
      <c r="L712" s="5"/>
    </row>
    <row r="713" ht="15.75" customHeight="1">
      <c r="A713" s="5"/>
      <c r="B713" s="5"/>
      <c r="C713" s="5"/>
      <c r="D713" s="5"/>
      <c r="E713" s="5"/>
      <c r="F713" s="5"/>
      <c r="G713" s="5"/>
      <c r="H713" s="5"/>
      <c r="I713" s="5"/>
      <c r="J713" s="5"/>
      <c r="K713" s="5"/>
      <c r="L713" s="5"/>
    </row>
    <row r="714" ht="15.75" customHeight="1">
      <c r="A714" s="5"/>
      <c r="B714" s="5"/>
      <c r="C714" s="5"/>
      <c r="D714" s="5"/>
      <c r="E714" s="5"/>
      <c r="F714" s="5"/>
      <c r="G714" s="5"/>
      <c r="H714" s="5"/>
      <c r="I714" s="5"/>
      <c r="J714" s="5"/>
      <c r="K714" s="5"/>
      <c r="L714" s="5"/>
    </row>
    <row r="715" ht="15.75" customHeight="1">
      <c r="A715" s="5"/>
      <c r="B715" s="5"/>
      <c r="C715" s="5"/>
      <c r="D715" s="5"/>
      <c r="E715" s="5"/>
      <c r="F715" s="5"/>
      <c r="G715" s="5"/>
      <c r="H715" s="5"/>
      <c r="I715" s="5"/>
      <c r="J715" s="5"/>
      <c r="K715" s="5"/>
      <c r="L715" s="5"/>
    </row>
    <row r="716" ht="15.75" customHeight="1">
      <c r="A716" s="5"/>
      <c r="B716" s="5"/>
      <c r="C716" s="5"/>
      <c r="D716" s="5"/>
      <c r="E716" s="5"/>
      <c r="F716" s="5"/>
      <c r="G716" s="5"/>
      <c r="H716" s="5"/>
      <c r="I716" s="5"/>
      <c r="J716" s="5"/>
      <c r="K716" s="5"/>
      <c r="L716" s="5"/>
    </row>
    <row r="717" ht="15.75" customHeight="1">
      <c r="A717" s="5"/>
      <c r="B717" s="5"/>
      <c r="C717" s="5"/>
      <c r="D717" s="5"/>
      <c r="E717" s="5"/>
      <c r="F717" s="5"/>
      <c r="G717" s="5"/>
      <c r="H717" s="5"/>
      <c r="I717" s="5"/>
      <c r="J717" s="5"/>
      <c r="K717" s="5"/>
      <c r="L717" s="5"/>
    </row>
    <row r="718" ht="15.75" customHeight="1">
      <c r="A718" s="5"/>
      <c r="B718" s="5"/>
      <c r="C718" s="5"/>
      <c r="D718" s="5"/>
      <c r="E718" s="5"/>
      <c r="F718" s="5"/>
      <c r="G718" s="5"/>
      <c r="H718" s="5"/>
      <c r="I718" s="5"/>
      <c r="J718" s="5"/>
      <c r="K718" s="5"/>
      <c r="L718" s="5"/>
    </row>
    <row r="719" ht="15.75" customHeight="1">
      <c r="A719" s="5"/>
      <c r="B719" s="5"/>
      <c r="C719" s="5"/>
      <c r="D719" s="5"/>
      <c r="E719" s="5"/>
      <c r="F719" s="5"/>
      <c r="G719" s="5"/>
      <c r="H719" s="5"/>
      <c r="I719" s="5"/>
      <c r="J719" s="5"/>
      <c r="K719" s="5"/>
      <c r="L719" s="5"/>
    </row>
    <row r="720" ht="15.75" customHeight="1">
      <c r="A720" s="5"/>
      <c r="B720" s="5"/>
      <c r="C720" s="5"/>
      <c r="D720" s="5"/>
      <c r="E720" s="5"/>
      <c r="F720" s="5"/>
      <c r="G720" s="5"/>
      <c r="H720" s="5"/>
      <c r="I720" s="5"/>
      <c r="J720" s="5"/>
      <c r="K720" s="5"/>
      <c r="L720" s="5"/>
    </row>
    <row r="721" ht="15.75" customHeight="1">
      <c r="A721" s="5"/>
      <c r="B721" s="5"/>
      <c r="C721" s="5"/>
      <c r="D721" s="5"/>
      <c r="E721" s="5"/>
      <c r="F721" s="5"/>
      <c r="G721" s="5"/>
      <c r="H721" s="5"/>
      <c r="I721" s="5"/>
      <c r="J721" s="5"/>
      <c r="K721" s="5"/>
      <c r="L721" s="5"/>
    </row>
    <row r="722" ht="15.75" customHeight="1">
      <c r="A722" s="5"/>
      <c r="B722" s="5"/>
      <c r="C722" s="5"/>
      <c r="D722" s="5"/>
      <c r="E722" s="5"/>
      <c r="F722" s="5"/>
      <c r="G722" s="5"/>
      <c r="H722" s="5"/>
      <c r="I722" s="5"/>
      <c r="J722" s="5"/>
      <c r="K722" s="5"/>
      <c r="L722" s="5"/>
    </row>
    <row r="723" ht="15.75" customHeight="1">
      <c r="A723" s="5"/>
      <c r="B723" s="5"/>
      <c r="C723" s="5"/>
      <c r="D723" s="5"/>
      <c r="E723" s="5"/>
      <c r="F723" s="5"/>
      <c r="G723" s="5"/>
      <c r="H723" s="5"/>
      <c r="I723" s="5"/>
      <c r="J723" s="5"/>
      <c r="K723" s="5"/>
      <c r="L723" s="5"/>
    </row>
    <row r="724" ht="15.75" customHeight="1">
      <c r="A724" s="5"/>
      <c r="B724" s="5"/>
      <c r="C724" s="5"/>
      <c r="D724" s="5"/>
      <c r="E724" s="5"/>
      <c r="F724" s="5"/>
      <c r="G724" s="5"/>
      <c r="H724" s="5"/>
      <c r="I724" s="5"/>
      <c r="J724" s="5"/>
      <c r="K724" s="5"/>
      <c r="L724" s="5"/>
    </row>
    <row r="725" ht="15.75" customHeight="1">
      <c r="A725" s="5"/>
      <c r="B725" s="5"/>
      <c r="C725" s="5"/>
      <c r="D725" s="5"/>
      <c r="E725" s="5"/>
      <c r="F725" s="5"/>
      <c r="G725" s="5"/>
      <c r="H725" s="5"/>
      <c r="I725" s="5"/>
      <c r="J725" s="5"/>
      <c r="K725" s="5"/>
      <c r="L725" s="5"/>
    </row>
    <row r="726" ht="15.75" customHeight="1">
      <c r="A726" s="5"/>
      <c r="B726" s="5"/>
      <c r="C726" s="5"/>
      <c r="D726" s="5"/>
      <c r="E726" s="5"/>
      <c r="F726" s="5"/>
      <c r="G726" s="5"/>
      <c r="H726" s="5"/>
      <c r="I726" s="5"/>
      <c r="J726" s="5"/>
      <c r="K726" s="5"/>
      <c r="L726" s="5"/>
    </row>
    <row r="727" ht="15.75" customHeight="1">
      <c r="A727" s="5"/>
      <c r="B727" s="5"/>
      <c r="C727" s="5"/>
      <c r="D727" s="5"/>
      <c r="E727" s="5"/>
      <c r="F727" s="5"/>
      <c r="G727" s="5"/>
      <c r="H727" s="5"/>
      <c r="I727" s="5"/>
      <c r="J727" s="5"/>
      <c r="K727" s="5"/>
      <c r="L727" s="5"/>
    </row>
    <row r="728" ht="15.75" customHeight="1">
      <c r="A728" s="5"/>
      <c r="B728" s="5"/>
      <c r="C728" s="5"/>
      <c r="D728" s="5"/>
      <c r="E728" s="5"/>
      <c r="F728" s="5"/>
      <c r="G728" s="5"/>
      <c r="H728" s="5"/>
      <c r="I728" s="5"/>
      <c r="J728" s="5"/>
      <c r="K728" s="5"/>
      <c r="L728" s="5"/>
    </row>
    <row r="729" ht="15.75" customHeight="1">
      <c r="A729" s="5"/>
      <c r="B729" s="5"/>
      <c r="C729" s="5"/>
      <c r="D729" s="5"/>
      <c r="E729" s="5"/>
      <c r="F729" s="5"/>
      <c r="G729" s="5"/>
      <c r="H729" s="5"/>
      <c r="I729" s="5"/>
      <c r="J729" s="5"/>
      <c r="K729" s="5"/>
      <c r="L729" s="5"/>
    </row>
    <row r="730" ht="15.75" customHeight="1">
      <c r="A730" s="5"/>
      <c r="B730" s="5"/>
      <c r="C730" s="5"/>
      <c r="D730" s="5"/>
      <c r="E730" s="5"/>
      <c r="F730" s="5"/>
      <c r="G730" s="5"/>
      <c r="H730" s="5"/>
      <c r="I730" s="5"/>
      <c r="J730" s="5"/>
      <c r="K730" s="5"/>
      <c r="L730" s="5"/>
    </row>
    <row r="731" ht="15.75" customHeight="1">
      <c r="A731" s="5"/>
      <c r="B731" s="5"/>
      <c r="C731" s="5"/>
      <c r="D731" s="5"/>
      <c r="E731" s="5"/>
      <c r="F731" s="5"/>
      <c r="G731" s="5"/>
      <c r="H731" s="5"/>
      <c r="I731" s="5"/>
      <c r="J731" s="5"/>
      <c r="K731" s="5"/>
      <c r="L731" s="5"/>
    </row>
    <row r="732" ht="15.75" customHeight="1">
      <c r="A732" s="5"/>
      <c r="B732" s="5"/>
      <c r="C732" s="5"/>
      <c r="D732" s="5"/>
      <c r="E732" s="5"/>
      <c r="F732" s="5"/>
      <c r="G732" s="5"/>
      <c r="H732" s="5"/>
      <c r="I732" s="5"/>
      <c r="J732" s="5"/>
      <c r="K732" s="5"/>
      <c r="L732" s="5"/>
    </row>
    <row r="733" ht="15.75" customHeight="1">
      <c r="A733" s="5"/>
      <c r="B733" s="5"/>
      <c r="C733" s="5"/>
      <c r="D733" s="5"/>
      <c r="E733" s="5"/>
      <c r="F733" s="5"/>
      <c r="G733" s="5"/>
      <c r="H733" s="5"/>
      <c r="I733" s="5"/>
      <c r="J733" s="5"/>
      <c r="K733" s="5"/>
      <c r="L733" s="5"/>
    </row>
    <row r="734" ht="15.75" customHeight="1">
      <c r="A734" s="5"/>
      <c r="B734" s="5"/>
      <c r="C734" s="5"/>
      <c r="D734" s="5"/>
      <c r="E734" s="5"/>
      <c r="F734" s="5"/>
      <c r="G734" s="5"/>
      <c r="H734" s="5"/>
      <c r="I734" s="5"/>
      <c r="J734" s="5"/>
      <c r="K734" s="5"/>
      <c r="L734" s="5"/>
    </row>
    <row r="735" ht="15.75" customHeight="1">
      <c r="A735" s="5"/>
      <c r="B735" s="5"/>
      <c r="C735" s="5"/>
      <c r="D735" s="5"/>
      <c r="E735" s="5"/>
      <c r="F735" s="5"/>
      <c r="G735" s="5"/>
      <c r="H735" s="5"/>
      <c r="I735" s="5"/>
      <c r="J735" s="5"/>
      <c r="K735" s="5"/>
      <c r="L735" s="5"/>
    </row>
    <row r="736" ht="15.75" customHeight="1">
      <c r="A736" s="5"/>
      <c r="B736" s="5"/>
      <c r="C736" s="5"/>
      <c r="D736" s="5"/>
      <c r="E736" s="5"/>
      <c r="F736" s="5"/>
      <c r="G736" s="5"/>
      <c r="H736" s="5"/>
      <c r="I736" s="5"/>
      <c r="J736" s="5"/>
      <c r="K736" s="5"/>
      <c r="L736" s="5"/>
    </row>
    <row r="737" ht="15.75" customHeight="1">
      <c r="A737" s="5"/>
      <c r="B737" s="5"/>
      <c r="C737" s="5"/>
      <c r="D737" s="5"/>
      <c r="E737" s="5"/>
      <c r="F737" s="5"/>
      <c r="G737" s="5"/>
      <c r="H737" s="5"/>
      <c r="I737" s="5"/>
      <c r="J737" s="5"/>
      <c r="K737" s="5"/>
      <c r="L737" s="5"/>
    </row>
    <row r="738" ht="15.75" customHeight="1">
      <c r="A738" s="5"/>
      <c r="B738" s="5"/>
      <c r="C738" s="5"/>
      <c r="D738" s="5"/>
      <c r="E738" s="5"/>
      <c r="F738" s="5"/>
      <c r="G738" s="5"/>
      <c r="H738" s="5"/>
      <c r="I738" s="5"/>
      <c r="J738" s="5"/>
      <c r="K738" s="5"/>
      <c r="L738" s="5"/>
    </row>
    <row r="739" ht="15.75" customHeight="1">
      <c r="A739" s="5"/>
      <c r="B739" s="5"/>
      <c r="C739" s="5"/>
      <c r="D739" s="5"/>
      <c r="E739" s="5"/>
      <c r="F739" s="5"/>
      <c r="G739" s="5"/>
      <c r="H739" s="5"/>
      <c r="I739" s="5"/>
      <c r="J739" s="5"/>
      <c r="K739" s="5"/>
      <c r="L739" s="5"/>
    </row>
    <row r="740" ht="15.75" customHeight="1">
      <c r="A740" s="5"/>
      <c r="B740" s="5"/>
      <c r="C740" s="5"/>
      <c r="D740" s="5"/>
      <c r="E740" s="5"/>
      <c r="F740" s="5"/>
      <c r="G740" s="5"/>
      <c r="H740" s="5"/>
      <c r="I740" s="5"/>
      <c r="J740" s="5"/>
      <c r="K740" s="5"/>
      <c r="L740" s="5"/>
    </row>
    <row r="741" ht="15.75" customHeight="1">
      <c r="A741" s="5"/>
      <c r="B741" s="5"/>
      <c r="C741" s="5"/>
      <c r="D741" s="5"/>
      <c r="E741" s="5"/>
      <c r="F741" s="5"/>
      <c r="G741" s="5"/>
      <c r="H741" s="5"/>
      <c r="I741" s="5"/>
      <c r="J741" s="5"/>
      <c r="K741" s="5"/>
      <c r="L741" s="5"/>
    </row>
    <row r="742" ht="15.75" customHeight="1">
      <c r="A742" s="5"/>
      <c r="B742" s="5"/>
      <c r="C742" s="5"/>
      <c r="D742" s="5"/>
      <c r="E742" s="5"/>
      <c r="F742" s="5"/>
      <c r="G742" s="5"/>
      <c r="H742" s="5"/>
      <c r="I742" s="5"/>
      <c r="J742" s="5"/>
      <c r="K742" s="5"/>
      <c r="L742" s="5"/>
    </row>
    <row r="743" ht="15.75" customHeight="1">
      <c r="A743" s="5"/>
      <c r="B743" s="5"/>
      <c r="C743" s="5"/>
      <c r="D743" s="5"/>
      <c r="E743" s="5"/>
      <c r="F743" s="5"/>
      <c r="G743" s="5"/>
      <c r="H743" s="5"/>
      <c r="I743" s="5"/>
      <c r="J743" s="5"/>
      <c r="K743" s="5"/>
      <c r="L743" s="5"/>
    </row>
    <row r="744" ht="15.75" customHeight="1">
      <c r="A744" s="5"/>
      <c r="B744" s="5"/>
      <c r="C744" s="5"/>
      <c r="D744" s="5"/>
      <c r="E744" s="5"/>
      <c r="F744" s="5"/>
      <c r="G744" s="5"/>
      <c r="H744" s="5"/>
      <c r="I744" s="5"/>
      <c r="J744" s="5"/>
      <c r="K744" s="5"/>
      <c r="L744" s="5"/>
    </row>
    <row r="745" ht="15.75" customHeight="1">
      <c r="A745" s="5"/>
      <c r="B745" s="5"/>
      <c r="C745" s="5"/>
      <c r="D745" s="5"/>
      <c r="E745" s="5"/>
      <c r="F745" s="5"/>
      <c r="G745" s="5"/>
      <c r="H745" s="5"/>
      <c r="I745" s="5"/>
      <c r="J745" s="5"/>
      <c r="K745" s="5"/>
      <c r="L745" s="5"/>
    </row>
    <row r="746" ht="15.75" customHeight="1">
      <c r="A746" s="5"/>
      <c r="B746" s="5"/>
      <c r="C746" s="5"/>
      <c r="D746" s="5"/>
      <c r="E746" s="5"/>
      <c r="F746" s="5"/>
      <c r="G746" s="5"/>
      <c r="H746" s="5"/>
      <c r="I746" s="5"/>
      <c r="J746" s="5"/>
      <c r="K746" s="5"/>
      <c r="L746" s="5"/>
    </row>
    <row r="747" ht="15.75" customHeight="1">
      <c r="A747" s="5"/>
      <c r="B747" s="5"/>
      <c r="C747" s="5"/>
      <c r="D747" s="5"/>
      <c r="E747" s="5"/>
      <c r="F747" s="5"/>
      <c r="G747" s="5"/>
      <c r="H747" s="5"/>
      <c r="I747" s="5"/>
      <c r="J747" s="5"/>
      <c r="K747" s="5"/>
      <c r="L747" s="5"/>
    </row>
    <row r="748" ht="15.75" customHeight="1">
      <c r="A748" s="5"/>
      <c r="B748" s="5"/>
      <c r="C748" s="5"/>
      <c r="D748" s="5"/>
      <c r="E748" s="5"/>
      <c r="F748" s="5"/>
      <c r="G748" s="5"/>
      <c r="H748" s="5"/>
      <c r="I748" s="5"/>
      <c r="J748" s="5"/>
      <c r="K748" s="5"/>
      <c r="L748" s="5"/>
    </row>
    <row r="749" ht="15.75" customHeight="1">
      <c r="A749" s="5"/>
      <c r="B749" s="5"/>
      <c r="C749" s="5"/>
      <c r="D749" s="5"/>
      <c r="E749" s="5"/>
      <c r="F749" s="5"/>
      <c r="G749" s="5"/>
      <c r="H749" s="5"/>
      <c r="I749" s="5"/>
      <c r="J749" s="5"/>
      <c r="K749" s="5"/>
      <c r="L749" s="5"/>
    </row>
    <row r="750" ht="15.75" customHeight="1">
      <c r="A750" s="5"/>
      <c r="B750" s="5"/>
      <c r="C750" s="5"/>
      <c r="D750" s="5"/>
      <c r="E750" s="5"/>
      <c r="F750" s="5"/>
      <c r="G750" s="5"/>
      <c r="H750" s="5"/>
      <c r="I750" s="5"/>
      <c r="J750" s="5"/>
      <c r="K750" s="5"/>
      <c r="L750" s="5"/>
    </row>
    <row r="751" ht="15.75" customHeight="1">
      <c r="A751" s="5"/>
      <c r="B751" s="5"/>
      <c r="C751" s="5"/>
      <c r="D751" s="5"/>
      <c r="E751" s="5"/>
      <c r="F751" s="5"/>
      <c r="G751" s="5"/>
      <c r="H751" s="5"/>
      <c r="I751" s="5"/>
      <c r="J751" s="5"/>
      <c r="K751" s="5"/>
      <c r="L751" s="5"/>
    </row>
    <row r="752" ht="15.75" customHeight="1">
      <c r="A752" s="5"/>
      <c r="B752" s="5"/>
      <c r="C752" s="5"/>
      <c r="D752" s="5"/>
      <c r="E752" s="5"/>
      <c r="F752" s="5"/>
      <c r="G752" s="5"/>
      <c r="H752" s="5"/>
      <c r="I752" s="5"/>
      <c r="J752" s="5"/>
      <c r="K752" s="5"/>
      <c r="L752" s="5"/>
    </row>
    <row r="753" ht="15.75" customHeight="1">
      <c r="A753" s="5"/>
      <c r="B753" s="5"/>
      <c r="C753" s="5"/>
      <c r="D753" s="5"/>
      <c r="E753" s="5"/>
      <c r="F753" s="5"/>
      <c r="G753" s="5"/>
      <c r="H753" s="5"/>
      <c r="I753" s="5"/>
      <c r="J753" s="5"/>
      <c r="K753" s="5"/>
      <c r="L753" s="5"/>
    </row>
    <row r="754" ht="15.75" customHeight="1">
      <c r="A754" s="5"/>
      <c r="B754" s="5"/>
      <c r="C754" s="5"/>
      <c r="D754" s="5"/>
      <c r="E754" s="5"/>
      <c r="F754" s="5"/>
      <c r="G754" s="5"/>
      <c r="H754" s="5"/>
      <c r="I754" s="5"/>
      <c r="J754" s="5"/>
      <c r="K754" s="5"/>
      <c r="L754" s="5"/>
    </row>
    <row r="755" ht="15.75" customHeight="1">
      <c r="A755" s="5"/>
      <c r="B755" s="5"/>
      <c r="C755" s="5"/>
      <c r="D755" s="5"/>
      <c r="E755" s="5"/>
      <c r="F755" s="5"/>
      <c r="G755" s="5"/>
      <c r="H755" s="5"/>
      <c r="I755" s="5"/>
      <c r="J755" s="5"/>
      <c r="K755" s="5"/>
      <c r="L755" s="5"/>
    </row>
    <row r="756" ht="15.75" customHeight="1">
      <c r="A756" s="5"/>
      <c r="B756" s="5"/>
      <c r="C756" s="5"/>
      <c r="D756" s="5"/>
      <c r="E756" s="5"/>
      <c r="F756" s="5"/>
      <c r="G756" s="5"/>
      <c r="H756" s="5"/>
      <c r="I756" s="5"/>
      <c r="J756" s="5"/>
      <c r="K756" s="5"/>
      <c r="L756" s="5"/>
    </row>
    <row r="757" ht="15.75" customHeight="1">
      <c r="A757" s="5"/>
      <c r="B757" s="5"/>
      <c r="C757" s="5"/>
      <c r="D757" s="5"/>
      <c r="E757" s="5"/>
      <c r="F757" s="5"/>
      <c r="G757" s="5"/>
      <c r="H757" s="5"/>
      <c r="I757" s="5"/>
      <c r="J757" s="5"/>
      <c r="K757" s="5"/>
      <c r="L757" s="5"/>
    </row>
    <row r="758" ht="15.75" customHeight="1">
      <c r="A758" s="5"/>
      <c r="B758" s="5"/>
      <c r="C758" s="5"/>
      <c r="D758" s="5"/>
      <c r="E758" s="5"/>
      <c r="F758" s="5"/>
      <c r="G758" s="5"/>
      <c r="H758" s="5"/>
      <c r="I758" s="5"/>
      <c r="J758" s="5"/>
      <c r="K758" s="5"/>
      <c r="L758" s="5"/>
    </row>
    <row r="759" ht="15.75" customHeight="1">
      <c r="A759" s="5"/>
      <c r="B759" s="5"/>
      <c r="C759" s="5"/>
      <c r="D759" s="5"/>
      <c r="E759" s="5"/>
      <c r="F759" s="5"/>
      <c r="G759" s="5"/>
      <c r="H759" s="5"/>
      <c r="I759" s="5"/>
      <c r="J759" s="5"/>
      <c r="K759" s="5"/>
      <c r="L759" s="5"/>
    </row>
    <row r="760" ht="15.75" customHeight="1">
      <c r="A760" s="5"/>
      <c r="B760" s="5"/>
      <c r="C760" s="5"/>
      <c r="D760" s="5"/>
      <c r="E760" s="5"/>
      <c r="F760" s="5"/>
      <c r="G760" s="5"/>
      <c r="H760" s="5"/>
      <c r="I760" s="5"/>
      <c r="J760" s="5"/>
      <c r="K760" s="5"/>
      <c r="L760" s="5"/>
    </row>
    <row r="761" ht="15.75" customHeight="1">
      <c r="A761" s="5"/>
      <c r="B761" s="5"/>
      <c r="C761" s="5"/>
      <c r="D761" s="5"/>
      <c r="E761" s="5"/>
      <c r="F761" s="5"/>
      <c r="G761" s="5"/>
      <c r="H761" s="5"/>
      <c r="I761" s="5"/>
      <c r="J761" s="5"/>
      <c r="K761" s="5"/>
      <c r="L761" s="5"/>
    </row>
    <row r="762" ht="15.75" customHeight="1">
      <c r="A762" s="5"/>
      <c r="B762" s="5"/>
      <c r="C762" s="5"/>
      <c r="D762" s="5"/>
      <c r="E762" s="5"/>
      <c r="F762" s="5"/>
      <c r="G762" s="5"/>
      <c r="H762" s="5"/>
      <c r="I762" s="5"/>
      <c r="J762" s="5"/>
      <c r="K762" s="5"/>
      <c r="L762" s="5"/>
    </row>
    <row r="763" ht="15.75" customHeight="1">
      <c r="A763" s="5"/>
      <c r="B763" s="5"/>
      <c r="C763" s="5"/>
      <c r="D763" s="5"/>
      <c r="E763" s="5"/>
      <c r="F763" s="5"/>
      <c r="G763" s="5"/>
      <c r="H763" s="5"/>
      <c r="I763" s="5"/>
      <c r="J763" s="5"/>
      <c r="K763" s="5"/>
      <c r="L763" s="5"/>
    </row>
    <row r="764" ht="15.75" customHeight="1">
      <c r="A764" s="5"/>
      <c r="B764" s="5"/>
      <c r="C764" s="5"/>
      <c r="D764" s="5"/>
      <c r="E764" s="5"/>
      <c r="F764" s="5"/>
      <c r="G764" s="5"/>
      <c r="H764" s="5"/>
      <c r="I764" s="5"/>
      <c r="J764" s="5"/>
      <c r="K764" s="5"/>
      <c r="L764" s="5"/>
    </row>
    <row r="765" ht="15.75" customHeight="1">
      <c r="A765" s="5"/>
      <c r="B765" s="5"/>
      <c r="C765" s="5"/>
      <c r="D765" s="5"/>
      <c r="E765" s="5"/>
      <c r="F765" s="5"/>
      <c r="G765" s="5"/>
      <c r="H765" s="5"/>
      <c r="I765" s="5"/>
      <c r="J765" s="5"/>
      <c r="K765" s="5"/>
      <c r="L765" s="5"/>
    </row>
    <row r="766" ht="15.75" customHeight="1">
      <c r="A766" s="5"/>
      <c r="B766" s="5"/>
      <c r="C766" s="5"/>
      <c r="D766" s="5"/>
      <c r="E766" s="5"/>
      <c r="F766" s="5"/>
      <c r="G766" s="5"/>
      <c r="H766" s="5"/>
      <c r="I766" s="5"/>
      <c r="J766" s="5"/>
      <c r="K766" s="5"/>
      <c r="L766" s="5"/>
    </row>
    <row r="767" ht="15.75" customHeight="1">
      <c r="A767" s="5"/>
      <c r="B767" s="5"/>
      <c r="C767" s="5"/>
      <c r="D767" s="5"/>
      <c r="E767" s="5"/>
      <c r="F767" s="5"/>
      <c r="G767" s="5"/>
      <c r="H767" s="5"/>
      <c r="I767" s="5"/>
      <c r="J767" s="5"/>
      <c r="K767" s="5"/>
      <c r="L767" s="5"/>
    </row>
    <row r="768" ht="15.75" customHeight="1">
      <c r="A768" s="5"/>
      <c r="B768" s="5"/>
      <c r="C768" s="5"/>
      <c r="D768" s="5"/>
      <c r="E768" s="5"/>
      <c r="F768" s="5"/>
      <c r="G768" s="5"/>
      <c r="H768" s="5"/>
      <c r="I768" s="5"/>
      <c r="J768" s="5"/>
      <c r="K768" s="5"/>
      <c r="L768" s="5"/>
    </row>
    <row r="769" ht="15.75" customHeight="1">
      <c r="A769" s="5"/>
      <c r="B769" s="5"/>
      <c r="C769" s="5"/>
      <c r="D769" s="5"/>
      <c r="E769" s="5"/>
      <c r="F769" s="5"/>
      <c r="G769" s="5"/>
      <c r="H769" s="5"/>
      <c r="I769" s="5"/>
      <c r="J769" s="5"/>
      <c r="K769" s="5"/>
      <c r="L769" s="5"/>
    </row>
    <row r="770" ht="15.75" customHeight="1">
      <c r="A770" s="5"/>
      <c r="B770" s="5"/>
      <c r="C770" s="5"/>
      <c r="D770" s="5"/>
      <c r="E770" s="5"/>
      <c r="F770" s="5"/>
      <c r="G770" s="5"/>
      <c r="H770" s="5"/>
      <c r="I770" s="5"/>
      <c r="J770" s="5"/>
      <c r="K770" s="5"/>
      <c r="L770" s="5"/>
    </row>
    <row r="771" ht="15.75" customHeight="1">
      <c r="A771" s="5"/>
      <c r="B771" s="5"/>
      <c r="C771" s="5"/>
      <c r="D771" s="5"/>
      <c r="E771" s="5"/>
      <c r="F771" s="5"/>
      <c r="G771" s="5"/>
      <c r="H771" s="5"/>
      <c r="I771" s="5"/>
      <c r="J771" s="5"/>
      <c r="K771" s="5"/>
      <c r="L771" s="5"/>
    </row>
    <row r="772" ht="15.75" customHeight="1">
      <c r="A772" s="5"/>
      <c r="B772" s="5"/>
      <c r="C772" s="5"/>
      <c r="D772" s="5"/>
      <c r="E772" s="5"/>
      <c r="F772" s="5"/>
      <c r="G772" s="5"/>
      <c r="H772" s="5"/>
      <c r="I772" s="5"/>
      <c r="J772" s="5"/>
      <c r="K772" s="5"/>
      <c r="L772" s="5"/>
    </row>
    <row r="773" ht="15.75" customHeight="1">
      <c r="A773" s="5"/>
      <c r="B773" s="5"/>
      <c r="C773" s="5"/>
      <c r="D773" s="5"/>
      <c r="E773" s="5"/>
      <c r="F773" s="5"/>
      <c r="G773" s="5"/>
      <c r="H773" s="5"/>
      <c r="I773" s="5"/>
      <c r="J773" s="5"/>
      <c r="K773" s="5"/>
      <c r="L773" s="5"/>
    </row>
    <row r="774" ht="15.75" customHeight="1">
      <c r="A774" s="5"/>
      <c r="B774" s="5"/>
      <c r="C774" s="5"/>
      <c r="D774" s="5"/>
      <c r="E774" s="5"/>
      <c r="F774" s="5"/>
      <c r="G774" s="5"/>
      <c r="H774" s="5"/>
      <c r="I774" s="5"/>
      <c r="J774" s="5"/>
      <c r="K774" s="5"/>
      <c r="L774" s="5"/>
    </row>
    <row r="775" ht="15.75" customHeight="1">
      <c r="A775" s="5"/>
      <c r="B775" s="5"/>
      <c r="C775" s="5"/>
      <c r="D775" s="5"/>
      <c r="E775" s="5"/>
      <c r="F775" s="5"/>
      <c r="G775" s="5"/>
      <c r="H775" s="5"/>
      <c r="I775" s="5"/>
      <c r="J775" s="5"/>
      <c r="K775" s="5"/>
      <c r="L775" s="5"/>
    </row>
    <row r="776" ht="15.75" customHeight="1">
      <c r="A776" s="5"/>
      <c r="B776" s="5"/>
      <c r="C776" s="5"/>
      <c r="D776" s="5"/>
      <c r="E776" s="5"/>
      <c r="F776" s="5"/>
      <c r="G776" s="5"/>
      <c r="H776" s="5"/>
      <c r="I776" s="5"/>
      <c r="J776" s="5"/>
      <c r="K776" s="5"/>
      <c r="L776" s="5"/>
    </row>
    <row r="777" ht="15.75" customHeight="1">
      <c r="A777" s="5"/>
      <c r="B777" s="5"/>
      <c r="C777" s="5"/>
      <c r="D777" s="5"/>
      <c r="E777" s="5"/>
      <c r="F777" s="5"/>
      <c r="G777" s="5"/>
      <c r="H777" s="5"/>
      <c r="I777" s="5"/>
      <c r="J777" s="5"/>
      <c r="K777" s="5"/>
      <c r="L777" s="5"/>
    </row>
    <row r="778" ht="15.75" customHeight="1">
      <c r="A778" s="5"/>
      <c r="B778" s="5"/>
      <c r="C778" s="5"/>
      <c r="D778" s="5"/>
      <c r="E778" s="5"/>
      <c r="F778" s="5"/>
      <c r="G778" s="5"/>
      <c r="H778" s="5"/>
      <c r="I778" s="5"/>
      <c r="J778" s="5"/>
      <c r="K778" s="5"/>
      <c r="L778" s="5"/>
    </row>
    <row r="779" ht="15.75" customHeight="1">
      <c r="A779" s="5"/>
      <c r="B779" s="5"/>
      <c r="C779" s="5"/>
      <c r="D779" s="5"/>
      <c r="E779" s="5"/>
      <c r="F779" s="5"/>
      <c r="G779" s="5"/>
      <c r="H779" s="5"/>
      <c r="I779" s="5"/>
      <c r="J779" s="5"/>
      <c r="K779" s="5"/>
      <c r="L779" s="5"/>
    </row>
    <row r="780" ht="15.75" customHeight="1">
      <c r="A780" s="5"/>
      <c r="B780" s="5"/>
      <c r="C780" s="5"/>
      <c r="D780" s="5"/>
      <c r="E780" s="5"/>
      <c r="F780" s="5"/>
      <c r="G780" s="5"/>
      <c r="H780" s="5"/>
      <c r="I780" s="5"/>
      <c r="J780" s="5"/>
      <c r="K780" s="5"/>
      <c r="L780" s="5"/>
    </row>
    <row r="781" ht="15.75" customHeight="1">
      <c r="A781" s="5"/>
      <c r="B781" s="5"/>
      <c r="C781" s="5"/>
      <c r="D781" s="5"/>
      <c r="E781" s="5"/>
      <c r="F781" s="5"/>
      <c r="G781" s="5"/>
      <c r="H781" s="5"/>
      <c r="I781" s="5"/>
      <c r="J781" s="5"/>
      <c r="K781" s="5"/>
      <c r="L781" s="5"/>
    </row>
    <row r="782" ht="15.75" customHeight="1">
      <c r="A782" s="5"/>
      <c r="B782" s="5"/>
      <c r="C782" s="5"/>
      <c r="D782" s="5"/>
      <c r="E782" s="5"/>
      <c r="F782" s="5"/>
      <c r="G782" s="5"/>
      <c r="H782" s="5"/>
      <c r="I782" s="5"/>
      <c r="J782" s="5"/>
      <c r="K782" s="5"/>
      <c r="L782" s="5"/>
    </row>
    <row r="783" ht="15.75" customHeight="1">
      <c r="A783" s="5"/>
      <c r="B783" s="5"/>
      <c r="C783" s="5"/>
      <c r="D783" s="5"/>
      <c r="E783" s="5"/>
      <c r="F783" s="5"/>
      <c r="G783" s="5"/>
      <c r="H783" s="5"/>
      <c r="I783" s="5"/>
      <c r="J783" s="5"/>
      <c r="K783" s="5"/>
      <c r="L783" s="5"/>
    </row>
    <row r="784" ht="15.75" customHeight="1">
      <c r="A784" s="5"/>
      <c r="B784" s="5"/>
      <c r="C784" s="5"/>
      <c r="D784" s="5"/>
      <c r="E784" s="5"/>
      <c r="F784" s="5"/>
      <c r="G784" s="5"/>
      <c r="H784" s="5"/>
      <c r="I784" s="5"/>
      <c r="J784" s="5"/>
      <c r="K784" s="5"/>
      <c r="L784" s="5"/>
    </row>
    <row r="785" ht="15.75" customHeight="1">
      <c r="A785" s="5"/>
      <c r="B785" s="5"/>
      <c r="C785" s="5"/>
      <c r="D785" s="5"/>
      <c r="E785" s="5"/>
      <c r="F785" s="5"/>
      <c r="G785" s="5"/>
      <c r="H785" s="5"/>
      <c r="I785" s="5"/>
      <c r="J785" s="5"/>
      <c r="K785" s="5"/>
      <c r="L785" s="5"/>
    </row>
    <row r="786" ht="15.75" customHeight="1">
      <c r="A786" s="5"/>
      <c r="B786" s="5"/>
      <c r="C786" s="5"/>
      <c r="D786" s="5"/>
      <c r="E786" s="5"/>
      <c r="F786" s="5"/>
      <c r="G786" s="5"/>
      <c r="H786" s="5"/>
      <c r="I786" s="5"/>
      <c r="J786" s="5"/>
      <c r="K786" s="5"/>
      <c r="L786" s="5"/>
    </row>
    <row r="787" ht="15.75" customHeight="1">
      <c r="A787" s="5"/>
      <c r="B787" s="5"/>
      <c r="C787" s="5"/>
      <c r="D787" s="5"/>
      <c r="E787" s="5"/>
      <c r="F787" s="5"/>
      <c r="G787" s="5"/>
      <c r="H787" s="5"/>
      <c r="I787" s="5"/>
      <c r="J787" s="5"/>
      <c r="K787" s="5"/>
      <c r="L787" s="5"/>
    </row>
    <row r="788" ht="15.75" customHeight="1">
      <c r="A788" s="5"/>
      <c r="B788" s="5"/>
      <c r="C788" s="5"/>
      <c r="D788" s="5"/>
      <c r="E788" s="5"/>
      <c r="F788" s="5"/>
      <c r="G788" s="5"/>
      <c r="H788" s="5"/>
      <c r="I788" s="5"/>
      <c r="J788" s="5"/>
      <c r="K788" s="5"/>
      <c r="L788" s="5"/>
    </row>
    <row r="789" ht="15.75" customHeight="1">
      <c r="A789" s="5"/>
      <c r="B789" s="5"/>
      <c r="C789" s="5"/>
      <c r="D789" s="5"/>
      <c r="E789" s="5"/>
      <c r="F789" s="5"/>
      <c r="G789" s="5"/>
      <c r="H789" s="5"/>
      <c r="I789" s="5"/>
      <c r="J789" s="5"/>
      <c r="K789" s="5"/>
      <c r="L789" s="5"/>
    </row>
    <row r="790" ht="15.75" customHeight="1">
      <c r="A790" s="5"/>
      <c r="B790" s="5"/>
      <c r="C790" s="5"/>
      <c r="D790" s="5"/>
      <c r="E790" s="5"/>
      <c r="F790" s="5"/>
      <c r="G790" s="5"/>
      <c r="H790" s="5"/>
      <c r="I790" s="5"/>
      <c r="J790" s="5"/>
      <c r="K790" s="5"/>
      <c r="L790" s="5"/>
    </row>
    <row r="791" ht="15.75" customHeight="1">
      <c r="A791" s="5"/>
      <c r="B791" s="5"/>
      <c r="C791" s="5"/>
      <c r="D791" s="5"/>
      <c r="E791" s="5"/>
      <c r="F791" s="5"/>
      <c r="G791" s="5"/>
      <c r="H791" s="5"/>
      <c r="I791" s="5"/>
      <c r="J791" s="5"/>
      <c r="K791" s="5"/>
      <c r="L791" s="5"/>
    </row>
    <row r="792" ht="15.75" customHeight="1">
      <c r="A792" s="5"/>
      <c r="B792" s="5"/>
      <c r="C792" s="5"/>
      <c r="D792" s="5"/>
      <c r="E792" s="5"/>
      <c r="F792" s="5"/>
      <c r="G792" s="5"/>
      <c r="H792" s="5"/>
      <c r="I792" s="5"/>
      <c r="J792" s="5"/>
      <c r="K792" s="5"/>
      <c r="L792" s="5"/>
    </row>
    <row r="793" ht="15.75" customHeight="1">
      <c r="A793" s="5"/>
      <c r="B793" s="5"/>
      <c r="C793" s="5"/>
      <c r="D793" s="5"/>
      <c r="E793" s="5"/>
      <c r="F793" s="5"/>
      <c r="G793" s="5"/>
      <c r="H793" s="5"/>
      <c r="I793" s="5"/>
      <c r="J793" s="5"/>
      <c r="K793" s="5"/>
      <c r="L793" s="5"/>
    </row>
    <row r="794" ht="15.75" customHeight="1">
      <c r="A794" s="5"/>
      <c r="B794" s="5"/>
      <c r="C794" s="5"/>
      <c r="D794" s="5"/>
      <c r="E794" s="5"/>
      <c r="F794" s="5"/>
      <c r="G794" s="5"/>
      <c r="H794" s="5"/>
      <c r="I794" s="5"/>
      <c r="J794" s="5"/>
      <c r="K794" s="5"/>
      <c r="L794" s="5"/>
    </row>
    <row r="795" ht="15.75" customHeight="1">
      <c r="A795" s="5"/>
      <c r="B795" s="5"/>
      <c r="C795" s="5"/>
      <c r="D795" s="5"/>
      <c r="E795" s="5"/>
      <c r="F795" s="5"/>
      <c r="G795" s="5"/>
      <c r="H795" s="5"/>
      <c r="I795" s="5"/>
      <c r="J795" s="5"/>
      <c r="K795" s="5"/>
      <c r="L795" s="5"/>
    </row>
    <row r="796" ht="15.75" customHeight="1">
      <c r="A796" s="5"/>
      <c r="B796" s="5"/>
      <c r="C796" s="5"/>
      <c r="D796" s="5"/>
      <c r="E796" s="5"/>
      <c r="F796" s="5"/>
      <c r="G796" s="5"/>
      <c r="H796" s="5"/>
      <c r="I796" s="5"/>
      <c r="J796" s="5"/>
      <c r="K796" s="5"/>
      <c r="L796" s="5"/>
    </row>
    <row r="797" ht="15.75" customHeight="1">
      <c r="A797" s="5"/>
      <c r="B797" s="5"/>
      <c r="C797" s="5"/>
      <c r="D797" s="5"/>
      <c r="E797" s="5"/>
      <c r="F797" s="5"/>
      <c r="G797" s="5"/>
      <c r="H797" s="5"/>
      <c r="I797" s="5"/>
      <c r="J797" s="5"/>
      <c r="K797" s="5"/>
      <c r="L797" s="5"/>
    </row>
    <row r="798" ht="15.75" customHeight="1">
      <c r="A798" s="5"/>
      <c r="B798" s="5"/>
      <c r="C798" s="5"/>
      <c r="D798" s="5"/>
      <c r="E798" s="5"/>
      <c r="F798" s="5"/>
      <c r="G798" s="5"/>
      <c r="H798" s="5"/>
      <c r="I798" s="5"/>
      <c r="J798" s="5"/>
      <c r="K798" s="5"/>
      <c r="L798" s="5"/>
    </row>
    <row r="799" ht="15.75" customHeight="1">
      <c r="A799" s="5"/>
      <c r="B799" s="5"/>
      <c r="C799" s="5"/>
      <c r="D799" s="5"/>
      <c r="E799" s="5"/>
      <c r="F799" s="5"/>
      <c r="G799" s="5"/>
      <c r="H799" s="5"/>
      <c r="I799" s="5"/>
      <c r="J799" s="5"/>
      <c r="K799" s="5"/>
      <c r="L799" s="5"/>
    </row>
    <row r="800" ht="15.75" customHeight="1">
      <c r="A800" s="5"/>
      <c r="B800" s="5"/>
      <c r="C800" s="5"/>
      <c r="D800" s="5"/>
      <c r="E800" s="5"/>
      <c r="F800" s="5"/>
      <c r="G800" s="5"/>
      <c r="H800" s="5"/>
      <c r="I800" s="5"/>
      <c r="J800" s="5"/>
      <c r="K800" s="5"/>
      <c r="L800" s="5"/>
    </row>
    <row r="801" ht="15.75" customHeight="1">
      <c r="A801" s="5"/>
      <c r="B801" s="5"/>
      <c r="C801" s="5"/>
      <c r="D801" s="5"/>
      <c r="E801" s="5"/>
      <c r="F801" s="5"/>
      <c r="G801" s="5"/>
      <c r="H801" s="5"/>
      <c r="I801" s="5"/>
      <c r="J801" s="5"/>
      <c r="K801" s="5"/>
      <c r="L801" s="5"/>
    </row>
    <row r="802" ht="15.75" customHeight="1">
      <c r="A802" s="5"/>
      <c r="B802" s="5"/>
      <c r="C802" s="5"/>
      <c r="D802" s="5"/>
      <c r="E802" s="5"/>
      <c r="F802" s="5"/>
      <c r="G802" s="5"/>
      <c r="H802" s="5"/>
      <c r="I802" s="5"/>
      <c r="J802" s="5"/>
      <c r="K802" s="5"/>
      <c r="L802" s="5"/>
    </row>
    <row r="803" ht="15.75" customHeight="1">
      <c r="A803" s="5"/>
      <c r="B803" s="5"/>
      <c r="C803" s="5"/>
      <c r="D803" s="5"/>
      <c r="E803" s="5"/>
      <c r="F803" s="5"/>
      <c r="G803" s="5"/>
      <c r="H803" s="5"/>
      <c r="I803" s="5"/>
      <c r="J803" s="5"/>
      <c r="K803" s="5"/>
      <c r="L803" s="5"/>
    </row>
    <row r="804" ht="15.75" customHeight="1">
      <c r="A804" s="5"/>
      <c r="B804" s="5"/>
      <c r="C804" s="5"/>
      <c r="D804" s="5"/>
      <c r="E804" s="5"/>
      <c r="F804" s="5"/>
      <c r="G804" s="5"/>
      <c r="H804" s="5"/>
      <c r="I804" s="5"/>
      <c r="J804" s="5"/>
      <c r="K804" s="5"/>
      <c r="L804" s="5"/>
    </row>
    <row r="805" ht="15.75" customHeight="1">
      <c r="A805" s="5"/>
      <c r="B805" s="5"/>
      <c r="C805" s="5"/>
      <c r="D805" s="5"/>
      <c r="E805" s="5"/>
      <c r="F805" s="5"/>
      <c r="G805" s="5"/>
      <c r="H805" s="5"/>
      <c r="I805" s="5"/>
      <c r="J805" s="5"/>
      <c r="K805" s="5"/>
      <c r="L805" s="5"/>
    </row>
    <row r="806" ht="15.75" customHeight="1">
      <c r="A806" s="5"/>
      <c r="B806" s="5"/>
      <c r="C806" s="5"/>
      <c r="D806" s="5"/>
      <c r="E806" s="5"/>
      <c r="F806" s="5"/>
      <c r="G806" s="5"/>
      <c r="H806" s="5"/>
      <c r="I806" s="5"/>
      <c r="J806" s="5"/>
      <c r="K806" s="5"/>
      <c r="L806" s="5"/>
    </row>
    <row r="807" ht="15.75" customHeight="1">
      <c r="A807" s="5"/>
      <c r="B807" s="5"/>
      <c r="C807" s="5"/>
      <c r="D807" s="5"/>
      <c r="E807" s="5"/>
      <c r="F807" s="5"/>
      <c r="G807" s="5"/>
      <c r="H807" s="5"/>
      <c r="I807" s="5"/>
      <c r="J807" s="5"/>
      <c r="K807" s="5"/>
      <c r="L807" s="5"/>
    </row>
    <row r="808" ht="15.75" customHeight="1">
      <c r="A808" s="5"/>
      <c r="B808" s="5"/>
      <c r="C808" s="5"/>
      <c r="D808" s="5"/>
      <c r="E808" s="5"/>
      <c r="F808" s="5"/>
      <c r="G808" s="5"/>
      <c r="H808" s="5"/>
      <c r="I808" s="5"/>
      <c r="J808" s="5"/>
      <c r="K808" s="5"/>
      <c r="L808" s="5"/>
    </row>
    <row r="809" ht="15.75" customHeight="1">
      <c r="A809" s="5"/>
      <c r="B809" s="5"/>
      <c r="C809" s="5"/>
      <c r="D809" s="5"/>
      <c r="E809" s="5"/>
      <c r="F809" s="5"/>
      <c r="G809" s="5"/>
      <c r="H809" s="5"/>
      <c r="I809" s="5"/>
      <c r="J809" s="5"/>
      <c r="K809" s="5"/>
      <c r="L809" s="5"/>
    </row>
    <row r="810" ht="15.75" customHeight="1">
      <c r="A810" s="5"/>
      <c r="B810" s="5"/>
      <c r="C810" s="5"/>
      <c r="D810" s="5"/>
      <c r="E810" s="5"/>
      <c r="F810" s="5"/>
      <c r="G810" s="5"/>
      <c r="H810" s="5"/>
      <c r="I810" s="5"/>
      <c r="J810" s="5"/>
      <c r="K810" s="5"/>
      <c r="L810" s="5"/>
    </row>
    <row r="811" ht="15.75" customHeight="1">
      <c r="A811" s="5"/>
      <c r="B811" s="5"/>
      <c r="C811" s="5"/>
      <c r="D811" s="5"/>
      <c r="E811" s="5"/>
      <c r="F811" s="5"/>
      <c r="G811" s="5"/>
      <c r="H811" s="5"/>
      <c r="I811" s="5"/>
      <c r="J811" s="5"/>
      <c r="K811" s="5"/>
      <c r="L811" s="5"/>
    </row>
    <row r="812" ht="15.75" customHeight="1">
      <c r="A812" s="5"/>
      <c r="B812" s="5"/>
      <c r="C812" s="5"/>
      <c r="D812" s="5"/>
      <c r="E812" s="5"/>
      <c r="F812" s="5"/>
      <c r="G812" s="5"/>
      <c r="H812" s="5"/>
      <c r="I812" s="5"/>
      <c r="J812" s="5"/>
      <c r="K812" s="5"/>
      <c r="L812" s="5"/>
    </row>
    <row r="813" ht="15.75" customHeight="1">
      <c r="A813" s="5"/>
      <c r="B813" s="5"/>
      <c r="C813" s="5"/>
      <c r="D813" s="5"/>
      <c r="E813" s="5"/>
      <c r="F813" s="5"/>
      <c r="G813" s="5"/>
      <c r="H813" s="5"/>
      <c r="I813" s="5"/>
      <c r="J813" s="5"/>
      <c r="K813" s="5"/>
      <c r="L813" s="5"/>
    </row>
    <row r="814" ht="15.75" customHeight="1">
      <c r="A814" s="5"/>
      <c r="B814" s="5"/>
      <c r="C814" s="5"/>
      <c r="D814" s="5"/>
      <c r="E814" s="5"/>
      <c r="F814" s="5"/>
      <c r="G814" s="5"/>
      <c r="H814" s="5"/>
      <c r="I814" s="5"/>
      <c r="J814" s="5"/>
      <c r="K814" s="5"/>
      <c r="L814" s="5"/>
    </row>
    <row r="815" ht="15.75" customHeight="1">
      <c r="A815" s="5"/>
      <c r="B815" s="5"/>
      <c r="C815" s="5"/>
      <c r="D815" s="5"/>
      <c r="E815" s="5"/>
      <c r="F815" s="5"/>
      <c r="G815" s="5"/>
      <c r="H815" s="5"/>
      <c r="I815" s="5"/>
      <c r="J815" s="5"/>
      <c r="K815" s="5"/>
      <c r="L815" s="5"/>
    </row>
    <row r="816" ht="15.75" customHeight="1">
      <c r="A816" s="5"/>
      <c r="B816" s="5"/>
      <c r="C816" s="5"/>
      <c r="D816" s="5"/>
      <c r="E816" s="5"/>
      <c r="F816" s="5"/>
      <c r="G816" s="5"/>
      <c r="H816" s="5"/>
      <c r="I816" s="5"/>
      <c r="J816" s="5"/>
      <c r="K816" s="5"/>
      <c r="L816" s="5"/>
    </row>
    <row r="817" ht="15.75" customHeight="1">
      <c r="A817" s="5"/>
      <c r="B817" s="5"/>
      <c r="C817" s="5"/>
      <c r="D817" s="5"/>
      <c r="E817" s="5"/>
      <c r="F817" s="5"/>
      <c r="G817" s="5"/>
      <c r="H817" s="5"/>
      <c r="I817" s="5"/>
      <c r="J817" s="5"/>
      <c r="K817" s="5"/>
      <c r="L817" s="5"/>
    </row>
    <row r="818" ht="15.75" customHeight="1">
      <c r="A818" s="5"/>
      <c r="B818" s="5"/>
      <c r="C818" s="5"/>
      <c r="D818" s="5"/>
      <c r="E818" s="5"/>
      <c r="F818" s="5"/>
      <c r="G818" s="5"/>
      <c r="H818" s="5"/>
      <c r="I818" s="5"/>
      <c r="J818" s="5"/>
      <c r="K818" s="5"/>
      <c r="L818" s="5"/>
    </row>
    <row r="819" ht="15.75" customHeight="1">
      <c r="A819" s="5"/>
      <c r="B819" s="5"/>
      <c r="C819" s="5"/>
      <c r="D819" s="5"/>
      <c r="E819" s="5"/>
      <c r="F819" s="5"/>
      <c r="G819" s="5"/>
      <c r="H819" s="5"/>
      <c r="I819" s="5"/>
      <c r="J819" s="5"/>
      <c r="K819" s="5"/>
      <c r="L819" s="5"/>
    </row>
    <row r="820" ht="15.75" customHeight="1">
      <c r="A820" s="5"/>
      <c r="B820" s="5"/>
      <c r="C820" s="5"/>
      <c r="D820" s="5"/>
      <c r="E820" s="5"/>
      <c r="F820" s="5"/>
      <c r="G820" s="5"/>
      <c r="H820" s="5"/>
      <c r="I820" s="5"/>
      <c r="J820" s="5"/>
      <c r="K820" s="5"/>
      <c r="L820" s="5"/>
    </row>
    <row r="821" ht="15.75" customHeight="1">
      <c r="A821" s="5"/>
      <c r="B821" s="5"/>
      <c r="C821" s="5"/>
      <c r="D821" s="5"/>
      <c r="E821" s="5"/>
      <c r="F821" s="5"/>
      <c r="G821" s="5"/>
      <c r="H821" s="5"/>
      <c r="I821" s="5"/>
      <c r="J821" s="5"/>
      <c r="K821" s="5"/>
      <c r="L821" s="5"/>
    </row>
    <row r="822" ht="15.75" customHeight="1">
      <c r="A822" s="5"/>
      <c r="B822" s="5"/>
      <c r="C822" s="5"/>
      <c r="D822" s="5"/>
      <c r="E822" s="5"/>
      <c r="F822" s="5"/>
      <c r="G822" s="5"/>
      <c r="H822" s="5"/>
      <c r="I822" s="5"/>
      <c r="J822" s="5"/>
      <c r="K822" s="5"/>
      <c r="L822" s="5"/>
    </row>
    <row r="823" ht="15.75" customHeight="1">
      <c r="A823" s="5"/>
      <c r="B823" s="5"/>
      <c r="C823" s="5"/>
      <c r="D823" s="5"/>
      <c r="E823" s="5"/>
      <c r="F823" s="5"/>
      <c r="G823" s="5"/>
      <c r="H823" s="5"/>
      <c r="I823" s="5"/>
      <c r="J823" s="5"/>
      <c r="K823" s="5"/>
      <c r="L823" s="5"/>
    </row>
    <row r="824" ht="15.75" customHeight="1">
      <c r="A824" s="5"/>
      <c r="B824" s="5"/>
      <c r="C824" s="5"/>
      <c r="D824" s="5"/>
      <c r="E824" s="5"/>
      <c r="F824" s="5"/>
      <c r="G824" s="5"/>
      <c r="H824" s="5"/>
      <c r="I824" s="5"/>
      <c r="J824" s="5"/>
      <c r="K824" s="5"/>
      <c r="L824" s="5"/>
    </row>
    <row r="825" ht="15.75" customHeight="1">
      <c r="A825" s="5"/>
      <c r="B825" s="5"/>
      <c r="C825" s="5"/>
      <c r="D825" s="5"/>
      <c r="E825" s="5"/>
      <c r="F825" s="5"/>
      <c r="G825" s="5"/>
      <c r="H825" s="5"/>
      <c r="I825" s="5"/>
      <c r="J825" s="5"/>
      <c r="K825" s="5"/>
      <c r="L825" s="5"/>
    </row>
    <row r="826" ht="15.75" customHeight="1">
      <c r="A826" s="5"/>
      <c r="B826" s="5"/>
      <c r="C826" s="5"/>
      <c r="D826" s="5"/>
      <c r="E826" s="5"/>
      <c r="F826" s="5"/>
      <c r="G826" s="5"/>
      <c r="H826" s="5"/>
      <c r="I826" s="5"/>
      <c r="J826" s="5"/>
      <c r="K826" s="5"/>
      <c r="L826" s="5"/>
    </row>
    <row r="827" ht="15.75" customHeight="1">
      <c r="A827" s="5"/>
      <c r="B827" s="5"/>
      <c r="C827" s="5"/>
      <c r="D827" s="5"/>
      <c r="E827" s="5"/>
      <c r="F827" s="5"/>
      <c r="G827" s="5"/>
      <c r="H827" s="5"/>
      <c r="I827" s="5"/>
      <c r="J827" s="5"/>
      <c r="K827" s="5"/>
      <c r="L827" s="5"/>
    </row>
    <row r="828" ht="15.75" customHeight="1">
      <c r="A828" s="5"/>
      <c r="B828" s="5"/>
      <c r="C828" s="5"/>
      <c r="D828" s="5"/>
      <c r="E828" s="5"/>
      <c r="F828" s="5"/>
      <c r="G828" s="5"/>
      <c r="H828" s="5"/>
      <c r="I828" s="5"/>
      <c r="J828" s="5"/>
      <c r="K828" s="5"/>
      <c r="L828" s="5"/>
    </row>
    <row r="829" ht="15.75" customHeight="1">
      <c r="A829" s="5"/>
      <c r="B829" s="5"/>
      <c r="C829" s="5"/>
      <c r="D829" s="5"/>
      <c r="E829" s="5"/>
      <c r="F829" s="5"/>
      <c r="G829" s="5"/>
      <c r="H829" s="5"/>
      <c r="I829" s="5"/>
      <c r="J829" s="5"/>
      <c r="K829" s="5"/>
      <c r="L829" s="5"/>
    </row>
    <row r="830" ht="15.75" customHeight="1">
      <c r="A830" s="5"/>
      <c r="B830" s="5"/>
      <c r="C830" s="5"/>
      <c r="D830" s="5"/>
      <c r="E830" s="5"/>
      <c r="F830" s="5"/>
      <c r="G830" s="5"/>
      <c r="H830" s="5"/>
      <c r="I830" s="5"/>
      <c r="J830" s="5"/>
      <c r="K830" s="5"/>
      <c r="L830" s="5"/>
    </row>
    <row r="831" ht="15.75" customHeight="1">
      <c r="A831" s="5"/>
      <c r="B831" s="5"/>
      <c r="C831" s="5"/>
      <c r="D831" s="5"/>
      <c r="E831" s="5"/>
      <c r="F831" s="5"/>
      <c r="G831" s="5"/>
      <c r="H831" s="5"/>
      <c r="I831" s="5"/>
      <c r="J831" s="5"/>
      <c r="K831" s="5"/>
      <c r="L831" s="5"/>
    </row>
    <row r="832" ht="15.75" customHeight="1">
      <c r="A832" s="5"/>
      <c r="B832" s="5"/>
      <c r="C832" s="5"/>
      <c r="D832" s="5"/>
      <c r="E832" s="5"/>
      <c r="F832" s="5"/>
      <c r="G832" s="5"/>
      <c r="H832" s="5"/>
      <c r="I832" s="5"/>
      <c r="J832" s="5"/>
      <c r="K832" s="5"/>
      <c r="L832" s="5"/>
    </row>
    <row r="833" ht="15.75" customHeight="1">
      <c r="A833" s="5"/>
      <c r="B833" s="5"/>
      <c r="C833" s="5"/>
      <c r="D833" s="5"/>
      <c r="E833" s="5"/>
      <c r="F833" s="5"/>
      <c r="G833" s="5"/>
      <c r="H833" s="5"/>
      <c r="I833" s="5"/>
      <c r="J833" s="5"/>
      <c r="K833" s="5"/>
      <c r="L833" s="5"/>
    </row>
    <row r="834" ht="15.75" customHeight="1">
      <c r="A834" s="5"/>
      <c r="B834" s="5"/>
      <c r="C834" s="5"/>
      <c r="D834" s="5"/>
      <c r="E834" s="5"/>
      <c r="F834" s="5"/>
      <c r="G834" s="5"/>
      <c r="H834" s="5"/>
      <c r="I834" s="5"/>
      <c r="J834" s="5"/>
      <c r="K834" s="5"/>
      <c r="L834" s="5"/>
    </row>
    <row r="835" ht="15.75" customHeight="1">
      <c r="A835" s="5"/>
      <c r="B835" s="5"/>
      <c r="C835" s="5"/>
      <c r="D835" s="5"/>
      <c r="E835" s="5"/>
      <c r="F835" s="5"/>
      <c r="G835" s="5"/>
      <c r="H835" s="5"/>
      <c r="I835" s="5"/>
      <c r="J835" s="5"/>
      <c r="K835" s="5"/>
      <c r="L835" s="5"/>
    </row>
    <row r="836" ht="15.75" customHeight="1">
      <c r="A836" s="5"/>
      <c r="B836" s="5"/>
      <c r="C836" s="5"/>
      <c r="D836" s="5"/>
      <c r="E836" s="5"/>
      <c r="F836" s="5"/>
      <c r="G836" s="5"/>
      <c r="H836" s="5"/>
      <c r="I836" s="5"/>
      <c r="J836" s="5"/>
      <c r="K836" s="5"/>
      <c r="L836" s="5"/>
    </row>
    <row r="837" ht="15.75" customHeight="1">
      <c r="A837" s="5"/>
      <c r="B837" s="5"/>
      <c r="C837" s="5"/>
      <c r="D837" s="5"/>
      <c r="E837" s="5"/>
      <c r="F837" s="5"/>
      <c r="G837" s="5"/>
      <c r="H837" s="5"/>
      <c r="I837" s="5"/>
      <c r="J837" s="5"/>
      <c r="K837" s="5"/>
      <c r="L837" s="5"/>
    </row>
    <row r="838" ht="15.75" customHeight="1">
      <c r="A838" s="5"/>
      <c r="B838" s="5"/>
      <c r="C838" s="5"/>
      <c r="D838" s="5"/>
      <c r="E838" s="5"/>
      <c r="F838" s="5"/>
      <c r="G838" s="5"/>
      <c r="H838" s="5"/>
      <c r="I838" s="5"/>
      <c r="J838" s="5"/>
      <c r="K838" s="5"/>
      <c r="L838" s="5"/>
    </row>
    <row r="839" ht="15.75" customHeight="1">
      <c r="A839" s="5"/>
      <c r="B839" s="5"/>
      <c r="C839" s="5"/>
      <c r="D839" s="5"/>
      <c r="E839" s="5"/>
      <c r="F839" s="5"/>
      <c r="G839" s="5"/>
      <c r="H839" s="5"/>
      <c r="I839" s="5"/>
      <c r="J839" s="5"/>
      <c r="K839" s="5"/>
      <c r="L839" s="5"/>
    </row>
    <row r="840" ht="15.75" customHeight="1">
      <c r="A840" s="5"/>
      <c r="B840" s="5"/>
      <c r="C840" s="5"/>
      <c r="D840" s="5"/>
      <c r="E840" s="5"/>
      <c r="F840" s="5"/>
      <c r="G840" s="5"/>
      <c r="H840" s="5"/>
      <c r="I840" s="5"/>
      <c r="J840" s="5"/>
      <c r="K840" s="5"/>
      <c r="L840" s="5"/>
    </row>
    <row r="841" ht="15.75" customHeight="1">
      <c r="A841" s="5"/>
      <c r="B841" s="5"/>
      <c r="C841" s="5"/>
      <c r="D841" s="5"/>
      <c r="E841" s="5"/>
      <c r="F841" s="5"/>
      <c r="G841" s="5"/>
      <c r="H841" s="5"/>
      <c r="I841" s="5"/>
      <c r="J841" s="5"/>
      <c r="K841" s="5"/>
      <c r="L841" s="5"/>
    </row>
    <row r="842" ht="15.75" customHeight="1">
      <c r="A842" s="5"/>
      <c r="B842" s="5"/>
      <c r="C842" s="5"/>
      <c r="D842" s="5"/>
      <c r="E842" s="5"/>
      <c r="F842" s="5"/>
      <c r="G842" s="5"/>
      <c r="H842" s="5"/>
      <c r="I842" s="5"/>
      <c r="J842" s="5"/>
      <c r="K842" s="5"/>
      <c r="L842" s="5"/>
    </row>
    <row r="843" ht="15.75" customHeight="1">
      <c r="A843" s="5"/>
      <c r="B843" s="5"/>
      <c r="C843" s="5"/>
      <c r="D843" s="5"/>
      <c r="E843" s="5"/>
      <c r="F843" s="5"/>
      <c r="G843" s="5"/>
      <c r="H843" s="5"/>
      <c r="I843" s="5"/>
      <c r="J843" s="5"/>
      <c r="K843" s="5"/>
      <c r="L843" s="5"/>
    </row>
    <row r="844" ht="15.75" customHeight="1">
      <c r="A844" s="5"/>
      <c r="B844" s="5"/>
      <c r="C844" s="5"/>
      <c r="D844" s="5"/>
      <c r="E844" s="5"/>
      <c r="F844" s="5"/>
      <c r="G844" s="5"/>
      <c r="H844" s="5"/>
      <c r="I844" s="5"/>
      <c r="J844" s="5"/>
      <c r="K844" s="5"/>
      <c r="L844" s="5"/>
    </row>
    <row r="845" ht="15.75" customHeight="1">
      <c r="A845" s="5"/>
      <c r="B845" s="5"/>
      <c r="C845" s="5"/>
      <c r="D845" s="5"/>
      <c r="E845" s="5"/>
      <c r="F845" s="5"/>
      <c r="G845" s="5"/>
      <c r="H845" s="5"/>
      <c r="I845" s="5"/>
      <c r="J845" s="5"/>
      <c r="K845" s="5"/>
      <c r="L845" s="5"/>
    </row>
    <row r="846" ht="15.75" customHeight="1">
      <c r="A846" s="5"/>
      <c r="B846" s="5"/>
      <c r="C846" s="5"/>
      <c r="D846" s="5"/>
      <c r="E846" s="5"/>
      <c r="F846" s="5"/>
      <c r="G846" s="5"/>
      <c r="H846" s="5"/>
      <c r="I846" s="5"/>
      <c r="J846" s="5"/>
      <c r="K846" s="5"/>
      <c r="L846" s="5"/>
    </row>
    <row r="847" ht="15.75" customHeight="1">
      <c r="A847" s="5"/>
      <c r="B847" s="5"/>
      <c r="C847" s="5"/>
      <c r="D847" s="5"/>
      <c r="E847" s="5"/>
      <c r="F847" s="5"/>
      <c r="G847" s="5"/>
      <c r="H847" s="5"/>
      <c r="I847" s="5"/>
      <c r="J847" s="5"/>
      <c r="K847" s="5"/>
      <c r="L847" s="5"/>
    </row>
    <row r="848" ht="15.75" customHeight="1">
      <c r="A848" s="5"/>
      <c r="B848" s="5"/>
      <c r="C848" s="5"/>
      <c r="D848" s="5"/>
      <c r="E848" s="5"/>
      <c r="F848" s="5"/>
      <c r="G848" s="5"/>
      <c r="H848" s="5"/>
      <c r="I848" s="5"/>
      <c r="J848" s="5"/>
      <c r="K848" s="5"/>
      <c r="L848" s="5"/>
    </row>
    <row r="849" ht="15.75" customHeight="1">
      <c r="A849" s="5"/>
      <c r="B849" s="5"/>
      <c r="C849" s="5"/>
      <c r="D849" s="5"/>
      <c r="E849" s="5"/>
      <c r="F849" s="5"/>
      <c r="G849" s="5"/>
      <c r="H849" s="5"/>
      <c r="I849" s="5"/>
      <c r="J849" s="5"/>
      <c r="K849" s="5"/>
      <c r="L849" s="5"/>
    </row>
    <row r="850" ht="15.75" customHeight="1">
      <c r="A850" s="5"/>
      <c r="B850" s="5"/>
      <c r="C850" s="5"/>
      <c r="D850" s="5"/>
      <c r="E850" s="5"/>
      <c r="F850" s="5"/>
      <c r="G850" s="5"/>
      <c r="H850" s="5"/>
      <c r="I850" s="5"/>
      <c r="J850" s="5"/>
      <c r="K850" s="5"/>
      <c r="L850" s="5"/>
    </row>
    <row r="851" ht="15.75" customHeight="1">
      <c r="A851" s="5"/>
      <c r="B851" s="5"/>
      <c r="C851" s="5"/>
      <c r="D851" s="5"/>
      <c r="E851" s="5"/>
      <c r="F851" s="5"/>
      <c r="G851" s="5"/>
      <c r="H851" s="5"/>
      <c r="I851" s="5"/>
      <c r="J851" s="5"/>
      <c r="K851" s="5"/>
      <c r="L851" s="5"/>
    </row>
    <row r="852" ht="15.75" customHeight="1">
      <c r="A852" s="5"/>
      <c r="B852" s="5"/>
      <c r="C852" s="5"/>
      <c r="D852" s="5"/>
      <c r="E852" s="5"/>
      <c r="F852" s="5"/>
      <c r="G852" s="5"/>
      <c r="H852" s="5"/>
      <c r="I852" s="5"/>
      <c r="J852" s="5"/>
      <c r="K852" s="5"/>
      <c r="L852" s="5"/>
    </row>
    <row r="853" ht="15.75" customHeight="1">
      <c r="A853" s="5"/>
      <c r="B853" s="5"/>
      <c r="C853" s="5"/>
      <c r="D853" s="5"/>
      <c r="E853" s="5"/>
      <c r="F853" s="5"/>
      <c r="G853" s="5"/>
      <c r="H853" s="5"/>
      <c r="I853" s="5"/>
      <c r="J853" s="5"/>
      <c r="K853" s="5"/>
      <c r="L853" s="5"/>
    </row>
    <row r="854" ht="15.75" customHeight="1">
      <c r="A854" s="5"/>
      <c r="B854" s="5"/>
      <c r="C854" s="5"/>
      <c r="D854" s="5"/>
      <c r="E854" s="5"/>
      <c r="F854" s="5"/>
      <c r="G854" s="5"/>
      <c r="H854" s="5"/>
      <c r="I854" s="5"/>
      <c r="J854" s="5"/>
      <c r="K854" s="5"/>
      <c r="L854" s="5"/>
    </row>
    <row r="855" ht="15.75" customHeight="1">
      <c r="A855" s="5"/>
      <c r="B855" s="5"/>
      <c r="C855" s="5"/>
      <c r="D855" s="5"/>
      <c r="E855" s="5"/>
      <c r="F855" s="5"/>
      <c r="G855" s="5"/>
      <c r="H855" s="5"/>
      <c r="I855" s="5"/>
      <c r="J855" s="5"/>
      <c r="K855" s="5"/>
      <c r="L855" s="5"/>
    </row>
    <row r="856" ht="15.75" customHeight="1">
      <c r="A856" s="5"/>
      <c r="B856" s="5"/>
      <c r="C856" s="5"/>
      <c r="D856" s="5"/>
      <c r="E856" s="5"/>
      <c r="F856" s="5"/>
      <c r="G856" s="5"/>
      <c r="H856" s="5"/>
      <c r="I856" s="5"/>
      <c r="J856" s="5"/>
      <c r="K856" s="5"/>
      <c r="L856" s="5"/>
    </row>
    <row r="857" ht="15.75" customHeight="1">
      <c r="A857" s="5"/>
      <c r="B857" s="5"/>
      <c r="C857" s="5"/>
      <c r="D857" s="5"/>
      <c r="E857" s="5"/>
      <c r="F857" s="5"/>
      <c r="G857" s="5"/>
      <c r="H857" s="5"/>
      <c r="I857" s="5"/>
      <c r="J857" s="5"/>
      <c r="K857" s="5"/>
      <c r="L857" s="5"/>
    </row>
    <row r="858" ht="15.75" customHeight="1">
      <c r="A858" s="5"/>
      <c r="B858" s="5"/>
      <c r="C858" s="5"/>
      <c r="D858" s="5"/>
      <c r="E858" s="5"/>
      <c r="F858" s="5"/>
      <c r="G858" s="5"/>
      <c r="H858" s="5"/>
      <c r="I858" s="5"/>
      <c r="J858" s="5"/>
      <c r="K858" s="5"/>
      <c r="L858" s="5"/>
    </row>
    <row r="859" ht="15.75" customHeight="1">
      <c r="A859" s="5"/>
      <c r="B859" s="5"/>
      <c r="C859" s="5"/>
      <c r="D859" s="5"/>
      <c r="E859" s="5"/>
      <c r="F859" s="5"/>
      <c r="G859" s="5"/>
      <c r="H859" s="5"/>
      <c r="I859" s="5"/>
      <c r="J859" s="5"/>
      <c r="K859" s="5"/>
      <c r="L859" s="5"/>
    </row>
    <row r="860" ht="15.75" customHeight="1">
      <c r="A860" s="5"/>
      <c r="B860" s="5"/>
      <c r="C860" s="5"/>
      <c r="D860" s="5"/>
      <c r="E860" s="5"/>
      <c r="F860" s="5"/>
      <c r="G860" s="5"/>
      <c r="H860" s="5"/>
      <c r="I860" s="5"/>
      <c r="J860" s="5"/>
      <c r="K860" s="5"/>
      <c r="L860" s="5"/>
    </row>
    <row r="861" ht="15.75" customHeight="1">
      <c r="A861" s="5"/>
      <c r="B861" s="5"/>
      <c r="C861" s="5"/>
      <c r="D861" s="5"/>
      <c r="E861" s="5"/>
      <c r="F861" s="5"/>
      <c r="G861" s="5"/>
      <c r="H861" s="5"/>
      <c r="I861" s="5"/>
      <c r="J861" s="5"/>
      <c r="K861" s="5"/>
      <c r="L861" s="5"/>
    </row>
    <row r="862" ht="15.75" customHeight="1">
      <c r="A862" s="5"/>
      <c r="B862" s="5"/>
      <c r="C862" s="5"/>
      <c r="D862" s="5"/>
      <c r="E862" s="5"/>
      <c r="F862" s="5"/>
      <c r="G862" s="5"/>
      <c r="H862" s="5"/>
      <c r="I862" s="5"/>
      <c r="J862" s="5"/>
      <c r="K862" s="5"/>
      <c r="L862" s="5"/>
    </row>
    <row r="863" ht="15.75" customHeight="1">
      <c r="A863" s="5"/>
      <c r="B863" s="5"/>
      <c r="C863" s="5"/>
      <c r="D863" s="5"/>
      <c r="E863" s="5"/>
      <c r="F863" s="5"/>
      <c r="G863" s="5"/>
      <c r="H863" s="5"/>
      <c r="I863" s="5"/>
      <c r="J863" s="5"/>
      <c r="K863" s="5"/>
      <c r="L863" s="5"/>
    </row>
    <row r="864" ht="15.75" customHeight="1">
      <c r="A864" s="5"/>
      <c r="B864" s="5"/>
      <c r="C864" s="5"/>
      <c r="D864" s="5"/>
      <c r="E864" s="5"/>
      <c r="F864" s="5"/>
      <c r="G864" s="5"/>
      <c r="H864" s="5"/>
      <c r="I864" s="5"/>
      <c r="J864" s="5"/>
      <c r="K864" s="5"/>
      <c r="L864" s="5"/>
    </row>
    <row r="865" ht="15.75" customHeight="1">
      <c r="A865" s="5"/>
      <c r="B865" s="5"/>
      <c r="C865" s="5"/>
      <c r="D865" s="5"/>
      <c r="E865" s="5"/>
      <c r="F865" s="5"/>
      <c r="G865" s="5"/>
      <c r="H865" s="5"/>
      <c r="I865" s="5"/>
      <c r="J865" s="5"/>
      <c r="K865" s="5"/>
      <c r="L865" s="5"/>
    </row>
    <row r="866" ht="15.75" customHeight="1">
      <c r="A866" s="5"/>
      <c r="B866" s="5"/>
      <c r="C866" s="5"/>
      <c r="D866" s="5"/>
      <c r="E866" s="5"/>
      <c r="F866" s="5"/>
      <c r="G866" s="5"/>
      <c r="H866" s="5"/>
      <c r="I866" s="5"/>
      <c r="J866" s="5"/>
      <c r="K866" s="5"/>
      <c r="L866" s="5"/>
    </row>
    <row r="867" ht="15.75" customHeight="1">
      <c r="A867" s="5"/>
      <c r="B867" s="5"/>
      <c r="C867" s="5"/>
      <c r="D867" s="5"/>
      <c r="E867" s="5"/>
      <c r="F867" s="5"/>
      <c r="G867" s="5"/>
      <c r="H867" s="5"/>
      <c r="I867" s="5"/>
      <c r="J867" s="5"/>
      <c r="K867" s="5"/>
      <c r="L867" s="5"/>
    </row>
    <row r="868" ht="15.75" customHeight="1">
      <c r="A868" s="5"/>
      <c r="B868" s="5"/>
      <c r="C868" s="5"/>
      <c r="D868" s="5"/>
      <c r="E868" s="5"/>
      <c r="F868" s="5"/>
      <c r="G868" s="5"/>
      <c r="H868" s="5"/>
      <c r="I868" s="5"/>
      <c r="J868" s="5"/>
      <c r="K868" s="5"/>
      <c r="L868" s="5"/>
    </row>
    <row r="869" ht="15.75" customHeight="1">
      <c r="A869" s="5"/>
      <c r="B869" s="5"/>
      <c r="C869" s="5"/>
      <c r="D869" s="5"/>
      <c r="E869" s="5"/>
      <c r="F869" s="5"/>
      <c r="G869" s="5"/>
      <c r="H869" s="5"/>
      <c r="I869" s="5"/>
      <c r="J869" s="5"/>
      <c r="K869" s="5"/>
      <c r="L869" s="5"/>
    </row>
    <row r="870" ht="15.75" customHeight="1">
      <c r="A870" s="5"/>
      <c r="B870" s="5"/>
      <c r="C870" s="5"/>
      <c r="D870" s="5"/>
      <c r="E870" s="5"/>
      <c r="F870" s="5"/>
      <c r="G870" s="5"/>
      <c r="H870" s="5"/>
      <c r="I870" s="5"/>
      <c r="J870" s="5"/>
      <c r="K870" s="5"/>
      <c r="L870" s="5"/>
    </row>
    <row r="871" ht="15.75" customHeight="1">
      <c r="A871" s="5"/>
      <c r="B871" s="5"/>
      <c r="C871" s="5"/>
      <c r="D871" s="5"/>
      <c r="E871" s="5"/>
      <c r="F871" s="5"/>
      <c r="G871" s="5"/>
      <c r="H871" s="5"/>
      <c r="I871" s="5"/>
      <c r="J871" s="5"/>
      <c r="K871" s="5"/>
      <c r="L871" s="5"/>
    </row>
    <row r="872" ht="15.75" customHeight="1">
      <c r="A872" s="5"/>
      <c r="B872" s="5"/>
      <c r="C872" s="5"/>
      <c r="D872" s="5"/>
      <c r="E872" s="5"/>
      <c r="F872" s="5"/>
      <c r="G872" s="5"/>
      <c r="H872" s="5"/>
      <c r="I872" s="5"/>
      <c r="J872" s="5"/>
      <c r="K872" s="5"/>
      <c r="L872" s="5"/>
    </row>
    <row r="873" ht="15.75" customHeight="1">
      <c r="A873" s="5"/>
      <c r="B873" s="5"/>
      <c r="C873" s="5"/>
      <c r="D873" s="5"/>
      <c r="E873" s="5"/>
      <c r="F873" s="5"/>
      <c r="G873" s="5"/>
      <c r="H873" s="5"/>
      <c r="I873" s="5"/>
      <c r="J873" s="5"/>
      <c r="K873" s="5"/>
      <c r="L873" s="5"/>
    </row>
    <row r="874" ht="15.75" customHeight="1">
      <c r="A874" s="5"/>
      <c r="B874" s="5"/>
      <c r="C874" s="5"/>
      <c r="D874" s="5"/>
      <c r="E874" s="5"/>
      <c r="F874" s="5"/>
      <c r="G874" s="5"/>
      <c r="H874" s="5"/>
      <c r="I874" s="5"/>
      <c r="J874" s="5"/>
      <c r="K874" s="5"/>
      <c r="L874" s="5"/>
    </row>
    <row r="875" ht="15.75" customHeight="1">
      <c r="A875" s="5"/>
      <c r="B875" s="5"/>
      <c r="C875" s="5"/>
      <c r="D875" s="5"/>
      <c r="E875" s="5"/>
      <c r="F875" s="5"/>
      <c r="G875" s="5"/>
      <c r="H875" s="5"/>
      <c r="I875" s="5"/>
      <c r="J875" s="5"/>
      <c r="K875" s="5"/>
      <c r="L875" s="5"/>
    </row>
    <row r="876" ht="15.75" customHeight="1">
      <c r="A876" s="5"/>
      <c r="B876" s="5"/>
      <c r="C876" s="5"/>
      <c r="D876" s="5"/>
      <c r="E876" s="5"/>
      <c r="F876" s="5"/>
      <c r="G876" s="5"/>
      <c r="H876" s="5"/>
      <c r="I876" s="5"/>
      <c r="J876" s="5"/>
      <c r="K876" s="5"/>
      <c r="L876" s="5"/>
    </row>
    <row r="877" ht="15.75" customHeight="1">
      <c r="A877" s="5"/>
      <c r="B877" s="5"/>
      <c r="C877" s="5"/>
      <c r="D877" s="5"/>
      <c r="E877" s="5"/>
      <c r="F877" s="5"/>
      <c r="G877" s="5"/>
      <c r="H877" s="5"/>
      <c r="I877" s="5"/>
      <c r="J877" s="5"/>
      <c r="K877" s="5"/>
      <c r="L877" s="5"/>
    </row>
    <row r="878" ht="15.75" customHeight="1">
      <c r="A878" s="5"/>
      <c r="B878" s="5"/>
      <c r="C878" s="5"/>
      <c r="D878" s="5"/>
      <c r="E878" s="5"/>
      <c r="F878" s="5"/>
      <c r="G878" s="5"/>
      <c r="H878" s="5"/>
      <c r="I878" s="5"/>
      <c r="J878" s="5"/>
      <c r="K878" s="5"/>
      <c r="L878" s="5"/>
    </row>
    <row r="879" ht="15.75" customHeight="1">
      <c r="A879" s="5"/>
      <c r="B879" s="5"/>
      <c r="C879" s="5"/>
      <c r="D879" s="5"/>
      <c r="E879" s="5"/>
      <c r="F879" s="5"/>
      <c r="G879" s="5"/>
      <c r="H879" s="5"/>
      <c r="I879" s="5"/>
      <c r="J879" s="5"/>
      <c r="K879" s="5"/>
      <c r="L879" s="5"/>
    </row>
    <row r="880" ht="15.75" customHeight="1">
      <c r="A880" s="5"/>
      <c r="B880" s="5"/>
      <c r="C880" s="5"/>
      <c r="D880" s="5"/>
      <c r="E880" s="5"/>
      <c r="F880" s="5"/>
      <c r="G880" s="5"/>
      <c r="H880" s="5"/>
      <c r="I880" s="5"/>
      <c r="J880" s="5"/>
      <c r="K880" s="5"/>
      <c r="L880" s="5"/>
    </row>
    <row r="881" ht="15.75" customHeight="1">
      <c r="A881" s="5"/>
      <c r="B881" s="5"/>
      <c r="C881" s="5"/>
      <c r="D881" s="5"/>
      <c r="E881" s="5"/>
      <c r="F881" s="5"/>
      <c r="G881" s="5"/>
      <c r="H881" s="5"/>
      <c r="I881" s="5"/>
      <c r="J881" s="5"/>
      <c r="K881" s="5"/>
      <c r="L881" s="5"/>
    </row>
    <row r="882" ht="15.75" customHeight="1">
      <c r="A882" s="5"/>
      <c r="B882" s="5"/>
      <c r="C882" s="5"/>
      <c r="D882" s="5"/>
      <c r="E882" s="5"/>
      <c r="F882" s="5"/>
      <c r="G882" s="5"/>
      <c r="H882" s="5"/>
      <c r="I882" s="5"/>
      <c r="J882" s="5"/>
      <c r="K882" s="5"/>
      <c r="L882" s="5"/>
    </row>
    <row r="883" ht="15.75" customHeight="1">
      <c r="A883" s="5"/>
      <c r="B883" s="5"/>
      <c r="C883" s="5"/>
      <c r="D883" s="5"/>
      <c r="E883" s="5"/>
      <c r="F883" s="5"/>
      <c r="G883" s="5"/>
      <c r="H883" s="5"/>
      <c r="I883" s="5"/>
      <c r="J883" s="5"/>
      <c r="K883" s="5"/>
      <c r="L883" s="5"/>
    </row>
    <row r="884" ht="15.75" customHeight="1">
      <c r="A884" s="5"/>
      <c r="B884" s="5"/>
      <c r="C884" s="5"/>
      <c r="D884" s="5"/>
      <c r="E884" s="5"/>
      <c r="F884" s="5"/>
      <c r="G884" s="5"/>
      <c r="H884" s="5"/>
      <c r="I884" s="5"/>
      <c r="J884" s="5"/>
      <c r="K884" s="5"/>
      <c r="L884" s="5"/>
    </row>
    <row r="885" ht="15.75" customHeight="1">
      <c r="A885" s="5"/>
      <c r="B885" s="5"/>
      <c r="C885" s="5"/>
      <c r="D885" s="5"/>
      <c r="E885" s="5"/>
      <c r="F885" s="5"/>
      <c r="G885" s="5"/>
      <c r="H885" s="5"/>
      <c r="I885" s="5"/>
      <c r="J885" s="5"/>
      <c r="K885" s="5"/>
      <c r="L885" s="5"/>
    </row>
    <row r="886" ht="15.75" customHeight="1">
      <c r="A886" s="5"/>
      <c r="B886" s="5"/>
      <c r="C886" s="5"/>
      <c r="D886" s="5"/>
      <c r="E886" s="5"/>
      <c r="F886" s="5"/>
      <c r="G886" s="5"/>
      <c r="H886" s="5"/>
      <c r="I886" s="5"/>
      <c r="J886" s="5"/>
      <c r="K886" s="5"/>
      <c r="L886" s="5"/>
    </row>
    <row r="887" ht="15.75" customHeight="1">
      <c r="A887" s="5"/>
      <c r="B887" s="5"/>
      <c r="C887" s="5"/>
      <c r="D887" s="5"/>
      <c r="E887" s="5"/>
      <c r="F887" s="5"/>
      <c r="G887" s="5"/>
      <c r="H887" s="5"/>
      <c r="I887" s="5"/>
      <c r="J887" s="5"/>
      <c r="K887" s="5"/>
      <c r="L887" s="5"/>
    </row>
    <row r="888" ht="15.75" customHeight="1">
      <c r="A888" s="5"/>
      <c r="B888" s="5"/>
      <c r="C888" s="5"/>
      <c r="D888" s="5"/>
      <c r="E888" s="5"/>
      <c r="F888" s="5"/>
      <c r="G888" s="5"/>
      <c r="H888" s="5"/>
      <c r="I888" s="5"/>
      <c r="J888" s="5"/>
      <c r="K888" s="5"/>
      <c r="L888" s="5"/>
    </row>
    <row r="889" ht="15.75" customHeight="1">
      <c r="A889" s="5"/>
      <c r="B889" s="5"/>
      <c r="C889" s="5"/>
      <c r="D889" s="5"/>
      <c r="E889" s="5"/>
      <c r="F889" s="5"/>
      <c r="G889" s="5"/>
      <c r="H889" s="5"/>
      <c r="I889" s="5"/>
      <c r="J889" s="5"/>
      <c r="K889" s="5"/>
      <c r="L889" s="5"/>
    </row>
    <row r="890" ht="15.75" customHeight="1">
      <c r="A890" s="5"/>
      <c r="B890" s="5"/>
      <c r="C890" s="5"/>
      <c r="D890" s="5"/>
      <c r="E890" s="5"/>
      <c r="F890" s="5"/>
      <c r="G890" s="5"/>
      <c r="H890" s="5"/>
      <c r="I890" s="5"/>
      <c r="J890" s="5"/>
      <c r="K890" s="5"/>
      <c r="L890" s="5"/>
    </row>
    <row r="891" ht="15.75" customHeight="1">
      <c r="A891" s="5"/>
      <c r="B891" s="5"/>
      <c r="C891" s="5"/>
      <c r="D891" s="5"/>
      <c r="E891" s="5"/>
      <c r="F891" s="5"/>
      <c r="G891" s="5"/>
      <c r="H891" s="5"/>
      <c r="I891" s="5"/>
      <c r="J891" s="5"/>
      <c r="K891" s="5"/>
      <c r="L891" s="5"/>
    </row>
    <row r="892" ht="15.75" customHeight="1">
      <c r="A892" s="5"/>
      <c r="B892" s="5"/>
      <c r="C892" s="5"/>
      <c r="D892" s="5"/>
      <c r="E892" s="5"/>
      <c r="F892" s="5"/>
      <c r="G892" s="5"/>
      <c r="H892" s="5"/>
      <c r="I892" s="5"/>
      <c r="J892" s="5"/>
      <c r="K892" s="5"/>
      <c r="L892" s="5"/>
    </row>
    <row r="893" ht="15.75" customHeight="1">
      <c r="A893" s="5"/>
      <c r="B893" s="5"/>
      <c r="C893" s="5"/>
      <c r="D893" s="5"/>
      <c r="E893" s="5"/>
      <c r="F893" s="5"/>
      <c r="G893" s="5"/>
      <c r="H893" s="5"/>
      <c r="I893" s="5"/>
      <c r="J893" s="5"/>
      <c r="K893" s="5"/>
      <c r="L893" s="5"/>
    </row>
    <row r="894" ht="15.75" customHeight="1">
      <c r="A894" s="5"/>
      <c r="B894" s="5"/>
      <c r="C894" s="5"/>
      <c r="D894" s="5"/>
      <c r="E894" s="5"/>
      <c r="F894" s="5"/>
      <c r="G894" s="5"/>
      <c r="H894" s="5"/>
      <c r="I894" s="5"/>
      <c r="J894" s="5"/>
      <c r="K894" s="5"/>
      <c r="L894" s="5"/>
    </row>
    <row r="895" ht="15.75" customHeight="1">
      <c r="A895" s="5"/>
      <c r="B895" s="5"/>
      <c r="C895" s="5"/>
      <c r="D895" s="5"/>
      <c r="E895" s="5"/>
      <c r="F895" s="5"/>
      <c r="G895" s="5"/>
      <c r="H895" s="5"/>
      <c r="I895" s="5"/>
      <c r="J895" s="5"/>
      <c r="K895" s="5"/>
      <c r="L895" s="5"/>
    </row>
    <row r="896" ht="15.75" customHeight="1">
      <c r="A896" s="5"/>
      <c r="B896" s="5"/>
      <c r="C896" s="5"/>
      <c r="D896" s="5"/>
      <c r="E896" s="5"/>
      <c r="F896" s="5"/>
      <c r="G896" s="5"/>
      <c r="H896" s="5"/>
      <c r="I896" s="5"/>
      <c r="J896" s="5"/>
      <c r="K896" s="5"/>
      <c r="L896" s="5"/>
    </row>
    <row r="897" ht="15.75" customHeight="1">
      <c r="A897" s="5"/>
      <c r="B897" s="5"/>
      <c r="C897" s="5"/>
      <c r="D897" s="5"/>
      <c r="E897" s="5"/>
      <c r="F897" s="5"/>
      <c r="G897" s="5"/>
      <c r="H897" s="5"/>
      <c r="I897" s="5"/>
      <c r="J897" s="5"/>
      <c r="K897" s="5"/>
      <c r="L897" s="5"/>
    </row>
    <row r="898" ht="15.75" customHeight="1">
      <c r="A898" s="5"/>
      <c r="B898" s="5"/>
      <c r="C898" s="5"/>
      <c r="D898" s="5"/>
      <c r="E898" s="5"/>
      <c r="F898" s="5"/>
      <c r="G898" s="5"/>
      <c r="H898" s="5"/>
      <c r="I898" s="5"/>
      <c r="J898" s="5"/>
      <c r="K898" s="5"/>
      <c r="L898" s="5"/>
    </row>
    <row r="899" ht="15.75" customHeight="1">
      <c r="A899" s="5"/>
      <c r="B899" s="5"/>
      <c r="C899" s="5"/>
      <c r="D899" s="5"/>
      <c r="E899" s="5"/>
      <c r="F899" s="5"/>
      <c r="G899" s="5"/>
      <c r="H899" s="5"/>
      <c r="I899" s="5"/>
      <c r="J899" s="5"/>
      <c r="K899" s="5"/>
      <c r="L899" s="5"/>
    </row>
    <row r="900" ht="15.75" customHeight="1">
      <c r="A900" s="5"/>
      <c r="B900" s="5"/>
      <c r="C900" s="5"/>
      <c r="D900" s="5"/>
      <c r="E900" s="5"/>
      <c r="F900" s="5"/>
      <c r="G900" s="5"/>
      <c r="H900" s="5"/>
      <c r="I900" s="5"/>
      <c r="J900" s="5"/>
      <c r="K900" s="5"/>
      <c r="L900" s="5"/>
    </row>
    <row r="901" ht="15.75" customHeight="1">
      <c r="A901" s="5"/>
      <c r="B901" s="5"/>
      <c r="C901" s="5"/>
      <c r="D901" s="5"/>
      <c r="E901" s="5"/>
      <c r="F901" s="5"/>
      <c r="G901" s="5"/>
      <c r="H901" s="5"/>
      <c r="I901" s="5"/>
      <c r="J901" s="5"/>
      <c r="K901" s="5"/>
      <c r="L901" s="5"/>
    </row>
    <row r="902" ht="15.75" customHeight="1">
      <c r="A902" s="5"/>
      <c r="B902" s="5"/>
      <c r="C902" s="5"/>
      <c r="D902" s="5"/>
      <c r="E902" s="5"/>
      <c r="F902" s="5"/>
      <c r="G902" s="5"/>
      <c r="H902" s="5"/>
      <c r="I902" s="5"/>
      <c r="J902" s="5"/>
      <c r="K902" s="5"/>
      <c r="L902" s="5"/>
    </row>
    <row r="903" ht="15.75" customHeight="1">
      <c r="A903" s="5"/>
      <c r="B903" s="5"/>
      <c r="C903" s="5"/>
      <c r="D903" s="5"/>
      <c r="E903" s="5"/>
      <c r="F903" s="5"/>
      <c r="G903" s="5"/>
      <c r="H903" s="5"/>
      <c r="I903" s="5"/>
      <c r="J903" s="5"/>
      <c r="K903" s="5"/>
      <c r="L903" s="5"/>
    </row>
    <row r="904" ht="15.75" customHeight="1">
      <c r="A904" s="5"/>
      <c r="B904" s="5"/>
      <c r="C904" s="5"/>
      <c r="D904" s="5"/>
      <c r="E904" s="5"/>
      <c r="F904" s="5"/>
      <c r="G904" s="5"/>
      <c r="H904" s="5"/>
      <c r="I904" s="5"/>
      <c r="J904" s="5"/>
      <c r="K904" s="5"/>
      <c r="L904" s="5"/>
    </row>
    <row r="905" ht="15.75" customHeight="1">
      <c r="A905" s="5"/>
      <c r="B905" s="5"/>
      <c r="C905" s="5"/>
      <c r="D905" s="5"/>
      <c r="E905" s="5"/>
      <c r="F905" s="5"/>
      <c r="G905" s="5"/>
      <c r="H905" s="5"/>
      <c r="I905" s="5"/>
      <c r="J905" s="5"/>
      <c r="K905" s="5"/>
      <c r="L905" s="5"/>
    </row>
    <row r="906" ht="15.75" customHeight="1">
      <c r="A906" s="5"/>
      <c r="B906" s="5"/>
      <c r="C906" s="5"/>
      <c r="D906" s="5"/>
      <c r="E906" s="5"/>
      <c r="F906" s="5"/>
      <c r="G906" s="5"/>
      <c r="H906" s="5"/>
      <c r="I906" s="5"/>
      <c r="J906" s="5"/>
      <c r="K906" s="5"/>
      <c r="L906" s="5"/>
    </row>
    <row r="907" ht="15.75" customHeight="1">
      <c r="A907" s="5"/>
      <c r="B907" s="5"/>
      <c r="C907" s="5"/>
      <c r="D907" s="5"/>
      <c r="E907" s="5"/>
      <c r="F907" s="5"/>
      <c r="G907" s="5"/>
      <c r="H907" s="5"/>
      <c r="I907" s="5"/>
      <c r="J907" s="5"/>
      <c r="K907" s="5"/>
      <c r="L907" s="5"/>
    </row>
    <row r="908" ht="15.75" customHeight="1">
      <c r="A908" s="5"/>
      <c r="B908" s="5"/>
      <c r="C908" s="5"/>
      <c r="D908" s="5"/>
      <c r="E908" s="5"/>
      <c r="F908" s="5"/>
      <c r="G908" s="5"/>
      <c r="H908" s="5"/>
      <c r="I908" s="5"/>
      <c r="J908" s="5"/>
      <c r="K908" s="5"/>
      <c r="L908" s="5"/>
    </row>
    <row r="909" ht="15.75" customHeight="1">
      <c r="A909" s="5"/>
      <c r="B909" s="5"/>
      <c r="C909" s="5"/>
      <c r="D909" s="5"/>
      <c r="E909" s="5"/>
      <c r="F909" s="5"/>
      <c r="G909" s="5"/>
      <c r="H909" s="5"/>
      <c r="I909" s="5"/>
      <c r="J909" s="5"/>
      <c r="K909" s="5"/>
      <c r="L909" s="5"/>
    </row>
    <row r="910" ht="15.75" customHeight="1">
      <c r="A910" s="5"/>
      <c r="B910" s="5"/>
      <c r="C910" s="5"/>
      <c r="D910" s="5"/>
      <c r="E910" s="5"/>
      <c r="F910" s="5"/>
      <c r="G910" s="5"/>
      <c r="H910" s="5"/>
      <c r="I910" s="5"/>
      <c r="J910" s="5"/>
      <c r="K910" s="5"/>
      <c r="L910" s="5"/>
    </row>
    <row r="911" ht="15.75" customHeight="1">
      <c r="A911" s="5"/>
      <c r="B911" s="5"/>
      <c r="C911" s="5"/>
      <c r="D911" s="5"/>
      <c r="E911" s="5"/>
      <c r="F911" s="5"/>
      <c r="G911" s="5"/>
      <c r="H911" s="5"/>
      <c r="I911" s="5"/>
      <c r="J911" s="5"/>
      <c r="K911" s="5"/>
      <c r="L911" s="5"/>
    </row>
    <row r="912" ht="15.75" customHeight="1">
      <c r="A912" s="5"/>
      <c r="B912" s="5"/>
      <c r="C912" s="5"/>
      <c r="D912" s="5"/>
      <c r="E912" s="5"/>
      <c r="F912" s="5"/>
      <c r="G912" s="5"/>
      <c r="H912" s="5"/>
      <c r="I912" s="5"/>
      <c r="J912" s="5"/>
      <c r="K912" s="5"/>
      <c r="L912" s="5"/>
    </row>
    <row r="913" ht="15.75" customHeight="1">
      <c r="A913" s="5"/>
      <c r="B913" s="5"/>
      <c r="C913" s="5"/>
      <c r="D913" s="5"/>
      <c r="E913" s="5"/>
      <c r="F913" s="5"/>
      <c r="G913" s="5"/>
      <c r="H913" s="5"/>
      <c r="I913" s="5"/>
      <c r="J913" s="5"/>
      <c r="K913" s="5"/>
      <c r="L913" s="5"/>
    </row>
    <row r="914" ht="15.75" customHeight="1">
      <c r="A914" s="5"/>
      <c r="B914" s="5"/>
      <c r="C914" s="5"/>
      <c r="D914" s="5"/>
      <c r="E914" s="5"/>
      <c r="F914" s="5"/>
      <c r="G914" s="5"/>
      <c r="H914" s="5"/>
      <c r="I914" s="5"/>
      <c r="J914" s="5"/>
      <c r="K914" s="5"/>
      <c r="L914" s="5"/>
    </row>
    <row r="915" ht="15.75" customHeight="1">
      <c r="A915" s="5"/>
      <c r="B915" s="5"/>
      <c r="C915" s="5"/>
      <c r="D915" s="5"/>
      <c r="E915" s="5"/>
      <c r="F915" s="5"/>
      <c r="G915" s="5"/>
      <c r="H915" s="5"/>
      <c r="I915" s="5"/>
      <c r="J915" s="5"/>
      <c r="K915" s="5"/>
      <c r="L915" s="5"/>
    </row>
    <row r="916" ht="15.75" customHeight="1">
      <c r="A916" s="5"/>
      <c r="B916" s="5"/>
      <c r="C916" s="5"/>
      <c r="D916" s="5"/>
      <c r="E916" s="5"/>
      <c r="F916" s="5"/>
      <c r="G916" s="5"/>
      <c r="H916" s="5"/>
      <c r="I916" s="5"/>
      <c r="J916" s="5"/>
      <c r="K916" s="5"/>
      <c r="L916" s="5"/>
    </row>
    <row r="917" ht="15.75" customHeight="1">
      <c r="A917" s="5"/>
      <c r="B917" s="5"/>
      <c r="C917" s="5"/>
      <c r="D917" s="5"/>
      <c r="E917" s="5"/>
      <c r="F917" s="5"/>
      <c r="G917" s="5"/>
      <c r="H917" s="5"/>
      <c r="I917" s="5"/>
      <c r="J917" s="5"/>
      <c r="K917" s="5"/>
      <c r="L917" s="5"/>
    </row>
    <row r="918" ht="15.75" customHeight="1">
      <c r="A918" s="5"/>
      <c r="B918" s="5"/>
      <c r="C918" s="5"/>
      <c r="D918" s="5"/>
      <c r="E918" s="5"/>
      <c r="F918" s="5"/>
      <c r="G918" s="5"/>
      <c r="H918" s="5"/>
      <c r="I918" s="5"/>
      <c r="J918" s="5"/>
      <c r="K918" s="5"/>
      <c r="L918" s="5"/>
    </row>
    <row r="919" ht="15.75" customHeight="1">
      <c r="A919" s="5"/>
      <c r="B919" s="5"/>
      <c r="C919" s="5"/>
      <c r="D919" s="5"/>
      <c r="E919" s="5"/>
      <c r="F919" s="5"/>
      <c r="G919" s="5"/>
      <c r="H919" s="5"/>
      <c r="I919" s="5"/>
      <c r="J919" s="5"/>
      <c r="K919" s="5"/>
      <c r="L919" s="5"/>
    </row>
    <row r="920" ht="15.75" customHeight="1">
      <c r="A920" s="5"/>
      <c r="B920" s="5"/>
      <c r="C920" s="5"/>
      <c r="D920" s="5"/>
      <c r="E920" s="5"/>
      <c r="F920" s="5"/>
      <c r="G920" s="5"/>
      <c r="H920" s="5"/>
      <c r="I920" s="5"/>
      <c r="J920" s="5"/>
      <c r="K920" s="5"/>
      <c r="L920" s="5"/>
    </row>
    <row r="921" ht="15.75" customHeight="1">
      <c r="A921" s="5"/>
      <c r="B921" s="5"/>
      <c r="C921" s="5"/>
      <c r="D921" s="5"/>
      <c r="E921" s="5"/>
      <c r="F921" s="5"/>
      <c r="G921" s="5"/>
      <c r="H921" s="5"/>
      <c r="I921" s="5"/>
      <c r="J921" s="5"/>
      <c r="K921" s="5"/>
      <c r="L921" s="5"/>
    </row>
    <row r="922" ht="15.75" customHeight="1">
      <c r="A922" s="5"/>
      <c r="B922" s="5"/>
      <c r="C922" s="5"/>
      <c r="D922" s="5"/>
      <c r="E922" s="5"/>
      <c r="F922" s="5"/>
      <c r="G922" s="5"/>
      <c r="H922" s="5"/>
      <c r="I922" s="5"/>
      <c r="J922" s="5"/>
      <c r="K922" s="5"/>
      <c r="L922" s="5"/>
    </row>
    <row r="923" ht="15.75" customHeight="1">
      <c r="A923" s="5"/>
      <c r="B923" s="5"/>
      <c r="C923" s="5"/>
      <c r="D923" s="5"/>
      <c r="E923" s="5"/>
      <c r="F923" s="5"/>
      <c r="G923" s="5"/>
      <c r="H923" s="5"/>
      <c r="I923" s="5"/>
      <c r="J923" s="5"/>
      <c r="K923" s="5"/>
      <c r="L923" s="5"/>
    </row>
    <row r="924" ht="15.75" customHeight="1">
      <c r="A924" s="5"/>
      <c r="B924" s="5"/>
      <c r="C924" s="5"/>
      <c r="D924" s="5"/>
      <c r="E924" s="5"/>
      <c r="F924" s="5"/>
      <c r="G924" s="5"/>
      <c r="H924" s="5"/>
      <c r="I924" s="5"/>
      <c r="J924" s="5"/>
      <c r="K924" s="5"/>
      <c r="L924" s="5"/>
    </row>
    <row r="925" ht="15.75" customHeight="1">
      <c r="A925" s="5"/>
      <c r="B925" s="5"/>
      <c r="C925" s="5"/>
      <c r="D925" s="5"/>
      <c r="E925" s="5"/>
      <c r="F925" s="5"/>
      <c r="G925" s="5"/>
      <c r="H925" s="5"/>
      <c r="I925" s="5"/>
      <c r="J925" s="5"/>
      <c r="K925" s="5"/>
      <c r="L925" s="5"/>
    </row>
    <row r="926" ht="15.75" customHeight="1">
      <c r="A926" s="5"/>
      <c r="B926" s="5"/>
      <c r="C926" s="5"/>
      <c r="D926" s="5"/>
      <c r="E926" s="5"/>
      <c r="F926" s="5"/>
      <c r="G926" s="5"/>
      <c r="H926" s="5"/>
      <c r="I926" s="5"/>
      <c r="J926" s="5"/>
      <c r="K926" s="5"/>
      <c r="L926" s="5"/>
    </row>
    <row r="927" ht="15.75" customHeight="1">
      <c r="A927" s="5"/>
      <c r="B927" s="5"/>
      <c r="C927" s="5"/>
      <c r="D927" s="5"/>
      <c r="E927" s="5"/>
      <c r="F927" s="5"/>
      <c r="G927" s="5"/>
      <c r="H927" s="5"/>
      <c r="I927" s="5"/>
      <c r="J927" s="5"/>
      <c r="K927" s="5"/>
      <c r="L927" s="5"/>
    </row>
    <row r="928" ht="15.75" customHeight="1">
      <c r="A928" s="5"/>
      <c r="B928" s="5"/>
      <c r="C928" s="5"/>
      <c r="D928" s="5"/>
      <c r="E928" s="5"/>
      <c r="F928" s="5"/>
      <c r="G928" s="5"/>
      <c r="H928" s="5"/>
      <c r="I928" s="5"/>
      <c r="J928" s="5"/>
      <c r="K928" s="5"/>
      <c r="L928" s="5"/>
    </row>
    <row r="929" ht="15.75" customHeight="1">
      <c r="A929" s="5"/>
      <c r="B929" s="5"/>
      <c r="C929" s="5"/>
      <c r="D929" s="5"/>
      <c r="E929" s="5"/>
      <c r="F929" s="5"/>
      <c r="G929" s="5"/>
      <c r="H929" s="5"/>
      <c r="I929" s="5"/>
      <c r="J929" s="5"/>
      <c r="K929" s="5"/>
      <c r="L929" s="5"/>
    </row>
    <row r="930" ht="15.75" customHeight="1">
      <c r="A930" s="5"/>
      <c r="B930" s="5"/>
      <c r="C930" s="5"/>
      <c r="D930" s="5"/>
      <c r="E930" s="5"/>
      <c r="F930" s="5"/>
      <c r="G930" s="5"/>
      <c r="H930" s="5"/>
      <c r="I930" s="5"/>
      <c r="J930" s="5"/>
      <c r="K930" s="5"/>
      <c r="L930" s="5"/>
    </row>
    <row r="931" ht="15.75" customHeight="1">
      <c r="A931" s="5"/>
      <c r="B931" s="5"/>
      <c r="C931" s="5"/>
      <c r="D931" s="5"/>
      <c r="E931" s="5"/>
      <c r="F931" s="5"/>
      <c r="G931" s="5"/>
      <c r="H931" s="5"/>
      <c r="I931" s="5"/>
      <c r="J931" s="5"/>
      <c r="K931" s="5"/>
      <c r="L931" s="5"/>
    </row>
    <row r="932" ht="15.75" customHeight="1">
      <c r="A932" s="5"/>
      <c r="B932" s="5"/>
      <c r="C932" s="5"/>
      <c r="D932" s="5"/>
      <c r="E932" s="5"/>
      <c r="F932" s="5"/>
      <c r="G932" s="5"/>
      <c r="H932" s="5"/>
      <c r="I932" s="5"/>
      <c r="J932" s="5"/>
      <c r="K932" s="5"/>
      <c r="L932" s="5"/>
    </row>
    <row r="933" ht="15.75" customHeight="1">
      <c r="A933" s="5"/>
      <c r="B933" s="5"/>
      <c r="C933" s="5"/>
      <c r="D933" s="5"/>
      <c r="E933" s="5"/>
      <c r="F933" s="5"/>
      <c r="G933" s="5"/>
      <c r="H933" s="5"/>
      <c r="I933" s="5"/>
      <c r="J933" s="5"/>
      <c r="K933" s="5"/>
      <c r="L933" s="5"/>
    </row>
    <row r="934" ht="15.75" customHeight="1">
      <c r="A934" s="5"/>
      <c r="B934" s="5"/>
      <c r="C934" s="5"/>
      <c r="D934" s="5"/>
      <c r="E934" s="5"/>
      <c r="F934" s="5"/>
      <c r="G934" s="5"/>
      <c r="H934" s="5"/>
      <c r="I934" s="5"/>
      <c r="J934" s="5"/>
      <c r="K934" s="5"/>
      <c r="L934" s="5"/>
    </row>
    <row r="935" ht="15.75" customHeight="1">
      <c r="A935" s="5"/>
      <c r="B935" s="5"/>
      <c r="C935" s="5"/>
      <c r="D935" s="5"/>
      <c r="E935" s="5"/>
      <c r="F935" s="5"/>
      <c r="G935" s="5"/>
      <c r="H935" s="5"/>
      <c r="I935" s="5"/>
      <c r="J935" s="5"/>
      <c r="K935" s="5"/>
      <c r="L935" s="5"/>
    </row>
    <row r="936" ht="15.75" customHeight="1">
      <c r="A936" s="5"/>
      <c r="B936" s="5"/>
      <c r="C936" s="5"/>
      <c r="D936" s="5"/>
      <c r="E936" s="5"/>
      <c r="F936" s="5"/>
      <c r="G936" s="5"/>
      <c r="H936" s="5"/>
      <c r="I936" s="5"/>
      <c r="J936" s="5"/>
      <c r="K936" s="5"/>
      <c r="L936" s="5"/>
    </row>
    <row r="937" ht="15.75" customHeight="1">
      <c r="A937" s="5"/>
      <c r="B937" s="5"/>
      <c r="C937" s="5"/>
      <c r="D937" s="5"/>
      <c r="E937" s="5"/>
      <c r="F937" s="5"/>
      <c r="G937" s="5"/>
      <c r="H937" s="5"/>
      <c r="I937" s="5"/>
      <c r="J937" s="5"/>
      <c r="K937" s="5"/>
      <c r="L937" s="5"/>
    </row>
    <row r="938" ht="15.75" customHeight="1">
      <c r="A938" s="5"/>
      <c r="B938" s="5"/>
      <c r="C938" s="5"/>
      <c r="D938" s="5"/>
      <c r="E938" s="5"/>
      <c r="F938" s="5"/>
      <c r="G938" s="5"/>
      <c r="H938" s="5"/>
      <c r="I938" s="5"/>
      <c r="J938" s="5"/>
      <c r="K938" s="5"/>
      <c r="L938" s="5"/>
    </row>
    <row r="939" ht="15.75" customHeight="1">
      <c r="A939" s="5"/>
      <c r="B939" s="5"/>
      <c r="C939" s="5"/>
      <c r="D939" s="5"/>
      <c r="E939" s="5"/>
      <c r="F939" s="5"/>
      <c r="G939" s="5"/>
      <c r="H939" s="5"/>
      <c r="I939" s="5"/>
      <c r="J939" s="5"/>
      <c r="K939" s="5"/>
      <c r="L939" s="5"/>
    </row>
    <row r="940" ht="15.75" customHeight="1">
      <c r="A940" s="5"/>
      <c r="B940" s="5"/>
      <c r="C940" s="5"/>
      <c r="D940" s="5"/>
      <c r="E940" s="5"/>
      <c r="F940" s="5"/>
      <c r="G940" s="5"/>
      <c r="H940" s="5"/>
      <c r="I940" s="5"/>
      <c r="J940" s="5"/>
      <c r="K940" s="5"/>
      <c r="L940" s="5"/>
    </row>
    <row r="941" ht="15.75" customHeight="1">
      <c r="A941" s="5"/>
      <c r="B941" s="5"/>
      <c r="C941" s="5"/>
      <c r="D941" s="5"/>
      <c r="E941" s="5"/>
      <c r="F941" s="5"/>
      <c r="G941" s="5"/>
      <c r="H941" s="5"/>
      <c r="I941" s="5"/>
      <c r="J941" s="5"/>
      <c r="K941" s="5"/>
      <c r="L941" s="5"/>
    </row>
    <row r="942" ht="15.75" customHeight="1">
      <c r="A942" s="5"/>
      <c r="B942" s="5"/>
      <c r="C942" s="5"/>
      <c r="D942" s="5"/>
      <c r="E942" s="5"/>
      <c r="F942" s="5"/>
      <c r="G942" s="5"/>
      <c r="H942" s="5"/>
      <c r="I942" s="5"/>
      <c r="J942" s="5"/>
      <c r="K942" s="5"/>
      <c r="L942" s="5"/>
    </row>
    <row r="943" ht="15.75" customHeight="1">
      <c r="A943" s="5"/>
      <c r="B943" s="5"/>
      <c r="C943" s="5"/>
      <c r="D943" s="5"/>
      <c r="E943" s="5"/>
      <c r="F943" s="5"/>
      <c r="G943" s="5"/>
      <c r="H943" s="5"/>
      <c r="I943" s="5"/>
      <c r="J943" s="5"/>
      <c r="K943" s="5"/>
      <c r="L943" s="5"/>
    </row>
    <row r="944" ht="15.75" customHeight="1">
      <c r="A944" s="5"/>
      <c r="B944" s="5"/>
      <c r="C944" s="5"/>
      <c r="D944" s="5"/>
      <c r="E944" s="5"/>
      <c r="F944" s="5"/>
      <c r="G944" s="5"/>
      <c r="H944" s="5"/>
      <c r="I944" s="5"/>
      <c r="J944" s="5"/>
      <c r="K944" s="5"/>
      <c r="L944" s="5"/>
    </row>
    <row r="945" ht="15.75" customHeight="1">
      <c r="A945" s="5"/>
      <c r="B945" s="5"/>
      <c r="C945" s="5"/>
      <c r="D945" s="5"/>
      <c r="E945" s="5"/>
      <c r="F945" s="5"/>
      <c r="G945" s="5"/>
      <c r="H945" s="5"/>
      <c r="I945" s="5"/>
      <c r="J945" s="5"/>
      <c r="K945" s="5"/>
      <c r="L945" s="5"/>
    </row>
    <row r="946" ht="15.75" customHeight="1">
      <c r="A946" s="5"/>
      <c r="B946" s="5"/>
      <c r="C946" s="5"/>
      <c r="D946" s="5"/>
      <c r="E946" s="5"/>
      <c r="F946" s="5"/>
      <c r="G946" s="5"/>
      <c r="H946" s="5"/>
      <c r="I946" s="5"/>
      <c r="J946" s="5"/>
      <c r="K946" s="5"/>
      <c r="L946" s="5"/>
    </row>
    <row r="947" ht="15.75" customHeight="1">
      <c r="A947" s="5"/>
      <c r="B947" s="5"/>
      <c r="C947" s="5"/>
      <c r="D947" s="5"/>
      <c r="E947" s="5"/>
      <c r="F947" s="5"/>
      <c r="G947" s="5"/>
      <c r="H947" s="5"/>
      <c r="I947" s="5"/>
      <c r="J947" s="5"/>
      <c r="K947" s="5"/>
      <c r="L947" s="5"/>
    </row>
    <row r="948" ht="15.75" customHeight="1">
      <c r="A948" s="5"/>
      <c r="B948" s="5"/>
      <c r="C948" s="5"/>
      <c r="D948" s="5"/>
      <c r="E948" s="5"/>
      <c r="F948" s="5"/>
      <c r="G948" s="5"/>
      <c r="H948" s="5"/>
      <c r="I948" s="5"/>
      <c r="J948" s="5"/>
      <c r="K948" s="5"/>
      <c r="L948" s="5"/>
    </row>
    <row r="949" ht="15.75" customHeight="1">
      <c r="A949" s="5"/>
      <c r="B949" s="5"/>
      <c r="C949" s="5"/>
      <c r="D949" s="5"/>
      <c r="E949" s="5"/>
      <c r="F949" s="5"/>
      <c r="G949" s="5"/>
      <c r="H949" s="5"/>
      <c r="I949" s="5"/>
      <c r="J949" s="5"/>
      <c r="K949" s="5"/>
      <c r="L949" s="5"/>
    </row>
    <row r="950" ht="15.75" customHeight="1">
      <c r="A950" s="5"/>
      <c r="B950" s="5"/>
      <c r="C950" s="5"/>
      <c r="D950" s="5"/>
      <c r="E950" s="5"/>
      <c r="F950" s="5"/>
      <c r="G950" s="5"/>
      <c r="H950" s="5"/>
      <c r="I950" s="5"/>
      <c r="J950" s="5"/>
      <c r="K950" s="5"/>
      <c r="L950" s="5"/>
    </row>
    <row r="951" ht="15.75" customHeight="1">
      <c r="A951" s="5"/>
      <c r="B951" s="5"/>
      <c r="C951" s="5"/>
      <c r="D951" s="5"/>
      <c r="E951" s="5"/>
      <c r="F951" s="5"/>
      <c r="G951" s="5"/>
      <c r="H951" s="5"/>
      <c r="I951" s="5"/>
      <c r="J951" s="5"/>
      <c r="K951" s="5"/>
      <c r="L951" s="5"/>
    </row>
    <row r="952" ht="15.75" customHeight="1">
      <c r="A952" s="5"/>
      <c r="B952" s="5"/>
      <c r="C952" s="5"/>
      <c r="D952" s="5"/>
      <c r="E952" s="5"/>
      <c r="F952" s="5"/>
      <c r="G952" s="5"/>
      <c r="H952" s="5"/>
      <c r="I952" s="5"/>
      <c r="J952" s="5"/>
      <c r="K952" s="5"/>
      <c r="L952" s="5"/>
    </row>
    <row r="953" ht="15.75" customHeight="1">
      <c r="A953" s="5"/>
      <c r="B953" s="5"/>
      <c r="C953" s="5"/>
      <c r="D953" s="5"/>
      <c r="E953" s="5"/>
      <c r="F953" s="5"/>
      <c r="G953" s="5"/>
      <c r="H953" s="5"/>
      <c r="I953" s="5"/>
      <c r="J953" s="5"/>
      <c r="K953" s="5"/>
      <c r="L953" s="5"/>
    </row>
    <row r="954" ht="15.75" customHeight="1">
      <c r="A954" s="5"/>
      <c r="B954" s="5"/>
      <c r="C954" s="5"/>
      <c r="D954" s="5"/>
      <c r="E954" s="5"/>
      <c r="F954" s="5"/>
      <c r="G954" s="5"/>
      <c r="H954" s="5"/>
      <c r="I954" s="5"/>
      <c r="J954" s="5"/>
      <c r="K954" s="5"/>
      <c r="L954" s="5"/>
    </row>
    <row r="955" ht="15.75" customHeight="1">
      <c r="A955" s="5"/>
      <c r="B955" s="5"/>
      <c r="C955" s="5"/>
      <c r="D955" s="5"/>
      <c r="E955" s="5"/>
      <c r="F955" s="5"/>
      <c r="G955" s="5"/>
      <c r="H955" s="5"/>
      <c r="I955" s="5"/>
      <c r="J955" s="5"/>
      <c r="K955" s="5"/>
      <c r="L955" s="5"/>
    </row>
    <row r="956" ht="15.75" customHeight="1">
      <c r="A956" s="5"/>
      <c r="B956" s="5"/>
      <c r="C956" s="5"/>
      <c r="D956" s="5"/>
      <c r="E956" s="5"/>
      <c r="F956" s="5"/>
      <c r="G956" s="5"/>
      <c r="H956" s="5"/>
      <c r="I956" s="5"/>
      <c r="J956" s="5"/>
      <c r="K956" s="5"/>
      <c r="L956" s="5"/>
    </row>
    <row r="957" ht="15.75" customHeight="1">
      <c r="A957" s="5"/>
      <c r="B957" s="5"/>
      <c r="C957" s="5"/>
      <c r="D957" s="5"/>
      <c r="E957" s="5"/>
      <c r="F957" s="5"/>
      <c r="G957" s="5"/>
      <c r="H957" s="5"/>
      <c r="I957" s="5"/>
      <c r="J957" s="5"/>
      <c r="K957" s="5"/>
      <c r="L957" s="5"/>
    </row>
    <row r="958" ht="15.75" customHeight="1">
      <c r="A958" s="5"/>
      <c r="B958" s="5"/>
      <c r="C958" s="5"/>
      <c r="D958" s="5"/>
      <c r="E958" s="5"/>
      <c r="F958" s="5"/>
      <c r="G958" s="5"/>
      <c r="H958" s="5"/>
      <c r="I958" s="5"/>
      <c r="J958" s="5"/>
      <c r="K958" s="5"/>
      <c r="L958" s="5"/>
    </row>
    <row r="959" ht="15.75" customHeight="1">
      <c r="A959" s="5"/>
      <c r="B959" s="5"/>
      <c r="C959" s="5"/>
      <c r="D959" s="5"/>
      <c r="E959" s="5"/>
      <c r="F959" s="5"/>
      <c r="G959" s="5"/>
      <c r="H959" s="5"/>
      <c r="I959" s="5"/>
      <c r="J959" s="5"/>
      <c r="K959" s="5"/>
      <c r="L959" s="5"/>
    </row>
    <row r="960" ht="15.75" customHeight="1">
      <c r="A960" s="5"/>
      <c r="B960" s="5"/>
      <c r="C960" s="5"/>
      <c r="D960" s="5"/>
      <c r="E960" s="5"/>
      <c r="F960" s="5"/>
      <c r="G960" s="5"/>
      <c r="H960" s="5"/>
      <c r="I960" s="5"/>
      <c r="J960" s="5"/>
      <c r="K960" s="5"/>
      <c r="L960" s="5"/>
    </row>
    <row r="961" ht="15.75" customHeight="1">
      <c r="A961" s="5"/>
      <c r="B961" s="5"/>
      <c r="C961" s="5"/>
      <c r="D961" s="5"/>
      <c r="E961" s="5"/>
      <c r="F961" s="5"/>
      <c r="G961" s="5"/>
      <c r="H961" s="5"/>
      <c r="I961" s="5"/>
      <c r="J961" s="5"/>
      <c r="K961" s="5"/>
      <c r="L961" s="5"/>
    </row>
    <row r="962" ht="15.75" customHeight="1">
      <c r="A962" s="5"/>
      <c r="B962" s="5"/>
      <c r="C962" s="5"/>
      <c r="D962" s="5"/>
      <c r="E962" s="5"/>
      <c r="F962" s="5"/>
      <c r="G962" s="5"/>
      <c r="H962" s="5"/>
      <c r="I962" s="5"/>
      <c r="J962" s="5"/>
      <c r="K962" s="5"/>
      <c r="L962" s="5"/>
    </row>
    <row r="963" ht="15.75" customHeight="1">
      <c r="A963" s="5"/>
      <c r="B963" s="5"/>
      <c r="C963" s="5"/>
      <c r="D963" s="5"/>
      <c r="E963" s="5"/>
      <c r="F963" s="5"/>
      <c r="G963" s="5"/>
      <c r="H963" s="5"/>
      <c r="I963" s="5"/>
      <c r="J963" s="5"/>
      <c r="K963" s="5"/>
      <c r="L963" s="5"/>
    </row>
    <row r="964" ht="15.75" customHeight="1">
      <c r="A964" s="5"/>
      <c r="B964" s="5"/>
      <c r="C964" s="5"/>
      <c r="D964" s="5"/>
      <c r="E964" s="5"/>
      <c r="F964" s="5"/>
      <c r="G964" s="5"/>
      <c r="H964" s="5"/>
      <c r="I964" s="5"/>
      <c r="J964" s="5"/>
      <c r="K964" s="5"/>
      <c r="L964" s="5"/>
    </row>
    <row r="965" ht="15.75" customHeight="1">
      <c r="A965" s="5"/>
      <c r="B965" s="5"/>
      <c r="C965" s="5"/>
      <c r="D965" s="5"/>
      <c r="E965" s="5"/>
      <c r="F965" s="5"/>
      <c r="G965" s="5"/>
      <c r="H965" s="5"/>
      <c r="I965" s="5"/>
      <c r="J965" s="5"/>
      <c r="K965" s="5"/>
      <c r="L965" s="5"/>
    </row>
    <row r="966" ht="15.75" customHeight="1">
      <c r="A966" s="5"/>
      <c r="B966" s="5"/>
      <c r="C966" s="5"/>
      <c r="D966" s="5"/>
      <c r="E966" s="5"/>
      <c r="F966" s="5"/>
      <c r="G966" s="5"/>
      <c r="H966" s="5"/>
      <c r="I966" s="5"/>
      <c r="J966" s="5"/>
      <c r="K966" s="5"/>
      <c r="L966" s="5"/>
    </row>
    <row r="967" ht="15.75" customHeight="1">
      <c r="A967" s="5"/>
      <c r="B967" s="5"/>
      <c r="C967" s="5"/>
      <c r="D967" s="5"/>
      <c r="E967" s="5"/>
      <c r="F967" s="5"/>
      <c r="G967" s="5"/>
      <c r="H967" s="5"/>
      <c r="I967" s="5"/>
      <c r="J967" s="5"/>
      <c r="K967" s="5"/>
      <c r="L967" s="5"/>
    </row>
    <row r="968" ht="15.75" customHeight="1">
      <c r="A968" s="5"/>
      <c r="B968" s="5"/>
      <c r="C968" s="5"/>
      <c r="D968" s="5"/>
      <c r="E968" s="5"/>
      <c r="F968" s="5"/>
      <c r="G968" s="5"/>
      <c r="H968" s="5"/>
      <c r="I968" s="5"/>
      <c r="J968" s="5"/>
      <c r="K968" s="5"/>
      <c r="L968" s="5"/>
    </row>
    <row r="969" ht="15.75" customHeight="1">
      <c r="A969" s="5"/>
      <c r="B969" s="5"/>
      <c r="C969" s="5"/>
      <c r="D969" s="5"/>
      <c r="E969" s="5"/>
      <c r="F969" s="5"/>
      <c r="G969" s="5"/>
      <c r="H969" s="5"/>
      <c r="I969" s="5"/>
      <c r="J969" s="5"/>
      <c r="K969" s="5"/>
      <c r="L969" s="5"/>
    </row>
    <row r="970" ht="15.75" customHeight="1">
      <c r="A970" s="5"/>
      <c r="B970" s="5"/>
      <c r="C970" s="5"/>
      <c r="D970" s="5"/>
      <c r="E970" s="5"/>
      <c r="F970" s="5"/>
      <c r="G970" s="5"/>
      <c r="H970" s="5"/>
      <c r="I970" s="5"/>
      <c r="J970" s="5"/>
      <c r="K970" s="5"/>
      <c r="L970" s="5"/>
    </row>
    <row r="971" ht="15.75" customHeight="1">
      <c r="A971" s="5"/>
      <c r="B971" s="5"/>
      <c r="C971" s="5"/>
      <c r="D971" s="5"/>
      <c r="E971" s="5"/>
      <c r="F971" s="5"/>
      <c r="G971" s="5"/>
      <c r="H971" s="5"/>
      <c r="I971" s="5"/>
      <c r="J971" s="5"/>
      <c r="K971" s="5"/>
      <c r="L971" s="5"/>
    </row>
    <row r="972" ht="15.75" customHeight="1">
      <c r="A972" s="5"/>
      <c r="B972" s="5"/>
      <c r="C972" s="5"/>
      <c r="D972" s="5"/>
      <c r="E972" s="5"/>
      <c r="F972" s="5"/>
      <c r="G972" s="5"/>
      <c r="H972" s="5"/>
      <c r="I972" s="5"/>
      <c r="J972" s="5"/>
      <c r="K972" s="5"/>
      <c r="L972" s="5"/>
    </row>
    <row r="973" ht="15.75" customHeight="1">
      <c r="A973" s="5"/>
      <c r="B973" s="5"/>
      <c r="C973" s="5"/>
      <c r="D973" s="5"/>
      <c r="E973" s="5"/>
      <c r="F973" s="5"/>
      <c r="G973" s="5"/>
      <c r="H973" s="5"/>
      <c r="I973" s="5"/>
      <c r="J973" s="5"/>
      <c r="K973" s="5"/>
      <c r="L973" s="5"/>
    </row>
    <row r="974" ht="15.75" customHeight="1">
      <c r="A974" s="5"/>
      <c r="B974" s="5"/>
      <c r="C974" s="5"/>
      <c r="D974" s="5"/>
      <c r="E974" s="5"/>
      <c r="F974" s="5"/>
      <c r="G974" s="5"/>
      <c r="H974" s="5"/>
      <c r="I974" s="5"/>
      <c r="J974" s="5"/>
      <c r="K974" s="5"/>
      <c r="L974" s="5"/>
    </row>
    <row r="975" ht="15.75" customHeight="1">
      <c r="A975" s="5"/>
      <c r="B975" s="5"/>
      <c r="C975" s="5"/>
      <c r="D975" s="5"/>
      <c r="E975" s="5"/>
      <c r="F975" s="5"/>
      <c r="G975" s="5"/>
      <c r="H975" s="5"/>
      <c r="I975" s="5"/>
      <c r="J975" s="5"/>
      <c r="K975" s="5"/>
      <c r="L975" s="5"/>
    </row>
    <row r="976" ht="15.75" customHeight="1">
      <c r="A976" s="5"/>
      <c r="B976" s="5"/>
      <c r="C976" s="5"/>
      <c r="D976" s="5"/>
      <c r="E976" s="5"/>
      <c r="F976" s="5"/>
      <c r="G976" s="5"/>
      <c r="H976" s="5"/>
      <c r="I976" s="5"/>
      <c r="J976" s="5"/>
      <c r="K976" s="5"/>
      <c r="L976" s="5"/>
    </row>
    <row r="977" ht="15.75" customHeight="1">
      <c r="A977" s="5"/>
      <c r="B977" s="5"/>
      <c r="C977" s="5"/>
      <c r="D977" s="5"/>
      <c r="E977" s="5"/>
      <c r="F977" s="5"/>
      <c r="G977" s="5"/>
      <c r="H977" s="5"/>
      <c r="I977" s="5"/>
      <c r="J977" s="5"/>
      <c r="K977" s="5"/>
      <c r="L977" s="5"/>
    </row>
    <row r="978" ht="15.75" customHeight="1">
      <c r="A978" s="5"/>
      <c r="B978" s="5"/>
      <c r="C978" s="5"/>
      <c r="D978" s="5"/>
      <c r="E978" s="5"/>
      <c r="F978" s="5"/>
      <c r="G978" s="5"/>
      <c r="H978" s="5"/>
      <c r="I978" s="5"/>
      <c r="J978" s="5"/>
      <c r="K978" s="5"/>
      <c r="L978" s="5"/>
    </row>
    <row r="979" ht="15.75" customHeight="1">
      <c r="A979" s="5"/>
      <c r="B979" s="5"/>
      <c r="C979" s="5"/>
      <c r="D979" s="5"/>
      <c r="E979" s="5"/>
      <c r="F979" s="5"/>
      <c r="G979" s="5"/>
      <c r="H979" s="5"/>
      <c r="I979" s="5"/>
      <c r="J979" s="5"/>
      <c r="K979" s="5"/>
      <c r="L979" s="5"/>
    </row>
    <row r="980" ht="15.75" customHeight="1">
      <c r="A980" s="5"/>
      <c r="B980" s="5"/>
      <c r="C980" s="5"/>
      <c r="D980" s="5"/>
      <c r="E980" s="5"/>
      <c r="F980" s="5"/>
      <c r="G980" s="5"/>
      <c r="H980" s="5"/>
      <c r="I980" s="5"/>
      <c r="J980" s="5"/>
      <c r="K980" s="5"/>
      <c r="L980" s="5"/>
    </row>
    <row r="981" ht="15.75" customHeight="1">
      <c r="A981" s="5"/>
      <c r="B981" s="5"/>
      <c r="C981" s="5"/>
      <c r="D981" s="5"/>
      <c r="E981" s="5"/>
      <c r="F981" s="5"/>
      <c r="G981" s="5"/>
      <c r="H981" s="5"/>
      <c r="I981" s="5"/>
      <c r="J981" s="5"/>
      <c r="K981" s="5"/>
      <c r="L981" s="5"/>
    </row>
    <row r="982" ht="15.75" customHeight="1">
      <c r="A982" s="5"/>
      <c r="B982" s="5"/>
      <c r="C982" s="5"/>
      <c r="D982" s="5"/>
      <c r="E982" s="5"/>
      <c r="F982" s="5"/>
      <c r="G982" s="5"/>
      <c r="H982" s="5"/>
      <c r="I982" s="5"/>
      <c r="J982" s="5"/>
      <c r="K982" s="5"/>
      <c r="L982" s="5"/>
    </row>
    <row r="983" ht="15.75" customHeight="1">
      <c r="A983" s="5"/>
      <c r="B983" s="5"/>
      <c r="C983" s="5"/>
      <c r="D983" s="5"/>
      <c r="E983" s="5"/>
      <c r="F983" s="5"/>
      <c r="G983" s="5"/>
      <c r="H983" s="5"/>
      <c r="I983" s="5"/>
      <c r="J983" s="5"/>
      <c r="K983" s="5"/>
      <c r="L983" s="5"/>
    </row>
    <row r="984" ht="15.75" customHeight="1">
      <c r="A984" s="5"/>
      <c r="B984" s="5"/>
      <c r="C984" s="5"/>
      <c r="D984" s="5"/>
      <c r="E984" s="5"/>
      <c r="F984" s="5"/>
      <c r="G984" s="5"/>
      <c r="H984" s="5"/>
      <c r="I984" s="5"/>
      <c r="J984" s="5"/>
      <c r="K984" s="5"/>
      <c r="L984" s="5"/>
    </row>
    <row r="985" ht="15.75" customHeight="1">
      <c r="A985" s="5"/>
      <c r="B985" s="5"/>
      <c r="C985" s="5"/>
      <c r="D985" s="5"/>
      <c r="E985" s="5"/>
      <c r="F985" s="5"/>
      <c r="G985" s="5"/>
      <c r="H985" s="5"/>
      <c r="I985" s="5"/>
      <c r="J985" s="5"/>
      <c r="K985" s="5"/>
      <c r="L985" s="5"/>
    </row>
    <row r="986" ht="15.75" customHeight="1">
      <c r="A986" s="5"/>
      <c r="B986" s="5"/>
      <c r="C986" s="5"/>
      <c r="D986" s="5"/>
      <c r="E986" s="5"/>
      <c r="F986" s="5"/>
      <c r="G986" s="5"/>
      <c r="H986" s="5"/>
      <c r="I986" s="5"/>
      <c r="J986" s="5"/>
      <c r="K986" s="5"/>
      <c r="L986" s="5"/>
    </row>
    <row r="987" ht="15.75" customHeight="1">
      <c r="A987" s="5"/>
      <c r="B987" s="5"/>
      <c r="C987" s="5"/>
      <c r="D987" s="5"/>
      <c r="E987" s="5"/>
      <c r="F987" s="5"/>
      <c r="G987" s="5"/>
      <c r="H987" s="5"/>
      <c r="I987" s="5"/>
      <c r="J987" s="5"/>
      <c r="K987" s="5"/>
      <c r="L987" s="5"/>
    </row>
    <row r="988" ht="15.75" customHeight="1">
      <c r="A988" s="5"/>
      <c r="B988" s="5"/>
      <c r="C988" s="5"/>
      <c r="D988" s="5"/>
      <c r="E988" s="5"/>
      <c r="F988" s="5"/>
      <c r="G988" s="5"/>
      <c r="H988" s="5"/>
      <c r="I988" s="5"/>
      <c r="J988" s="5"/>
      <c r="K988" s="5"/>
      <c r="L988" s="5"/>
    </row>
    <row r="989" ht="15.75" customHeight="1">
      <c r="A989" s="5"/>
      <c r="B989" s="5"/>
      <c r="C989" s="5"/>
      <c r="D989" s="5"/>
      <c r="E989" s="5"/>
      <c r="F989" s="5"/>
      <c r="G989" s="5"/>
      <c r="H989" s="5"/>
      <c r="I989" s="5"/>
      <c r="J989" s="5"/>
      <c r="K989" s="5"/>
      <c r="L989" s="5"/>
    </row>
    <row r="990" ht="15.75" customHeight="1">
      <c r="A990" s="5"/>
      <c r="B990" s="5"/>
      <c r="C990" s="5"/>
      <c r="D990" s="5"/>
      <c r="E990" s="5"/>
      <c r="F990" s="5"/>
      <c r="G990" s="5"/>
      <c r="H990" s="5"/>
      <c r="I990" s="5"/>
      <c r="J990" s="5"/>
      <c r="K990" s="5"/>
      <c r="L990" s="5"/>
    </row>
    <row r="991" ht="15.75" customHeight="1">
      <c r="A991" s="5"/>
      <c r="B991" s="5"/>
      <c r="C991" s="5"/>
      <c r="D991" s="5"/>
      <c r="E991" s="5"/>
      <c r="F991" s="5"/>
      <c r="G991" s="5"/>
      <c r="H991" s="5"/>
      <c r="I991" s="5"/>
      <c r="J991" s="5"/>
      <c r="K991" s="5"/>
      <c r="L991" s="5"/>
    </row>
    <row r="992" ht="15.75" customHeight="1">
      <c r="A992" s="5"/>
      <c r="B992" s="5"/>
      <c r="C992" s="5"/>
      <c r="D992" s="5"/>
      <c r="E992" s="5"/>
      <c r="F992" s="5"/>
      <c r="G992" s="5"/>
      <c r="H992" s="5"/>
      <c r="I992" s="5"/>
      <c r="J992" s="5"/>
      <c r="K992" s="5"/>
      <c r="L992" s="5"/>
    </row>
    <row r="993" ht="15.75" customHeight="1">
      <c r="A993" s="5"/>
      <c r="B993" s="5"/>
      <c r="C993" s="5"/>
      <c r="D993" s="5"/>
      <c r="E993" s="5"/>
      <c r="F993" s="5"/>
      <c r="G993" s="5"/>
      <c r="H993" s="5"/>
      <c r="I993" s="5"/>
      <c r="J993" s="5"/>
      <c r="K993" s="5"/>
      <c r="L993" s="5"/>
    </row>
    <row r="994" ht="15.75" customHeight="1">
      <c r="A994" s="5"/>
      <c r="B994" s="5"/>
      <c r="C994" s="5"/>
      <c r="D994" s="5"/>
      <c r="E994" s="5"/>
      <c r="F994" s="5"/>
      <c r="G994" s="5"/>
      <c r="H994" s="5"/>
      <c r="I994" s="5"/>
      <c r="J994" s="5"/>
      <c r="K994" s="5"/>
      <c r="L994" s="5"/>
    </row>
    <row r="995" ht="15.75" customHeight="1">
      <c r="A995" s="5"/>
      <c r="B995" s="5"/>
      <c r="C995" s="5"/>
      <c r="D995" s="5"/>
      <c r="E995" s="5"/>
      <c r="F995" s="5"/>
      <c r="G995" s="5"/>
      <c r="H995" s="5"/>
      <c r="I995" s="5"/>
      <c r="J995" s="5"/>
      <c r="K995" s="5"/>
      <c r="L995" s="5"/>
    </row>
    <row r="996" ht="15.75" customHeight="1">
      <c r="A996" s="5"/>
      <c r="B996" s="5"/>
      <c r="C996" s="5"/>
      <c r="D996" s="5"/>
      <c r="E996" s="5"/>
      <c r="F996" s="5"/>
      <c r="G996" s="5"/>
      <c r="H996" s="5"/>
      <c r="I996" s="5"/>
      <c r="J996" s="5"/>
      <c r="K996" s="5"/>
      <c r="L996" s="5"/>
    </row>
    <row r="997" ht="15.75" customHeight="1">
      <c r="A997" s="5"/>
      <c r="B997" s="5"/>
      <c r="C997" s="5"/>
      <c r="D997" s="5"/>
      <c r="E997" s="5"/>
      <c r="F997" s="5"/>
      <c r="G997" s="5"/>
      <c r="H997" s="5"/>
      <c r="I997" s="5"/>
      <c r="J997" s="5"/>
      <c r="K997" s="5"/>
      <c r="L997" s="5"/>
    </row>
    <row r="998" ht="15.75" customHeight="1">
      <c r="A998" s="5"/>
      <c r="B998" s="5"/>
      <c r="C998" s="5"/>
      <c r="D998" s="5"/>
      <c r="E998" s="5"/>
      <c r="F998" s="5"/>
      <c r="G998" s="5"/>
      <c r="H998" s="5"/>
      <c r="I998" s="5"/>
      <c r="J998" s="5"/>
      <c r="K998" s="5"/>
      <c r="L998" s="5"/>
    </row>
    <row r="999" ht="15.75" customHeight="1">
      <c r="A999" s="5"/>
      <c r="B999" s="5"/>
      <c r="C999" s="5"/>
      <c r="D999" s="5"/>
      <c r="E999" s="5"/>
      <c r="F999" s="5"/>
      <c r="G999" s="5"/>
      <c r="H999" s="5"/>
      <c r="I999" s="5"/>
      <c r="J999" s="5"/>
      <c r="K999" s="5"/>
      <c r="L999" s="5"/>
    </row>
    <row r="1000" ht="15.75" customHeight="1">
      <c r="A1000" s="5"/>
      <c r="B1000" s="5"/>
      <c r="C1000" s="5"/>
      <c r="D1000" s="5"/>
      <c r="E1000" s="5"/>
      <c r="F1000" s="5"/>
      <c r="G1000" s="5"/>
      <c r="H1000" s="5"/>
      <c r="I1000" s="5"/>
      <c r="J1000" s="5"/>
      <c r="K1000" s="5"/>
      <c r="L1000" s="5"/>
    </row>
  </sheetData>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75"/>
    <col customWidth="1" min="2" max="2" width="19.88"/>
    <col customWidth="1" min="3" max="3" width="15.38"/>
    <col customWidth="1" min="4" max="6" width="12.63"/>
  </cols>
  <sheetData>
    <row r="1" ht="15.75" customHeight="1">
      <c r="A1" s="56" t="s">
        <v>584</v>
      </c>
      <c r="B1" s="57" t="s">
        <v>631</v>
      </c>
      <c r="C1" s="56"/>
      <c r="D1" s="35"/>
      <c r="E1" s="35"/>
      <c r="F1" s="35"/>
      <c r="G1" s="35"/>
      <c r="H1" s="35"/>
      <c r="I1" s="35"/>
      <c r="J1" s="35"/>
      <c r="K1" s="35"/>
      <c r="L1" s="35"/>
      <c r="M1" s="35"/>
      <c r="N1" s="35"/>
      <c r="O1" s="35"/>
      <c r="P1" s="35"/>
      <c r="Q1" s="35"/>
      <c r="R1" s="35"/>
      <c r="S1" s="35"/>
      <c r="T1" s="35"/>
      <c r="U1" s="35"/>
      <c r="V1" s="35"/>
      <c r="W1" s="35"/>
      <c r="X1" s="35"/>
      <c r="Y1" s="35"/>
      <c r="Z1" s="35"/>
    </row>
    <row r="2" ht="15.75" customHeight="1">
      <c r="A2" s="58" t="s">
        <v>613</v>
      </c>
      <c r="B2" s="59">
        <v>1.18157357142857</v>
      </c>
      <c r="C2" s="58"/>
      <c r="D2" s="5"/>
      <c r="E2" s="5"/>
      <c r="F2" s="5"/>
      <c r="G2" s="5"/>
      <c r="H2" s="5"/>
      <c r="I2" s="5"/>
      <c r="J2" s="5"/>
      <c r="K2" s="5"/>
      <c r="L2" s="5"/>
      <c r="M2" s="5"/>
      <c r="N2" s="5"/>
      <c r="O2" s="5"/>
      <c r="P2" s="5"/>
      <c r="Q2" s="5"/>
      <c r="R2" s="5"/>
      <c r="S2" s="5"/>
      <c r="T2" s="5"/>
      <c r="U2" s="5"/>
      <c r="V2" s="5"/>
      <c r="W2" s="5"/>
      <c r="X2" s="5"/>
      <c r="Y2" s="5"/>
      <c r="Z2" s="5"/>
    </row>
    <row r="3" ht="15.75" customHeight="1">
      <c r="A3" s="58" t="s">
        <v>599</v>
      </c>
      <c r="B3" s="59">
        <v>0.35157357142857</v>
      </c>
      <c r="C3" s="58"/>
      <c r="D3" s="5"/>
      <c r="E3" s="5"/>
      <c r="F3" s="5"/>
      <c r="G3" s="5"/>
      <c r="H3" s="5"/>
      <c r="I3" s="5"/>
      <c r="J3" s="5"/>
      <c r="K3" s="5"/>
      <c r="L3" s="5"/>
      <c r="M3" s="5"/>
      <c r="N3" s="5"/>
      <c r="O3" s="5"/>
      <c r="P3" s="5"/>
      <c r="Q3" s="5"/>
      <c r="R3" s="5"/>
      <c r="S3" s="5"/>
      <c r="T3" s="5"/>
      <c r="U3" s="5"/>
      <c r="V3" s="5"/>
      <c r="W3" s="5"/>
      <c r="X3" s="5"/>
      <c r="Y3" s="5"/>
      <c r="Z3" s="5"/>
    </row>
    <row r="4" ht="15.75" customHeight="1">
      <c r="A4" s="58" t="s">
        <v>595</v>
      </c>
      <c r="B4" s="59">
        <v>0.332823571428573</v>
      </c>
      <c r="C4" s="58"/>
      <c r="D4" s="5"/>
      <c r="E4" s="5"/>
      <c r="F4" s="5"/>
      <c r="G4" s="5"/>
      <c r="H4" s="5"/>
      <c r="I4" s="5"/>
      <c r="J4" s="5"/>
      <c r="K4" s="5"/>
      <c r="L4" s="5"/>
      <c r="M4" s="5"/>
      <c r="N4" s="5"/>
      <c r="O4" s="5"/>
      <c r="P4" s="5"/>
      <c r="Q4" s="5"/>
      <c r="R4" s="5"/>
      <c r="S4" s="5"/>
      <c r="T4" s="5"/>
      <c r="U4" s="5"/>
      <c r="V4" s="5"/>
      <c r="W4" s="5"/>
      <c r="X4" s="5"/>
      <c r="Y4" s="5"/>
      <c r="Z4" s="5"/>
    </row>
    <row r="5" ht="15.75" customHeight="1">
      <c r="A5" s="58" t="s">
        <v>601</v>
      </c>
      <c r="B5" s="59">
        <v>0.274323571428571</v>
      </c>
      <c r="C5" s="58"/>
      <c r="D5" s="5"/>
      <c r="E5" s="5"/>
      <c r="F5" s="5"/>
      <c r="G5" s="5"/>
      <c r="H5" s="5"/>
      <c r="I5" s="5"/>
      <c r="J5" s="5"/>
      <c r="K5" s="5"/>
      <c r="L5" s="5"/>
      <c r="M5" s="5"/>
      <c r="N5" s="5"/>
      <c r="O5" s="5"/>
      <c r="P5" s="5"/>
      <c r="Q5" s="5"/>
      <c r="R5" s="5"/>
      <c r="S5" s="5"/>
      <c r="T5" s="5"/>
      <c r="U5" s="5"/>
      <c r="V5" s="5"/>
      <c r="W5" s="5"/>
      <c r="X5" s="5"/>
      <c r="Y5" s="5"/>
      <c r="Z5" s="5"/>
    </row>
    <row r="6" ht="15.75" customHeight="1">
      <c r="A6" s="58" t="s">
        <v>589</v>
      </c>
      <c r="B6" s="59">
        <v>0.067073571428569</v>
      </c>
      <c r="C6" s="58"/>
      <c r="D6" s="5"/>
      <c r="E6" s="5"/>
      <c r="F6" s="5"/>
      <c r="G6" s="5"/>
      <c r="H6" s="5"/>
      <c r="I6" s="5"/>
      <c r="J6" s="5"/>
      <c r="K6" s="5"/>
      <c r="L6" s="5"/>
      <c r="M6" s="5"/>
      <c r="N6" s="5"/>
      <c r="O6" s="5"/>
      <c r="P6" s="5"/>
      <c r="Q6" s="5"/>
      <c r="R6" s="5"/>
      <c r="S6" s="5"/>
      <c r="T6" s="5"/>
      <c r="U6" s="5"/>
      <c r="V6" s="5"/>
      <c r="W6" s="5"/>
      <c r="X6" s="5"/>
      <c r="Y6" s="5"/>
      <c r="Z6" s="5"/>
    </row>
    <row r="7" ht="15.75" customHeight="1">
      <c r="A7" s="58" t="s">
        <v>609</v>
      </c>
      <c r="B7" s="59">
        <v>0.005073571428571</v>
      </c>
      <c r="C7" s="58"/>
      <c r="D7" s="5"/>
      <c r="E7" s="5"/>
      <c r="F7" s="5"/>
      <c r="G7" s="5"/>
      <c r="H7" s="5"/>
      <c r="I7" s="5"/>
      <c r="J7" s="5"/>
      <c r="K7" s="5"/>
      <c r="L7" s="5"/>
      <c r="M7" s="5"/>
      <c r="N7" s="5"/>
      <c r="O7" s="5"/>
      <c r="P7" s="5"/>
      <c r="Q7" s="5"/>
      <c r="R7" s="5"/>
      <c r="S7" s="5"/>
      <c r="T7" s="5"/>
      <c r="U7" s="5"/>
      <c r="V7" s="5"/>
      <c r="W7" s="5"/>
      <c r="X7" s="5"/>
      <c r="Y7" s="5"/>
      <c r="Z7" s="5"/>
    </row>
    <row r="8" ht="15.75" customHeight="1">
      <c r="A8" s="60" t="s">
        <v>605</v>
      </c>
      <c r="B8" s="59">
        <v>-0.001536428571431</v>
      </c>
      <c r="C8" s="58"/>
      <c r="D8" s="5"/>
      <c r="E8" s="5"/>
      <c r="F8" s="5"/>
      <c r="G8" s="5"/>
      <c r="H8" s="5"/>
      <c r="I8" s="5"/>
      <c r="J8" s="5"/>
      <c r="K8" s="5"/>
      <c r="L8" s="5"/>
      <c r="M8" s="5"/>
      <c r="N8" s="5"/>
      <c r="O8" s="5"/>
      <c r="P8" s="5"/>
      <c r="Q8" s="5"/>
      <c r="R8" s="5"/>
      <c r="S8" s="5"/>
      <c r="T8" s="5"/>
      <c r="U8" s="5"/>
      <c r="V8" s="5"/>
      <c r="W8" s="5"/>
      <c r="X8" s="5"/>
      <c r="Y8" s="5"/>
      <c r="Z8" s="5"/>
    </row>
    <row r="9" ht="15.75" customHeight="1">
      <c r="A9" s="58" t="s">
        <v>607</v>
      </c>
      <c r="B9" s="59">
        <v>-0.014176428571428</v>
      </c>
      <c r="C9" s="58"/>
      <c r="D9" s="5"/>
      <c r="E9" s="5"/>
      <c r="F9" s="5"/>
      <c r="G9" s="5"/>
      <c r="H9" s="5"/>
      <c r="I9" s="5"/>
      <c r="J9" s="5"/>
      <c r="K9" s="5"/>
      <c r="L9" s="5"/>
      <c r="M9" s="5"/>
      <c r="N9" s="5"/>
      <c r="O9" s="5"/>
      <c r="P9" s="5"/>
      <c r="Q9" s="5"/>
      <c r="R9" s="5"/>
      <c r="S9" s="5"/>
      <c r="T9" s="5"/>
      <c r="U9" s="5"/>
      <c r="V9" s="5"/>
      <c r="W9" s="5"/>
      <c r="X9" s="5"/>
      <c r="Y9" s="5"/>
      <c r="Z9" s="5"/>
    </row>
    <row r="10" ht="15.75" customHeight="1">
      <c r="A10" s="58" t="s">
        <v>591</v>
      </c>
      <c r="B10" s="59">
        <v>-0.058096428571432</v>
      </c>
      <c r="C10" s="58"/>
      <c r="D10" s="5"/>
      <c r="E10" s="5"/>
      <c r="F10" s="5"/>
      <c r="G10" s="5"/>
      <c r="H10" s="5"/>
      <c r="I10" s="5"/>
      <c r="J10" s="5"/>
      <c r="K10" s="5"/>
      <c r="L10" s="5"/>
      <c r="M10" s="5"/>
      <c r="N10" s="5"/>
      <c r="O10" s="5"/>
      <c r="P10" s="5"/>
      <c r="Q10" s="5"/>
      <c r="R10" s="5"/>
      <c r="S10" s="5"/>
      <c r="T10" s="5"/>
      <c r="U10" s="5"/>
      <c r="V10" s="5"/>
      <c r="W10" s="5"/>
      <c r="X10" s="5"/>
      <c r="Y10" s="5"/>
      <c r="Z10" s="5"/>
    </row>
    <row r="11" ht="15.75" customHeight="1">
      <c r="A11" s="58" t="s">
        <v>593</v>
      </c>
      <c r="B11" s="59">
        <v>-0.109426428571428</v>
      </c>
      <c r="C11" s="58"/>
      <c r="D11" s="5"/>
      <c r="E11" s="5"/>
      <c r="F11" s="5"/>
      <c r="G11" s="5"/>
      <c r="H11" s="5"/>
      <c r="I11" s="5"/>
      <c r="J11" s="5"/>
      <c r="K11" s="5"/>
      <c r="L11" s="5"/>
      <c r="M11" s="5"/>
      <c r="N11" s="5"/>
      <c r="O11" s="5"/>
      <c r="P11" s="5"/>
      <c r="Q11" s="5"/>
      <c r="R11" s="5"/>
      <c r="S11" s="5"/>
      <c r="T11" s="5"/>
      <c r="U11" s="5"/>
      <c r="V11" s="5"/>
      <c r="W11" s="5"/>
      <c r="X11" s="5"/>
      <c r="Y11" s="5"/>
      <c r="Z11" s="5"/>
    </row>
    <row r="12" ht="15.75" customHeight="1">
      <c r="A12" s="58" t="s">
        <v>587</v>
      </c>
      <c r="B12" s="59">
        <v>-0.333176428571431</v>
      </c>
      <c r="C12" s="58"/>
      <c r="D12" s="5"/>
      <c r="E12" s="5"/>
      <c r="F12" s="5"/>
      <c r="G12" s="5"/>
      <c r="H12" s="5"/>
      <c r="I12" s="5"/>
      <c r="J12" s="5"/>
      <c r="K12" s="5"/>
      <c r="L12" s="5"/>
      <c r="M12" s="5"/>
      <c r="N12" s="5"/>
      <c r="O12" s="5"/>
      <c r="P12" s="5"/>
      <c r="Q12" s="5"/>
      <c r="R12" s="5"/>
      <c r="S12" s="5"/>
      <c r="T12" s="5"/>
      <c r="U12" s="5"/>
      <c r="V12" s="5"/>
      <c r="W12" s="5"/>
      <c r="X12" s="5"/>
      <c r="Y12" s="5"/>
      <c r="Z12" s="5"/>
    </row>
    <row r="13" ht="15.75" customHeight="1">
      <c r="A13" s="58" t="s">
        <v>603</v>
      </c>
      <c r="B13" s="59">
        <v>-0.346676428571431</v>
      </c>
      <c r="C13" s="58"/>
      <c r="D13" s="5"/>
      <c r="E13" s="5"/>
      <c r="F13" s="5"/>
      <c r="G13" s="5"/>
      <c r="H13" s="5"/>
      <c r="I13" s="5"/>
      <c r="J13" s="5"/>
      <c r="K13" s="5"/>
      <c r="L13" s="5"/>
      <c r="M13" s="5"/>
      <c r="N13" s="5"/>
      <c r="O13" s="5"/>
      <c r="P13" s="5"/>
      <c r="Q13" s="5"/>
      <c r="R13" s="5"/>
      <c r="S13" s="5"/>
      <c r="T13" s="5"/>
      <c r="U13" s="5"/>
      <c r="V13" s="5"/>
      <c r="W13" s="5"/>
      <c r="X13" s="5"/>
      <c r="Y13" s="5"/>
      <c r="Z13" s="5"/>
    </row>
    <row r="14" ht="15.75" customHeight="1">
      <c r="A14" s="58" t="s">
        <v>611</v>
      </c>
      <c r="B14" s="59">
        <v>-0.404676428571431</v>
      </c>
      <c r="C14" s="58"/>
      <c r="D14" s="5"/>
      <c r="E14" s="5"/>
      <c r="F14" s="5"/>
      <c r="G14" s="5"/>
      <c r="H14" s="5"/>
      <c r="I14" s="5"/>
      <c r="J14" s="5"/>
      <c r="K14" s="5"/>
      <c r="L14" s="5"/>
      <c r="M14" s="5"/>
      <c r="N14" s="5"/>
      <c r="O14" s="5"/>
      <c r="P14" s="5"/>
      <c r="Q14" s="5"/>
      <c r="R14" s="5"/>
      <c r="S14" s="5"/>
      <c r="T14" s="5"/>
      <c r="U14" s="5"/>
      <c r="V14" s="5"/>
      <c r="W14" s="5"/>
      <c r="X14" s="5"/>
      <c r="Y14" s="5"/>
      <c r="Z14" s="5"/>
    </row>
    <row r="15" ht="15.75" customHeight="1">
      <c r="A15" s="58" t="s">
        <v>597</v>
      </c>
      <c r="B15" s="59">
        <v>-0.944676428571437</v>
      </c>
      <c r="C15" s="58"/>
      <c r="D15" s="5"/>
      <c r="E15" s="5"/>
      <c r="F15" s="5"/>
      <c r="G15" s="5"/>
      <c r="H15" s="5"/>
      <c r="I15" s="5"/>
      <c r="J15" s="5"/>
      <c r="K15" s="5"/>
      <c r="L15" s="5"/>
      <c r="M15" s="5"/>
      <c r="N15" s="5"/>
      <c r="O15" s="5"/>
      <c r="P15" s="5"/>
      <c r="Q15" s="5"/>
      <c r="R15" s="5"/>
      <c r="S15" s="5"/>
      <c r="T15" s="5"/>
      <c r="U15" s="5"/>
      <c r="V15" s="5"/>
      <c r="W15" s="5"/>
      <c r="X15" s="5"/>
      <c r="Y15" s="5"/>
      <c r="Z15" s="5"/>
    </row>
    <row r="16">
      <c r="A16" s="5"/>
      <c r="B16" s="5"/>
      <c r="C16" s="5"/>
    </row>
    <row r="17">
      <c r="A17" s="5"/>
      <c r="B17" s="5"/>
      <c r="C17" s="5"/>
    </row>
    <row r="18">
      <c r="A18" s="5"/>
      <c r="B18" s="5"/>
      <c r="C18" s="5"/>
    </row>
    <row r="19">
      <c r="A19" s="5"/>
      <c r="B19" s="5"/>
      <c r="C19" s="5"/>
    </row>
    <row r="20">
      <c r="A20" s="5"/>
      <c r="B20" s="5"/>
      <c r="C20" s="5"/>
    </row>
    <row r="21" ht="15.75" customHeight="1">
      <c r="A21" s="5"/>
      <c r="B21" s="5"/>
      <c r="C21" s="5"/>
    </row>
    <row r="22" ht="15.75" customHeight="1">
      <c r="A22" s="5"/>
      <c r="B22" s="5"/>
      <c r="C22" s="5"/>
    </row>
    <row r="23" ht="15.75" customHeight="1">
      <c r="A23" s="5"/>
      <c r="B23" s="5"/>
      <c r="C23" s="5"/>
    </row>
    <row r="24" ht="15.75" customHeight="1">
      <c r="A24" s="5"/>
      <c r="B24" s="5"/>
      <c r="C24" s="5"/>
    </row>
    <row r="25" ht="15.75" customHeight="1">
      <c r="A25" s="5"/>
      <c r="B25" s="5"/>
      <c r="C25" s="5"/>
    </row>
    <row r="26" ht="15.75" customHeight="1">
      <c r="A26" s="5"/>
      <c r="B26" s="5"/>
      <c r="C26" s="5"/>
    </row>
    <row r="27" ht="15.75" customHeight="1">
      <c r="A27" s="5"/>
      <c r="B27" s="5"/>
      <c r="C27" s="5"/>
    </row>
    <row r="28" ht="15.75" customHeight="1">
      <c r="A28" s="5"/>
      <c r="B28" s="5"/>
      <c r="C28" s="5"/>
    </row>
    <row r="29" ht="15.75" customHeight="1">
      <c r="A29" s="5"/>
      <c r="B29" s="5"/>
      <c r="C29" s="5"/>
    </row>
    <row r="30" ht="15.75" customHeight="1">
      <c r="A30" s="5"/>
      <c r="B30" s="5"/>
      <c r="C30" s="5"/>
    </row>
    <row r="31" ht="15.75" customHeight="1">
      <c r="A31" s="5"/>
      <c r="B31" s="5"/>
      <c r="C31" s="5"/>
    </row>
    <row r="32" ht="15.75" customHeight="1">
      <c r="A32" s="5"/>
      <c r="B32" s="5"/>
      <c r="C32" s="5"/>
    </row>
    <row r="33" ht="15.75" customHeight="1">
      <c r="A33" s="5"/>
      <c r="B33" s="5"/>
      <c r="C33" s="5"/>
    </row>
    <row r="34" ht="15.75" customHeight="1">
      <c r="A34" s="5"/>
      <c r="B34" s="5"/>
      <c r="C34" s="5"/>
    </row>
    <row r="35" ht="15.75" customHeight="1">
      <c r="A35" s="5"/>
      <c r="B35" s="5"/>
      <c r="C35" s="5"/>
    </row>
    <row r="36" ht="15.75" customHeight="1">
      <c r="A36" s="5"/>
      <c r="B36" s="5"/>
      <c r="C36" s="5"/>
    </row>
    <row r="37" ht="15.75" customHeight="1">
      <c r="A37" s="5"/>
      <c r="B37" s="5"/>
      <c r="C37" s="5"/>
    </row>
    <row r="38" ht="15.75" customHeight="1">
      <c r="A38" s="5"/>
      <c r="B38" s="5"/>
      <c r="C38" s="5"/>
    </row>
    <row r="39" ht="15.75" customHeight="1">
      <c r="A39" s="5"/>
      <c r="B39" s="5"/>
      <c r="C39" s="5"/>
    </row>
    <row r="40" ht="15.75" customHeight="1">
      <c r="A40" s="5"/>
      <c r="B40" s="5"/>
      <c r="C40" s="5"/>
    </row>
    <row r="41" ht="15.75" customHeight="1">
      <c r="A41" s="5"/>
      <c r="B41" s="5"/>
      <c r="C41" s="5"/>
    </row>
    <row r="42" ht="15.75" customHeight="1">
      <c r="A42" s="5"/>
      <c r="B42" s="5"/>
      <c r="C42" s="5"/>
    </row>
    <row r="43" ht="15.75" customHeight="1">
      <c r="A43" s="5"/>
      <c r="B43" s="5"/>
      <c r="C43" s="5"/>
    </row>
    <row r="44" ht="15.75" customHeight="1">
      <c r="A44" s="5"/>
      <c r="B44" s="5"/>
      <c r="C44" s="5"/>
    </row>
    <row r="45" ht="15.75" customHeight="1">
      <c r="A45" s="5"/>
      <c r="B45" s="5"/>
      <c r="C45" s="5"/>
    </row>
    <row r="46" ht="15.75" customHeight="1">
      <c r="A46" s="5"/>
      <c r="B46" s="5"/>
      <c r="C46" s="5"/>
    </row>
    <row r="47" ht="15.75" customHeight="1">
      <c r="A47" s="5"/>
      <c r="B47" s="5"/>
      <c r="C47" s="5"/>
    </row>
    <row r="48" ht="15.75" customHeight="1">
      <c r="A48" s="5"/>
      <c r="B48" s="5"/>
      <c r="C48" s="5"/>
    </row>
    <row r="49" ht="15.75" customHeight="1">
      <c r="A49" s="5"/>
      <c r="B49" s="5"/>
      <c r="C49" s="5"/>
    </row>
    <row r="50" ht="15.75" customHeight="1">
      <c r="A50" s="5"/>
      <c r="B50" s="5"/>
      <c r="C50" s="5"/>
    </row>
    <row r="51" ht="15.75" customHeight="1">
      <c r="A51" s="5"/>
      <c r="B51" s="5"/>
      <c r="C51" s="5"/>
    </row>
    <row r="52" ht="15.75" customHeight="1">
      <c r="A52" s="5"/>
      <c r="B52" s="5"/>
      <c r="C52" s="5"/>
    </row>
    <row r="53" ht="15.75" customHeight="1">
      <c r="A53" s="5"/>
      <c r="B53" s="5"/>
      <c r="C53" s="5"/>
    </row>
    <row r="54" ht="15.75" customHeight="1">
      <c r="A54" s="5"/>
      <c r="B54" s="5"/>
      <c r="C54" s="5"/>
    </row>
    <row r="55" ht="15.75" customHeight="1">
      <c r="A55" s="5"/>
      <c r="B55" s="5"/>
      <c r="C55" s="5"/>
    </row>
    <row r="56" ht="15.75" customHeight="1">
      <c r="A56" s="5"/>
      <c r="B56" s="5"/>
      <c r="C56" s="5"/>
    </row>
    <row r="57" ht="15.75" customHeight="1">
      <c r="A57" s="5"/>
      <c r="B57" s="5"/>
      <c r="C57" s="5"/>
    </row>
    <row r="58" ht="15.75" customHeight="1">
      <c r="A58" s="5"/>
      <c r="B58" s="5"/>
      <c r="C58" s="5"/>
    </row>
    <row r="59" ht="15.75" customHeight="1">
      <c r="A59" s="5"/>
      <c r="B59" s="5"/>
      <c r="C59" s="5"/>
    </row>
    <row r="60" ht="15.75" customHeight="1">
      <c r="A60" s="5"/>
      <c r="B60" s="5"/>
      <c r="C60" s="5"/>
    </row>
    <row r="61" ht="15.75" customHeight="1">
      <c r="A61" s="5"/>
      <c r="B61" s="5"/>
      <c r="C61" s="5"/>
    </row>
    <row r="62" ht="15.75" customHeight="1">
      <c r="A62" s="5"/>
      <c r="B62" s="5"/>
      <c r="C62" s="5"/>
    </row>
    <row r="63" ht="15.75" customHeight="1">
      <c r="A63" s="5"/>
      <c r="B63" s="5"/>
      <c r="C63" s="5"/>
    </row>
    <row r="64" ht="15.75" customHeight="1">
      <c r="A64" s="5"/>
      <c r="B64" s="5"/>
      <c r="C64" s="5"/>
    </row>
    <row r="65" ht="15.75" customHeight="1">
      <c r="A65" s="5"/>
      <c r="B65" s="5"/>
      <c r="C65" s="5"/>
    </row>
    <row r="66" ht="15.75" customHeight="1">
      <c r="A66" s="5"/>
      <c r="B66" s="5"/>
      <c r="C66" s="5"/>
    </row>
    <row r="67" ht="15.75" customHeight="1">
      <c r="A67" s="5"/>
      <c r="B67" s="5"/>
      <c r="C67" s="5"/>
    </row>
    <row r="68" ht="15.75" customHeight="1">
      <c r="A68" s="5"/>
      <c r="B68" s="5"/>
      <c r="C68" s="5"/>
    </row>
    <row r="69" ht="15.75" customHeight="1">
      <c r="A69" s="5"/>
      <c r="B69" s="5"/>
      <c r="C69" s="5"/>
    </row>
    <row r="70" ht="15.75" customHeight="1">
      <c r="A70" s="5"/>
      <c r="B70" s="5"/>
      <c r="C70" s="5"/>
    </row>
    <row r="71" ht="15.75" customHeight="1">
      <c r="A71" s="5"/>
      <c r="B71" s="5"/>
      <c r="C71" s="5"/>
    </row>
    <row r="72" ht="15.75" customHeight="1">
      <c r="A72" s="5"/>
      <c r="B72" s="5"/>
      <c r="C72" s="5"/>
    </row>
    <row r="73" ht="15.75" customHeight="1">
      <c r="A73" s="5"/>
      <c r="B73" s="5"/>
      <c r="C73" s="5"/>
    </row>
    <row r="74" ht="15.75" customHeight="1">
      <c r="A74" s="5"/>
      <c r="B74" s="5"/>
      <c r="C74" s="5"/>
    </row>
    <row r="75" ht="15.75" customHeight="1">
      <c r="A75" s="5"/>
      <c r="B75" s="5"/>
      <c r="C75" s="5"/>
    </row>
    <row r="76" ht="15.75" customHeight="1">
      <c r="A76" s="5"/>
      <c r="B76" s="5"/>
      <c r="C76" s="5"/>
    </row>
    <row r="77" ht="15.75" customHeight="1">
      <c r="A77" s="5"/>
      <c r="B77" s="5"/>
      <c r="C77" s="5"/>
    </row>
    <row r="78" ht="15.75" customHeight="1">
      <c r="A78" s="5"/>
      <c r="B78" s="5"/>
      <c r="C78" s="5"/>
    </row>
    <row r="79" ht="15.75" customHeight="1">
      <c r="A79" s="5"/>
      <c r="B79" s="5"/>
      <c r="C79" s="5"/>
    </row>
    <row r="80" ht="15.75" customHeight="1">
      <c r="A80" s="5"/>
      <c r="B80" s="5"/>
      <c r="C80" s="5"/>
    </row>
    <row r="81" ht="15.75" customHeight="1">
      <c r="A81" s="5"/>
      <c r="B81" s="5"/>
      <c r="C81" s="5"/>
    </row>
    <row r="82" ht="15.75" customHeight="1">
      <c r="A82" s="5"/>
      <c r="B82" s="5"/>
      <c r="C82" s="5"/>
    </row>
    <row r="83" ht="15.75" customHeight="1">
      <c r="A83" s="5"/>
      <c r="B83" s="5"/>
      <c r="C83" s="5"/>
    </row>
    <row r="84" ht="15.75" customHeight="1">
      <c r="A84" s="5"/>
      <c r="B84" s="5"/>
      <c r="C84" s="5"/>
    </row>
    <row r="85" ht="15.75" customHeight="1">
      <c r="A85" s="5"/>
      <c r="B85" s="5"/>
      <c r="C85" s="5"/>
    </row>
    <row r="86" ht="15.75" customHeight="1">
      <c r="A86" s="5"/>
      <c r="B86" s="5"/>
      <c r="C86" s="5"/>
    </row>
    <row r="87" ht="15.75" customHeight="1">
      <c r="A87" s="5"/>
      <c r="B87" s="5"/>
      <c r="C87" s="5"/>
    </row>
    <row r="88" ht="15.75" customHeight="1">
      <c r="A88" s="5"/>
      <c r="B88" s="5"/>
      <c r="C88" s="5"/>
    </row>
    <row r="89" ht="15.75" customHeight="1">
      <c r="A89" s="5"/>
      <c r="B89" s="5"/>
      <c r="C89" s="5"/>
    </row>
    <row r="90" ht="15.75" customHeight="1">
      <c r="A90" s="5"/>
      <c r="B90" s="5"/>
      <c r="C90" s="5"/>
    </row>
    <row r="91" ht="15.75" customHeight="1">
      <c r="A91" s="5"/>
      <c r="B91" s="5"/>
      <c r="C91" s="5"/>
    </row>
    <row r="92" ht="15.75" customHeight="1">
      <c r="A92" s="5"/>
      <c r="B92" s="5"/>
      <c r="C92" s="5"/>
    </row>
    <row r="93" ht="15.75" customHeight="1">
      <c r="A93" s="5"/>
      <c r="B93" s="5"/>
      <c r="C93" s="5"/>
    </row>
    <row r="94" ht="15.75" customHeight="1">
      <c r="A94" s="5"/>
      <c r="B94" s="5"/>
      <c r="C94" s="5"/>
    </row>
    <row r="95" ht="15.75" customHeight="1">
      <c r="A95" s="5"/>
      <c r="B95" s="5"/>
      <c r="C95" s="5"/>
    </row>
    <row r="96" ht="15.75" customHeight="1">
      <c r="A96" s="5"/>
      <c r="B96" s="5"/>
      <c r="C96" s="5"/>
    </row>
    <row r="97" ht="15.75" customHeight="1">
      <c r="A97" s="5"/>
      <c r="B97" s="5"/>
      <c r="C97" s="5"/>
    </row>
    <row r="98" ht="15.75" customHeight="1">
      <c r="A98" s="5"/>
      <c r="B98" s="5"/>
      <c r="C98" s="5"/>
    </row>
    <row r="99" ht="15.75" customHeight="1">
      <c r="A99" s="5"/>
      <c r="B99" s="5"/>
      <c r="C99" s="5"/>
    </row>
    <row r="100" ht="15.75" customHeight="1">
      <c r="A100" s="5"/>
      <c r="B100" s="5"/>
      <c r="C100" s="5"/>
    </row>
    <row r="101" ht="15.75" customHeight="1">
      <c r="A101" s="5"/>
      <c r="B101" s="5"/>
      <c r="C101" s="5"/>
    </row>
    <row r="102" ht="15.75" customHeight="1">
      <c r="A102" s="5"/>
      <c r="B102" s="5"/>
      <c r="C102" s="5"/>
    </row>
    <row r="103" ht="15.75" customHeight="1">
      <c r="A103" s="5"/>
      <c r="B103" s="5"/>
      <c r="C103" s="5"/>
    </row>
    <row r="104" ht="15.75" customHeight="1">
      <c r="A104" s="5"/>
      <c r="B104" s="5"/>
      <c r="C104" s="5"/>
    </row>
    <row r="105" ht="15.75" customHeight="1">
      <c r="A105" s="5"/>
      <c r="B105" s="5"/>
      <c r="C105" s="5"/>
    </row>
    <row r="106" ht="15.75" customHeight="1">
      <c r="A106" s="5"/>
      <c r="B106" s="5"/>
      <c r="C106" s="5"/>
    </row>
    <row r="107" ht="15.75" customHeight="1">
      <c r="A107" s="5"/>
      <c r="B107" s="5"/>
      <c r="C107" s="5"/>
    </row>
    <row r="108" ht="15.75" customHeight="1">
      <c r="A108" s="5"/>
      <c r="B108" s="5"/>
      <c r="C108" s="5"/>
    </row>
    <row r="109" ht="15.75" customHeight="1">
      <c r="A109" s="5"/>
      <c r="B109" s="5"/>
      <c r="C109" s="5"/>
    </row>
    <row r="110" ht="15.75" customHeight="1">
      <c r="A110" s="5"/>
      <c r="B110" s="5"/>
      <c r="C110" s="5"/>
    </row>
    <row r="111" ht="15.75" customHeight="1">
      <c r="A111" s="5"/>
      <c r="B111" s="5"/>
      <c r="C111" s="5"/>
    </row>
    <row r="112" ht="15.75" customHeight="1">
      <c r="A112" s="5"/>
      <c r="B112" s="5"/>
      <c r="C112" s="5"/>
    </row>
    <row r="113" ht="15.75" customHeight="1">
      <c r="A113" s="5"/>
      <c r="B113" s="5"/>
      <c r="C113" s="5"/>
    </row>
    <row r="114" ht="15.75" customHeight="1">
      <c r="A114" s="5"/>
      <c r="B114" s="5"/>
      <c r="C114" s="5"/>
    </row>
    <row r="115" ht="15.75" customHeight="1">
      <c r="A115" s="5"/>
      <c r="B115" s="5"/>
      <c r="C115" s="5"/>
    </row>
    <row r="116" ht="15.75" customHeight="1">
      <c r="A116" s="5"/>
      <c r="B116" s="5"/>
      <c r="C116" s="5"/>
    </row>
    <row r="117" ht="15.75" customHeight="1">
      <c r="A117" s="5"/>
      <c r="B117" s="5"/>
      <c r="C117" s="5"/>
    </row>
    <row r="118" ht="15.75" customHeight="1">
      <c r="A118" s="5"/>
      <c r="B118" s="5"/>
      <c r="C118" s="5"/>
    </row>
    <row r="119" ht="15.75" customHeight="1">
      <c r="A119" s="5"/>
      <c r="B119" s="5"/>
      <c r="C119" s="5"/>
    </row>
    <row r="120" ht="15.75" customHeight="1">
      <c r="A120" s="5"/>
      <c r="B120" s="5"/>
      <c r="C120" s="5"/>
    </row>
    <row r="121" ht="15.75" customHeight="1">
      <c r="A121" s="5"/>
      <c r="B121" s="5"/>
      <c r="C121" s="5"/>
    </row>
    <row r="122" ht="15.75" customHeight="1">
      <c r="A122" s="5"/>
      <c r="B122" s="5"/>
      <c r="C122" s="5"/>
    </row>
    <row r="123" ht="15.75" customHeight="1">
      <c r="A123" s="5"/>
      <c r="B123" s="5"/>
      <c r="C123" s="5"/>
    </row>
    <row r="124" ht="15.75" customHeight="1">
      <c r="A124" s="5"/>
      <c r="B124" s="5"/>
      <c r="C124" s="5"/>
    </row>
    <row r="125" ht="15.75" customHeight="1">
      <c r="A125" s="5"/>
      <c r="B125" s="5"/>
      <c r="C125" s="5"/>
    </row>
    <row r="126" ht="15.75" customHeight="1">
      <c r="A126" s="5"/>
      <c r="B126" s="5"/>
      <c r="C126" s="5"/>
    </row>
    <row r="127" ht="15.75" customHeight="1">
      <c r="A127" s="5"/>
      <c r="B127" s="5"/>
      <c r="C127" s="5"/>
    </row>
    <row r="128" ht="15.75" customHeight="1">
      <c r="A128" s="5"/>
      <c r="B128" s="5"/>
      <c r="C128" s="5"/>
    </row>
    <row r="129" ht="15.75" customHeight="1">
      <c r="A129" s="5"/>
      <c r="B129" s="5"/>
      <c r="C129" s="5"/>
    </row>
    <row r="130" ht="15.75" customHeight="1">
      <c r="A130" s="5"/>
      <c r="B130" s="5"/>
      <c r="C130" s="5"/>
    </row>
    <row r="131" ht="15.75" customHeight="1">
      <c r="A131" s="5"/>
      <c r="B131" s="5"/>
      <c r="C131" s="5"/>
    </row>
    <row r="132" ht="15.75" customHeight="1">
      <c r="A132" s="5"/>
      <c r="B132" s="5"/>
      <c r="C132" s="5"/>
    </row>
    <row r="133" ht="15.75" customHeight="1">
      <c r="A133" s="5"/>
      <c r="B133" s="5"/>
      <c r="C133" s="5"/>
    </row>
    <row r="134" ht="15.75" customHeight="1">
      <c r="A134" s="5"/>
      <c r="B134" s="5"/>
      <c r="C134" s="5"/>
    </row>
    <row r="135" ht="15.75" customHeight="1">
      <c r="A135" s="5"/>
      <c r="B135" s="5"/>
      <c r="C135" s="5"/>
    </row>
    <row r="136" ht="15.75" customHeight="1">
      <c r="A136" s="5"/>
      <c r="B136" s="5"/>
      <c r="C136" s="5"/>
    </row>
    <row r="137" ht="15.75" customHeight="1">
      <c r="A137" s="5"/>
      <c r="B137" s="5"/>
      <c r="C137" s="5"/>
    </row>
    <row r="138" ht="15.75" customHeight="1">
      <c r="A138" s="5"/>
      <c r="B138" s="5"/>
      <c r="C138" s="5"/>
    </row>
    <row r="139" ht="15.75" customHeight="1">
      <c r="A139" s="5"/>
      <c r="B139" s="5"/>
      <c r="C139" s="5"/>
    </row>
    <row r="140" ht="15.75" customHeight="1">
      <c r="A140" s="5"/>
      <c r="B140" s="5"/>
      <c r="C140" s="5"/>
    </row>
    <row r="141" ht="15.75" customHeight="1">
      <c r="A141" s="5"/>
      <c r="B141" s="5"/>
      <c r="C141" s="5"/>
    </row>
    <row r="142" ht="15.75" customHeight="1">
      <c r="A142" s="5"/>
      <c r="B142" s="5"/>
      <c r="C142" s="5"/>
    </row>
    <row r="143" ht="15.75" customHeight="1">
      <c r="A143" s="5"/>
      <c r="B143" s="5"/>
      <c r="C143" s="5"/>
    </row>
    <row r="144" ht="15.75" customHeight="1">
      <c r="A144" s="5"/>
      <c r="B144" s="5"/>
      <c r="C144" s="5"/>
    </row>
    <row r="145" ht="15.75" customHeight="1">
      <c r="A145" s="5"/>
      <c r="B145" s="5"/>
      <c r="C145" s="5"/>
    </row>
    <row r="146" ht="15.75" customHeight="1">
      <c r="A146" s="5"/>
      <c r="B146" s="5"/>
      <c r="C146" s="5"/>
    </row>
    <row r="147" ht="15.75" customHeight="1">
      <c r="A147" s="5"/>
      <c r="B147" s="5"/>
      <c r="C147" s="5"/>
    </row>
    <row r="148" ht="15.75" customHeight="1">
      <c r="A148" s="5"/>
      <c r="B148" s="5"/>
      <c r="C148" s="5"/>
    </row>
    <row r="149" ht="15.75" customHeight="1">
      <c r="A149" s="5"/>
      <c r="B149" s="5"/>
      <c r="C149" s="5"/>
    </row>
    <row r="150" ht="15.75" customHeight="1">
      <c r="A150" s="5"/>
      <c r="B150" s="5"/>
      <c r="C150" s="5"/>
    </row>
    <row r="151" ht="15.75" customHeight="1">
      <c r="A151" s="5"/>
      <c r="B151" s="5"/>
      <c r="C151" s="5"/>
    </row>
    <row r="152" ht="15.75" customHeight="1">
      <c r="A152" s="5"/>
      <c r="B152" s="5"/>
      <c r="C152" s="5"/>
    </row>
    <row r="153" ht="15.75" customHeight="1">
      <c r="A153" s="5"/>
      <c r="B153" s="5"/>
      <c r="C153" s="5"/>
    </row>
    <row r="154" ht="15.75" customHeight="1">
      <c r="A154" s="5"/>
      <c r="B154" s="5"/>
      <c r="C154" s="5"/>
    </row>
    <row r="155" ht="15.75" customHeight="1">
      <c r="A155" s="5"/>
      <c r="B155" s="5"/>
      <c r="C155" s="5"/>
    </row>
    <row r="156" ht="15.75" customHeight="1">
      <c r="A156" s="5"/>
      <c r="B156" s="5"/>
      <c r="C156" s="5"/>
    </row>
    <row r="157" ht="15.75" customHeight="1">
      <c r="A157" s="5"/>
      <c r="B157" s="5"/>
      <c r="C157" s="5"/>
    </row>
    <row r="158" ht="15.75" customHeight="1">
      <c r="A158" s="5"/>
      <c r="B158" s="5"/>
      <c r="C158" s="5"/>
    </row>
    <row r="159" ht="15.75" customHeight="1">
      <c r="A159" s="5"/>
      <c r="B159" s="5"/>
      <c r="C159" s="5"/>
    </row>
    <row r="160" ht="15.75" customHeight="1">
      <c r="A160" s="5"/>
      <c r="B160" s="5"/>
      <c r="C160" s="5"/>
    </row>
    <row r="161" ht="15.75" customHeight="1">
      <c r="A161" s="5"/>
      <c r="B161" s="5"/>
      <c r="C161" s="5"/>
    </row>
    <row r="162" ht="15.75" customHeight="1">
      <c r="A162" s="5"/>
      <c r="B162" s="5"/>
      <c r="C162" s="5"/>
    </row>
    <row r="163" ht="15.75" customHeight="1">
      <c r="A163" s="5"/>
      <c r="B163" s="5"/>
      <c r="C163" s="5"/>
    </row>
    <row r="164" ht="15.75" customHeight="1">
      <c r="A164" s="5"/>
      <c r="B164" s="5"/>
      <c r="C164" s="5"/>
    </row>
    <row r="165" ht="15.75" customHeight="1">
      <c r="A165" s="5"/>
      <c r="B165" s="5"/>
      <c r="C165" s="5"/>
    </row>
    <row r="166" ht="15.75" customHeight="1">
      <c r="A166" s="5"/>
      <c r="B166" s="5"/>
      <c r="C166" s="5"/>
    </row>
    <row r="167" ht="15.75" customHeight="1">
      <c r="A167" s="5"/>
      <c r="B167" s="5"/>
      <c r="C167" s="5"/>
    </row>
    <row r="168" ht="15.75" customHeight="1">
      <c r="A168" s="5"/>
      <c r="B168" s="5"/>
      <c r="C168" s="5"/>
    </row>
    <row r="169" ht="15.75" customHeight="1">
      <c r="A169" s="5"/>
      <c r="B169" s="5"/>
      <c r="C169" s="5"/>
    </row>
    <row r="170" ht="15.75" customHeight="1">
      <c r="A170" s="5"/>
      <c r="B170" s="5"/>
      <c r="C170" s="5"/>
    </row>
    <row r="171" ht="15.75" customHeight="1">
      <c r="A171" s="5"/>
      <c r="B171" s="5"/>
      <c r="C171" s="5"/>
    </row>
    <row r="172" ht="15.75" customHeight="1">
      <c r="A172" s="5"/>
      <c r="B172" s="5"/>
      <c r="C172" s="5"/>
    </row>
    <row r="173" ht="15.75" customHeight="1">
      <c r="A173" s="5"/>
      <c r="B173" s="5"/>
      <c r="C173" s="5"/>
    </row>
    <row r="174" ht="15.75" customHeight="1">
      <c r="A174" s="5"/>
      <c r="B174" s="5"/>
      <c r="C174" s="5"/>
    </row>
    <row r="175" ht="15.75" customHeight="1">
      <c r="A175" s="5"/>
      <c r="B175" s="5"/>
      <c r="C175" s="5"/>
    </row>
    <row r="176" ht="15.75" customHeight="1">
      <c r="A176" s="5"/>
      <c r="B176" s="5"/>
      <c r="C176" s="5"/>
    </row>
    <row r="177" ht="15.75" customHeight="1">
      <c r="A177" s="5"/>
      <c r="B177" s="5"/>
      <c r="C177" s="5"/>
    </row>
    <row r="178" ht="15.75" customHeight="1">
      <c r="A178" s="5"/>
      <c r="B178" s="5"/>
      <c r="C178" s="5"/>
    </row>
    <row r="179" ht="15.75" customHeight="1">
      <c r="A179" s="5"/>
      <c r="B179" s="5"/>
      <c r="C179" s="5"/>
    </row>
    <row r="180" ht="15.75" customHeight="1">
      <c r="A180" s="5"/>
      <c r="B180" s="5"/>
      <c r="C180" s="5"/>
    </row>
    <row r="181" ht="15.75" customHeight="1">
      <c r="A181" s="5"/>
      <c r="B181" s="5"/>
      <c r="C181" s="5"/>
    </row>
    <row r="182" ht="15.75" customHeight="1">
      <c r="A182" s="5"/>
      <c r="B182" s="5"/>
      <c r="C182" s="5"/>
    </row>
    <row r="183" ht="15.75" customHeight="1">
      <c r="A183" s="5"/>
      <c r="B183" s="5"/>
      <c r="C183" s="5"/>
    </row>
    <row r="184" ht="15.75" customHeight="1">
      <c r="A184" s="5"/>
      <c r="B184" s="5"/>
      <c r="C184" s="5"/>
    </row>
    <row r="185" ht="15.75" customHeight="1">
      <c r="A185" s="5"/>
      <c r="B185" s="5"/>
      <c r="C185" s="5"/>
    </row>
    <row r="186" ht="15.75" customHeight="1">
      <c r="A186" s="5"/>
      <c r="B186" s="5"/>
      <c r="C186" s="5"/>
    </row>
    <row r="187" ht="15.75" customHeight="1">
      <c r="A187" s="5"/>
      <c r="B187" s="5"/>
      <c r="C187" s="5"/>
    </row>
    <row r="188" ht="15.75" customHeight="1">
      <c r="A188" s="5"/>
      <c r="B188" s="5"/>
      <c r="C188" s="5"/>
    </row>
    <row r="189" ht="15.75" customHeight="1">
      <c r="A189" s="5"/>
      <c r="B189" s="5"/>
      <c r="C189" s="5"/>
    </row>
    <row r="190" ht="15.75" customHeight="1">
      <c r="A190" s="5"/>
      <c r="B190" s="5"/>
      <c r="C190" s="5"/>
    </row>
    <row r="191" ht="15.75" customHeight="1">
      <c r="A191" s="5"/>
      <c r="B191" s="5"/>
      <c r="C191" s="5"/>
    </row>
    <row r="192" ht="15.75" customHeight="1">
      <c r="A192" s="5"/>
      <c r="B192" s="5"/>
      <c r="C192" s="5"/>
    </row>
    <row r="193" ht="15.75" customHeight="1">
      <c r="A193" s="5"/>
      <c r="B193" s="5"/>
      <c r="C193" s="5"/>
    </row>
    <row r="194" ht="15.75" customHeight="1">
      <c r="A194" s="5"/>
      <c r="B194" s="5"/>
      <c r="C194" s="5"/>
    </row>
    <row r="195" ht="15.75" customHeight="1">
      <c r="A195" s="5"/>
      <c r="B195" s="5"/>
      <c r="C195" s="5"/>
    </row>
    <row r="196" ht="15.75" customHeight="1">
      <c r="A196" s="5"/>
      <c r="B196" s="5"/>
      <c r="C196" s="5"/>
    </row>
    <row r="197" ht="15.75" customHeight="1">
      <c r="A197" s="5"/>
      <c r="B197" s="5"/>
      <c r="C197" s="5"/>
    </row>
    <row r="198" ht="15.75" customHeight="1">
      <c r="A198" s="5"/>
      <c r="B198" s="5"/>
      <c r="C198" s="5"/>
    </row>
    <row r="199" ht="15.75" customHeight="1">
      <c r="A199" s="5"/>
      <c r="B199" s="5"/>
      <c r="C199" s="5"/>
    </row>
    <row r="200" ht="15.75" customHeight="1">
      <c r="A200" s="5"/>
      <c r="B200" s="5"/>
      <c r="C200" s="5"/>
    </row>
    <row r="201" ht="15.75" customHeight="1">
      <c r="A201" s="5"/>
      <c r="B201" s="5"/>
      <c r="C201" s="5"/>
    </row>
    <row r="202" ht="15.75" customHeight="1">
      <c r="A202" s="5"/>
      <c r="B202" s="5"/>
      <c r="C202" s="5"/>
    </row>
    <row r="203" ht="15.75" customHeight="1">
      <c r="A203" s="5"/>
      <c r="B203" s="5"/>
      <c r="C203" s="5"/>
    </row>
    <row r="204" ht="15.75" customHeight="1">
      <c r="A204" s="5"/>
      <c r="B204" s="5"/>
      <c r="C204" s="5"/>
    </row>
    <row r="205" ht="15.75" customHeight="1">
      <c r="A205" s="5"/>
      <c r="B205" s="5"/>
      <c r="C205" s="5"/>
    </row>
    <row r="206" ht="15.75" customHeight="1">
      <c r="A206" s="5"/>
      <c r="B206" s="5"/>
      <c r="C206" s="5"/>
    </row>
    <row r="207" ht="15.75" customHeight="1">
      <c r="A207" s="5"/>
      <c r="B207" s="5"/>
      <c r="C207" s="5"/>
    </row>
    <row r="208" ht="15.75" customHeight="1">
      <c r="A208" s="5"/>
      <c r="B208" s="5"/>
      <c r="C208" s="5"/>
    </row>
    <row r="209" ht="15.75" customHeight="1">
      <c r="A209" s="5"/>
      <c r="B209" s="5"/>
      <c r="C209" s="5"/>
    </row>
    <row r="210" ht="15.75" customHeight="1">
      <c r="A210" s="5"/>
      <c r="B210" s="5"/>
      <c r="C210" s="5"/>
    </row>
    <row r="211" ht="15.75" customHeight="1">
      <c r="A211" s="5"/>
      <c r="B211" s="5"/>
      <c r="C211" s="5"/>
    </row>
    <row r="212" ht="15.75" customHeight="1">
      <c r="A212" s="5"/>
      <c r="B212" s="5"/>
      <c r="C212" s="5"/>
    </row>
    <row r="213" ht="15.75" customHeight="1">
      <c r="A213" s="5"/>
      <c r="B213" s="5"/>
      <c r="C213" s="5"/>
    </row>
    <row r="214" ht="15.75" customHeight="1">
      <c r="A214" s="5"/>
      <c r="B214" s="5"/>
      <c r="C214" s="5"/>
    </row>
    <row r="215" ht="15.75" customHeight="1">
      <c r="A215" s="5"/>
      <c r="B215" s="5"/>
      <c r="C215" s="5"/>
    </row>
    <row r="216" ht="15.75" customHeight="1">
      <c r="A216" s="5"/>
      <c r="B216" s="5"/>
      <c r="C216" s="5"/>
    </row>
    <row r="217" ht="15.75" customHeight="1">
      <c r="A217" s="5"/>
      <c r="B217" s="5"/>
      <c r="C217" s="5"/>
    </row>
    <row r="218" ht="15.75" customHeight="1">
      <c r="A218" s="5"/>
      <c r="B218" s="5"/>
      <c r="C218" s="5"/>
    </row>
    <row r="219" ht="15.75" customHeight="1">
      <c r="A219" s="5"/>
      <c r="B219" s="5"/>
      <c r="C219" s="5"/>
    </row>
    <row r="220" ht="15.75" customHeight="1">
      <c r="A220" s="5"/>
      <c r="B220" s="5"/>
      <c r="C220" s="5"/>
    </row>
    <row r="221" ht="15.75" customHeight="1">
      <c r="A221" s="5"/>
      <c r="B221" s="5"/>
      <c r="C221" s="5"/>
    </row>
    <row r="222" ht="15.75" customHeight="1">
      <c r="A222" s="5"/>
      <c r="B222" s="5"/>
      <c r="C222" s="5"/>
    </row>
    <row r="223" ht="15.75" customHeight="1">
      <c r="A223" s="5"/>
      <c r="B223" s="5"/>
      <c r="C223" s="5"/>
    </row>
    <row r="224" ht="15.75" customHeight="1">
      <c r="A224" s="5"/>
      <c r="B224" s="5"/>
      <c r="C224" s="5"/>
    </row>
    <row r="225" ht="15.75" customHeight="1">
      <c r="A225" s="5"/>
      <c r="B225" s="5"/>
      <c r="C225" s="5"/>
    </row>
    <row r="226" ht="15.75" customHeight="1">
      <c r="A226" s="5"/>
      <c r="B226" s="5"/>
      <c r="C226" s="5"/>
    </row>
    <row r="227" ht="15.75" customHeight="1">
      <c r="A227" s="5"/>
      <c r="B227" s="5"/>
      <c r="C227" s="5"/>
    </row>
    <row r="228" ht="15.75" customHeight="1">
      <c r="A228" s="5"/>
      <c r="B228" s="5"/>
      <c r="C228" s="5"/>
    </row>
    <row r="229" ht="15.75" customHeight="1">
      <c r="A229" s="5"/>
      <c r="B229" s="5"/>
      <c r="C229" s="5"/>
    </row>
    <row r="230" ht="15.75" customHeight="1">
      <c r="A230" s="5"/>
      <c r="B230" s="5"/>
      <c r="C230" s="5"/>
    </row>
    <row r="231" ht="15.75" customHeight="1">
      <c r="A231" s="5"/>
      <c r="B231" s="5"/>
      <c r="C231" s="5"/>
    </row>
    <row r="232" ht="15.75" customHeight="1">
      <c r="A232" s="5"/>
      <c r="B232" s="5"/>
      <c r="C232" s="5"/>
    </row>
    <row r="233" ht="15.75" customHeight="1">
      <c r="A233" s="5"/>
      <c r="B233" s="5"/>
      <c r="C233" s="5"/>
    </row>
    <row r="234" ht="15.75" customHeight="1">
      <c r="A234" s="5"/>
      <c r="B234" s="5"/>
      <c r="C234" s="5"/>
    </row>
    <row r="235" ht="15.75" customHeight="1">
      <c r="A235" s="5"/>
      <c r="B235" s="5"/>
      <c r="C235" s="5"/>
    </row>
    <row r="236" ht="15.75" customHeight="1">
      <c r="A236" s="5"/>
      <c r="B236" s="5"/>
      <c r="C236" s="5"/>
    </row>
    <row r="237" ht="15.75" customHeight="1">
      <c r="A237" s="5"/>
      <c r="B237" s="5"/>
      <c r="C237" s="5"/>
    </row>
    <row r="238" ht="15.75" customHeight="1">
      <c r="A238" s="5"/>
      <c r="B238" s="5"/>
      <c r="C238" s="5"/>
    </row>
    <row r="239" ht="15.75" customHeight="1">
      <c r="A239" s="5"/>
      <c r="B239" s="5"/>
      <c r="C239" s="5"/>
    </row>
    <row r="240" ht="15.75" customHeight="1">
      <c r="A240" s="5"/>
      <c r="B240" s="5"/>
      <c r="C240" s="5"/>
    </row>
    <row r="241" ht="15.75" customHeight="1">
      <c r="A241" s="5"/>
      <c r="B241" s="5"/>
      <c r="C241" s="5"/>
    </row>
    <row r="242" ht="15.75" customHeight="1">
      <c r="A242" s="5"/>
      <c r="B242" s="5"/>
      <c r="C242" s="5"/>
    </row>
    <row r="243" ht="15.75" customHeight="1">
      <c r="A243" s="5"/>
      <c r="B243" s="5"/>
      <c r="C243" s="5"/>
    </row>
    <row r="244" ht="15.75" customHeight="1">
      <c r="A244" s="5"/>
      <c r="B244" s="5"/>
      <c r="C244" s="5"/>
    </row>
    <row r="245" ht="15.75" customHeight="1">
      <c r="A245" s="5"/>
      <c r="B245" s="5"/>
      <c r="C245" s="5"/>
    </row>
    <row r="246" ht="15.75" customHeight="1">
      <c r="A246" s="5"/>
      <c r="B246" s="5"/>
      <c r="C246" s="5"/>
    </row>
    <row r="247" ht="15.75" customHeight="1">
      <c r="A247" s="5"/>
      <c r="B247" s="5"/>
      <c r="C247" s="5"/>
    </row>
    <row r="248" ht="15.75" customHeight="1">
      <c r="A248" s="5"/>
      <c r="B248" s="5"/>
      <c r="C248" s="5"/>
    </row>
    <row r="249" ht="15.75" customHeight="1">
      <c r="A249" s="5"/>
      <c r="B249" s="5"/>
      <c r="C249" s="5"/>
    </row>
    <row r="250" ht="15.75" customHeight="1">
      <c r="A250" s="5"/>
      <c r="B250" s="5"/>
      <c r="C250" s="5"/>
    </row>
    <row r="251" ht="15.75" customHeight="1">
      <c r="A251" s="5"/>
      <c r="B251" s="5"/>
      <c r="C251" s="5"/>
    </row>
    <row r="252" ht="15.75" customHeight="1">
      <c r="A252" s="5"/>
      <c r="B252" s="5"/>
      <c r="C252" s="5"/>
    </row>
    <row r="253" ht="15.75" customHeight="1">
      <c r="A253" s="5"/>
      <c r="B253" s="5"/>
      <c r="C253" s="5"/>
    </row>
    <row r="254" ht="15.75" customHeight="1">
      <c r="A254" s="5"/>
      <c r="B254" s="5"/>
      <c r="C254" s="5"/>
    </row>
    <row r="255" ht="15.75" customHeight="1">
      <c r="A255" s="5"/>
      <c r="B255" s="5"/>
      <c r="C255" s="5"/>
    </row>
    <row r="256" ht="15.75" customHeight="1">
      <c r="A256" s="5"/>
      <c r="B256" s="5"/>
      <c r="C256" s="5"/>
    </row>
    <row r="257" ht="15.75" customHeight="1">
      <c r="A257" s="5"/>
      <c r="B257" s="5"/>
      <c r="C257" s="5"/>
    </row>
    <row r="258" ht="15.75" customHeight="1">
      <c r="A258" s="5"/>
      <c r="B258" s="5"/>
      <c r="C258" s="5"/>
    </row>
    <row r="259" ht="15.75" customHeight="1">
      <c r="A259" s="5"/>
      <c r="B259" s="5"/>
      <c r="C259" s="5"/>
    </row>
    <row r="260" ht="15.75" customHeight="1">
      <c r="A260" s="5"/>
      <c r="B260" s="5"/>
      <c r="C260" s="5"/>
    </row>
    <row r="261" ht="15.75" customHeight="1">
      <c r="A261" s="5"/>
      <c r="B261" s="5"/>
      <c r="C261" s="5"/>
    </row>
    <row r="262" ht="15.75" customHeight="1">
      <c r="A262" s="5"/>
      <c r="B262" s="5"/>
      <c r="C262" s="5"/>
    </row>
    <row r="263" ht="15.75" customHeight="1">
      <c r="A263" s="5"/>
      <c r="B263" s="5"/>
      <c r="C263" s="5"/>
    </row>
    <row r="264" ht="15.75" customHeight="1">
      <c r="A264" s="5"/>
      <c r="B264" s="5"/>
      <c r="C264" s="5"/>
    </row>
    <row r="265" ht="15.75" customHeight="1">
      <c r="A265" s="5"/>
      <c r="B265" s="5"/>
      <c r="C265" s="5"/>
    </row>
    <row r="266" ht="15.75" customHeight="1">
      <c r="A266" s="5"/>
      <c r="B266" s="5"/>
      <c r="C266" s="5"/>
    </row>
    <row r="267" ht="15.75" customHeight="1">
      <c r="A267" s="5"/>
      <c r="B267" s="5"/>
      <c r="C267" s="5"/>
    </row>
    <row r="268" ht="15.75" customHeight="1">
      <c r="A268" s="5"/>
      <c r="B268" s="5"/>
      <c r="C268" s="5"/>
    </row>
    <row r="269" ht="15.75" customHeight="1">
      <c r="A269" s="5"/>
      <c r="B269" s="5"/>
      <c r="C269" s="5"/>
    </row>
    <row r="270" ht="15.75" customHeight="1">
      <c r="A270" s="5"/>
      <c r="B270" s="5"/>
      <c r="C270" s="5"/>
    </row>
    <row r="271" ht="15.75" customHeight="1">
      <c r="A271" s="5"/>
      <c r="B271" s="5"/>
      <c r="C271" s="5"/>
    </row>
    <row r="272" ht="15.75" customHeight="1">
      <c r="A272" s="5"/>
      <c r="B272" s="5"/>
      <c r="C272" s="5"/>
    </row>
    <row r="273" ht="15.75" customHeight="1">
      <c r="A273" s="5"/>
      <c r="B273" s="5"/>
      <c r="C273" s="5"/>
    </row>
    <row r="274" ht="15.75" customHeight="1">
      <c r="A274" s="5"/>
      <c r="B274" s="5"/>
      <c r="C274" s="5"/>
    </row>
    <row r="275" ht="15.75" customHeight="1">
      <c r="A275" s="5"/>
      <c r="B275" s="5"/>
      <c r="C275" s="5"/>
    </row>
    <row r="276" ht="15.75" customHeight="1">
      <c r="A276" s="5"/>
      <c r="B276" s="5"/>
      <c r="C276" s="5"/>
    </row>
    <row r="277" ht="15.75" customHeight="1">
      <c r="A277" s="5"/>
      <c r="B277" s="5"/>
      <c r="C277" s="5"/>
    </row>
    <row r="278" ht="15.75" customHeight="1">
      <c r="A278" s="5"/>
      <c r="B278" s="5"/>
      <c r="C278" s="5"/>
    </row>
    <row r="279" ht="15.75" customHeight="1">
      <c r="A279" s="5"/>
      <c r="B279" s="5"/>
      <c r="C279" s="5"/>
    </row>
    <row r="280" ht="15.75" customHeight="1">
      <c r="A280" s="5"/>
      <c r="B280" s="5"/>
      <c r="C280" s="5"/>
    </row>
    <row r="281" ht="15.75" customHeight="1">
      <c r="A281" s="5"/>
      <c r="B281" s="5"/>
      <c r="C281" s="5"/>
    </row>
    <row r="282" ht="15.75" customHeight="1">
      <c r="A282" s="5"/>
      <c r="B282" s="5"/>
      <c r="C282" s="5"/>
    </row>
    <row r="283" ht="15.75" customHeight="1">
      <c r="A283" s="5"/>
      <c r="B283" s="5"/>
      <c r="C283" s="5"/>
    </row>
    <row r="284" ht="15.75" customHeight="1">
      <c r="A284" s="5"/>
      <c r="B284" s="5"/>
      <c r="C284" s="5"/>
    </row>
    <row r="285" ht="15.75" customHeight="1">
      <c r="A285" s="5"/>
      <c r="B285" s="5"/>
      <c r="C285" s="5"/>
    </row>
    <row r="286" ht="15.75" customHeight="1">
      <c r="A286" s="5"/>
      <c r="B286" s="5"/>
      <c r="C286" s="5"/>
    </row>
    <row r="287" ht="15.75" customHeight="1">
      <c r="A287" s="5"/>
      <c r="B287" s="5"/>
      <c r="C287" s="5"/>
    </row>
    <row r="288" ht="15.75" customHeight="1">
      <c r="A288" s="5"/>
      <c r="B288" s="5"/>
      <c r="C288" s="5"/>
    </row>
    <row r="289" ht="15.75" customHeight="1">
      <c r="A289" s="5"/>
      <c r="B289" s="5"/>
      <c r="C289" s="5"/>
    </row>
    <row r="290" ht="15.75" customHeight="1">
      <c r="A290" s="5"/>
      <c r="B290" s="5"/>
      <c r="C290" s="5"/>
    </row>
    <row r="291" ht="15.75" customHeight="1">
      <c r="A291" s="5"/>
      <c r="B291" s="5"/>
      <c r="C291" s="5"/>
    </row>
    <row r="292" ht="15.75" customHeight="1">
      <c r="A292" s="5"/>
      <c r="B292" s="5"/>
      <c r="C292" s="5"/>
    </row>
    <row r="293" ht="15.75" customHeight="1">
      <c r="A293" s="5"/>
      <c r="B293" s="5"/>
      <c r="C293" s="5"/>
    </row>
    <row r="294" ht="15.75" customHeight="1">
      <c r="A294" s="5"/>
      <c r="B294" s="5"/>
      <c r="C294" s="5"/>
    </row>
    <row r="295" ht="15.75" customHeight="1">
      <c r="A295" s="5"/>
      <c r="B295" s="5"/>
      <c r="C295" s="5"/>
    </row>
    <row r="296" ht="15.75" customHeight="1">
      <c r="A296" s="5"/>
      <c r="B296" s="5"/>
      <c r="C296" s="5"/>
    </row>
    <row r="297" ht="15.75" customHeight="1">
      <c r="A297" s="5"/>
      <c r="B297" s="5"/>
      <c r="C297" s="5"/>
    </row>
    <row r="298" ht="15.75" customHeight="1">
      <c r="A298" s="5"/>
      <c r="B298" s="5"/>
      <c r="C298" s="5"/>
    </row>
    <row r="299" ht="15.75" customHeight="1">
      <c r="A299" s="5"/>
      <c r="B299" s="5"/>
      <c r="C299" s="5"/>
    </row>
    <row r="300" ht="15.75" customHeight="1">
      <c r="A300" s="5"/>
      <c r="B300" s="5"/>
      <c r="C300" s="5"/>
    </row>
    <row r="301" ht="15.75" customHeight="1">
      <c r="A301" s="5"/>
      <c r="B301" s="5"/>
      <c r="C301" s="5"/>
    </row>
    <row r="302" ht="15.75" customHeight="1">
      <c r="A302" s="5"/>
      <c r="B302" s="5"/>
      <c r="C302" s="5"/>
    </row>
    <row r="303" ht="15.75" customHeight="1">
      <c r="A303" s="5"/>
      <c r="B303" s="5"/>
      <c r="C303" s="5"/>
    </row>
    <row r="304" ht="15.75" customHeight="1">
      <c r="A304" s="5"/>
      <c r="B304" s="5"/>
      <c r="C304" s="5"/>
    </row>
    <row r="305" ht="15.75" customHeight="1">
      <c r="A305" s="5"/>
      <c r="B305" s="5"/>
      <c r="C305" s="5"/>
    </row>
    <row r="306" ht="15.75" customHeight="1">
      <c r="A306" s="5"/>
      <c r="B306" s="5"/>
      <c r="C306" s="5"/>
    </row>
    <row r="307" ht="15.75" customHeight="1">
      <c r="A307" s="5"/>
      <c r="B307" s="5"/>
      <c r="C307" s="5"/>
    </row>
    <row r="308" ht="15.75" customHeight="1">
      <c r="A308" s="5"/>
      <c r="B308" s="5"/>
      <c r="C308" s="5"/>
    </row>
    <row r="309" ht="15.75" customHeight="1">
      <c r="A309" s="5"/>
      <c r="B309" s="5"/>
      <c r="C309" s="5"/>
    </row>
    <row r="310" ht="15.75" customHeight="1">
      <c r="A310" s="5"/>
      <c r="B310" s="5"/>
      <c r="C310" s="5"/>
    </row>
    <row r="311" ht="15.75" customHeight="1">
      <c r="A311" s="5"/>
      <c r="B311" s="5"/>
      <c r="C311" s="5"/>
    </row>
    <row r="312" ht="15.75" customHeight="1">
      <c r="A312" s="5"/>
      <c r="B312" s="5"/>
      <c r="C312" s="5"/>
    </row>
    <row r="313" ht="15.75" customHeight="1">
      <c r="A313" s="5"/>
      <c r="B313" s="5"/>
      <c r="C313" s="5"/>
    </row>
    <row r="314" ht="15.75" customHeight="1">
      <c r="A314" s="5"/>
      <c r="B314" s="5"/>
      <c r="C314" s="5"/>
    </row>
    <row r="315" ht="15.75" customHeight="1">
      <c r="A315" s="5"/>
      <c r="B315" s="5"/>
      <c r="C315" s="5"/>
    </row>
    <row r="316" ht="15.75" customHeight="1">
      <c r="A316" s="5"/>
      <c r="B316" s="5"/>
      <c r="C316" s="5"/>
    </row>
    <row r="317" ht="15.75" customHeight="1">
      <c r="A317" s="5"/>
      <c r="B317" s="5"/>
      <c r="C317" s="5"/>
    </row>
    <row r="318" ht="15.75" customHeight="1">
      <c r="A318" s="5"/>
      <c r="B318" s="5"/>
      <c r="C318" s="5"/>
    </row>
    <row r="319" ht="15.75" customHeight="1">
      <c r="A319" s="5"/>
      <c r="B319" s="5"/>
      <c r="C319" s="5"/>
    </row>
    <row r="320" ht="15.75" customHeight="1">
      <c r="A320" s="5"/>
      <c r="B320" s="5"/>
      <c r="C320" s="5"/>
    </row>
    <row r="321" ht="15.75" customHeight="1">
      <c r="A321" s="5"/>
      <c r="B321" s="5"/>
      <c r="C321" s="5"/>
    </row>
    <row r="322" ht="15.75" customHeight="1">
      <c r="A322" s="5"/>
      <c r="B322" s="5"/>
      <c r="C322" s="5"/>
    </row>
    <row r="323" ht="15.75" customHeight="1">
      <c r="A323" s="5"/>
      <c r="B323" s="5"/>
      <c r="C323" s="5"/>
    </row>
    <row r="324" ht="15.75" customHeight="1">
      <c r="A324" s="5"/>
      <c r="B324" s="5"/>
      <c r="C324" s="5"/>
    </row>
    <row r="325" ht="15.75" customHeight="1">
      <c r="A325" s="5"/>
      <c r="B325" s="5"/>
      <c r="C325" s="5"/>
    </row>
    <row r="326" ht="15.75" customHeight="1">
      <c r="A326" s="5"/>
      <c r="B326" s="5"/>
      <c r="C326" s="5"/>
    </row>
    <row r="327" ht="15.75" customHeight="1">
      <c r="A327" s="5"/>
      <c r="B327" s="5"/>
      <c r="C327" s="5"/>
    </row>
    <row r="328" ht="15.75" customHeight="1">
      <c r="A328" s="5"/>
      <c r="B328" s="5"/>
      <c r="C328" s="5"/>
    </row>
    <row r="329" ht="15.75" customHeight="1">
      <c r="A329" s="5"/>
      <c r="B329" s="5"/>
      <c r="C329" s="5"/>
    </row>
    <row r="330" ht="15.75" customHeight="1">
      <c r="A330" s="5"/>
      <c r="B330" s="5"/>
      <c r="C330" s="5"/>
    </row>
    <row r="331" ht="15.75" customHeight="1">
      <c r="A331" s="5"/>
      <c r="B331" s="5"/>
      <c r="C331" s="5"/>
    </row>
    <row r="332" ht="15.75" customHeight="1">
      <c r="A332" s="5"/>
      <c r="B332" s="5"/>
      <c r="C332" s="5"/>
    </row>
    <row r="333" ht="15.75" customHeight="1">
      <c r="A333" s="5"/>
      <c r="B333" s="5"/>
      <c r="C333" s="5"/>
    </row>
    <row r="334" ht="15.75" customHeight="1">
      <c r="A334" s="5"/>
      <c r="B334" s="5"/>
      <c r="C334" s="5"/>
    </row>
    <row r="335" ht="15.75" customHeight="1">
      <c r="A335" s="5"/>
      <c r="B335" s="5"/>
      <c r="C335" s="5"/>
    </row>
    <row r="336" ht="15.75" customHeight="1">
      <c r="A336" s="5"/>
      <c r="B336" s="5"/>
      <c r="C336" s="5"/>
    </row>
    <row r="337" ht="15.75" customHeight="1">
      <c r="A337" s="5"/>
      <c r="B337" s="5"/>
      <c r="C337" s="5"/>
    </row>
    <row r="338" ht="15.75" customHeight="1">
      <c r="A338" s="5"/>
      <c r="B338" s="5"/>
      <c r="C338" s="5"/>
    </row>
    <row r="339" ht="15.75" customHeight="1">
      <c r="A339" s="5"/>
      <c r="B339" s="5"/>
      <c r="C339" s="5"/>
    </row>
    <row r="340" ht="15.75" customHeight="1">
      <c r="A340" s="5"/>
      <c r="B340" s="5"/>
      <c r="C340" s="5"/>
    </row>
    <row r="341" ht="15.75" customHeight="1">
      <c r="A341" s="5"/>
      <c r="B341" s="5"/>
      <c r="C341" s="5"/>
    </row>
    <row r="342" ht="15.75" customHeight="1">
      <c r="A342" s="5"/>
      <c r="B342" s="5"/>
      <c r="C342" s="5"/>
    </row>
    <row r="343" ht="15.75" customHeight="1">
      <c r="A343" s="5"/>
      <c r="B343" s="5"/>
      <c r="C343" s="5"/>
    </row>
    <row r="344" ht="15.75" customHeight="1">
      <c r="A344" s="5"/>
      <c r="B344" s="5"/>
      <c r="C344" s="5"/>
    </row>
    <row r="345" ht="15.75" customHeight="1">
      <c r="A345" s="5"/>
      <c r="B345" s="5"/>
      <c r="C345" s="5"/>
    </row>
    <row r="346" ht="15.75" customHeight="1">
      <c r="A346" s="5"/>
      <c r="B346" s="5"/>
      <c r="C346" s="5"/>
    </row>
    <row r="347" ht="15.75" customHeight="1">
      <c r="A347" s="5"/>
      <c r="B347" s="5"/>
      <c r="C347" s="5"/>
    </row>
    <row r="348" ht="15.75" customHeight="1">
      <c r="A348" s="5"/>
      <c r="B348" s="5"/>
      <c r="C348" s="5"/>
    </row>
    <row r="349" ht="15.75" customHeight="1">
      <c r="A349" s="5"/>
      <c r="B349" s="5"/>
      <c r="C349" s="5"/>
    </row>
    <row r="350" ht="15.75" customHeight="1">
      <c r="A350" s="5"/>
      <c r="B350" s="5"/>
      <c r="C350" s="5"/>
    </row>
    <row r="351" ht="15.75" customHeight="1">
      <c r="A351" s="5"/>
      <c r="B351" s="5"/>
      <c r="C351" s="5"/>
    </row>
    <row r="352" ht="15.75" customHeight="1">
      <c r="A352" s="5"/>
      <c r="B352" s="5"/>
      <c r="C352" s="5"/>
    </row>
    <row r="353" ht="15.75" customHeight="1">
      <c r="A353" s="5"/>
      <c r="B353" s="5"/>
      <c r="C353" s="5"/>
    </row>
    <row r="354" ht="15.75" customHeight="1">
      <c r="A354" s="5"/>
      <c r="B354" s="5"/>
      <c r="C354" s="5"/>
    </row>
    <row r="355" ht="15.75" customHeight="1">
      <c r="A355" s="5"/>
      <c r="B355" s="5"/>
      <c r="C355" s="5"/>
    </row>
    <row r="356" ht="15.75" customHeight="1">
      <c r="A356" s="5"/>
      <c r="B356" s="5"/>
      <c r="C356" s="5"/>
    </row>
    <row r="357" ht="15.75" customHeight="1">
      <c r="A357" s="5"/>
      <c r="B357" s="5"/>
      <c r="C357" s="5"/>
    </row>
    <row r="358" ht="15.75" customHeight="1">
      <c r="A358" s="5"/>
      <c r="B358" s="5"/>
      <c r="C358" s="5"/>
    </row>
    <row r="359" ht="15.75" customHeight="1">
      <c r="A359" s="5"/>
      <c r="B359" s="5"/>
      <c r="C359" s="5"/>
    </row>
    <row r="360" ht="15.75" customHeight="1">
      <c r="A360" s="5"/>
      <c r="B360" s="5"/>
      <c r="C360" s="5"/>
    </row>
    <row r="361" ht="15.75" customHeight="1">
      <c r="A361" s="5"/>
      <c r="B361" s="5"/>
      <c r="C361" s="5"/>
    </row>
    <row r="362" ht="15.75" customHeight="1">
      <c r="A362" s="5"/>
      <c r="B362" s="5"/>
      <c r="C362" s="5"/>
    </row>
    <row r="363" ht="15.75" customHeight="1">
      <c r="A363" s="5"/>
      <c r="B363" s="5"/>
      <c r="C363" s="5"/>
    </row>
    <row r="364" ht="15.75" customHeight="1">
      <c r="A364" s="5"/>
      <c r="B364" s="5"/>
      <c r="C364" s="5"/>
    </row>
    <row r="365" ht="15.75" customHeight="1">
      <c r="A365" s="5"/>
      <c r="B365" s="5"/>
      <c r="C365" s="5"/>
    </row>
    <row r="366" ht="15.75" customHeight="1">
      <c r="A366" s="5"/>
      <c r="B366" s="5"/>
      <c r="C366" s="5"/>
    </row>
    <row r="367" ht="15.75" customHeight="1">
      <c r="A367" s="5"/>
      <c r="B367" s="5"/>
      <c r="C367" s="5"/>
    </row>
    <row r="368" ht="15.75" customHeight="1">
      <c r="A368" s="5"/>
      <c r="B368" s="5"/>
      <c r="C368" s="5"/>
    </row>
    <row r="369" ht="15.75" customHeight="1">
      <c r="A369" s="5"/>
      <c r="B369" s="5"/>
      <c r="C369" s="5"/>
    </row>
    <row r="370" ht="15.75" customHeight="1">
      <c r="A370" s="5"/>
      <c r="B370" s="5"/>
      <c r="C370" s="5"/>
    </row>
    <row r="371" ht="15.75" customHeight="1">
      <c r="A371" s="5"/>
      <c r="B371" s="5"/>
      <c r="C371" s="5"/>
    </row>
    <row r="372" ht="15.75" customHeight="1">
      <c r="A372" s="5"/>
      <c r="B372" s="5"/>
      <c r="C372" s="5"/>
    </row>
    <row r="373" ht="15.75" customHeight="1">
      <c r="A373" s="5"/>
      <c r="B373" s="5"/>
      <c r="C373" s="5"/>
    </row>
    <row r="374" ht="15.75" customHeight="1">
      <c r="A374" s="5"/>
      <c r="B374" s="5"/>
      <c r="C374" s="5"/>
    </row>
    <row r="375" ht="15.75" customHeight="1">
      <c r="A375" s="5"/>
      <c r="B375" s="5"/>
      <c r="C375" s="5"/>
    </row>
    <row r="376" ht="15.75" customHeight="1">
      <c r="A376" s="5"/>
      <c r="B376" s="5"/>
      <c r="C376" s="5"/>
    </row>
    <row r="377" ht="15.75" customHeight="1">
      <c r="A377" s="5"/>
      <c r="B377" s="5"/>
      <c r="C377" s="5"/>
    </row>
    <row r="378" ht="15.75" customHeight="1">
      <c r="A378" s="5"/>
      <c r="B378" s="5"/>
      <c r="C378" s="5"/>
    </row>
    <row r="379" ht="15.75" customHeight="1">
      <c r="A379" s="5"/>
      <c r="B379" s="5"/>
      <c r="C379" s="5"/>
    </row>
    <row r="380" ht="15.75" customHeight="1">
      <c r="A380" s="5"/>
      <c r="B380" s="5"/>
      <c r="C380" s="5"/>
    </row>
    <row r="381" ht="15.75" customHeight="1">
      <c r="A381" s="5"/>
      <c r="B381" s="5"/>
      <c r="C381" s="5"/>
    </row>
    <row r="382" ht="15.75" customHeight="1">
      <c r="A382" s="5"/>
      <c r="B382" s="5"/>
      <c r="C382" s="5"/>
    </row>
    <row r="383" ht="15.75" customHeight="1">
      <c r="A383" s="5"/>
      <c r="B383" s="5"/>
      <c r="C383" s="5"/>
    </row>
    <row r="384" ht="15.75" customHeight="1">
      <c r="A384" s="5"/>
      <c r="B384" s="5"/>
      <c r="C384" s="5"/>
    </row>
    <row r="385" ht="15.75" customHeight="1">
      <c r="A385" s="5"/>
      <c r="B385" s="5"/>
      <c r="C385" s="5"/>
    </row>
    <row r="386" ht="15.75" customHeight="1">
      <c r="A386" s="5"/>
      <c r="B386" s="5"/>
      <c r="C386" s="5"/>
    </row>
    <row r="387" ht="15.75" customHeight="1">
      <c r="A387" s="5"/>
      <c r="B387" s="5"/>
      <c r="C387" s="5"/>
    </row>
    <row r="388" ht="15.75" customHeight="1">
      <c r="A388" s="5"/>
      <c r="B388" s="5"/>
      <c r="C388" s="5"/>
    </row>
    <row r="389" ht="15.75" customHeight="1">
      <c r="A389" s="5"/>
      <c r="B389" s="5"/>
      <c r="C389" s="5"/>
    </row>
    <row r="390" ht="15.75" customHeight="1">
      <c r="A390" s="5"/>
      <c r="B390" s="5"/>
      <c r="C390" s="5"/>
    </row>
    <row r="391" ht="15.75" customHeight="1">
      <c r="A391" s="5"/>
      <c r="B391" s="5"/>
      <c r="C391" s="5"/>
    </row>
    <row r="392" ht="15.75" customHeight="1">
      <c r="A392" s="5"/>
      <c r="B392" s="5"/>
      <c r="C392" s="5"/>
    </row>
    <row r="393" ht="15.75" customHeight="1">
      <c r="A393" s="5"/>
      <c r="B393" s="5"/>
      <c r="C393" s="5"/>
    </row>
    <row r="394" ht="15.75" customHeight="1">
      <c r="A394" s="5"/>
      <c r="B394" s="5"/>
      <c r="C394" s="5"/>
    </row>
    <row r="395" ht="15.75" customHeight="1">
      <c r="A395" s="5"/>
      <c r="B395" s="5"/>
      <c r="C395" s="5"/>
    </row>
    <row r="396" ht="15.75" customHeight="1">
      <c r="A396" s="5"/>
      <c r="B396" s="5"/>
      <c r="C396" s="5"/>
    </row>
    <row r="397" ht="15.75" customHeight="1">
      <c r="A397" s="5"/>
      <c r="B397" s="5"/>
      <c r="C397" s="5"/>
    </row>
    <row r="398" ht="15.75" customHeight="1">
      <c r="A398" s="5"/>
      <c r="B398" s="5"/>
      <c r="C398" s="5"/>
    </row>
    <row r="399" ht="15.75" customHeight="1">
      <c r="A399" s="5"/>
      <c r="B399" s="5"/>
      <c r="C399" s="5"/>
    </row>
    <row r="400" ht="15.75" customHeight="1">
      <c r="A400" s="5"/>
      <c r="B400" s="5"/>
      <c r="C400" s="5"/>
    </row>
    <row r="401" ht="15.75" customHeight="1">
      <c r="A401" s="5"/>
      <c r="B401" s="5"/>
      <c r="C401" s="5"/>
    </row>
    <row r="402" ht="15.75" customHeight="1">
      <c r="A402" s="5"/>
      <c r="B402" s="5"/>
      <c r="C402" s="5"/>
    </row>
    <row r="403" ht="15.75" customHeight="1">
      <c r="A403" s="5"/>
      <c r="B403" s="5"/>
      <c r="C403" s="5"/>
    </row>
    <row r="404" ht="15.75" customHeight="1">
      <c r="A404" s="5"/>
      <c r="B404" s="5"/>
      <c r="C404" s="5"/>
    </row>
    <row r="405" ht="15.75" customHeight="1">
      <c r="A405" s="5"/>
      <c r="B405" s="5"/>
      <c r="C405" s="5"/>
    </row>
    <row r="406" ht="15.75" customHeight="1">
      <c r="A406" s="5"/>
      <c r="B406" s="5"/>
      <c r="C406" s="5"/>
    </row>
    <row r="407" ht="15.75" customHeight="1">
      <c r="A407" s="5"/>
      <c r="B407" s="5"/>
      <c r="C407" s="5"/>
    </row>
    <row r="408" ht="15.75" customHeight="1">
      <c r="A408" s="5"/>
      <c r="B408" s="5"/>
      <c r="C408" s="5"/>
    </row>
    <row r="409" ht="15.75" customHeight="1">
      <c r="A409" s="5"/>
      <c r="B409" s="5"/>
      <c r="C409" s="5"/>
    </row>
    <row r="410" ht="15.75" customHeight="1">
      <c r="A410" s="5"/>
      <c r="B410" s="5"/>
      <c r="C410" s="5"/>
    </row>
    <row r="411" ht="15.75" customHeight="1">
      <c r="A411" s="5"/>
      <c r="B411" s="5"/>
      <c r="C411" s="5"/>
    </row>
    <row r="412" ht="15.75" customHeight="1">
      <c r="A412" s="5"/>
      <c r="B412" s="5"/>
      <c r="C412" s="5"/>
    </row>
    <row r="413" ht="15.75" customHeight="1">
      <c r="A413" s="5"/>
      <c r="B413" s="5"/>
      <c r="C413" s="5"/>
    </row>
    <row r="414" ht="15.75" customHeight="1">
      <c r="A414" s="5"/>
      <c r="B414" s="5"/>
      <c r="C414" s="5"/>
    </row>
    <row r="415" ht="15.75" customHeight="1">
      <c r="A415" s="5"/>
      <c r="B415" s="5"/>
      <c r="C415" s="5"/>
    </row>
    <row r="416" ht="15.75" customHeight="1">
      <c r="A416" s="5"/>
      <c r="B416" s="5"/>
      <c r="C416" s="5"/>
    </row>
    <row r="417" ht="15.75" customHeight="1">
      <c r="A417" s="5"/>
      <c r="B417" s="5"/>
      <c r="C417" s="5"/>
    </row>
    <row r="418" ht="15.75" customHeight="1">
      <c r="A418" s="5"/>
      <c r="B418" s="5"/>
      <c r="C418" s="5"/>
    </row>
    <row r="419" ht="15.75" customHeight="1">
      <c r="A419" s="5"/>
      <c r="B419" s="5"/>
      <c r="C419" s="5"/>
    </row>
    <row r="420" ht="15.75" customHeight="1">
      <c r="A420" s="5"/>
      <c r="B420" s="5"/>
      <c r="C420" s="5"/>
    </row>
    <row r="421" ht="15.75" customHeight="1">
      <c r="A421" s="5"/>
      <c r="B421" s="5"/>
      <c r="C421" s="5"/>
    </row>
    <row r="422" ht="15.75" customHeight="1">
      <c r="A422" s="5"/>
      <c r="B422" s="5"/>
      <c r="C422" s="5"/>
    </row>
    <row r="423" ht="15.75" customHeight="1">
      <c r="A423" s="5"/>
      <c r="B423" s="5"/>
      <c r="C423" s="5"/>
    </row>
    <row r="424" ht="15.75" customHeight="1">
      <c r="A424" s="5"/>
      <c r="B424" s="5"/>
      <c r="C424" s="5"/>
    </row>
    <row r="425" ht="15.75" customHeight="1">
      <c r="A425" s="5"/>
      <c r="B425" s="5"/>
      <c r="C425" s="5"/>
    </row>
    <row r="426" ht="15.75" customHeight="1">
      <c r="A426" s="5"/>
      <c r="B426" s="5"/>
      <c r="C426" s="5"/>
    </row>
    <row r="427" ht="15.75" customHeight="1">
      <c r="A427" s="5"/>
      <c r="B427" s="5"/>
      <c r="C427" s="5"/>
    </row>
    <row r="428" ht="15.75" customHeight="1">
      <c r="A428" s="5"/>
      <c r="B428" s="5"/>
      <c r="C428" s="5"/>
    </row>
    <row r="429" ht="15.75" customHeight="1">
      <c r="A429" s="5"/>
      <c r="B429" s="5"/>
      <c r="C429" s="5"/>
    </row>
    <row r="430" ht="15.75" customHeight="1">
      <c r="A430" s="5"/>
      <c r="B430" s="5"/>
      <c r="C430" s="5"/>
    </row>
    <row r="431" ht="15.75" customHeight="1">
      <c r="A431" s="5"/>
      <c r="B431" s="5"/>
      <c r="C431" s="5"/>
    </row>
    <row r="432" ht="15.75" customHeight="1">
      <c r="A432" s="5"/>
      <c r="B432" s="5"/>
      <c r="C432" s="5"/>
    </row>
    <row r="433" ht="15.75" customHeight="1">
      <c r="A433" s="5"/>
      <c r="B433" s="5"/>
      <c r="C433" s="5"/>
    </row>
    <row r="434" ht="15.75" customHeight="1">
      <c r="A434" s="5"/>
      <c r="B434" s="5"/>
      <c r="C434" s="5"/>
    </row>
    <row r="435" ht="15.75" customHeight="1">
      <c r="A435" s="5"/>
      <c r="B435" s="5"/>
      <c r="C435" s="5"/>
    </row>
    <row r="436" ht="15.75" customHeight="1">
      <c r="A436" s="5"/>
      <c r="B436" s="5"/>
      <c r="C436" s="5"/>
    </row>
    <row r="437" ht="15.75" customHeight="1">
      <c r="A437" s="5"/>
      <c r="B437" s="5"/>
      <c r="C437" s="5"/>
    </row>
    <row r="438" ht="15.75" customHeight="1">
      <c r="A438" s="5"/>
      <c r="B438" s="5"/>
      <c r="C438" s="5"/>
    </row>
    <row r="439" ht="15.75" customHeight="1">
      <c r="A439" s="5"/>
      <c r="B439" s="5"/>
      <c r="C439" s="5"/>
    </row>
    <row r="440" ht="15.75" customHeight="1">
      <c r="A440" s="5"/>
      <c r="B440" s="5"/>
      <c r="C440" s="5"/>
    </row>
    <row r="441" ht="15.75" customHeight="1">
      <c r="A441" s="5"/>
      <c r="B441" s="5"/>
      <c r="C441" s="5"/>
    </row>
    <row r="442" ht="15.75" customHeight="1">
      <c r="A442" s="5"/>
      <c r="B442" s="5"/>
      <c r="C442" s="5"/>
    </row>
    <row r="443" ht="15.75" customHeight="1">
      <c r="A443" s="5"/>
      <c r="B443" s="5"/>
      <c r="C443" s="5"/>
    </row>
    <row r="444" ht="15.75" customHeight="1">
      <c r="A444" s="5"/>
      <c r="B444" s="5"/>
      <c r="C444" s="5"/>
    </row>
    <row r="445" ht="15.75" customHeight="1">
      <c r="A445" s="5"/>
      <c r="B445" s="5"/>
      <c r="C445" s="5"/>
    </row>
    <row r="446" ht="15.75" customHeight="1">
      <c r="A446" s="5"/>
      <c r="B446" s="5"/>
      <c r="C446" s="5"/>
    </row>
    <row r="447" ht="15.75" customHeight="1">
      <c r="A447" s="5"/>
      <c r="B447" s="5"/>
      <c r="C447" s="5"/>
    </row>
    <row r="448" ht="15.75" customHeight="1">
      <c r="A448" s="5"/>
      <c r="B448" s="5"/>
      <c r="C448" s="5"/>
    </row>
    <row r="449" ht="15.75" customHeight="1">
      <c r="A449" s="5"/>
      <c r="B449" s="5"/>
      <c r="C449" s="5"/>
    </row>
    <row r="450" ht="15.75" customHeight="1">
      <c r="A450" s="5"/>
      <c r="B450" s="5"/>
      <c r="C450" s="5"/>
    </row>
    <row r="451" ht="15.75" customHeight="1">
      <c r="A451" s="5"/>
      <c r="B451" s="5"/>
      <c r="C451" s="5"/>
    </row>
    <row r="452" ht="15.75" customHeight="1">
      <c r="A452" s="5"/>
      <c r="B452" s="5"/>
      <c r="C452" s="5"/>
    </row>
    <row r="453" ht="15.75" customHeight="1">
      <c r="A453" s="5"/>
      <c r="B453" s="5"/>
      <c r="C453" s="5"/>
    </row>
    <row r="454" ht="15.75" customHeight="1">
      <c r="A454" s="5"/>
      <c r="B454" s="5"/>
      <c r="C454" s="5"/>
    </row>
    <row r="455" ht="15.75" customHeight="1">
      <c r="A455" s="5"/>
      <c r="B455" s="5"/>
      <c r="C455" s="5"/>
    </row>
    <row r="456" ht="15.75" customHeight="1">
      <c r="A456" s="5"/>
      <c r="B456" s="5"/>
      <c r="C456" s="5"/>
    </row>
    <row r="457" ht="15.75" customHeight="1">
      <c r="A457" s="5"/>
      <c r="B457" s="5"/>
      <c r="C457" s="5"/>
    </row>
    <row r="458" ht="15.75" customHeight="1">
      <c r="A458" s="5"/>
      <c r="B458" s="5"/>
      <c r="C458" s="5"/>
    </row>
    <row r="459" ht="15.75" customHeight="1">
      <c r="A459" s="5"/>
      <c r="B459" s="5"/>
      <c r="C459" s="5"/>
    </row>
    <row r="460" ht="15.75" customHeight="1">
      <c r="A460" s="5"/>
      <c r="B460" s="5"/>
      <c r="C460" s="5"/>
    </row>
    <row r="461" ht="15.75" customHeight="1">
      <c r="A461" s="5"/>
      <c r="B461" s="5"/>
      <c r="C461" s="5"/>
    </row>
    <row r="462" ht="15.75" customHeight="1">
      <c r="A462" s="5"/>
      <c r="B462" s="5"/>
      <c r="C462" s="5"/>
    </row>
    <row r="463" ht="15.75" customHeight="1">
      <c r="A463" s="5"/>
      <c r="B463" s="5"/>
      <c r="C463" s="5"/>
    </row>
    <row r="464" ht="15.75" customHeight="1">
      <c r="A464" s="5"/>
      <c r="B464" s="5"/>
      <c r="C464" s="5"/>
    </row>
    <row r="465" ht="15.75" customHeight="1">
      <c r="A465" s="5"/>
      <c r="B465" s="5"/>
      <c r="C465" s="5"/>
    </row>
    <row r="466" ht="15.75" customHeight="1">
      <c r="A466" s="5"/>
      <c r="B466" s="5"/>
      <c r="C466" s="5"/>
    </row>
    <row r="467" ht="15.75" customHeight="1">
      <c r="A467" s="5"/>
      <c r="B467" s="5"/>
      <c r="C467" s="5"/>
    </row>
    <row r="468" ht="15.75" customHeight="1">
      <c r="A468" s="5"/>
      <c r="B468" s="5"/>
      <c r="C468" s="5"/>
    </row>
    <row r="469" ht="15.75" customHeight="1">
      <c r="A469" s="5"/>
      <c r="B469" s="5"/>
      <c r="C469" s="5"/>
    </row>
    <row r="470" ht="15.75" customHeight="1">
      <c r="A470" s="5"/>
      <c r="B470" s="5"/>
      <c r="C470" s="5"/>
    </row>
    <row r="471" ht="15.75" customHeight="1">
      <c r="A471" s="5"/>
      <c r="B471" s="5"/>
      <c r="C471" s="5"/>
    </row>
    <row r="472" ht="15.75" customHeight="1">
      <c r="A472" s="5"/>
      <c r="B472" s="5"/>
      <c r="C472" s="5"/>
    </row>
    <row r="473" ht="15.75" customHeight="1">
      <c r="A473" s="5"/>
      <c r="B473" s="5"/>
      <c r="C473" s="5"/>
    </row>
    <row r="474" ht="15.75" customHeight="1">
      <c r="A474" s="5"/>
      <c r="B474" s="5"/>
      <c r="C474" s="5"/>
    </row>
    <row r="475" ht="15.75" customHeight="1">
      <c r="A475" s="5"/>
      <c r="B475" s="5"/>
      <c r="C475" s="5"/>
    </row>
    <row r="476" ht="15.75" customHeight="1">
      <c r="A476" s="5"/>
      <c r="B476" s="5"/>
      <c r="C476" s="5"/>
    </row>
    <row r="477" ht="15.75" customHeight="1">
      <c r="A477" s="5"/>
      <c r="B477" s="5"/>
      <c r="C477" s="5"/>
    </row>
    <row r="478" ht="15.75" customHeight="1">
      <c r="A478" s="5"/>
      <c r="B478" s="5"/>
      <c r="C478" s="5"/>
    </row>
    <row r="479" ht="15.75" customHeight="1">
      <c r="A479" s="5"/>
      <c r="B479" s="5"/>
      <c r="C479" s="5"/>
    </row>
    <row r="480" ht="15.75" customHeight="1">
      <c r="A480" s="5"/>
      <c r="B480" s="5"/>
      <c r="C480" s="5"/>
    </row>
    <row r="481" ht="15.75" customHeight="1">
      <c r="A481" s="5"/>
      <c r="B481" s="5"/>
      <c r="C481" s="5"/>
    </row>
    <row r="482" ht="15.75" customHeight="1">
      <c r="A482" s="5"/>
      <c r="B482" s="5"/>
      <c r="C482" s="5"/>
    </row>
    <row r="483" ht="15.75" customHeight="1">
      <c r="A483" s="5"/>
      <c r="B483" s="5"/>
      <c r="C483" s="5"/>
    </row>
    <row r="484" ht="15.75" customHeight="1">
      <c r="A484" s="5"/>
      <c r="B484" s="5"/>
      <c r="C484" s="5"/>
    </row>
    <row r="485" ht="15.75" customHeight="1">
      <c r="A485" s="5"/>
      <c r="B485" s="5"/>
      <c r="C485" s="5"/>
    </row>
    <row r="486" ht="15.75" customHeight="1">
      <c r="A486" s="5"/>
      <c r="B486" s="5"/>
      <c r="C486" s="5"/>
    </row>
    <row r="487" ht="15.75" customHeight="1">
      <c r="A487" s="5"/>
      <c r="B487" s="5"/>
      <c r="C487" s="5"/>
    </row>
    <row r="488" ht="15.75" customHeight="1">
      <c r="A488" s="5"/>
      <c r="B488" s="5"/>
      <c r="C488" s="5"/>
    </row>
    <row r="489" ht="15.75" customHeight="1">
      <c r="A489" s="5"/>
      <c r="B489" s="5"/>
      <c r="C489" s="5"/>
    </row>
    <row r="490" ht="15.75" customHeight="1">
      <c r="A490" s="5"/>
      <c r="B490" s="5"/>
      <c r="C490" s="5"/>
    </row>
    <row r="491" ht="15.75" customHeight="1">
      <c r="A491" s="5"/>
      <c r="B491" s="5"/>
      <c r="C491" s="5"/>
    </row>
    <row r="492" ht="15.75" customHeight="1">
      <c r="A492" s="5"/>
      <c r="B492" s="5"/>
      <c r="C492" s="5"/>
    </row>
    <row r="493" ht="15.75" customHeight="1">
      <c r="A493" s="5"/>
      <c r="B493" s="5"/>
      <c r="C493" s="5"/>
    </row>
    <row r="494" ht="15.75" customHeight="1">
      <c r="A494" s="5"/>
      <c r="B494" s="5"/>
      <c r="C494" s="5"/>
    </row>
    <row r="495" ht="15.75" customHeight="1">
      <c r="A495" s="5"/>
      <c r="B495" s="5"/>
      <c r="C495" s="5"/>
    </row>
    <row r="496" ht="15.75" customHeight="1">
      <c r="A496" s="5"/>
      <c r="B496" s="5"/>
      <c r="C496" s="5"/>
    </row>
    <row r="497" ht="15.75" customHeight="1">
      <c r="A497" s="5"/>
      <c r="B497" s="5"/>
      <c r="C497" s="5"/>
    </row>
    <row r="498" ht="15.75" customHeight="1">
      <c r="A498" s="5"/>
      <c r="B498" s="5"/>
      <c r="C498" s="5"/>
    </row>
    <row r="499" ht="15.75" customHeight="1">
      <c r="A499" s="5"/>
      <c r="B499" s="5"/>
      <c r="C499" s="5"/>
    </row>
    <row r="500" ht="15.75" customHeight="1">
      <c r="A500" s="5"/>
      <c r="B500" s="5"/>
      <c r="C500" s="5"/>
    </row>
    <row r="501" ht="15.75" customHeight="1">
      <c r="A501" s="5"/>
      <c r="B501" s="5"/>
      <c r="C501" s="5"/>
    </row>
    <row r="502" ht="15.75" customHeight="1">
      <c r="A502" s="5"/>
      <c r="B502" s="5"/>
      <c r="C502" s="5"/>
    </row>
    <row r="503" ht="15.75" customHeight="1">
      <c r="A503" s="5"/>
      <c r="B503" s="5"/>
      <c r="C503" s="5"/>
    </row>
    <row r="504" ht="15.75" customHeight="1">
      <c r="A504" s="5"/>
      <c r="B504" s="5"/>
      <c r="C504" s="5"/>
    </row>
    <row r="505" ht="15.75" customHeight="1">
      <c r="A505" s="5"/>
      <c r="B505" s="5"/>
      <c r="C505" s="5"/>
    </row>
    <row r="506" ht="15.75" customHeight="1">
      <c r="A506" s="5"/>
      <c r="B506" s="5"/>
      <c r="C506" s="5"/>
    </row>
    <row r="507" ht="15.75" customHeight="1">
      <c r="A507" s="5"/>
      <c r="B507" s="5"/>
      <c r="C507" s="5"/>
    </row>
    <row r="508" ht="15.75" customHeight="1">
      <c r="A508" s="5"/>
      <c r="B508" s="5"/>
      <c r="C508" s="5"/>
    </row>
    <row r="509" ht="15.75" customHeight="1">
      <c r="A509" s="5"/>
      <c r="B509" s="5"/>
      <c r="C509" s="5"/>
    </row>
    <row r="510" ht="15.75" customHeight="1">
      <c r="A510" s="5"/>
      <c r="B510" s="5"/>
      <c r="C510" s="5"/>
    </row>
    <row r="511" ht="15.75" customHeight="1">
      <c r="A511" s="5"/>
      <c r="B511" s="5"/>
      <c r="C511" s="5"/>
    </row>
    <row r="512" ht="15.75" customHeight="1">
      <c r="A512" s="5"/>
      <c r="B512" s="5"/>
      <c r="C512" s="5"/>
    </row>
    <row r="513" ht="15.75" customHeight="1">
      <c r="A513" s="5"/>
      <c r="B513" s="5"/>
      <c r="C513" s="5"/>
    </row>
    <row r="514" ht="15.75" customHeight="1">
      <c r="A514" s="5"/>
      <c r="B514" s="5"/>
      <c r="C514" s="5"/>
    </row>
    <row r="515" ht="15.75" customHeight="1">
      <c r="A515" s="5"/>
      <c r="B515" s="5"/>
      <c r="C515" s="5"/>
    </row>
    <row r="516" ht="15.75" customHeight="1">
      <c r="A516" s="5"/>
      <c r="B516" s="5"/>
      <c r="C516" s="5"/>
    </row>
    <row r="517" ht="15.75" customHeight="1">
      <c r="A517" s="5"/>
      <c r="B517" s="5"/>
      <c r="C517" s="5"/>
    </row>
    <row r="518" ht="15.75" customHeight="1">
      <c r="A518" s="5"/>
      <c r="B518" s="5"/>
      <c r="C518" s="5"/>
    </row>
    <row r="519" ht="15.75" customHeight="1">
      <c r="A519" s="5"/>
      <c r="B519" s="5"/>
      <c r="C519" s="5"/>
    </row>
    <row r="520" ht="15.75" customHeight="1">
      <c r="A520" s="5"/>
      <c r="B520" s="5"/>
      <c r="C520" s="5"/>
    </row>
    <row r="521" ht="15.75" customHeight="1">
      <c r="A521" s="5"/>
      <c r="B521" s="5"/>
      <c r="C521" s="5"/>
    </row>
    <row r="522" ht="15.75" customHeight="1">
      <c r="A522" s="5"/>
      <c r="B522" s="5"/>
      <c r="C522" s="5"/>
    </row>
    <row r="523" ht="15.75" customHeight="1">
      <c r="A523" s="5"/>
      <c r="B523" s="5"/>
      <c r="C523" s="5"/>
    </row>
    <row r="524" ht="15.75" customHeight="1">
      <c r="A524" s="5"/>
      <c r="B524" s="5"/>
      <c r="C524" s="5"/>
    </row>
    <row r="525" ht="15.75" customHeight="1">
      <c r="A525" s="5"/>
      <c r="B525" s="5"/>
      <c r="C525" s="5"/>
    </row>
    <row r="526" ht="15.75" customHeight="1">
      <c r="A526" s="5"/>
      <c r="B526" s="5"/>
      <c r="C526" s="5"/>
    </row>
    <row r="527" ht="15.75" customHeight="1">
      <c r="A527" s="5"/>
      <c r="B527" s="5"/>
      <c r="C527" s="5"/>
    </row>
    <row r="528" ht="15.75" customHeight="1">
      <c r="A528" s="5"/>
      <c r="B528" s="5"/>
      <c r="C528" s="5"/>
    </row>
    <row r="529" ht="15.75" customHeight="1">
      <c r="A529" s="5"/>
      <c r="B529" s="5"/>
      <c r="C529" s="5"/>
    </row>
    <row r="530" ht="15.75" customHeight="1">
      <c r="A530" s="5"/>
      <c r="B530" s="5"/>
      <c r="C530" s="5"/>
    </row>
    <row r="531" ht="15.75" customHeight="1">
      <c r="A531" s="5"/>
      <c r="B531" s="5"/>
      <c r="C531" s="5"/>
    </row>
    <row r="532" ht="15.75" customHeight="1">
      <c r="A532" s="5"/>
      <c r="B532" s="5"/>
      <c r="C532" s="5"/>
    </row>
    <row r="533" ht="15.75" customHeight="1">
      <c r="A533" s="5"/>
      <c r="B533" s="5"/>
      <c r="C533" s="5"/>
    </row>
    <row r="534" ht="15.75" customHeight="1">
      <c r="A534" s="5"/>
      <c r="B534" s="5"/>
      <c r="C534" s="5"/>
    </row>
    <row r="535" ht="15.75" customHeight="1">
      <c r="A535" s="5"/>
      <c r="B535" s="5"/>
      <c r="C535" s="5"/>
    </row>
    <row r="536" ht="15.75" customHeight="1">
      <c r="A536" s="5"/>
      <c r="B536" s="5"/>
      <c r="C536" s="5"/>
    </row>
    <row r="537" ht="15.75" customHeight="1">
      <c r="A537" s="5"/>
      <c r="B537" s="5"/>
      <c r="C537" s="5"/>
    </row>
    <row r="538" ht="15.75" customHeight="1">
      <c r="A538" s="5"/>
      <c r="B538" s="5"/>
      <c r="C538" s="5"/>
    </row>
    <row r="539" ht="15.75" customHeight="1">
      <c r="A539" s="5"/>
      <c r="B539" s="5"/>
      <c r="C539" s="5"/>
    </row>
    <row r="540" ht="15.75" customHeight="1">
      <c r="A540" s="5"/>
      <c r="B540" s="5"/>
      <c r="C540" s="5"/>
    </row>
    <row r="541" ht="15.75" customHeight="1">
      <c r="A541" s="5"/>
      <c r="B541" s="5"/>
      <c r="C541" s="5"/>
    </row>
    <row r="542" ht="15.75" customHeight="1">
      <c r="A542" s="5"/>
      <c r="B542" s="5"/>
      <c r="C542" s="5"/>
    </row>
    <row r="543" ht="15.75" customHeight="1">
      <c r="A543" s="5"/>
      <c r="B543" s="5"/>
      <c r="C543" s="5"/>
    </row>
    <row r="544" ht="15.75" customHeight="1">
      <c r="A544" s="5"/>
      <c r="B544" s="5"/>
      <c r="C544" s="5"/>
    </row>
    <row r="545" ht="15.75" customHeight="1">
      <c r="A545" s="5"/>
      <c r="B545" s="5"/>
      <c r="C545" s="5"/>
    </row>
    <row r="546" ht="15.75" customHeight="1">
      <c r="A546" s="5"/>
      <c r="B546" s="5"/>
      <c r="C546" s="5"/>
    </row>
    <row r="547" ht="15.75" customHeight="1">
      <c r="A547" s="5"/>
      <c r="B547" s="5"/>
      <c r="C547" s="5"/>
    </row>
    <row r="548" ht="15.75" customHeight="1">
      <c r="A548" s="5"/>
      <c r="B548" s="5"/>
      <c r="C548" s="5"/>
    </row>
    <row r="549" ht="15.75" customHeight="1">
      <c r="A549" s="5"/>
      <c r="B549" s="5"/>
      <c r="C549" s="5"/>
    </row>
    <row r="550" ht="15.75" customHeight="1">
      <c r="A550" s="5"/>
      <c r="B550" s="5"/>
      <c r="C550" s="5"/>
    </row>
    <row r="551" ht="15.75" customHeight="1">
      <c r="A551" s="5"/>
      <c r="B551" s="5"/>
      <c r="C551" s="5"/>
    </row>
    <row r="552" ht="15.75" customHeight="1">
      <c r="A552" s="5"/>
      <c r="B552" s="5"/>
      <c r="C552" s="5"/>
    </row>
    <row r="553" ht="15.75" customHeight="1">
      <c r="A553" s="5"/>
      <c r="B553" s="5"/>
      <c r="C553" s="5"/>
    </row>
    <row r="554" ht="15.75" customHeight="1">
      <c r="A554" s="5"/>
      <c r="B554" s="5"/>
      <c r="C554" s="5"/>
    </row>
    <row r="555" ht="15.75" customHeight="1">
      <c r="A555" s="5"/>
      <c r="B555" s="5"/>
      <c r="C555" s="5"/>
    </row>
    <row r="556" ht="15.75" customHeight="1">
      <c r="A556" s="5"/>
      <c r="B556" s="5"/>
      <c r="C556" s="5"/>
    </row>
    <row r="557" ht="15.75" customHeight="1">
      <c r="A557" s="5"/>
      <c r="B557" s="5"/>
      <c r="C557" s="5"/>
    </row>
    <row r="558" ht="15.75" customHeight="1">
      <c r="A558" s="5"/>
      <c r="B558" s="5"/>
      <c r="C558" s="5"/>
    </row>
    <row r="559" ht="15.75" customHeight="1">
      <c r="A559" s="5"/>
      <c r="B559" s="5"/>
      <c r="C559" s="5"/>
    </row>
    <row r="560" ht="15.75" customHeight="1">
      <c r="A560" s="5"/>
      <c r="B560" s="5"/>
      <c r="C560" s="5"/>
    </row>
    <row r="561" ht="15.75" customHeight="1">
      <c r="A561" s="5"/>
      <c r="B561" s="5"/>
      <c r="C561" s="5"/>
    </row>
    <row r="562" ht="15.75" customHeight="1">
      <c r="A562" s="5"/>
      <c r="B562" s="5"/>
      <c r="C562" s="5"/>
    </row>
    <row r="563" ht="15.75" customHeight="1">
      <c r="A563" s="5"/>
      <c r="B563" s="5"/>
      <c r="C563" s="5"/>
    </row>
    <row r="564" ht="15.75" customHeight="1">
      <c r="A564" s="5"/>
      <c r="B564" s="5"/>
      <c r="C564" s="5"/>
    </row>
    <row r="565" ht="15.75" customHeight="1">
      <c r="A565" s="5"/>
      <c r="B565" s="5"/>
      <c r="C565" s="5"/>
    </row>
    <row r="566" ht="15.75" customHeight="1">
      <c r="A566" s="5"/>
      <c r="B566" s="5"/>
      <c r="C566" s="5"/>
    </row>
    <row r="567" ht="15.75" customHeight="1">
      <c r="A567" s="5"/>
      <c r="B567" s="5"/>
      <c r="C567" s="5"/>
    </row>
    <row r="568" ht="15.75" customHeight="1">
      <c r="A568" s="5"/>
      <c r="B568" s="5"/>
      <c r="C568" s="5"/>
    </row>
    <row r="569" ht="15.75" customHeight="1">
      <c r="A569" s="5"/>
      <c r="B569" s="5"/>
      <c r="C569" s="5"/>
    </row>
    <row r="570" ht="15.75" customHeight="1">
      <c r="A570" s="5"/>
      <c r="B570" s="5"/>
      <c r="C570" s="5"/>
    </row>
    <row r="571" ht="15.75" customHeight="1">
      <c r="A571" s="5"/>
      <c r="B571" s="5"/>
      <c r="C571" s="5"/>
    </row>
    <row r="572" ht="15.75" customHeight="1">
      <c r="A572" s="5"/>
      <c r="B572" s="5"/>
      <c r="C572" s="5"/>
    </row>
    <row r="573" ht="15.75" customHeight="1">
      <c r="A573" s="5"/>
      <c r="B573" s="5"/>
      <c r="C573" s="5"/>
    </row>
    <row r="574" ht="15.75" customHeight="1">
      <c r="A574" s="5"/>
      <c r="B574" s="5"/>
      <c r="C574" s="5"/>
    </row>
    <row r="575" ht="15.75" customHeight="1">
      <c r="A575" s="5"/>
      <c r="B575" s="5"/>
      <c r="C575" s="5"/>
    </row>
    <row r="576" ht="15.75" customHeight="1">
      <c r="A576" s="5"/>
      <c r="B576" s="5"/>
      <c r="C576" s="5"/>
    </row>
    <row r="577" ht="15.75" customHeight="1">
      <c r="A577" s="5"/>
      <c r="B577" s="5"/>
      <c r="C577" s="5"/>
    </row>
    <row r="578" ht="15.75" customHeight="1">
      <c r="A578" s="5"/>
      <c r="B578" s="5"/>
      <c r="C578" s="5"/>
    </row>
    <row r="579" ht="15.75" customHeight="1">
      <c r="A579" s="5"/>
      <c r="B579" s="5"/>
      <c r="C579" s="5"/>
    </row>
    <row r="580" ht="15.75" customHeight="1">
      <c r="A580" s="5"/>
      <c r="B580" s="5"/>
      <c r="C580" s="5"/>
    </row>
    <row r="581" ht="15.75" customHeight="1">
      <c r="A581" s="5"/>
      <c r="B581" s="5"/>
      <c r="C581" s="5"/>
    </row>
    <row r="582" ht="15.75" customHeight="1">
      <c r="A582" s="5"/>
      <c r="B582" s="5"/>
      <c r="C582" s="5"/>
    </row>
    <row r="583" ht="15.75" customHeight="1">
      <c r="A583" s="5"/>
      <c r="B583" s="5"/>
      <c r="C583" s="5"/>
    </row>
    <row r="584" ht="15.75" customHeight="1">
      <c r="A584" s="5"/>
      <c r="B584" s="5"/>
      <c r="C584" s="5"/>
    </row>
    <row r="585" ht="15.75" customHeight="1">
      <c r="A585" s="5"/>
      <c r="B585" s="5"/>
      <c r="C585" s="5"/>
    </row>
    <row r="586" ht="15.75" customHeight="1">
      <c r="A586" s="5"/>
      <c r="B586" s="5"/>
      <c r="C586" s="5"/>
    </row>
    <row r="587" ht="15.75" customHeight="1">
      <c r="A587" s="5"/>
      <c r="B587" s="5"/>
      <c r="C587" s="5"/>
    </row>
    <row r="588" ht="15.75" customHeight="1">
      <c r="A588" s="5"/>
      <c r="B588" s="5"/>
      <c r="C588" s="5"/>
    </row>
    <row r="589" ht="15.75" customHeight="1">
      <c r="A589" s="5"/>
      <c r="B589" s="5"/>
      <c r="C589" s="5"/>
    </row>
    <row r="590" ht="15.75" customHeight="1">
      <c r="A590" s="5"/>
      <c r="B590" s="5"/>
      <c r="C590" s="5"/>
    </row>
    <row r="591" ht="15.75" customHeight="1">
      <c r="A591" s="5"/>
      <c r="B591" s="5"/>
      <c r="C591" s="5"/>
    </row>
    <row r="592" ht="15.75" customHeight="1">
      <c r="A592" s="5"/>
      <c r="B592" s="5"/>
      <c r="C592" s="5"/>
    </row>
    <row r="593" ht="15.75" customHeight="1">
      <c r="A593" s="5"/>
      <c r="B593" s="5"/>
      <c r="C593" s="5"/>
    </row>
    <row r="594" ht="15.75" customHeight="1">
      <c r="A594" s="5"/>
      <c r="B594" s="5"/>
      <c r="C594" s="5"/>
    </row>
    <row r="595" ht="15.75" customHeight="1">
      <c r="A595" s="5"/>
      <c r="B595" s="5"/>
      <c r="C595" s="5"/>
    </row>
    <row r="596" ht="15.75" customHeight="1">
      <c r="A596" s="5"/>
      <c r="B596" s="5"/>
      <c r="C596" s="5"/>
    </row>
    <row r="597" ht="15.75" customHeight="1">
      <c r="A597" s="5"/>
      <c r="B597" s="5"/>
      <c r="C597" s="5"/>
    </row>
    <row r="598" ht="15.75" customHeight="1">
      <c r="A598" s="5"/>
      <c r="B598" s="5"/>
      <c r="C598" s="5"/>
    </row>
    <row r="599" ht="15.75" customHeight="1">
      <c r="A599" s="5"/>
      <c r="B599" s="5"/>
      <c r="C599" s="5"/>
    </row>
    <row r="600" ht="15.75" customHeight="1">
      <c r="A600" s="5"/>
      <c r="B600" s="5"/>
      <c r="C600" s="5"/>
    </row>
    <row r="601" ht="15.75" customHeight="1">
      <c r="A601" s="5"/>
      <c r="B601" s="5"/>
      <c r="C601" s="5"/>
    </row>
    <row r="602" ht="15.75" customHeight="1">
      <c r="A602" s="5"/>
      <c r="B602" s="5"/>
      <c r="C602" s="5"/>
    </row>
    <row r="603" ht="15.75" customHeight="1">
      <c r="A603" s="5"/>
      <c r="B603" s="5"/>
      <c r="C603" s="5"/>
    </row>
    <row r="604" ht="15.75" customHeight="1">
      <c r="A604" s="5"/>
      <c r="B604" s="5"/>
      <c r="C604" s="5"/>
    </row>
    <row r="605" ht="15.75" customHeight="1">
      <c r="A605" s="5"/>
      <c r="B605" s="5"/>
      <c r="C605" s="5"/>
    </row>
    <row r="606" ht="15.75" customHeight="1">
      <c r="A606" s="5"/>
      <c r="B606" s="5"/>
      <c r="C606" s="5"/>
    </row>
    <row r="607" ht="15.75" customHeight="1">
      <c r="A607" s="5"/>
      <c r="B607" s="5"/>
      <c r="C607" s="5"/>
    </row>
    <row r="608" ht="15.75" customHeight="1">
      <c r="A608" s="5"/>
      <c r="B608" s="5"/>
      <c r="C608" s="5"/>
    </row>
    <row r="609" ht="15.75" customHeight="1">
      <c r="A609" s="5"/>
      <c r="B609" s="5"/>
      <c r="C609" s="5"/>
    </row>
    <row r="610" ht="15.75" customHeight="1">
      <c r="A610" s="5"/>
      <c r="B610" s="5"/>
      <c r="C610" s="5"/>
    </row>
    <row r="611" ht="15.75" customHeight="1">
      <c r="A611" s="5"/>
      <c r="B611" s="5"/>
      <c r="C611" s="5"/>
    </row>
    <row r="612" ht="15.75" customHeight="1">
      <c r="A612" s="5"/>
      <c r="B612" s="5"/>
      <c r="C612" s="5"/>
    </row>
    <row r="613" ht="15.75" customHeight="1">
      <c r="A613" s="5"/>
      <c r="B613" s="5"/>
      <c r="C613" s="5"/>
    </row>
    <row r="614" ht="15.75" customHeight="1">
      <c r="A614" s="5"/>
      <c r="B614" s="5"/>
      <c r="C614" s="5"/>
    </row>
    <row r="615" ht="15.75" customHeight="1">
      <c r="A615" s="5"/>
      <c r="B615" s="5"/>
      <c r="C615" s="5"/>
    </row>
    <row r="616" ht="15.75" customHeight="1">
      <c r="A616" s="5"/>
      <c r="B616" s="5"/>
      <c r="C616" s="5"/>
    </row>
    <row r="617" ht="15.75" customHeight="1">
      <c r="A617" s="5"/>
      <c r="B617" s="5"/>
      <c r="C617" s="5"/>
    </row>
    <row r="618" ht="15.75" customHeight="1">
      <c r="A618" s="5"/>
      <c r="B618" s="5"/>
      <c r="C618" s="5"/>
    </row>
    <row r="619" ht="15.75" customHeight="1">
      <c r="A619" s="5"/>
      <c r="B619" s="5"/>
      <c r="C619" s="5"/>
    </row>
    <row r="620" ht="15.75" customHeight="1">
      <c r="A620" s="5"/>
      <c r="B620" s="5"/>
      <c r="C620" s="5"/>
    </row>
    <row r="621" ht="15.75" customHeight="1">
      <c r="A621" s="5"/>
      <c r="B621" s="5"/>
      <c r="C621" s="5"/>
    </row>
    <row r="622" ht="15.75" customHeight="1">
      <c r="A622" s="5"/>
      <c r="B622" s="5"/>
      <c r="C622" s="5"/>
    </row>
    <row r="623" ht="15.75" customHeight="1">
      <c r="A623" s="5"/>
      <c r="B623" s="5"/>
      <c r="C623" s="5"/>
    </row>
    <row r="624" ht="15.75" customHeight="1">
      <c r="A624" s="5"/>
      <c r="B624" s="5"/>
      <c r="C624" s="5"/>
    </row>
    <row r="625" ht="15.75" customHeight="1">
      <c r="A625" s="5"/>
      <c r="B625" s="5"/>
      <c r="C625" s="5"/>
    </row>
    <row r="626" ht="15.75" customHeight="1">
      <c r="A626" s="5"/>
      <c r="B626" s="5"/>
      <c r="C626" s="5"/>
    </row>
    <row r="627" ht="15.75" customHeight="1">
      <c r="A627" s="5"/>
      <c r="B627" s="5"/>
      <c r="C627" s="5"/>
    </row>
    <row r="628" ht="15.75" customHeight="1">
      <c r="A628" s="5"/>
      <c r="B628" s="5"/>
      <c r="C628" s="5"/>
    </row>
    <row r="629" ht="15.75" customHeight="1">
      <c r="A629" s="5"/>
      <c r="B629" s="5"/>
      <c r="C629" s="5"/>
    </row>
    <row r="630" ht="15.75" customHeight="1">
      <c r="A630" s="5"/>
      <c r="B630" s="5"/>
      <c r="C630" s="5"/>
    </row>
    <row r="631" ht="15.75" customHeight="1">
      <c r="A631" s="5"/>
      <c r="B631" s="5"/>
      <c r="C631" s="5"/>
    </row>
    <row r="632" ht="15.75" customHeight="1">
      <c r="A632" s="5"/>
      <c r="B632" s="5"/>
      <c r="C632" s="5"/>
    </row>
    <row r="633" ht="15.75" customHeight="1">
      <c r="A633" s="5"/>
      <c r="B633" s="5"/>
      <c r="C633" s="5"/>
    </row>
    <row r="634" ht="15.75" customHeight="1">
      <c r="A634" s="5"/>
      <c r="B634" s="5"/>
      <c r="C634" s="5"/>
    </row>
    <row r="635" ht="15.75" customHeight="1">
      <c r="A635" s="5"/>
      <c r="B635" s="5"/>
      <c r="C635" s="5"/>
    </row>
    <row r="636" ht="15.75" customHeight="1">
      <c r="A636" s="5"/>
      <c r="B636" s="5"/>
      <c r="C636" s="5"/>
    </row>
    <row r="637" ht="15.75" customHeight="1">
      <c r="A637" s="5"/>
      <c r="B637" s="5"/>
      <c r="C637" s="5"/>
    </row>
    <row r="638" ht="15.75" customHeight="1">
      <c r="A638" s="5"/>
      <c r="B638" s="5"/>
      <c r="C638" s="5"/>
    </row>
    <row r="639" ht="15.75" customHeight="1">
      <c r="A639" s="5"/>
      <c r="B639" s="5"/>
      <c r="C639" s="5"/>
    </row>
    <row r="640" ht="15.75" customHeight="1">
      <c r="A640" s="5"/>
      <c r="B640" s="5"/>
      <c r="C640" s="5"/>
    </row>
    <row r="641" ht="15.75" customHeight="1">
      <c r="A641" s="5"/>
      <c r="B641" s="5"/>
      <c r="C641" s="5"/>
    </row>
    <row r="642" ht="15.75" customHeight="1">
      <c r="A642" s="5"/>
      <c r="B642" s="5"/>
      <c r="C642" s="5"/>
    </row>
    <row r="643" ht="15.75" customHeight="1">
      <c r="A643" s="5"/>
      <c r="B643" s="5"/>
      <c r="C643" s="5"/>
    </row>
    <row r="644" ht="15.75" customHeight="1">
      <c r="A644" s="5"/>
      <c r="B644" s="5"/>
      <c r="C644" s="5"/>
    </row>
    <row r="645" ht="15.75" customHeight="1">
      <c r="A645" s="5"/>
      <c r="B645" s="5"/>
      <c r="C645" s="5"/>
    </row>
    <row r="646" ht="15.75" customHeight="1">
      <c r="A646" s="5"/>
      <c r="B646" s="5"/>
      <c r="C646" s="5"/>
    </row>
    <row r="647" ht="15.75" customHeight="1">
      <c r="A647" s="5"/>
      <c r="B647" s="5"/>
      <c r="C647" s="5"/>
    </row>
    <row r="648" ht="15.75" customHeight="1">
      <c r="A648" s="5"/>
      <c r="B648" s="5"/>
      <c r="C648" s="5"/>
    </row>
    <row r="649" ht="15.75" customHeight="1">
      <c r="A649" s="5"/>
      <c r="B649" s="5"/>
      <c r="C649" s="5"/>
    </row>
    <row r="650" ht="15.75" customHeight="1">
      <c r="A650" s="5"/>
      <c r="B650" s="5"/>
      <c r="C650" s="5"/>
    </row>
    <row r="651" ht="15.75" customHeight="1">
      <c r="A651" s="5"/>
      <c r="B651" s="5"/>
      <c r="C651" s="5"/>
    </row>
    <row r="652" ht="15.75" customHeight="1">
      <c r="A652" s="5"/>
      <c r="B652" s="5"/>
      <c r="C652" s="5"/>
    </row>
    <row r="653" ht="15.75" customHeight="1">
      <c r="A653" s="5"/>
      <c r="B653" s="5"/>
      <c r="C653" s="5"/>
    </row>
    <row r="654" ht="15.75" customHeight="1">
      <c r="A654" s="5"/>
      <c r="B654" s="5"/>
      <c r="C654" s="5"/>
    </row>
    <row r="655" ht="15.75" customHeight="1">
      <c r="A655" s="5"/>
      <c r="B655" s="5"/>
      <c r="C655" s="5"/>
    </row>
    <row r="656" ht="15.75" customHeight="1">
      <c r="A656" s="5"/>
      <c r="B656" s="5"/>
      <c r="C656" s="5"/>
    </row>
    <row r="657" ht="15.75" customHeight="1">
      <c r="A657" s="5"/>
      <c r="B657" s="5"/>
      <c r="C657" s="5"/>
    </row>
    <row r="658" ht="15.75" customHeight="1">
      <c r="A658" s="5"/>
      <c r="B658" s="5"/>
      <c r="C658" s="5"/>
    </row>
    <row r="659" ht="15.75" customHeight="1">
      <c r="A659" s="5"/>
      <c r="B659" s="5"/>
      <c r="C659" s="5"/>
    </row>
    <row r="660" ht="15.75" customHeight="1">
      <c r="A660" s="5"/>
      <c r="B660" s="5"/>
      <c r="C660" s="5"/>
    </row>
    <row r="661" ht="15.75" customHeight="1">
      <c r="A661" s="5"/>
      <c r="B661" s="5"/>
      <c r="C661" s="5"/>
    </row>
    <row r="662" ht="15.75" customHeight="1">
      <c r="A662" s="5"/>
      <c r="B662" s="5"/>
      <c r="C662" s="5"/>
    </row>
    <row r="663" ht="15.75" customHeight="1">
      <c r="A663" s="5"/>
      <c r="B663" s="5"/>
      <c r="C663" s="5"/>
    </row>
    <row r="664" ht="15.75" customHeight="1">
      <c r="A664" s="5"/>
      <c r="B664" s="5"/>
      <c r="C664" s="5"/>
    </row>
    <row r="665" ht="15.75" customHeight="1">
      <c r="A665" s="5"/>
      <c r="B665" s="5"/>
      <c r="C665" s="5"/>
    </row>
    <row r="666" ht="15.75" customHeight="1">
      <c r="A666" s="5"/>
      <c r="B666" s="5"/>
      <c r="C666" s="5"/>
    </row>
    <row r="667" ht="15.75" customHeight="1">
      <c r="A667" s="5"/>
      <c r="B667" s="5"/>
      <c r="C667" s="5"/>
    </row>
    <row r="668" ht="15.75" customHeight="1">
      <c r="A668" s="5"/>
      <c r="B668" s="5"/>
      <c r="C668" s="5"/>
    </row>
    <row r="669" ht="15.75" customHeight="1">
      <c r="A669" s="5"/>
      <c r="B669" s="5"/>
      <c r="C669" s="5"/>
    </row>
    <row r="670" ht="15.75" customHeight="1">
      <c r="A670" s="5"/>
      <c r="B670" s="5"/>
      <c r="C670" s="5"/>
    </row>
    <row r="671" ht="15.75" customHeight="1">
      <c r="A671" s="5"/>
      <c r="B671" s="5"/>
      <c r="C671" s="5"/>
    </row>
    <row r="672" ht="15.75" customHeight="1">
      <c r="A672" s="5"/>
      <c r="B672" s="5"/>
      <c r="C672" s="5"/>
    </row>
    <row r="673" ht="15.75" customHeight="1">
      <c r="A673" s="5"/>
      <c r="B673" s="5"/>
      <c r="C673" s="5"/>
    </row>
    <row r="674" ht="15.75" customHeight="1">
      <c r="A674" s="5"/>
      <c r="B674" s="5"/>
      <c r="C674" s="5"/>
    </row>
    <row r="675" ht="15.75" customHeight="1">
      <c r="A675" s="5"/>
      <c r="B675" s="5"/>
      <c r="C675" s="5"/>
    </row>
    <row r="676" ht="15.75" customHeight="1">
      <c r="A676" s="5"/>
      <c r="B676" s="5"/>
      <c r="C676" s="5"/>
    </row>
    <row r="677" ht="15.75" customHeight="1">
      <c r="A677" s="5"/>
      <c r="B677" s="5"/>
      <c r="C677" s="5"/>
    </row>
    <row r="678" ht="15.75" customHeight="1">
      <c r="A678" s="5"/>
      <c r="B678" s="5"/>
      <c r="C678" s="5"/>
    </row>
    <row r="679" ht="15.75" customHeight="1">
      <c r="A679" s="5"/>
      <c r="B679" s="5"/>
      <c r="C679" s="5"/>
    </row>
    <row r="680" ht="15.75" customHeight="1">
      <c r="A680" s="5"/>
      <c r="B680" s="5"/>
      <c r="C680" s="5"/>
    </row>
    <row r="681" ht="15.75" customHeight="1">
      <c r="A681" s="5"/>
      <c r="B681" s="5"/>
      <c r="C681" s="5"/>
    </row>
    <row r="682" ht="15.75" customHeight="1">
      <c r="A682" s="5"/>
      <c r="B682" s="5"/>
      <c r="C682" s="5"/>
    </row>
    <row r="683" ht="15.75" customHeight="1">
      <c r="A683" s="5"/>
      <c r="B683" s="5"/>
      <c r="C683" s="5"/>
    </row>
    <row r="684" ht="15.75" customHeight="1">
      <c r="A684" s="5"/>
      <c r="B684" s="5"/>
      <c r="C684" s="5"/>
    </row>
    <row r="685" ht="15.75" customHeight="1">
      <c r="A685" s="5"/>
      <c r="B685" s="5"/>
      <c r="C685" s="5"/>
    </row>
    <row r="686" ht="15.75" customHeight="1">
      <c r="A686" s="5"/>
      <c r="B686" s="5"/>
      <c r="C686" s="5"/>
    </row>
    <row r="687" ht="15.75" customHeight="1">
      <c r="A687" s="5"/>
      <c r="B687" s="5"/>
      <c r="C687" s="5"/>
    </row>
    <row r="688" ht="15.75" customHeight="1">
      <c r="A688" s="5"/>
      <c r="B688" s="5"/>
      <c r="C688" s="5"/>
    </row>
    <row r="689" ht="15.75" customHeight="1">
      <c r="A689" s="5"/>
      <c r="B689" s="5"/>
      <c r="C689" s="5"/>
    </row>
    <row r="690" ht="15.75" customHeight="1">
      <c r="A690" s="5"/>
      <c r="B690" s="5"/>
      <c r="C690" s="5"/>
    </row>
    <row r="691" ht="15.75" customHeight="1">
      <c r="A691" s="5"/>
      <c r="B691" s="5"/>
      <c r="C691" s="5"/>
    </row>
    <row r="692" ht="15.75" customHeight="1">
      <c r="A692" s="5"/>
      <c r="B692" s="5"/>
      <c r="C692" s="5"/>
    </row>
    <row r="693" ht="15.75" customHeight="1">
      <c r="A693" s="5"/>
      <c r="B693" s="5"/>
      <c r="C693" s="5"/>
    </row>
    <row r="694" ht="15.75" customHeight="1">
      <c r="A694" s="5"/>
      <c r="B694" s="5"/>
      <c r="C694" s="5"/>
    </row>
    <row r="695" ht="15.75" customHeight="1">
      <c r="A695" s="5"/>
      <c r="B695" s="5"/>
      <c r="C695" s="5"/>
    </row>
    <row r="696" ht="15.75" customHeight="1">
      <c r="A696" s="5"/>
      <c r="B696" s="5"/>
      <c r="C696" s="5"/>
    </row>
    <row r="697" ht="15.75" customHeight="1">
      <c r="A697" s="5"/>
      <c r="B697" s="5"/>
      <c r="C697" s="5"/>
    </row>
    <row r="698" ht="15.75" customHeight="1">
      <c r="A698" s="5"/>
      <c r="B698" s="5"/>
      <c r="C698" s="5"/>
    </row>
    <row r="699" ht="15.75" customHeight="1">
      <c r="A699" s="5"/>
      <c r="B699" s="5"/>
      <c r="C699" s="5"/>
    </row>
    <row r="700" ht="15.75" customHeight="1">
      <c r="A700" s="5"/>
      <c r="B700" s="5"/>
      <c r="C700" s="5"/>
    </row>
    <row r="701" ht="15.75" customHeight="1">
      <c r="A701" s="5"/>
      <c r="B701" s="5"/>
      <c r="C701" s="5"/>
    </row>
    <row r="702" ht="15.75" customHeight="1">
      <c r="A702" s="5"/>
      <c r="B702" s="5"/>
      <c r="C702" s="5"/>
    </row>
    <row r="703" ht="15.75" customHeight="1">
      <c r="A703" s="5"/>
      <c r="B703" s="5"/>
      <c r="C703" s="5"/>
    </row>
    <row r="704" ht="15.75" customHeight="1">
      <c r="A704" s="5"/>
      <c r="B704" s="5"/>
      <c r="C704" s="5"/>
    </row>
    <row r="705" ht="15.75" customHeight="1">
      <c r="A705" s="5"/>
      <c r="B705" s="5"/>
      <c r="C705" s="5"/>
    </row>
    <row r="706" ht="15.75" customHeight="1">
      <c r="A706" s="5"/>
      <c r="B706" s="5"/>
      <c r="C706" s="5"/>
    </row>
    <row r="707" ht="15.75" customHeight="1">
      <c r="A707" s="5"/>
      <c r="B707" s="5"/>
      <c r="C707" s="5"/>
    </row>
    <row r="708" ht="15.75" customHeight="1">
      <c r="A708" s="5"/>
      <c r="B708" s="5"/>
      <c r="C708" s="5"/>
    </row>
    <row r="709" ht="15.75" customHeight="1">
      <c r="A709" s="5"/>
      <c r="B709" s="5"/>
      <c r="C709" s="5"/>
    </row>
    <row r="710" ht="15.75" customHeight="1">
      <c r="A710" s="5"/>
      <c r="B710" s="5"/>
      <c r="C710" s="5"/>
    </row>
    <row r="711" ht="15.75" customHeight="1">
      <c r="A711" s="5"/>
      <c r="B711" s="5"/>
      <c r="C711" s="5"/>
    </row>
    <row r="712" ht="15.75" customHeight="1">
      <c r="A712" s="5"/>
      <c r="B712" s="5"/>
      <c r="C712" s="5"/>
    </row>
    <row r="713" ht="15.75" customHeight="1">
      <c r="A713" s="5"/>
      <c r="B713" s="5"/>
      <c r="C713" s="5"/>
    </row>
    <row r="714" ht="15.75" customHeight="1">
      <c r="A714" s="5"/>
      <c r="B714" s="5"/>
      <c r="C714" s="5"/>
    </row>
    <row r="715" ht="15.75" customHeight="1">
      <c r="A715" s="5"/>
      <c r="B715" s="5"/>
      <c r="C715" s="5"/>
    </row>
    <row r="716" ht="15.75" customHeight="1">
      <c r="A716" s="5"/>
      <c r="B716" s="5"/>
      <c r="C716" s="5"/>
    </row>
    <row r="717" ht="15.75" customHeight="1">
      <c r="A717" s="5"/>
      <c r="B717" s="5"/>
      <c r="C717" s="5"/>
    </row>
    <row r="718" ht="15.75" customHeight="1">
      <c r="A718" s="5"/>
      <c r="B718" s="5"/>
      <c r="C718" s="5"/>
    </row>
    <row r="719" ht="15.75" customHeight="1">
      <c r="A719" s="5"/>
      <c r="B719" s="5"/>
      <c r="C719" s="5"/>
    </row>
    <row r="720" ht="15.75" customHeight="1">
      <c r="A720" s="5"/>
      <c r="B720" s="5"/>
      <c r="C720" s="5"/>
    </row>
    <row r="721" ht="15.75" customHeight="1">
      <c r="A721" s="5"/>
      <c r="B721" s="5"/>
      <c r="C721" s="5"/>
    </row>
    <row r="722" ht="15.75" customHeight="1">
      <c r="A722" s="5"/>
      <c r="B722" s="5"/>
      <c r="C722" s="5"/>
    </row>
    <row r="723" ht="15.75" customHeight="1">
      <c r="A723" s="5"/>
      <c r="B723" s="5"/>
      <c r="C723" s="5"/>
    </row>
    <row r="724" ht="15.75" customHeight="1">
      <c r="A724" s="5"/>
      <c r="B724" s="5"/>
      <c r="C724" s="5"/>
    </row>
    <row r="725" ht="15.75" customHeight="1">
      <c r="A725" s="5"/>
      <c r="B725" s="5"/>
      <c r="C725" s="5"/>
    </row>
    <row r="726" ht="15.75" customHeight="1">
      <c r="A726" s="5"/>
      <c r="B726" s="5"/>
      <c r="C726" s="5"/>
    </row>
    <row r="727" ht="15.75" customHeight="1">
      <c r="A727" s="5"/>
      <c r="B727" s="5"/>
      <c r="C727" s="5"/>
    </row>
    <row r="728" ht="15.75" customHeight="1">
      <c r="A728" s="5"/>
      <c r="B728" s="5"/>
      <c r="C728" s="5"/>
    </row>
    <row r="729" ht="15.75" customHeight="1">
      <c r="A729" s="5"/>
      <c r="B729" s="5"/>
      <c r="C729" s="5"/>
    </row>
    <row r="730" ht="15.75" customHeight="1">
      <c r="A730" s="5"/>
      <c r="B730" s="5"/>
      <c r="C730" s="5"/>
    </row>
    <row r="731" ht="15.75" customHeight="1">
      <c r="A731" s="5"/>
      <c r="B731" s="5"/>
      <c r="C731" s="5"/>
    </row>
    <row r="732" ht="15.75" customHeight="1">
      <c r="A732" s="5"/>
      <c r="B732" s="5"/>
      <c r="C732" s="5"/>
    </row>
    <row r="733" ht="15.75" customHeight="1">
      <c r="A733" s="5"/>
      <c r="B733" s="5"/>
      <c r="C733" s="5"/>
    </row>
    <row r="734" ht="15.75" customHeight="1">
      <c r="A734" s="5"/>
      <c r="B734" s="5"/>
      <c r="C734" s="5"/>
    </row>
    <row r="735" ht="15.75" customHeight="1">
      <c r="A735" s="5"/>
      <c r="B735" s="5"/>
      <c r="C735" s="5"/>
    </row>
    <row r="736" ht="15.75" customHeight="1">
      <c r="A736" s="5"/>
      <c r="B736" s="5"/>
      <c r="C736" s="5"/>
    </row>
    <row r="737" ht="15.75" customHeight="1">
      <c r="A737" s="5"/>
      <c r="B737" s="5"/>
      <c r="C737" s="5"/>
    </row>
    <row r="738" ht="15.75" customHeight="1">
      <c r="A738" s="5"/>
      <c r="B738" s="5"/>
      <c r="C738" s="5"/>
    </row>
    <row r="739" ht="15.75" customHeight="1">
      <c r="A739" s="5"/>
      <c r="B739" s="5"/>
      <c r="C739" s="5"/>
    </row>
    <row r="740" ht="15.75" customHeight="1">
      <c r="A740" s="5"/>
      <c r="B740" s="5"/>
      <c r="C740" s="5"/>
    </row>
    <row r="741" ht="15.75" customHeight="1">
      <c r="A741" s="5"/>
      <c r="B741" s="5"/>
      <c r="C741" s="5"/>
    </row>
    <row r="742" ht="15.75" customHeight="1">
      <c r="A742" s="5"/>
      <c r="B742" s="5"/>
      <c r="C742" s="5"/>
    </row>
    <row r="743" ht="15.75" customHeight="1">
      <c r="A743" s="5"/>
      <c r="B743" s="5"/>
      <c r="C743" s="5"/>
    </row>
    <row r="744" ht="15.75" customHeight="1">
      <c r="A744" s="5"/>
      <c r="B744" s="5"/>
      <c r="C744" s="5"/>
    </row>
    <row r="745" ht="15.75" customHeight="1">
      <c r="A745" s="5"/>
      <c r="B745" s="5"/>
      <c r="C745" s="5"/>
    </row>
    <row r="746" ht="15.75" customHeight="1">
      <c r="A746" s="5"/>
      <c r="B746" s="5"/>
      <c r="C746" s="5"/>
    </row>
    <row r="747" ht="15.75" customHeight="1">
      <c r="A747" s="5"/>
      <c r="B747" s="5"/>
      <c r="C747" s="5"/>
    </row>
    <row r="748" ht="15.75" customHeight="1">
      <c r="A748" s="5"/>
      <c r="B748" s="5"/>
      <c r="C748" s="5"/>
    </row>
    <row r="749" ht="15.75" customHeight="1">
      <c r="A749" s="5"/>
      <c r="B749" s="5"/>
      <c r="C749" s="5"/>
    </row>
    <row r="750" ht="15.75" customHeight="1">
      <c r="A750" s="5"/>
      <c r="B750" s="5"/>
      <c r="C750" s="5"/>
    </row>
    <row r="751" ht="15.75" customHeight="1">
      <c r="A751" s="5"/>
      <c r="B751" s="5"/>
      <c r="C751" s="5"/>
    </row>
    <row r="752" ht="15.75" customHeight="1">
      <c r="A752" s="5"/>
      <c r="B752" s="5"/>
      <c r="C752" s="5"/>
    </row>
    <row r="753" ht="15.75" customHeight="1">
      <c r="A753" s="5"/>
      <c r="B753" s="5"/>
      <c r="C753" s="5"/>
    </row>
    <row r="754" ht="15.75" customHeight="1">
      <c r="A754" s="5"/>
      <c r="B754" s="5"/>
      <c r="C754" s="5"/>
    </row>
    <row r="755" ht="15.75" customHeight="1">
      <c r="A755" s="5"/>
      <c r="B755" s="5"/>
      <c r="C755" s="5"/>
    </row>
    <row r="756" ht="15.75" customHeight="1">
      <c r="A756" s="5"/>
      <c r="B756" s="5"/>
      <c r="C756" s="5"/>
    </row>
    <row r="757" ht="15.75" customHeight="1">
      <c r="A757" s="5"/>
      <c r="B757" s="5"/>
      <c r="C757" s="5"/>
    </row>
    <row r="758" ht="15.75" customHeight="1">
      <c r="A758" s="5"/>
      <c r="B758" s="5"/>
      <c r="C758" s="5"/>
    </row>
    <row r="759" ht="15.75" customHeight="1">
      <c r="A759" s="5"/>
      <c r="B759" s="5"/>
      <c r="C759" s="5"/>
    </row>
    <row r="760" ht="15.75" customHeight="1">
      <c r="A760" s="5"/>
      <c r="B760" s="5"/>
      <c r="C760" s="5"/>
    </row>
    <row r="761" ht="15.75" customHeight="1">
      <c r="A761" s="5"/>
      <c r="B761" s="5"/>
      <c r="C761" s="5"/>
    </row>
    <row r="762" ht="15.75" customHeight="1">
      <c r="A762" s="5"/>
      <c r="B762" s="5"/>
      <c r="C762" s="5"/>
    </row>
    <row r="763" ht="15.75" customHeight="1">
      <c r="A763" s="5"/>
      <c r="B763" s="5"/>
      <c r="C763" s="5"/>
    </row>
    <row r="764" ht="15.75" customHeight="1">
      <c r="A764" s="5"/>
      <c r="B764" s="5"/>
      <c r="C764" s="5"/>
    </row>
    <row r="765" ht="15.75" customHeight="1">
      <c r="A765" s="5"/>
      <c r="B765" s="5"/>
      <c r="C765" s="5"/>
    </row>
    <row r="766" ht="15.75" customHeight="1">
      <c r="A766" s="5"/>
      <c r="B766" s="5"/>
      <c r="C766" s="5"/>
    </row>
    <row r="767" ht="15.75" customHeight="1">
      <c r="A767" s="5"/>
      <c r="B767" s="5"/>
      <c r="C767" s="5"/>
    </row>
    <row r="768" ht="15.75" customHeight="1">
      <c r="A768" s="5"/>
      <c r="B768" s="5"/>
      <c r="C768" s="5"/>
    </row>
    <row r="769" ht="15.75" customHeight="1">
      <c r="A769" s="5"/>
      <c r="B769" s="5"/>
      <c r="C769" s="5"/>
    </row>
    <row r="770" ht="15.75" customHeight="1">
      <c r="A770" s="5"/>
      <c r="B770" s="5"/>
      <c r="C770" s="5"/>
    </row>
    <row r="771" ht="15.75" customHeight="1">
      <c r="A771" s="5"/>
      <c r="B771" s="5"/>
      <c r="C771" s="5"/>
    </row>
    <row r="772" ht="15.75" customHeight="1">
      <c r="A772" s="5"/>
      <c r="B772" s="5"/>
      <c r="C772" s="5"/>
    </row>
    <row r="773" ht="15.75" customHeight="1">
      <c r="A773" s="5"/>
      <c r="B773" s="5"/>
      <c r="C773" s="5"/>
    </row>
    <row r="774" ht="15.75" customHeight="1">
      <c r="A774" s="5"/>
      <c r="B774" s="5"/>
      <c r="C774" s="5"/>
    </row>
    <row r="775" ht="15.75" customHeight="1">
      <c r="A775" s="5"/>
      <c r="B775" s="5"/>
      <c r="C775" s="5"/>
    </row>
    <row r="776" ht="15.75" customHeight="1">
      <c r="A776" s="5"/>
      <c r="B776" s="5"/>
      <c r="C776" s="5"/>
    </row>
    <row r="777" ht="15.75" customHeight="1">
      <c r="A777" s="5"/>
      <c r="B777" s="5"/>
      <c r="C777" s="5"/>
    </row>
    <row r="778" ht="15.75" customHeight="1">
      <c r="A778" s="5"/>
      <c r="B778" s="5"/>
      <c r="C778" s="5"/>
    </row>
    <row r="779" ht="15.75" customHeight="1">
      <c r="A779" s="5"/>
      <c r="B779" s="5"/>
      <c r="C779" s="5"/>
    </row>
    <row r="780" ht="15.75" customHeight="1">
      <c r="A780" s="5"/>
      <c r="B780" s="5"/>
      <c r="C780" s="5"/>
    </row>
    <row r="781" ht="15.75" customHeight="1">
      <c r="A781" s="5"/>
      <c r="B781" s="5"/>
      <c r="C781" s="5"/>
    </row>
    <row r="782" ht="15.75" customHeight="1">
      <c r="A782" s="5"/>
      <c r="B782" s="5"/>
      <c r="C782" s="5"/>
    </row>
    <row r="783" ht="15.75" customHeight="1">
      <c r="A783" s="5"/>
      <c r="B783" s="5"/>
      <c r="C783" s="5"/>
    </row>
    <row r="784" ht="15.75" customHeight="1">
      <c r="A784" s="5"/>
      <c r="B784" s="5"/>
      <c r="C784" s="5"/>
    </row>
    <row r="785" ht="15.75" customHeight="1">
      <c r="A785" s="5"/>
      <c r="B785" s="5"/>
      <c r="C785" s="5"/>
    </row>
    <row r="786" ht="15.75" customHeight="1">
      <c r="A786" s="5"/>
      <c r="B786" s="5"/>
      <c r="C786" s="5"/>
    </row>
    <row r="787" ht="15.75" customHeight="1">
      <c r="A787" s="5"/>
      <c r="B787" s="5"/>
      <c r="C787" s="5"/>
    </row>
    <row r="788" ht="15.75" customHeight="1">
      <c r="A788" s="5"/>
      <c r="B788" s="5"/>
      <c r="C788" s="5"/>
    </row>
    <row r="789" ht="15.75" customHeight="1">
      <c r="A789" s="5"/>
      <c r="B789" s="5"/>
      <c r="C789" s="5"/>
    </row>
    <row r="790" ht="15.75" customHeight="1">
      <c r="A790" s="5"/>
      <c r="B790" s="5"/>
      <c r="C790" s="5"/>
    </row>
    <row r="791" ht="15.75" customHeight="1">
      <c r="A791" s="5"/>
      <c r="B791" s="5"/>
      <c r="C791" s="5"/>
    </row>
    <row r="792" ht="15.75" customHeight="1">
      <c r="A792" s="5"/>
      <c r="B792" s="5"/>
      <c r="C792" s="5"/>
    </row>
    <row r="793" ht="15.75" customHeight="1">
      <c r="A793" s="5"/>
      <c r="B793" s="5"/>
      <c r="C793" s="5"/>
    </row>
    <row r="794" ht="15.75" customHeight="1">
      <c r="A794" s="5"/>
      <c r="B794" s="5"/>
      <c r="C794" s="5"/>
    </row>
    <row r="795" ht="15.75" customHeight="1">
      <c r="A795" s="5"/>
      <c r="B795" s="5"/>
      <c r="C795" s="5"/>
    </row>
    <row r="796" ht="15.75" customHeight="1">
      <c r="A796" s="5"/>
      <c r="B796" s="5"/>
      <c r="C796" s="5"/>
    </row>
    <row r="797" ht="15.75" customHeight="1">
      <c r="A797" s="5"/>
      <c r="B797" s="5"/>
      <c r="C797" s="5"/>
    </row>
    <row r="798" ht="15.75" customHeight="1">
      <c r="A798" s="5"/>
      <c r="B798" s="5"/>
      <c r="C798" s="5"/>
    </row>
    <row r="799" ht="15.75" customHeight="1">
      <c r="A799" s="5"/>
      <c r="B799" s="5"/>
      <c r="C799" s="5"/>
    </row>
    <row r="800" ht="15.75" customHeight="1">
      <c r="A800" s="5"/>
      <c r="B800" s="5"/>
      <c r="C800" s="5"/>
    </row>
    <row r="801" ht="15.75" customHeight="1">
      <c r="A801" s="5"/>
      <c r="B801" s="5"/>
      <c r="C801" s="5"/>
    </row>
    <row r="802" ht="15.75" customHeight="1">
      <c r="A802" s="5"/>
      <c r="B802" s="5"/>
      <c r="C802" s="5"/>
    </row>
    <row r="803" ht="15.75" customHeight="1">
      <c r="A803" s="5"/>
      <c r="B803" s="5"/>
      <c r="C803" s="5"/>
    </row>
    <row r="804" ht="15.75" customHeight="1">
      <c r="A804" s="5"/>
      <c r="B804" s="5"/>
      <c r="C804" s="5"/>
    </row>
    <row r="805" ht="15.75" customHeight="1">
      <c r="A805" s="5"/>
      <c r="B805" s="5"/>
      <c r="C805" s="5"/>
    </row>
    <row r="806" ht="15.75" customHeight="1">
      <c r="A806" s="5"/>
      <c r="B806" s="5"/>
      <c r="C806" s="5"/>
    </row>
    <row r="807" ht="15.75" customHeight="1">
      <c r="A807" s="5"/>
      <c r="B807" s="5"/>
      <c r="C807" s="5"/>
    </row>
    <row r="808" ht="15.75" customHeight="1">
      <c r="A808" s="5"/>
      <c r="B808" s="5"/>
      <c r="C808" s="5"/>
    </row>
    <row r="809" ht="15.75" customHeight="1">
      <c r="A809" s="5"/>
      <c r="B809" s="5"/>
      <c r="C809" s="5"/>
    </row>
    <row r="810" ht="15.75" customHeight="1">
      <c r="A810" s="5"/>
      <c r="B810" s="5"/>
      <c r="C810" s="5"/>
    </row>
    <row r="811" ht="15.75" customHeight="1">
      <c r="A811" s="5"/>
      <c r="B811" s="5"/>
      <c r="C811" s="5"/>
    </row>
    <row r="812" ht="15.75" customHeight="1">
      <c r="A812" s="5"/>
      <c r="B812" s="5"/>
      <c r="C812" s="5"/>
    </row>
    <row r="813" ht="15.75" customHeight="1">
      <c r="A813" s="5"/>
      <c r="B813" s="5"/>
      <c r="C813" s="5"/>
    </row>
    <row r="814" ht="15.75" customHeight="1">
      <c r="A814" s="5"/>
      <c r="B814" s="5"/>
      <c r="C814" s="5"/>
    </row>
    <row r="815" ht="15.75" customHeight="1">
      <c r="A815" s="5"/>
      <c r="B815" s="5"/>
      <c r="C815" s="5"/>
    </row>
    <row r="816" ht="15.75" customHeight="1">
      <c r="A816" s="5"/>
      <c r="B816" s="5"/>
      <c r="C816" s="5"/>
    </row>
    <row r="817" ht="15.75" customHeight="1">
      <c r="A817" s="5"/>
      <c r="B817" s="5"/>
      <c r="C817" s="5"/>
    </row>
    <row r="818" ht="15.75" customHeight="1">
      <c r="A818" s="5"/>
      <c r="B818" s="5"/>
      <c r="C818" s="5"/>
    </row>
    <row r="819" ht="15.75" customHeight="1">
      <c r="A819" s="5"/>
      <c r="B819" s="5"/>
      <c r="C819" s="5"/>
    </row>
    <row r="820" ht="15.75" customHeight="1">
      <c r="A820" s="5"/>
      <c r="B820" s="5"/>
      <c r="C820" s="5"/>
    </row>
    <row r="821" ht="15.75" customHeight="1">
      <c r="A821" s="5"/>
      <c r="B821" s="5"/>
      <c r="C821" s="5"/>
    </row>
    <row r="822" ht="15.75" customHeight="1">
      <c r="A822" s="5"/>
      <c r="B822" s="5"/>
      <c r="C822" s="5"/>
    </row>
    <row r="823" ht="15.75" customHeight="1">
      <c r="A823" s="5"/>
      <c r="B823" s="5"/>
      <c r="C823" s="5"/>
    </row>
    <row r="824" ht="15.75" customHeight="1">
      <c r="A824" s="5"/>
      <c r="B824" s="5"/>
      <c r="C824" s="5"/>
    </row>
    <row r="825" ht="15.75" customHeight="1">
      <c r="A825" s="5"/>
      <c r="B825" s="5"/>
      <c r="C825" s="5"/>
    </row>
    <row r="826" ht="15.75" customHeight="1">
      <c r="A826" s="5"/>
      <c r="B826" s="5"/>
      <c r="C826" s="5"/>
    </row>
    <row r="827" ht="15.75" customHeight="1">
      <c r="A827" s="5"/>
      <c r="B827" s="5"/>
      <c r="C827" s="5"/>
    </row>
    <row r="828" ht="15.75" customHeight="1">
      <c r="A828" s="5"/>
      <c r="B828" s="5"/>
      <c r="C828" s="5"/>
    </row>
    <row r="829" ht="15.75" customHeight="1">
      <c r="A829" s="5"/>
      <c r="B829" s="5"/>
      <c r="C829" s="5"/>
    </row>
    <row r="830" ht="15.75" customHeight="1">
      <c r="A830" s="5"/>
      <c r="B830" s="5"/>
      <c r="C830" s="5"/>
    </row>
    <row r="831" ht="15.75" customHeight="1">
      <c r="A831" s="5"/>
      <c r="B831" s="5"/>
      <c r="C831" s="5"/>
    </row>
    <row r="832" ht="15.75" customHeight="1">
      <c r="A832" s="5"/>
      <c r="B832" s="5"/>
      <c r="C832" s="5"/>
    </row>
    <row r="833" ht="15.75" customHeight="1">
      <c r="A833" s="5"/>
      <c r="B833" s="5"/>
      <c r="C833" s="5"/>
    </row>
    <row r="834" ht="15.75" customHeight="1">
      <c r="A834" s="5"/>
      <c r="B834" s="5"/>
      <c r="C834" s="5"/>
    </row>
    <row r="835" ht="15.75" customHeight="1">
      <c r="A835" s="5"/>
      <c r="B835" s="5"/>
      <c r="C835" s="5"/>
    </row>
    <row r="836" ht="15.75" customHeight="1">
      <c r="A836" s="5"/>
      <c r="B836" s="5"/>
      <c r="C836" s="5"/>
    </row>
    <row r="837" ht="15.75" customHeight="1">
      <c r="A837" s="5"/>
      <c r="B837" s="5"/>
      <c r="C837" s="5"/>
    </row>
    <row r="838" ht="15.75" customHeight="1">
      <c r="A838" s="5"/>
      <c r="B838" s="5"/>
      <c r="C838" s="5"/>
    </row>
    <row r="839" ht="15.75" customHeight="1">
      <c r="A839" s="5"/>
      <c r="B839" s="5"/>
      <c r="C839" s="5"/>
    </row>
    <row r="840" ht="15.75" customHeight="1">
      <c r="A840" s="5"/>
      <c r="B840" s="5"/>
      <c r="C840" s="5"/>
    </row>
    <row r="841" ht="15.75" customHeight="1">
      <c r="A841" s="5"/>
      <c r="B841" s="5"/>
      <c r="C841" s="5"/>
    </row>
    <row r="842" ht="15.75" customHeight="1">
      <c r="A842" s="5"/>
      <c r="B842" s="5"/>
      <c r="C842" s="5"/>
    </row>
    <row r="843" ht="15.75" customHeight="1">
      <c r="A843" s="5"/>
      <c r="B843" s="5"/>
      <c r="C843" s="5"/>
    </row>
    <row r="844" ht="15.75" customHeight="1">
      <c r="A844" s="5"/>
      <c r="B844" s="5"/>
      <c r="C844" s="5"/>
    </row>
    <row r="845" ht="15.75" customHeight="1">
      <c r="A845" s="5"/>
      <c r="B845" s="5"/>
      <c r="C845" s="5"/>
    </row>
    <row r="846" ht="15.75" customHeight="1">
      <c r="A846" s="5"/>
      <c r="B846" s="5"/>
      <c r="C846" s="5"/>
    </row>
    <row r="847" ht="15.75" customHeight="1">
      <c r="A847" s="5"/>
      <c r="B847" s="5"/>
      <c r="C847" s="5"/>
    </row>
    <row r="848" ht="15.75" customHeight="1">
      <c r="A848" s="5"/>
      <c r="B848" s="5"/>
      <c r="C848" s="5"/>
    </row>
    <row r="849" ht="15.75" customHeight="1">
      <c r="A849" s="5"/>
      <c r="B849" s="5"/>
      <c r="C849" s="5"/>
    </row>
    <row r="850" ht="15.75" customHeight="1">
      <c r="A850" s="5"/>
      <c r="B850" s="5"/>
      <c r="C850" s="5"/>
    </row>
    <row r="851" ht="15.75" customHeight="1">
      <c r="A851" s="5"/>
      <c r="B851" s="5"/>
      <c r="C851" s="5"/>
    </row>
    <row r="852" ht="15.75" customHeight="1">
      <c r="A852" s="5"/>
      <c r="B852" s="5"/>
      <c r="C852" s="5"/>
    </row>
    <row r="853" ht="15.75" customHeight="1">
      <c r="A853" s="5"/>
      <c r="B853" s="5"/>
      <c r="C853" s="5"/>
    </row>
    <row r="854" ht="15.75" customHeight="1">
      <c r="A854" s="5"/>
      <c r="B854" s="5"/>
      <c r="C854" s="5"/>
    </row>
    <row r="855" ht="15.75" customHeight="1">
      <c r="A855" s="5"/>
      <c r="B855" s="5"/>
      <c r="C855" s="5"/>
    </row>
    <row r="856" ht="15.75" customHeight="1">
      <c r="A856" s="5"/>
      <c r="B856" s="5"/>
      <c r="C856" s="5"/>
    </row>
    <row r="857" ht="15.75" customHeight="1">
      <c r="A857" s="5"/>
      <c r="B857" s="5"/>
      <c r="C857" s="5"/>
    </row>
    <row r="858" ht="15.75" customHeight="1">
      <c r="A858" s="5"/>
      <c r="B858" s="5"/>
      <c r="C858" s="5"/>
    </row>
    <row r="859" ht="15.75" customHeight="1">
      <c r="A859" s="5"/>
      <c r="B859" s="5"/>
      <c r="C859" s="5"/>
    </row>
    <row r="860" ht="15.75" customHeight="1">
      <c r="A860" s="5"/>
      <c r="B860" s="5"/>
      <c r="C860" s="5"/>
    </row>
    <row r="861" ht="15.75" customHeight="1">
      <c r="A861" s="5"/>
      <c r="B861" s="5"/>
      <c r="C861" s="5"/>
    </row>
    <row r="862" ht="15.75" customHeight="1">
      <c r="A862" s="5"/>
      <c r="B862" s="5"/>
      <c r="C862" s="5"/>
    </row>
    <row r="863" ht="15.75" customHeight="1">
      <c r="A863" s="5"/>
      <c r="B863" s="5"/>
      <c r="C863" s="5"/>
    </row>
    <row r="864" ht="15.75" customHeight="1">
      <c r="A864" s="5"/>
      <c r="B864" s="5"/>
      <c r="C864" s="5"/>
    </row>
    <row r="865" ht="15.75" customHeight="1">
      <c r="A865" s="5"/>
      <c r="B865" s="5"/>
      <c r="C865" s="5"/>
    </row>
    <row r="866" ht="15.75" customHeight="1">
      <c r="A866" s="5"/>
      <c r="B866" s="5"/>
      <c r="C866" s="5"/>
    </row>
    <row r="867" ht="15.75" customHeight="1">
      <c r="A867" s="5"/>
      <c r="B867" s="5"/>
      <c r="C867" s="5"/>
    </row>
    <row r="868" ht="15.75" customHeight="1">
      <c r="A868" s="5"/>
      <c r="B868" s="5"/>
      <c r="C868" s="5"/>
    </row>
    <row r="869" ht="15.75" customHeight="1">
      <c r="A869" s="5"/>
      <c r="B869" s="5"/>
      <c r="C869" s="5"/>
    </row>
    <row r="870" ht="15.75" customHeight="1">
      <c r="A870" s="5"/>
      <c r="B870" s="5"/>
      <c r="C870" s="5"/>
    </row>
    <row r="871" ht="15.75" customHeight="1">
      <c r="A871" s="5"/>
      <c r="B871" s="5"/>
      <c r="C871" s="5"/>
    </row>
    <row r="872" ht="15.75" customHeight="1">
      <c r="A872" s="5"/>
      <c r="B872" s="5"/>
      <c r="C872" s="5"/>
    </row>
    <row r="873" ht="15.75" customHeight="1">
      <c r="A873" s="5"/>
      <c r="B873" s="5"/>
      <c r="C873" s="5"/>
    </row>
    <row r="874" ht="15.75" customHeight="1">
      <c r="A874" s="5"/>
      <c r="B874" s="5"/>
      <c r="C874" s="5"/>
    </row>
    <row r="875" ht="15.75" customHeight="1">
      <c r="A875" s="5"/>
      <c r="B875" s="5"/>
      <c r="C875" s="5"/>
    </row>
    <row r="876" ht="15.75" customHeight="1">
      <c r="A876" s="5"/>
      <c r="B876" s="5"/>
      <c r="C876" s="5"/>
    </row>
    <row r="877" ht="15.75" customHeight="1">
      <c r="A877" s="5"/>
      <c r="B877" s="5"/>
      <c r="C877" s="5"/>
    </row>
    <row r="878" ht="15.75" customHeight="1">
      <c r="A878" s="5"/>
      <c r="B878" s="5"/>
      <c r="C878" s="5"/>
    </row>
    <row r="879" ht="15.75" customHeight="1">
      <c r="A879" s="5"/>
      <c r="B879" s="5"/>
      <c r="C879" s="5"/>
    </row>
    <row r="880" ht="15.75" customHeight="1">
      <c r="A880" s="5"/>
      <c r="B880" s="5"/>
      <c r="C880" s="5"/>
    </row>
    <row r="881" ht="15.75" customHeight="1">
      <c r="A881" s="5"/>
      <c r="B881" s="5"/>
      <c r="C881" s="5"/>
    </row>
    <row r="882" ht="15.75" customHeight="1">
      <c r="A882" s="5"/>
      <c r="B882" s="5"/>
      <c r="C882" s="5"/>
    </row>
    <row r="883" ht="15.75" customHeight="1">
      <c r="A883" s="5"/>
      <c r="B883" s="5"/>
      <c r="C883" s="5"/>
    </row>
    <row r="884" ht="15.75" customHeight="1">
      <c r="A884" s="5"/>
      <c r="B884" s="5"/>
      <c r="C884" s="5"/>
    </row>
    <row r="885" ht="15.75" customHeight="1">
      <c r="A885" s="5"/>
      <c r="B885" s="5"/>
      <c r="C885" s="5"/>
    </row>
    <row r="886" ht="15.75" customHeight="1">
      <c r="A886" s="5"/>
      <c r="B886" s="5"/>
      <c r="C886" s="5"/>
    </row>
    <row r="887" ht="15.75" customHeight="1">
      <c r="A887" s="5"/>
      <c r="B887" s="5"/>
      <c r="C887" s="5"/>
    </row>
    <row r="888" ht="15.75" customHeight="1">
      <c r="A888" s="5"/>
      <c r="B888" s="5"/>
      <c r="C888" s="5"/>
    </row>
    <row r="889" ht="15.75" customHeight="1">
      <c r="A889" s="5"/>
      <c r="B889" s="5"/>
      <c r="C889" s="5"/>
    </row>
    <row r="890" ht="15.75" customHeight="1">
      <c r="A890" s="5"/>
      <c r="B890" s="5"/>
      <c r="C890" s="5"/>
    </row>
    <row r="891" ht="15.75" customHeight="1">
      <c r="A891" s="5"/>
      <c r="B891" s="5"/>
      <c r="C891" s="5"/>
    </row>
    <row r="892" ht="15.75" customHeight="1">
      <c r="A892" s="5"/>
      <c r="B892" s="5"/>
      <c r="C892" s="5"/>
    </row>
    <row r="893" ht="15.75" customHeight="1">
      <c r="A893" s="5"/>
      <c r="B893" s="5"/>
      <c r="C893" s="5"/>
    </row>
    <row r="894" ht="15.75" customHeight="1">
      <c r="A894" s="5"/>
      <c r="B894" s="5"/>
      <c r="C894" s="5"/>
    </row>
    <row r="895" ht="15.75" customHeight="1">
      <c r="A895" s="5"/>
      <c r="B895" s="5"/>
      <c r="C895" s="5"/>
    </row>
    <row r="896" ht="15.75" customHeight="1">
      <c r="A896" s="5"/>
      <c r="B896" s="5"/>
      <c r="C896" s="5"/>
    </row>
    <row r="897" ht="15.75" customHeight="1">
      <c r="A897" s="5"/>
      <c r="B897" s="5"/>
      <c r="C897" s="5"/>
    </row>
    <row r="898" ht="15.75" customHeight="1">
      <c r="A898" s="5"/>
      <c r="B898" s="5"/>
      <c r="C898" s="5"/>
    </row>
    <row r="899" ht="15.75" customHeight="1">
      <c r="A899" s="5"/>
      <c r="B899" s="5"/>
      <c r="C899" s="5"/>
    </row>
    <row r="900" ht="15.75" customHeight="1">
      <c r="A900" s="5"/>
      <c r="B900" s="5"/>
      <c r="C900" s="5"/>
    </row>
    <row r="901" ht="15.75" customHeight="1">
      <c r="A901" s="5"/>
      <c r="B901" s="5"/>
      <c r="C901" s="5"/>
    </row>
    <row r="902" ht="15.75" customHeight="1">
      <c r="A902" s="5"/>
      <c r="B902" s="5"/>
      <c r="C902" s="5"/>
    </row>
    <row r="903" ht="15.75" customHeight="1">
      <c r="A903" s="5"/>
      <c r="B903" s="5"/>
      <c r="C903" s="5"/>
    </row>
    <row r="904" ht="15.75" customHeight="1">
      <c r="A904" s="5"/>
      <c r="B904" s="5"/>
      <c r="C904" s="5"/>
    </row>
    <row r="905" ht="15.75" customHeight="1">
      <c r="A905" s="5"/>
      <c r="B905" s="5"/>
      <c r="C905" s="5"/>
    </row>
    <row r="906" ht="15.75" customHeight="1">
      <c r="A906" s="5"/>
      <c r="B906" s="5"/>
      <c r="C906" s="5"/>
    </row>
    <row r="907" ht="15.75" customHeight="1">
      <c r="A907" s="5"/>
      <c r="B907" s="5"/>
      <c r="C907" s="5"/>
    </row>
    <row r="908" ht="15.75" customHeight="1">
      <c r="A908" s="5"/>
      <c r="B908" s="5"/>
      <c r="C908" s="5"/>
    </row>
    <row r="909" ht="15.75" customHeight="1">
      <c r="A909" s="5"/>
      <c r="B909" s="5"/>
      <c r="C909" s="5"/>
    </row>
    <row r="910" ht="15.75" customHeight="1">
      <c r="A910" s="5"/>
      <c r="B910" s="5"/>
      <c r="C910" s="5"/>
    </row>
    <row r="911" ht="15.75" customHeight="1">
      <c r="A911" s="5"/>
      <c r="B911" s="5"/>
      <c r="C911" s="5"/>
    </row>
    <row r="912" ht="15.75" customHeight="1">
      <c r="A912" s="5"/>
      <c r="B912" s="5"/>
      <c r="C912" s="5"/>
    </row>
    <row r="913" ht="15.75" customHeight="1">
      <c r="A913" s="5"/>
      <c r="B913" s="5"/>
      <c r="C913" s="5"/>
    </row>
    <row r="914" ht="15.75" customHeight="1">
      <c r="A914" s="5"/>
      <c r="B914" s="5"/>
      <c r="C914" s="5"/>
    </row>
    <row r="915" ht="15.75" customHeight="1">
      <c r="A915" s="5"/>
      <c r="B915" s="5"/>
      <c r="C915" s="5"/>
    </row>
    <row r="916" ht="15.75" customHeight="1">
      <c r="A916" s="5"/>
      <c r="B916" s="5"/>
      <c r="C916" s="5"/>
    </row>
    <row r="917" ht="15.75" customHeight="1">
      <c r="A917" s="5"/>
      <c r="B917" s="5"/>
      <c r="C917" s="5"/>
    </row>
    <row r="918" ht="15.75" customHeight="1">
      <c r="A918" s="5"/>
      <c r="B918" s="5"/>
      <c r="C918" s="5"/>
    </row>
    <row r="919" ht="15.75" customHeight="1">
      <c r="A919" s="5"/>
      <c r="B919" s="5"/>
      <c r="C919" s="5"/>
    </row>
    <row r="920" ht="15.75" customHeight="1">
      <c r="A920" s="5"/>
      <c r="B920" s="5"/>
      <c r="C920" s="5"/>
    </row>
    <row r="921" ht="15.75" customHeight="1">
      <c r="A921" s="5"/>
      <c r="B921" s="5"/>
      <c r="C921" s="5"/>
    </row>
    <row r="922" ht="15.75" customHeight="1">
      <c r="A922" s="5"/>
      <c r="B922" s="5"/>
      <c r="C922" s="5"/>
    </row>
    <row r="923" ht="15.75" customHeight="1">
      <c r="A923" s="5"/>
      <c r="B923" s="5"/>
      <c r="C923" s="5"/>
    </row>
    <row r="924" ht="15.75" customHeight="1">
      <c r="A924" s="5"/>
      <c r="B924" s="5"/>
      <c r="C924" s="5"/>
    </row>
    <row r="925" ht="15.75" customHeight="1">
      <c r="A925" s="5"/>
      <c r="B925" s="5"/>
      <c r="C925" s="5"/>
    </row>
    <row r="926" ht="15.75" customHeight="1">
      <c r="A926" s="5"/>
      <c r="B926" s="5"/>
      <c r="C926" s="5"/>
    </row>
    <row r="927" ht="15.75" customHeight="1">
      <c r="A927" s="5"/>
      <c r="B927" s="5"/>
      <c r="C927" s="5"/>
    </row>
    <row r="928" ht="15.75" customHeight="1">
      <c r="A928" s="5"/>
      <c r="B928" s="5"/>
      <c r="C928" s="5"/>
    </row>
    <row r="929" ht="15.75" customHeight="1">
      <c r="A929" s="5"/>
      <c r="B929" s="5"/>
      <c r="C929" s="5"/>
    </row>
    <row r="930" ht="15.75" customHeight="1">
      <c r="A930" s="5"/>
      <c r="B930" s="5"/>
      <c r="C930" s="5"/>
    </row>
    <row r="931" ht="15.75" customHeight="1">
      <c r="A931" s="5"/>
      <c r="B931" s="5"/>
      <c r="C931" s="5"/>
    </row>
    <row r="932" ht="15.75" customHeight="1">
      <c r="A932" s="5"/>
      <c r="B932" s="5"/>
      <c r="C932" s="5"/>
    </row>
    <row r="933" ht="15.75" customHeight="1">
      <c r="A933" s="5"/>
      <c r="B933" s="5"/>
      <c r="C933" s="5"/>
    </row>
    <row r="934" ht="15.75" customHeight="1">
      <c r="A934" s="5"/>
      <c r="B934" s="5"/>
      <c r="C934" s="5"/>
    </row>
    <row r="935" ht="15.75" customHeight="1">
      <c r="A935" s="5"/>
      <c r="B935" s="5"/>
      <c r="C935" s="5"/>
    </row>
    <row r="936" ht="15.75" customHeight="1">
      <c r="A936" s="5"/>
      <c r="B936" s="5"/>
      <c r="C936" s="5"/>
    </row>
    <row r="937" ht="15.75" customHeight="1">
      <c r="A937" s="5"/>
      <c r="B937" s="5"/>
      <c r="C937" s="5"/>
    </row>
    <row r="938" ht="15.75" customHeight="1">
      <c r="A938" s="5"/>
      <c r="B938" s="5"/>
      <c r="C938" s="5"/>
    </row>
    <row r="939" ht="15.75" customHeight="1">
      <c r="A939" s="5"/>
      <c r="B939" s="5"/>
      <c r="C939" s="5"/>
    </row>
    <row r="940" ht="15.75" customHeight="1">
      <c r="A940" s="5"/>
      <c r="B940" s="5"/>
      <c r="C940" s="5"/>
    </row>
    <row r="941" ht="15.75" customHeight="1">
      <c r="A941" s="5"/>
      <c r="B941" s="5"/>
      <c r="C941" s="5"/>
    </row>
    <row r="942" ht="15.75" customHeight="1">
      <c r="A942" s="5"/>
      <c r="B942" s="5"/>
      <c r="C942" s="5"/>
    </row>
    <row r="943" ht="15.75" customHeight="1">
      <c r="A943" s="5"/>
      <c r="B943" s="5"/>
      <c r="C943" s="5"/>
    </row>
    <row r="944" ht="15.75" customHeight="1">
      <c r="A944" s="5"/>
      <c r="B944" s="5"/>
      <c r="C944" s="5"/>
    </row>
    <row r="945" ht="15.75" customHeight="1">
      <c r="A945" s="5"/>
      <c r="B945" s="5"/>
      <c r="C945" s="5"/>
    </row>
    <row r="946" ht="15.75" customHeight="1">
      <c r="A946" s="5"/>
      <c r="B946" s="5"/>
      <c r="C946" s="5"/>
    </row>
    <row r="947" ht="15.75" customHeight="1">
      <c r="A947" s="5"/>
      <c r="B947" s="5"/>
      <c r="C947" s="5"/>
    </row>
    <row r="948" ht="15.75" customHeight="1">
      <c r="A948" s="5"/>
      <c r="B948" s="5"/>
      <c r="C948" s="5"/>
    </row>
    <row r="949" ht="15.75" customHeight="1">
      <c r="A949" s="5"/>
      <c r="B949" s="5"/>
      <c r="C949" s="5"/>
    </row>
    <row r="950" ht="15.75" customHeight="1">
      <c r="A950" s="5"/>
      <c r="B950" s="5"/>
      <c r="C950" s="5"/>
    </row>
    <row r="951" ht="15.75" customHeight="1">
      <c r="A951" s="5"/>
      <c r="B951" s="5"/>
      <c r="C951" s="5"/>
    </row>
    <row r="952" ht="15.75" customHeight="1">
      <c r="A952" s="5"/>
      <c r="B952" s="5"/>
      <c r="C952" s="5"/>
    </row>
    <row r="953" ht="15.75" customHeight="1">
      <c r="A953" s="5"/>
      <c r="B953" s="5"/>
      <c r="C953" s="5"/>
    </row>
    <row r="954" ht="15.75" customHeight="1">
      <c r="A954" s="5"/>
      <c r="B954" s="5"/>
      <c r="C954" s="5"/>
    </row>
    <row r="955" ht="15.75" customHeight="1">
      <c r="A955" s="5"/>
      <c r="B955" s="5"/>
      <c r="C955" s="5"/>
    </row>
    <row r="956" ht="15.75" customHeight="1">
      <c r="A956" s="5"/>
      <c r="B956" s="5"/>
      <c r="C956" s="5"/>
    </row>
    <row r="957" ht="15.75" customHeight="1">
      <c r="A957" s="5"/>
      <c r="B957" s="5"/>
      <c r="C957" s="5"/>
    </row>
    <row r="958" ht="15.75" customHeight="1">
      <c r="A958" s="5"/>
      <c r="B958" s="5"/>
      <c r="C958" s="5"/>
    </row>
    <row r="959" ht="15.75" customHeight="1">
      <c r="A959" s="5"/>
      <c r="B959" s="5"/>
      <c r="C959" s="5"/>
    </row>
    <row r="960" ht="15.75" customHeight="1">
      <c r="A960" s="5"/>
      <c r="B960" s="5"/>
      <c r="C960" s="5"/>
    </row>
    <row r="961" ht="15.75" customHeight="1">
      <c r="A961" s="5"/>
      <c r="B961" s="5"/>
      <c r="C961" s="5"/>
    </row>
    <row r="962" ht="15.75" customHeight="1">
      <c r="A962" s="5"/>
      <c r="B962" s="5"/>
      <c r="C962" s="5"/>
    </row>
    <row r="963" ht="15.75" customHeight="1">
      <c r="A963" s="5"/>
      <c r="B963" s="5"/>
      <c r="C963" s="5"/>
    </row>
    <row r="964" ht="15.75" customHeight="1">
      <c r="A964" s="5"/>
      <c r="B964" s="5"/>
      <c r="C964" s="5"/>
    </row>
    <row r="965" ht="15.75" customHeight="1">
      <c r="A965" s="5"/>
      <c r="B965" s="5"/>
      <c r="C965" s="5"/>
    </row>
    <row r="966" ht="15.75" customHeight="1">
      <c r="A966" s="5"/>
      <c r="B966" s="5"/>
      <c r="C966" s="5"/>
    </row>
    <row r="967" ht="15.75" customHeight="1">
      <c r="A967" s="5"/>
      <c r="B967" s="5"/>
      <c r="C967" s="5"/>
    </row>
    <row r="968" ht="15.75" customHeight="1">
      <c r="A968" s="5"/>
      <c r="B968" s="5"/>
      <c r="C968" s="5"/>
    </row>
    <row r="969" ht="15.75" customHeight="1">
      <c r="A969" s="5"/>
      <c r="B969" s="5"/>
      <c r="C969" s="5"/>
    </row>
    <row r="970" ht="15.75" customHeight="1">
      <c r="A970" s="5"/>
      <c r="B970" s="5"/>
      <c r="C970" s="5"/>
    </row>
    <row r="971" ht="15.75" customHeight="1">
      <c r="A971" s="5"/>
      <c r="B971" s="5"/>
      <c r="C971" s="5"/>
    </row>
    <row r="972" ht="15.75" customHeight="1">
      <c r="A972" s="5"/>
      <c r="B972" s="5"/>
      <c r="C972" s="5"/>
    </row>
    <row r="973" ht="15.75" customHeight="1">
      <c r="A973" s="5"/>
      <c r="B973" s="5"/>
      <c r="C973" s="5"/>
    </row>
    <row r="974" ht="15.75" customHeight="1">
      <c r="A974" s="5"/>
      <c r="B974" s="5"/>
      <c r="C974" s="5"/>
    </row>
    <row r="975" ht="15.75" customHeight="1">
      <c r="A975" s="5"/>
      <c r="B975" s="5"/>
      <c r="C975" s="5"/>
    </row>
    <row r="976" ht="15.75" customHeight="1">
      <c r="A976" s="5"/>
      <c r="B976" s="5"/>
      <c r="C976" s="5"/>
    </row>
    <row r="977" ht="15.75" customHeight="1">
      <c r="A977" s="5"/>
      <c r="B977" s="5"/>
      <c r="C977" s="5"/>
    </row>
    <row r="978" ht="15.75" customHeight="1">
      <c r="A978" s="5"/>
      <c r="B978" s="5"/>
      <c r="C978" s="5"/>
    </row>
    <row r="979" ht="15.75" customHeight="1">
      <c r="A979" s="5"/>
      <c r="B979" s="5"/>
      <c r="C979" s="5"/>
    </row>
    <row r="980" ht="15.75" customHeight="1">
      <c r="A980" s="5"/>
      <c r="B980" s="5"/>
      <c r="C980" s="5"/>
    </row>
    <row r="981" ht="15.75" customHeight="1">
      <c r="A981" s="5"/>
      <c r="B981" s="5"/>
      <c r="C981" s="5"/>
    </row>
    <row r="982" ht="15.75" customHeight="1">
      <c r="A982" s="5"/>
      <c r="B982" s="5"/>
      <c r="C982" s="5"/>
    </row>
    <row r="983" ht="15.75" customHeight="1">
      <c r="A983" s="5"/>
      <c r="B983" s="5"/>
      <c r="C983" s="5"/>
    </row>
    <row r="984" ht="15.75" customHeight="1">
      <c r="A984" s="5"/>
      <c r="B984" s="5"/>
      <c r="C984" s="5"/>
    </row>
    <row r="985" ht="15.75" customHeight="1">
      <c r="A985" s="5"/>
      <c r="B985" s="5"/>
      <c r="C985" s="5"/>
    </row>
    <row r="986" ht="15.75" customHeight="1">
      <c r="A986" s="5"/>
      <c r="B986" s="5"/>
      <c r="C986" s="5"/>
    </row>
    <row r="987" ht="15.75" customHeight="1">
      <c r="A987" s="5"/>
      <c r="B987" s="5"/>
      <c r="C987" s="5"/>
    </row>
    <row r="988" ht="15.75" customHeight="1">
      <c r="A988" s="5"/>
      <c r="B988" s="5"/>
      <c r="C988" s="5"/>
    </row>
    <row r="989" ht="15.75" customHeight="1">
      <c r="A989" s="5"/>
      <c r="B989" s="5"/>
      <c r="C989" s="5"/>
    </row>
    <row r="990" ht="15.75" customHeight="1">
      <c r="A990" s="5"/>
      <c r="B990" s="5"/>
      <c r="C990" s="5"/>
    </row>
    <row r="991" ht="15.75" customHeight="1">
      <c r="A991" s="5"/>
      <c r="B991" s="5"/>
      <c r="C991" s="5"/>
    </row>
    <row r="992" ht="15.75" customHeight="1">
      <c r="A992" s="5"/>
      <c r="B992" s="5"/>
      <c r="C992" s="5"/>
    </row>
    <row r="993" ht="15.75" customHeight="1">
      <c r="A993" s="5"/>
      <c r="B993" s="5"/>
      <c r="C993" s="5"/>
    </row>
    <row r="994" ht="15.75" customHeight="1">
      <c r="A994" s="5"/>
      <c r="B994" s="5"/>
      <c r="C994" s="5"/>
    </row>
    <row r="995" ht="15.75" customHeight="1">
      <c r="A995" s="5"/>
      <c r="B995" s="5"/>
      <c r="C995" s="5"/>
    </row>
    <row r="996" ht="15.75" customHeight="1">
      <c r="A996" s="5"/>
      <c r="B996" s="5"/>
      <c r="C996" s="5"/>
    </row>
    <row r="997" ht="15.75" customHeight="1">
      <c r="A997" s="5"/>
      <c r="B997" s="5"/>
      <c r="C997" s="5"/>
    </row>
    <row r="998" ht="15.75" customHeight="1">
      <c r="A998" s="5"/>
      <c r="B998" s="5"/>
      <c r="C998" s="5"/>
    </row>
    <row r="999" ht="15.75" customHeight="1">
      <c r="A999" s="5"/>
      <c r="B999" s="5"/>
      <c r="C999" s="5"/>
    </row>
    <row r="1000" ht="15.75" customHeight="1">
      <c r="A1000" s="5"/>
      <c r="B1000" s="5"/>
      <c r="C1000" s="5"/>
    </row>
  </sheetData>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5"/>
    <col customWidth="1" min="2" max="2" width="10.38"/>
    <col customWidth="1" min="3" max="3" width="19.13"/>
    <col customWidth="1" min="4" max="4" width="25.88"/>
    <col customWidth="1" min="5" max="5" width="18.75"/>
    <col customWidth="1" min="6" max="6" width="9.38"/>
  </cols>
  <sheetData>
    <row r="1" ht="15.75" customHeight="1">
      <c r="A1" s="61" t="s">
        <v>632</v>
      </c>
      <c r="B1" s="61" t="s">
        <v>633</v>
      </c>
      <c r="C1" s="62" t="s">
        <v>634</v>
      </c>
      <c r="D1" s="62" t="s">
        <v>635</v>
      </c>
      <c r="E1" s="62" t="s">
        <v>584</v>
      </c>
      <c r="F1" s="63" t="s">
        <v>636</v>
      </c>
      <c r="G1" s="64"/>
      <c r="H1" s="64"/>
      <c r="I1" s="64"/>
      <c r="J1" s="64"/>
      <c r="K1" s="64"/>
      <c r="L1" s="64"/>
      <c r="M1" s="64"/>
      <c r="N1" s="64"/>
      <c r="O1" s="64"/>
      <c r="P1" s="64"/>
      <c r="Q1" s="64"/>
      <c r="R1" s="64"/>
      <c r="S1" s="64"/>
      <c r="T1" s="64"/>
      <c r="U1" s="64"/>
      <c r="V1" s="64"/>
      <c r="W1" s="64"/>
    </row>
    <row r="2" ht="15.75" customHeight="1">
      <c r="A2" s="37">
        <v>1.0</v>
      </c>
      <c r="B2" s="37" t="s">
        <v>111</v>
      </c>
      <c r="C2" s="36" t="s">
        <v>637</v>
      </c>
      <c r="D2" s="36" t="s">
        <v>638</v>
      </c>
      <c r="E2" s="36" t="s">
        <v>587</v>
      </c>
      <c r="F2" s="41">
        <v>0.2</v>
      </c>
      <c r="G2" s="65"/>
      <c r="H2" s="65"/>
      <c r="I2" s="65"/>
      <c r="J2" s="65"/>
      <c r="K2" s="65"/>
      <c r="L2" s="65"/>
      <c r="M2" s="65"/>
      <c r="N2" s="65"/>
      <c r="O2" s="65"/>
      <c r="P2" s="65"/>
      <c r="Q2" s="65"/>
      <c r="R2" s="65"/>
      <c r="S2" s="65"/>
      <c r="T2" s="65"/>
      <c r="U2" s="65"/>
      <c r="V2" s="65"/>
      <c r="W2" s="65"/>
    </row>
    <row r="3" ht="15.75" customHeight="1">
      <c r="A3" s="37">
        <v>2.0</v>
      </c>
      <c r="B3" s="37" t="s">
        <v>111</v>
      </c>
      <c r="C3" s="36" t="s">
        <v>637</v>
      </c>
      <c r="D3" s="36" t="s">
        <v>638</v>
      </c>
      <c r="E3" s="36" t="s">
        <v>591</v>
      </c>
      <c r="F3" s="41">
        <v>0.2</v>
      </c>
      <c r="G3" s="65"/>
      <c r="H3" s="65"/>
      <c r="I3" s="65"/>
      <c r="J3" s="65"/>
      <c r="K3" s="65"/>
      <c r="L3" s="65"/>
      <c r="M3" s="65"/>
      <c r="N3" s="65"/>
      <c r="O3" s="65"/>
      <c r="P3" s="65"/>
      <c r="Q3" s="65"/>
      <c r="R3" s="65"/>
      <c r="S3" s="65"/>
      <c r="T3" s="65"/>
      <c r="U3" s="65"/>
      <c r="V3" s="65"/>
      <c r="W3" s="65"/>
    </row>
    <row r="4" ht="15.75" customHeight="1">
      <c r="A4" s="37">
        <v>3.0</v>
      </c>
      <c r="B4" s="37" t="s">
        <v>111</v>
      </c>
      <c r="C4" s="36" t="s">
        <v>637</v>
      </c>
      <c r="D4" s="36" t="s">
        <v>638</v>
      </c>
      <c r="E4" s="36" t="s">
        <v>601</v>
      </c>
      <c r="F4" s="41">
        <v>0.3</v>
      </c>
      <c r="G4" s="65"/>
      <c r="H4" s="65"/>
      <c r="I4" s="65"/>
      <c r="J4" s="65"/>
      <c r="K4" s="65"/>
      <c r="L4" s="65"/>
      <c r="M4" s="65"/>
      <c r="N4" s="65"/>
      <c r="O4" s="65"/>
      <c r="P4" s="65"/>
      <c r="Q4" s="65"/>
      <c r="R4" s="65"/>
      <c r="S4" s="65"/>
      <c r="T4" s="65"/>
      <c r="U4" s="65"/>
      <c r="V4" s="65"/>
      <c r="W4" s="65"/>
    </row>
    <row r="5" ht="15.75" customHeight="1">
      <c r="A5" s="37">
        <v>4.0</v>
      </c>
      <c r="B5" s="37" t="s">
        <v>111</v>
      </c>
      <c r="C5" s="36" t="s">
        <v>637</v>
      </c>
      <c r="D5" s="36" t="s">
        <v>638</v>
      </c>
      <c r="E5" s="36" t="s">
        <v>613</v>
      </c>
      <c r="F5" s="41">
        <v>0.5</v>
      </c>
      <c r="G5" s="65"/>
      <c r="H5" s="65"/>
      <c r="I5" s="65"/>
      <c r="J5" s="65"/>
      <c r="K5" s="65"/>
      <c r="L5" s="65"/>
      <c r="M5" s="65"/>
      <c r="N5" s="65"/>
      <c r="O5" s="65"/>
      <c r="P5" s="65"/>
      <c r="Q5" s="65"/>
      <c r="R5" s="65"/>
      <c r="S5" s="65"/>
      <c r="T5" s="65"/>
      <c r="U5" s="65"/>
      <c r="V5" s="65"/>
      <c r="W5" s="65"/>
    </row>
    <row r="6" ht="15.75" customHeight="1">
      <c r="A6" s="37">
        <v>5.0</v>
      </c>
      <c r="B6" s="37" t="s">
        <v>111</v>
      </c>
      <c r="C6" s="36" t="s">
        <v>639</v>
      </c>
      <c r="D6" s="36" t="s">
        <v>640</v>
      </c>
      <c r="E6" s="36" t="s">
        <v>597</v>
      </c>
      <c r="F6" s="41">
        <v>0.6</v>
      </c>
      <c r="G6" s="65"/>
      <c r="H6" s="65"/>
      <c r="I6" s="65"/>
      <c r="J6" s="65"/>
      <c r="K6" s="65"/>
      <c r="L6" s="65"/>
      <c r="M6" s="65"/>
      <c r="N6" s="65"/>
      <c r="O6" s="65"/>
      <c r="P6" s="65"/>
      <c r="Q6" s="65"/>
      <c r="R6" s="65"/>
      <c r="S6" s="65"/>
      <c r="T6" s="65"/>
      <c r="U6" s="65"/>
      <c r="V6" s="65"/>
      <c r="W6" s="65"/>
    </row>
    <row r="7" ht="15.75" customHeight="1">
      <c r="A7" s="37">
        <v>6.0</v>
      </c>
      <c r="B7" s="37" t="s">
        <v>111</v>
      </c>
      <c r="C7" s="36" t="s">
        <v>639</v>
      </c>
      <c r="D7" s="36" t="s">
        <v>640</v>
      </c>
      <c r="E7" s="36" t="s">
        <v>601</v>
      </c>
      <c r="F7" s="41">
        <v>1.0</v>
      </c>
      <c r="G7" s="65"/>
      <c r="H7" s="65"/>
      <c r="I7" s="65"/>
      <c r="J7" s="65"/>
      <c r="K7" s="65"/>
      <c r="L7" s="65"/>
      <c r="M7" s="65"/>
      <c r="N7" s="65"/>
      <c r="O7" s="65"/>
      <c r="P7" s="65"/>
      <c r="Q7" s="65"/>
      <c r="R7" s="65"/>
      <c r="S7" s="65"/>
      <c r="T7" s="65"/>
      <c r="U7" s="65"/>
      <c r="V7" s="65"/>
      <c r="W7" s="65"/>
    </row>
    <row r="8" ht="15.75" customHeight="1">
      <c r="A8" s="37">
        <v>7.0</v>
      </c>
      <c r="B8" s="37" t="s">
        <v>111</v>
      </c>
      <c r="C8" s="36" t="s">
        <v>639</v>
      </c>
      <c r="D8" s="36" t="s">
        <v>640</v>
      </c>
      <c r="E8" s="42" t="s">
        <v>605</v>
      </c>
      <c r="F8" s="41">
        <v>0.4</v>
      </c>
      <c r="G8" s="65"/>
      <c r="H8" s="65"/>
      <c r="I8" s="65"/>
      <c r="J8" s="65"/>
      <c r="K8" s="65"/>
      <c r="L8" s="65"/>
      <c r="M8" s="65"/>
      <c r="N8" s="65"/>
      <c r="O8" s="65"/>
      <c r="P8" s="65"/>
      <c r="Q8" s="65"/>
      <c r="R8" s="65"/>
      <c r="S8" s="65"/>
      <c r="T8" s="65"/>
      <c r="U8" s="65"/>
      <c r="V8" s="65"/>
      <c r="W8" s="65"/>
    </row>
    <row r="9" ht="15.75" customHeight="1">
      <c r="A9" s="37">
        <v>8.0</v>
      </c>
      <c r="B9" s="37" t="s">
        <v>111</v>
      </c>
      <c r="C9" s="36" t="s">
        <v>639</v>
      </c>
      <c r="D9" s="36" t="s">
        <v>640</v>
      </c>
      <c r="E9" s="36" t="s">
        <v>607</v>
      </c>
      <c r="F9" s="41">
        <v>1.1</v>
      </c>
      <c r="G9" s="65"/>
      <c r="H9" s="65"/>
      <c r="I9" s="65"/>
      <c r="J9" s="65"/>
      <c r="K9" s="65"/>
      <c r="L9" s="65"/>
      <c r="M9" s="65"/>
      <c r="N9" s="65"/>
      <c r="O9" s="65"/>
      <c r="P9" s="65"/>
      <c r="Q9" s="65"/>
      <c r="R9" s="65"/>
      <c r="S9" s="65"/>
      <c r="T9" s="65"/>
      <c r="U9" s="65"/>
      <c r="V9" s="65"/>
      <c r="W9" s="65"/>
    </row>
    <row r="10" ht="15.75" customHeight="1">
      <c r="A10" s="37">
        <v>9.0</v>
      </c>
      <c r="B10" s="37" t="s">
        <v>111</v>
      </c>
      <c r="C10" s="36" t="s">
        <v>639</v>
      </c>
      <c r="D10" s="36" t="s">
        <v>640</v>
      </c>
      <c r="E10" s="36" t="s">
        <v>611</v>
      </c>
      <c r="F10" s="41">
        <v>0.9</v>
      </c>
      <c r="G10" s="65"/>
      <c r="H10" s="65"/>
      <c r="I10" s="65"/>
      <c r="J10" s="65"/>
      <c r="K10" s="65"/>
      <c r="L10" s="65"/>
      <c r="M10" s="65"/>
      <c r="N10" s="65"/>
      <c r="O10" s="65"/>
      <c r="P10" s="65"/>
      <c r="Q10" s="65"/>
      <c r="R10" s="65"/>
      <c r="S10" s="65"/>
      <c r="T10" s="65"/>
      <c r="U10" s="65"/>
      <c r="V10" s="65"/>
      <c r="W10" s="65"/>
    </row>
    <row r="11" ht="15.75" customHeight="1">
      <c r="A11" s="37">
        <v>10.0</v>
      </c>
      <c r="B11" s="37" t="s">
        <v>111</v>
      </c>
      <c r="C11" s="36" t="s">
        <v>641</v>
      </c>
      <c r="D11" s="36" t="s">
        <v>642</v>
      </c>
      <c r="E11" s="36" t="s">
        <v>587</v>
      </c>
      <c r="F11" s="41">
        <v>0.9</v>
      </c>
      <c r="G11" s="65"/>
      <c r="H11" s="65"/>
      <c r="I11" s="65"/>
      <c r="J11" s="65"/>
      <c r="K11" s="65"/>
      <c r="L11" s="65"/>
      <c r="M11" s="65"/>
      <c r="N11" s="65"/>
      <c r="O11" s="65"/>
      <c r="P11" s="65"/>
      <c r="Q11" s="65"/>
      <c r="R11" s="65"/>
      <c r="S11" s="65"/>
      <c r="T11" s="65"/>
      <c r="U11" s="65"/>
      <c r="V11" s="65"/>
      <c r="W11" s="65"/>
    </row>
    <row r="12" ht="15.75" customHeight="1">
      <c r="A12" s="37">
        <v>11.0</v>
      </c>
      <c r="B12" s="37" t="s">
        <v>111</v>
      </c>
      <c r="C12" s="36" t="s">
        <v>641</v>
      </c>
      <c r="D12" s="36" t="s">
        <v>642</v>
      </c>
      <c r="E12" s="36" t="s">
        <v>591</v>
      </c>
      <c r="F12" s="41">
        <v>0.7</v>
      </c>
      <c r="G12" s="65"/>
      <c r="H12" s="65"/>
      <c r="I12" s="65"/>
      <c r="J12" s="65"/>
      <c r="K12" s="65"/>
      <c r="L12" s="65"/>
      <c r="M12" s="65"/>
      <c r="N12" s="65"/>
      <c r="O12" s="65"/>
      <c r="P12" s="65"/>
      <c r="Q12" s="65"/>
      <c r="R12" s="65"/>
      <c r="S12" s="65"/>
      <c r="T12" s="65"/>
      <c r="U12" s="65"/>
      <c r="V12" s="65"/>
      <c r="W12" s="65"/>
    </row>
    <row r="13" ht="15.75" customHeight="1">
      <c r="A13" s="37">
        <v>12.0</v>
      </c>
      <c r="B13" s="37" t="s">
        <v>111</v>
      </c>
      <c r="C13" s="36" t="s">
        <v>641</v>
      </c>
      <c r="D13" s="36" t="s">
        <v>642</v>
      </c>
      <c r="E13" s="36" t="s">
        <v>599</v>
      </c>
      <c r="F13" s="41">
        <v>0.7</v>
      </c>
      <c r="G13" s="65"/>
      <c r="H13" s="65"/>
      <c r="I13" s="65"/>
      <c r="J13" s="65"/>
      <c r="K13" s="65"/>
      <c r="L13" s="65"/>
      <c r="M13" s="65"/>
      <c r="N13" s="65"/>
      <c r="O13" s="65"/>
      <c r="P13" s="65"/>
      <c r="Q13" s="65"/>
      <c r="R13" s="65"/>
      <c r="S13" s="65"/>
      <c r="T13" s="65"/>
      <c r="U13" s="65"/>
      <c r="V13" s="65"/>
      <c r="W13" s="65"/>
    </row>
    <row r="14" ht="15.75" customHeight="1">
      <c r="A14" s="37">
        <v>13.0</v>
      </c>
      <c r="B14" s="37" t="s">
        <v>111</v>
      </c>
      <c r="C14" s="36" t="s">
        <v>641</v>
      </c>
      <c r="D14" s="36" t="s">
        <v>642</v>
      </c>
      <c r="E14" s="36" t="s">
        <v>607</v>
      </c>
      <c r="F14" s="41">
        <v>0.3</v>
      </c>
      <c r="G14" s="65"/>
      <c r="H14" s="65"/>
      <c r="I14" s="65"/>
      <c r="J14" s="65"/>
      <c r="K14" s="65"/>
      <c r="L14" s="65"/>
      <c r="M14" s="65"/>
      <c r="N14" s="65"/>
      <c r="O14" s="65"/>
      <c r="P14" s="65"/>
      <c r="Q14" s="65"/>
      <c r="R14" s="65"/>
      <c r="S14" s="65"/>
      <c r="T14" s="65"/>
      <c r="U14" s="65"/>
      <c r="V14" s="65"/>
      <c r="W14" s="65"/>
    </row>
    <row r="15" ht="15.75" customHeight="1">
      <c r="A15" s="37">
        <v>14.0</v>
      </c>
      <c r="B15" s="37" t="s">
        <v>111</v>
      </c>
      <c r="C15" s="36" t="s">
        <v>641</v>
      </c>
      <c r="D15" s="36" t="s">
        <v>642</v>
      </c>
      <c r="E15" s="36" t="s">
        <v>609</v>
      </c>
      <c r="F15" s="41">
        <v>0.6</v>
      </c>
      <c r="G15" s="65"/>
      <c r="H15" s="65"/>
      <c r="I15" s="65"/>
      <c r="J15" s="65"/>
      <c r="K15" s="65"/>
      <c r="L15" s="65"/>
      <c r="M15" s="65"/>
      <c r="N15" s="65"/>
      <c r="O15" s="65"/>
      <c r="P15" s="65"/>
      <c r="Q15" s="65"/>
      <c r="R15" s="65"/>
      <c r="S15" s="65"/>
      <c r="T15" s="65"/>
      <c r="U15" s="65"/>
      <c r="V15" s="65"/>
      <c r="W15" s="65"/>
    </row>
    <row r="16" ht="15.75" customHeight="1">
      <c r="A16" s="37">
        <v>15.0</v>
      </c>
      <c r="B16" s="37" t="s">
        <v>111</v>
      </c>
      <c r="C16" s="36" t="s">
        <v>643</v>
      </c>
      <c r="D16" s="36" t="s">
        <v>644</v>
      </c>
      <c r="E16" s="36" t="s">
        <v>589</v>
      </c>
      <c r="F16" s="41">
        <v>0.9</v>
      </c>
      <c r="G16" s="65"/>
      <c r="H16" s="65"/>
      <c r="I16" s="65"/>
      <c r="J16" s="65"/>
      <c r="K16" s="65"/>
      <c r="L16" s="65"/>
      <c r="M16" s="65"/>
      <c r="N16" s="65"/>
      <c r="O16" s="65"/>
      <c r="P16" s="65"/>
      <c r="Q16" s="65"/>
      <c r="R16" s="65"/>
      <c r="S16" s="65"/>
      <c r="T16" s="65"/>
      <c r="U16" s="65"/>
      <c r="V16" s="65"/>
      <c r="W16" s="65"/>
    </row>
    <row r="17" ht="15.75" customHeight="1">
      <c r="A17" s="37">
        <v>16.0</v>
      </c>
      <c r="B17" s="37" t="s">
        <v>111</v>
      </c>
      <c r="C17" s="36" t="s">
        <v>643</v>
      </c>
      <c r="D17" s="36" t="s">
        <v>644</v>
      </c>
      <c r="E17" s="36" t="s">
        <v>593</v>
      </c>
      <c r="F17" s="41">
        <v>0.5</v>
      </c>
      <c r="G17" s="65"/>
      <c r="H17" s="65"/>
      <c r="I17" s="65"/>
      <c r="J17" s="65"/>
      <c r="K17" s="65"/>
      <c r="L17" s="65"/>
      <c r="M17" s="65"/>
      <c r="N17" s="65"/>
      <c r="O17" s="65"/>
      <c r="P17" s="65"/>
      <c r="Q17" s="65"/>
      <c r="R17" s="65"/>
      <c r="S17" s="65"/>
      <c r="T17" s="65"/>
      <c r="U17" s="65"/>
      <c r="V17" s="65"/>
      <c r="W17" s="65"/>
    </row>
    <row r="18" ht="15.75" customHeight="1">
      <c r="A18" s="37">
        <v>17.0</v>
      </c>
      <c r="B18" s="37" t="s">
        <v>111</v>
      </c>
      <c r="C18" s="36" t="s">
        <v>643</v>
      </c>
      <c r="D18" s="36" t="s">
        <v>644</v>
      </c>
      <c r="E18" s="36" t="s">
        <v>595</v>
      </c>
      <c r="F18" s="41">
        <v>0.5</v>
      </c>
      <c r="G18" s="65"/>
      <c r="H18" s="65"/>
      <c r="I18" s="65"/>
      <c r="J18" s="65"/>
      <c r="K18" s="65"/>
      <c r="L18" s="65"/>
      <c r="M18" s="65"/>
      <c r="N18" s="65"/>
      <c r="O18" s="65"/>
      <c r="P18" s="65"/>
      <c r="Q18" s="65"/>
      <c r="R18" s="65"/>
      <c r="S18" s="65"/>
      <c r="T18" s="65"/>
      <c r="U18" s="65"/>
      <c r="V18" s="65"/>
      <c r="W18" s="65"/>
    </row>
    <row r="19" ht="15.75" customHeight="1">
      <c r="A19" s="37">
        <v>18.0</v>
      </c>
      <c r="B19" s="37" t="s">
        <v>111</v>
      </c>
      <c r="C19" s="36" t="s">
        <v>643</v>
      </c>
      <c r="D19" s="36" t="s">
        <v>644</v>
      </c>
      <c r="E19" s="42" t="s">
        <v>605</v>
      </c>
      <c r="F19" s="41">
        <v>0.6</v>
      </c>
      <c r="G19" s="65"/>
      <c r="H19" s="65"/>
      <c r="I19" s="65"/>
      <c r="J19" s="65"/>
      <c r="K19" s="65"/>
      <c r="L19" s="65"/>
      <c r="M19" s="65"/>
      <c r="N19" s="65"/>
      <c r="O19" s="65"/>
      <c r="P19" s="65"/>
      <c r="Q19" s="65"/>
      <c r="R19" s="65"/>
      <c r="S19" s="65"/>
      <c r="T19" s="65"/>
      <c r="U19" s="65"/>
      <c r="V19" s="65"/>
      <c r="W19" s="65"/>
    </row>
    <row r="20" ht="15.75" customHeight="1">
      <c r="A20" s="37">
        <v>19.0</v>
      </c>
      <c r="B20" s="37" t="s">
        <v>111</v>
      </c>
      <c r="C20" s="36" t="s">
        <v>645</v>
      </c>
      <c r="D20" s="36" t="s">
        <v>646</v>
      </c>
      <c r="E20" s="36" t="s">
        <v>589</v>
      </c>
      <c r="F20" s="41">
        <v>0.4</v>
      </c>
      <c r="G20" s="65"/>
      <c r="H20" s="65"/>
      <c r="I20" s="65"/>
      <c r="J20" s="65"/>
      <c r="K20" s="65"/>
      <c r="L20" s="65"/>
      <c r="M20" s="65"/>
      <c r="N20" s="65"/>
      <c r="O20" s="65"/>
      <c r="P20" s="65"/>
      <c r="Q20" s="65"/>
      <c r="R20" s="65"/>
      <c r="S20" s="65"/>
      <c r="T20" s="65"/>
      <c r="U20" s="65"/>
      <c r="V20" s="65"/>
      <c r="W20" s="65"/>
    </row>
    <row r="21" ht="15.75" customHeight="1">
      <c r="A21" s="37">
        <v>20.0</v>
      </c>
      <c r="B21" s="37" t="s">
        <v>111</v>
      </c>
      <c r="C21" s="36" t="s">
        <v>645</v>
      </c>
      <c r="D21" s="36" t="s">
        <v>646</v>
      </c>
      <c r="E21" s="36" t="s">
        <v>593</v>
      </c>
      <c r="F21" s="41">
        <v>0.3</v>
      </c>
      <c r="G21" s="65"/>
      <c r="H21" s="65"/>
      <c r="I21" s="65"/>
      <c r="J21" s="65"/>
      <c r="K21" s="65"/>
      <c r="L21" s="65"/>
      <c r="M21" s="65"/>
      <c r="N21" s="65"/>
      <c r="O21" s="65"/>
      <c r="P21" s="65"/>
      <c r="Q21" s="65"/>
      <c r="R21" s="65"/>
      <c r="S21" s="65"/>
      <c r="T21" s="65"/>
      <c r="U21" s="65"/>
      <c r="V21" s="65"/>
      <c r="W21" s="65"/>
    </row>
    <row r="22" ht="15.75" customHeight="1">
      <c r="A22" s="37">
        <v>21.0</v>
      </c>
      <c r="B22" s="37" t="s">
        <v>111</v>
      </c>
      <c r="C22" s="36" t="s">
        <v>645</v>
      </c>
      <c r="D22" s="36" t="s">
        <v>646</v>
      </c>
      <c r="E22" s="36" t="s">
        <v>597</v>
      </c>
      <c r="F22" s="41">
        <v>0.5</v>
      </c>
      <c r="G22" s="65"/>
      <c r="H22" s="65"/>
      <c r="I22" s="65"/>
      <c r="J22" s="65"/>
      <c r="K22" s="65"/>
      <c r="L22" s="65"/>
      <c r="M22" s="65"/>
      <c r="N22" s="65"/>
      <c r="O22" s="65"/>
      <c r="P22" s="65"/>
      <c r="Q22" s="65"/>
      <c r="R22" s="65"/>
      <c r="S22" s="65"/>
      <c r="T22" s="65"/>
      <c r="U22" s="65"/>
      <c r="V22" s="65"/>
      <c r="W22" s="65"/>
    </row>
    <row r="23" ht="15.75" customHeight="1">
      <c r="A23" s="37">
        <v>22.0</v>
      </c>
      <c r="B23" s="37" t="s">
        <v>111</v>
      </c>
      <c r="C23" s="36" t="s">
        <v>645</v>
      </c>
      <c r="D23" s="36" t="s">
        <v>646</v>
      </c>
      <c r="E23" s="36" t="s">
        <v>603</v>
      </c>
      <c r="F23" s="41">
        <v>0.3</v>
      </c>
      <c r="G23" s="65"/>
      <c r="H23" s="65"/>
      <c r="I23" s="65"/>
      <c r="J23" s="65"/>
      <c r="K23" s="65"/>
      <c r="L23" s="65"/>
      <c r="M23" s="65"/>
      <c r="N23" s="65"/>
      <c r="O23" s="65"/>
      <c r="P23" s="65"/>
      <c r="Q23" s="65"/>
      <c r="R23" s="65"/>
      <c r="S23" s="65"/>
      <c r="T23" s="65"/>
      <c r="U23" s="65"/>
      <c r="V23" s="65"/>
      <c r="W23" s="65"/>
    </row>
    <row r="24" ht="15.75" customHeight="1">
      <c r="A24" s="37">
        <v>23.0</v>
      </c>
      <c r="B24" s="37" t="s">
        <v>111</v>
      </c>
      <c r="C24" s="36" t="s">
        <v>645</v>
      </c>
      <c r="D24" s="36" t="s">
        <v>646</v>
      </c>
      <c r="E24" s="36" t="s">
        <v>591</v>
      </c>
      <c r="F24" s="41">
        <v>0.3</v>
      </c>
      <c r="G24" s="65"/>
      <c r="H24" s="65"/>
      <c r="I24" s="65"/>
      <c r="J24" s="65"/>
      <c r="K24" s="65"/>
      <c r="L24" s="65"/>
      <c r="M24" s="65"/>
      <c r="N24" s="65"/>
      <c r="O24" s="65"/>
      <c r="P24" s="65"/>
      <c r="Q24" s="65"/>
      <c r="R24" s="65"/>
      <c r="S24" s="65"/>
      <c r="T24" s="65"/>
      <c r="U24" s="65"/>
      <c r="V24" s="65"/>
      <c r="W24" s="65"/>
    </row>
    <row r="25" ht="15.75" customHeight="1">
      <c r="A25" s="37">
        <v>24.0</v>
      </c>
      <c r="B25" s="37" t="s">
        <v>121</v>
      </c>
      <c r="C25" s="36" t="s">
        <v>647</v>
      </c>
      <c r="D25" s="36" t="s">
        <v>648</v>
      </c>
      <c r="E25" s="36" t="s">
        <v>589</v>
      </c>
      <c r="F25" s="41">
        <v>0.52</v>
      </c>
      <c r="G25" s="65"/>
      <c r="H25" s="65"/>
      <c r="I25" s="65"/>
      <c r="J25" s="65"/>
      <c r="K25" s="65"/>
      <c r="L25" s="65"/>
      <c r="M25" s="65"/>
      <c r="N25" s="65"/>
      <c r="O25" s="65"/>
      <c r="P25" s="65"/>
      <c r="Q25" s="65"/>
      <c r="R25" s="65"/>
      <c r="S25" s="65"/>
      <c r="T25" s="65"/>
      <c r="U25" s="65"/>
      <c r="V25" s="65"/>
      <c r="W25" s="65"/>
    </row>
    <row r="26" ht="15.75" customHeight="1">
      <c r="A26" s="37">
        <v>25.0</v>
      </c>
      <c r="B26" s="37" t="s">
        <v>121</v>
      </c>
      <c r="C26" s="36" t="s">
        <v>647</v>
      </c>
      <c r="D26" s="36" t="s">
        <v>648</v>
      </c>
      <c r="E26" s="36" t="s">
        <v>593</v>
      </c>
      <c r="F26" s="41">
        <v>0.26</v>
      </c>
      <c r="G26" s="65"/>
      <c r="H26" s="65"/>
      <c r="I26" s="65"/>
      <c r="J26" s="65"/>
      <c r="K26" s="65"/>
      <c r="L26" s="65"/>
      <c r="M26" s="65"/>
      <c r="N26" s="65"/>
      <c r="O26" s="65"/>
      <c r="P26" s="65"/>
      <c r="Q26" s="65"/>
      <c r="R26" s="65"/>
      <c r="S26" s="65"/>
      <c r="T26" s="65"/>
      <c r="U26" s="65"/>
      <c r="V26" s="65"/>
      <c r="W26" s="65"/>
    </row>
    <row r="27" ht="15.75" customHeight="1">
      <c r="A27" s="37">
        <v>26.0</v>
      </c>
      <c r="B27" s="37" t="s">
        <v>121</v>
      </c>
      <c r="C27" s="36" t="s">
        <v>647</v>
      </c>
      <c r="D27" s="36" t="s">
        <v>648</v>
      </c>
      <c r="E27" s="36" t="s">
        <v>595</v>
      </c>
      <c r="F27" s="41">
        <v>0.26</v>
      </c>
      <c r="G27" s="65"/>
      <c r="H27" s="65"/>
      <c r="I27" s="65"/>
      <c r="J27" s="65"/>
      <c r="K27" s="65"/>
      <c r="L27" s="65"/>
      <c r="M27" s="65"/>
      <c r="N27" s="65"/>
      <c r="O27" s="65"/>
      <c r="P27" s="65"/>
      <c r="Q27" s="65"/>
      <c r="R27" s="65"/>
      <c r="S27" s="65"/>
      <c r="T27" s="65"/>
      <c r="U27" s="65"/>
      <c r="V27" s="65"/>
      <c r="W27" s="65"/>
    </row>
    <row r="28" ht="15.75" customHeight="1">
      <c r="A28" s="37">
        <v>27.0</v>
      </c>
      <c r="B28" s="37" t="s">
        <v>121</v>
      </c>
      <c r="C28" s="36" t="s">
        <v>647</v>
      </c>
      <c r="D28" s="36" t="s">
        <v>648</v>
      </c>
      <c r="E28" s="42" t="s">
        <v>605</v>
      </c>
      <c r="F28" s="41">
        <v>0.455</v>
      </c>
      <c r="G28" s="65"/>
      <c r="H28" s="65"/>
      <c r="I28" s="65"/>
      <c r="J28" s="65"/>
      <c r="K28" s="65"/>
      <c r="L28" s="65"/>
      <c r="M28" s="65"/>
      <c r="N28" s="65"/>
      <c r="O28" s="65"/>
      <c r="P28" s="65"/>
      <c r="Q28" s="65"/>
      <c r="R28" s="65"/>
      <c r="S28" s="65"/>
      <c r="T28" s="65"/>
      <c r="U28" s="65"/>
      <c r="V28" s="65"/>
      <c r="W28" s="65"/>
    </row>
    <row r="29" ht="15.75" customHeight="1">
      <c r="A29" s="37">
        <v>28.0</v>
      </c>
      <c r="B29" s="37" t="s">
        <v>121</v>
      </c>
      <c r="C29" s="36" t="s">
        <v>649</v>
      </c>
      <c r="D29" s="36" t="s">
        <v>650</v>
      </c>
      <c r="E29" s="36" t="s">
        <v>587</v>
      </c>
      <c r="F29" s="41">
        <v>0.52</v>
      </c>
      <c r="G29" s="65"/>
      <c r="H29" s="65"/>
      <c r="I29" s="65"/>
      <c r="J29" s="65"/>
      <c r="K29" s="65"/>
      <c r="L29" s="65"/>
      <c r="M29" s="65"/>
      <c r="N29" s="65"/>
      <c r="O29" s="65"/>
      <c r="P29" s="65"/>
      <c r="Q29" s="65"/>
      <c r="R29" s="65"/>
      <c r="S29" s="65"/>
      <c r="T29" s="65"/>
      <c r="U29" s="65"/>
      <c r="V29" s="65"/>
      <c r="W29" s="65"/>
    </row>
    <row r="30" ht="15.75" customHeight="1">
      <c r="A30" s="37">
        <v>29.0</v>
      </c>
      <c r="B30" s="37" t="s">
        <v>121</v>
      </c>
      <c r="C30" s="36" t="s">
        <v>649</v>
      </c>
      <c r="D30" s="36" t="s">
        <v>650</v>
      </c>
      <c r="E30" s="36" t="s">
        <v>591</v>
      </c>
      <c r="F30" s="41">
        <v>0.39</v>
      </c>
      <c r="G30" s="65"/>
      <c r="H30" s="65"/>
      <c r="I30" s="65"/>
      <c r="J30" s="65"/>
      <c r="K30" s="65"/>
      <c r="L30" s="65"/>
      <c r="M30" s="65"/>
      <c r="N30" s="65"/>
      <c r="O30" s="65"/>
      <c r="P30" s="65"/>
      <c r="Q30" s="65"/>
      <c r="R30" s="65"/>
      <c r="S30" s="65"/>
      <c r="T30" s="65"/>
      <c r="U30" s="65"/>
      <c r="V30" s="65"/>
      <c r="W30" s="65"/>
    </row>
    <row r="31" ht="15.75" customHeight="1">
      <c r="A31" s="37">
        <v>30.0</v>
      </c>
      <c r="B31" s="37" t="s">
        <v>121</v>
      </c>
      <c r="C31" s="36" t="s">
        <v>649</v>
      </c>
      <c r="D31" s="36" t="s">
        <v>650</v>
      </c>
      <c r="E31" s="36" t="s">
        <v>599</v>
      </c>
      <c r="F31" s="41">
        <v>0.39</v>
      </c>
      <c r="G31" s="65"/>
      <c r="H31" s="65"/>
      <c r="I31" s="65"/>
      <c r="J31" s="65"/>
      <c r="K31" s="65"/>
      <c r="L31" s="65"/>
      <c r="M31" s="65"/>
      <c r="N31" s="65"/>
      <c r="O31" s="65"/>
      <c r="P31" s="65"/>
      <c r="Q31" s="65"/>
      <c r="R31" s="65"/>
      <c r="S31" s="65"/>
      <c r="T31" s="65"/>
      <c r="U31" s="65"/>
      <c r="V31" s="65"/>
      <c r="W31" s="65"/>
    </row>
    <row r="32" ht="15.75" customHeight="1">
      <c r="A32" s="37">
        <v>31.0</v>
      </c>
      <c r="B32" s="37" t="s">
        <v>121</v>
      </c>
      <c r="C32" s="36" t="s">
        <v>649</v>
      </c>
      <c r="D32" s="36" t="s">
        <v>650</v>
      </c>
      <c r="E32" s="36" t="s">
        <v>609</v>
      </c>
      <c r="F32" s="41">
        <v>0.325</v>
      </c>
      <c r="G32" s="65"/>
      <c r="H32" s="65"/>
      <c r="I32" s="65"/>
      <c r="J32" s="65"/>
      <c r="K32" s="65"/>
      <c r="L32" s="65"/>
      <c r="M32" s="65"/>
      <c r="N32" s="65"/>
      <c r="O32" s="65"/>
      <c r="P32" s="65"/>
      <c r="Q32" s="65"/>
      <c r="R32" s="65"/>
      <c r="S32" s="65"/>
      <c r="T32" s="65"/>
      <c r="U32" s="65"/>
      <c r="V32" s="65"/>
      <c r="W32" s="65"/>
    </row>
    <row r="33" ht="15.75" customHeight="1">
      <c r="A33" s="37">
        <v>32.0</v>
      </c>
      <c r="B33" s="37" t="s">
        <v>121</v>
      </c>
      <c r="C33" s="36" t="s">
        <v>649</v>
      </c>
      <c r="D33" s="36" t="s">
        <v>650</v>
      </c>
      <c r="E33" s="36" t="s">
        <v>613</v>
      </c>
      <c r="F33" s="41">
        <v>0.195</v>
      </c>
      <c r="G33" s="65"/>
      <c r="H33" s="65"/>
      <c r="I33" s="65"/>
      <c r="J33" s="65"/>
      <c r="K33" s="65"/>
      <c r="L33" s="65"/>
      <c r="M33" s="65"/>
      <c r="N33" s="65"/>
      <c r="O33" s="65"/>
      <c r="P33" s="65"/>
      <c r="Q33" s="65"/>
      <c r="R33" s="65"/>
      <c r="S33" s="65"/>
      <c r="T33" s="65"/>
      <c r="U33" s="65"/>
      <c r="V33" s="65"/>
      <c r="W33" s="65"/>
    </row>
    <row r="34" ht="15.75" customHeight="1">
      <c r="A34" s="37">
        <v>33.0</v>
      </c>
      <c r="B34" s="37" t="s">
        <v>121</v>
      </c>
      <c r="C34" s="36" t="s">
        <v>651</v>
      </c>
      <c r="D34" s="36" t="s">
        <v>652</v>
      </c>
      <c r="E34" s="36" t="s">
        <v>597</v>
      </c>
      <c r="F34" s="41">
        <v>0.325</v>
      </c>
      <c r="G34" s="65"/>
      <c r="H34" s="65"/>
      <c r="I34" s="65"/>
      <c r="J34" s="65"/>
      <c r="K34" s="65"/>
      <c r="L34" s="65"/>
      <c r="M34" s="65"/>
      <c r="N34" s="65"/>
      <c r="O34" s="65"/>
      <c r="P34" s="65"/>
      <c r="Q34" s="65"/>
      <c r="R34" s="65"/>
      <c r="S34" s="65"/>
      <c r="T34" s="65"/>
      <c r="U34" s="65"/>
      <c r="V34" s="65"/>
      <c r="W34" s="65"/>
    </row>
    <row r="35" ht="15.75" customHeight="1">
      <c r="A35" s="37">
        <v>34.0</v>
      </c>
      <c r="B35" s="37" t="s">
        <v>121</v>
      </c>
      <c r="C35" s="36" t="s">
        <v>651</v>
      </c>
      <c r="D35" s="36" t="s">
        <v>652</v>
      </c>
      <c r="E35" s="36" t="s">
        <v>601</v>
      </c>
      <c r="F35" s="41">
        <v>0.52</v>
      </c>
      <c r="G35" s="65"/>
      <c r="H35" s="65"/>
      <c r="I35" s="65"/>
      <c r="J35" s="65"/>
      <c r="K35" s="65"/>
      <c r="L35" s="65"/>
      <c r="M35" s="65"/>
      <c r="N35" s="65"/>
      <c r="O35" s="65"/>
      <c r="P35" s="65"/>
      <c r="Q35" s="65"/>
      <c r="R35" s="65"/>
      <c r="S35" s="65"/>
      <c r="T35" s="65"/>
      <c r="U35" s="65"/>
      <c r="V35" s="65"/>
      <c r="W35" s="65"/>
    </row>
    <row r="36" ht="15.75" customHeight="1">
      <c r="A36" s="37">
        <v>35.0</v>
      </c>
      <c r="B36" s="37" t="s">
        <v>121</v>
      </c>
      <c r="C36" s="36" t="s">
        <v>651</v>
      </c>
      <c r="D36" s="36" t="s">
        <v>652</v>
      </c>
      <c r="E36" s="36" t="s">
        <v>607</v>
      </c>
      <c r="F36" s="41">
        <v>0.585</v>
      </c>
      <c r="G36" s="65"/>
      <c r="H36" s="65"/>
      <c r="I36" s="65"/>
      <c r="J36" s="65"/>
      <c r="K36" s="65"/>
      <c r="L36" s="65"/>
      <c r="M36" s="65"/>
      <c r="N36" s="65"/>
      <c r="O36" s="65"/>
      <c r="P36" s="65"/>
      <c r="Q36" s="65"/>
      <c r="R36" s="65"/>
      <c r="S36" s="65"/>
      <c r="T36" s="65"/>
      <c r="U36" s="65"/>
      <c r="V36" s="65"/>
      <c r="W36" s="65"/>
    </row>
    <row r="37" ht="15.75" customHeight="1">
      <c r="A37" s="37">
        <v>36.0</v>
      </c>
      <c r="B37" s="37" t="s">
        <v>121</v>
      </c>
      <c r="C37" s="36" t="s">
        <v>651</v>
      </c>
      <c r="D37" s="36" t="s">
        <v>652</v>
      </c>
      <c r="E37" s="36" t="s">
        <v>611</v>
      </c>
      <c r="F37" s="41">
        <v>0.52</v>
      </c>
      <c r="G37" s="65"/>
      <c r="H37" s="65"/>
      <c r="I37" s="65"/>
      <c r="J37" s="65"/>
      <c r="K37" s="65"/>
      <c r="L37" s="65"/>
      <c r="M37" s="65"/>
      <c r="N37" s="65"/>
      <c r="O37" s="65"/>
      <c r="P37" s="65"/>
      <c r="Q37" s="65"/>
      <c r="R37" s="65"/>
      <c r="S37" s="65"/>
      <c r="T37" s="65"/>
      <c r="U37" s="65"/>
      <c r="V37" s="65"/>
      <c r="W37" s="65"/>
    </row>
    <row r="38" ht="15.75" customHeight="1">
      <c r="A38" s="37">
        <v>37.0</v>
      </c>
      <c r="B38" s="37" t="s">
        <v>121</v>
      </c>
      <c r="C38" s="36" t="s">
        <v>653</v>
      </c>
      <c r="D38" s="36" t="s">
        <v>654</v>
      </c>
      <c r="E38" s="36" t="s">
        <v>589</v>
      </c>
      <c r="F38" s="41">
        <v>0.585</v>
      </c>
      <c r="G38" s="65"/>
      <c r="H38" s="65"/>
      <c r="I38" s="65"/>
      <c r="J38" s="65"/>
      <c r="K38" s="65"/>
      <c r="L38" s="65"/>
      <c r="M38" s="65"/>
      <c r="N38" s="65"/>
      <c r="O38" s="65"/>
      <c r="P38" s="65"/>
      <c r="Q38" s="65"/>
      <c r="R38" s="65"/>
      <c r="S38" s="65"/>
      <c r="T38" s="65"/>
      <c r="U38" s="65"/>
      <c r="V38" s="65"/>
      <c r="W38" s="65"/>
    </row>
    <row r="39" ht="15.75" customHeight="1">
      <c r="A39" s="37">
        <v>38.0</v>
      </c>
      <c r="B39" s="37" t="s">
        <v>121</v>
      </c>
      <c r="C39" s="36" t="s">
        <v>653</v>
      </c>
      <c r="D39" s="36" t="s">
        <v>654</v>
      </c>
      <c r="E39" s="36" t="s">
        <v>593</v>
      </c>
      <c r="F39" s="41">
        <v>0.26</v>
      </c>
      <c r="G39" s="65"/>
      <c r="H39" s="65"/>
      <c r="I39" s="65"/>
      <c r="J39" s="65"/>
      <c r="K39" s="65"/>
      <c r="L39" s="65"/>
      <c r="M39" s="65"/>
      <c r="N39" s="65"/>
      <c r="O39" s="65"/>
      <c r="P39" s="65"/>
      <c r="Q39" s="65"/>
      <c r="R39" s="65"/>
      <c r="S39" s="65"/>
      <c r="T39" s="65"/>
      <c r="U39" s="65"/>
      <c r="V39" s="65"/>
      <c r="W39" s="65"/>
    </row>
    <row r="40" ht="15.75" customHeight="1">
      <c r="A40" s="37">
        <v>39.0</v>
      </c>
      <c r="B40" s="37" t="s">
        <v>121</v>
      </c>
      <c r="C40" s="36" t="s">
        <v>653</v>
      </c>
      <c r="D40" s="36" t="s">
        <v>654</v>
      </c>
      <c r="E40" s="36" t="s">
        <v>597</v>
      </c>
      <c r="F40" s="41">
        <v>0.39</v>
      </c>
      <c r="G40" s="65"/>
      <c r="H40" s="65"/>
      <c r="I40" s="65"/>
      <c r="J40" s="65"/>
      <c r="K40" s="65"/>
      <c r="L40" s="65"/>
      <c r="M40" s="65"/>
      <c r="N40" s="65"/>
      <c r="O40" s="65"/>
      <c r="P40" s="65"/>
      <c r="Q40" s="65"/>
      <c r="R40" s="65"/>
      <c r="S40" s="65"/>
      <c r="T40" s="65"/>
      <c r="U40" s="65"/>
      <c r="V40" s="65"/>
      <c r="W40" s="65"/>
    </row>
    <row r="41" ht="15.75" customHeight="1">
      <c r="A41" s="37">
        <v>40.0</v>
      </c>
      <c r="B41" s="37" t="s">
        <v>123</v>
      </c>
      <c r="C41" s="36" t="s">
        <v>655</v>
      </c>
      <c r="D41" s="36" t="s">
        <v>656</v>
      </c>
      <c r="E41" s="36" t="s">
        <v>589</v>
      </c>
      <c r="F41" s="41">
        <v>0.525</v>
      </c>
      <c r="G41" s="66"/>
      <c r="H41" s="66"/>
      <c r="I41" s="66"/>
      <c r="J41" s="66"/>
      <c r="K41" s="66"/>
      <c r="L41" s="66"/>
      <c r="M41" s="66"/>
      <c r="N41" s="66"/>
      <c r="O41" s="66"/>
      <c r="P41" s="66"/>
      <c r="Q41" s="66"/>
      <c r="R41" s="66"/>
      <c r="S41" s="66"/>
      <c r="T41" s="66"/>
      <c r="U41" s="66"/>
      <c r="V41" s="66"/>
      <c r="W41" s="66"/>
    </row>
    <row r="42" ht="15.75" customHeight="1">
      <c r="A42" s="37">
        <v>41.0</v>
      </c>
      <c r="B42" s="37" t="s">
        <v>123</v>
      </c>
      <c r="C42" s="36" t="s">
        <v>655</v>
      </c>
      <c r="D42" s="36" t="s">
        <v>656</v>
      </c>
      <c r="E42" s="36" t="s">
        <v>593</v>
      </c>
      <c r="F42" s="41">
        <v>0.225</v>
      </c>
      <c r="G42" s="66"/>
      <c r="H42" s="66"/>
      <c r="I42" s="66"/>
      <c r="J42" s="66"/>
      <c r="K42" s="66"/>
      <c r="L42" s="66"/>
      <c r="M42" s="66"/>
      <c r="N42" s="66"/>
      <c r="O42" s="66"/>
      <c r="P42" s="66"/>
      <c r="Q42" s="66"/>
      <c r="R42" s="66"/>
      <c r="S42" s="66"/>
      <c r="T42" s="66"/>
      <c r="U42" s="66"/>
      <c r="V42" s="66"/>
      <c r="W42" s="66"/>
    </row>
    <row r="43" ht="15.75" customHeight="1">
      <c r="A43" s="37">
        <v>42.0</v>
      </c>
      <c r="B43" s="37" t="s">
        <v>123</v>
      </c>
      <c r="C43" s="36" t="s">
        <v>655</v>
      </c>
      <c r="D43" s="36" t="s">
        <v>656</v>
      </c>
      <c r="E43" s="36" t="s">
        <v>595</v>
      </c>
      <c r="F43" s="41">
        <v>0.45</v>
      </c>
      <c r="G43" s="66"/>
      <c r="H43" s="66"/>
      <c r="I43" s="66"/>
      <c r="J43" s="66"/>
      <c r="K43" s="66"/>
      <c r="L43" s="66"/>
      <c r="M43" s="66"/>
      <c r="N43" s="66"/>
      <c r="O43" s="66"/>
      <c r="P43" s="66"/>
      <c r="Q43" s="66"/>
      <c r="R43" s="66"/>
      <c r="S43" s="66"/>
      <c r="T43" s="66"/>
      <c r="U43" s="66"/>
      <c r="V43" s="66"/>
      <c r="W43" s="66"/>
    </row>
    <row r="44" ht="15.75" customHeight="1">
      <c r="A44" s="37">
        <v>43.0</v>
      </c>
      <c r="B44" s="37" t="s">
        <v>123</v>
      </c>
      <c r="C44" s="36" t="s">
        <v>655</v>
      </c>
      <c r="D44" s="36" t="s">
        <v>656</v>
      </c>
      <c r="E44" s="36" t="s">
        <v>597</v>
      </c>
      <c r="F44" s="41">
        <v>0.3</v>
      </c>
      <c r="G44" s="66"/>
      <c r="H44" s="66"/>
      <c r="I44" s="66"/>
      <c r="J44" s="66"/>
      <c r="K44" s="66"/>
      <c r="L44" s="66"/>
      <c r="M44" s="66"/>
      <c r="N44" s="66"/>
      <c r="O44" s="66"/>
      <c r="P44" s="66"/>
      <c r="Q44" s="66"/>
      <c r="R44" s="66"/>
      <c r="S44" s="66"/>
      <c r="T44" s="66"/>
      <c r="U44" s="66"/>
      <c r="V44" s="66"/>
      <c r="W44" s="66"/>
    </row>
    <row r="45" ht="15.75" customHeight="1">
      <c r="A45" s="37">
        <v>44.0</v>
      </c>
      <c r="B45" s="37" t="s">
        <v>123</v>
      </c>
      <c r="C45" s="36" t="s">
        <v>657</v>
      </c>
      <c r="D45" s="36" t="s">
        <v>658</v>
      </c>
      <c r="E45" s="36" t="s">
        <v>589</v>
      </c>
      <c r="F45" s="41">
        <v>0.375</v>
      </c>
      <c r="G45" s="66"/>
      <c r="H45" s="66"/>
      <c r="I45" s="66"/>
      <c r="J45" s="66"/>
      <c r="K45" s="66"/>
      <c r="L45" s="66"/>
      <c r="M45" s="66"/>
      <c r="N45" s="66"/>
      <c r="O45" s="66"/>
      <c r="P45" s="66"/>
      <c r="Q45" s="66"/>
      <c r="R45" s="66"/>
      <c r="S45" s="66"/>
      <c r="T45" s="66"/>
      <c r="U45" s="66"/>
      <c r="V45" s="66"/>
      <c r="W45" s="66"/>
    </row>
    <row r="46" ht="15.75" customHeight="1">
      <c r="A46" s="37">
        <v>45.0</v>
      </c>
      <c r="B46" s="37" t="s">
        <v>123</v>
      </c>
      <c r="C46" s="36" t="s">
        <v>657</v>
      </c>
      <c r="D46" s="36" t="s">
        <v>658</v>
      </c>
      <c r="E46" s="36" t="s">
        <v>593</v>
      </c>
      <c r="F46" s="41">
        <v>0.225</v>
      </c>
      <c r="G46" s="66"/>
      <c r="H46" s="66"/>
      <c r="I46" s="66"/>
      <c r="J46" s="66"/>
      <c r="K46" s="66"/>
      <c r="L46" s="66"/>
      <c r="M46" s="66"/>
      <c r="N46" s="66"/>
      <c r="O46" s="66"/>
      <c r="P46" s="66"/>
      <c r="Q46" s="66"/>
      <c r="R46" s="66"/>
      <c r="S46" s="66"/>
      <c r="T46" s="66"/>
      <c r="U46" s="66"/>
      <c r="V46" s="66"/>
      <c r="W46" s="66"/>
    </row>
    <row r="47" ht="15.75" customHeight="1">
      <c r="A47" s="37">
        <v>46.0</v>
      </c>
      <c r="B47" s="37" t="s">
        <v>123</v>
      </c>
      <c r="C47" s="36" t="s">
        <v>657</v>
      </c>
      <c r="D47" s="36" t="s">
        <v>658</v>
      </c>
      <c r="E47" s="36" t="s">
        <v>595</v>
      </c>
      <c r="F47" s="41">
        <v>0.6</v>
      </c>
      <c r="G47" s="66"/>
      <c r="H47" s="66"/>
      <c r="I47" s="66"/>
      <c r="J47" s="66"/>
      <c r="K47" s="66"/>
      <c r="L47" s="66"/>
      <c r="M47" s="66"/>
      <c r="N47" s="66"/>
      <c r="O47" s="66"/>
      <c r="P47" s="66"/>
      <c r="Q47" s="66"/>
      <c r="R47" s="66"/>
      <c r="S47" s="66"/>
      <c r="T47" s="66"/>
      <c r="U47" s="66"/>
      <c r="V47" s="66"/>
      <c r="W47" s="66"/>
    </row>
    <row r="48" ht="15.75" customHeight="1">
      <c r="A48" s="37">
        <v>47.0</v>
      </c>
      <c r="B48" s="37" t="s">
        <v>123</v>
      </c>
      <c r="C48" s="36" t="s">
        <v>657</v>
      </c>
      <c r="D48" s="36" t="s">
        <v>658</v>
      </c>
      <c r="E48" s="36" t="s">
        <v>603</v>
      </c>
      <c r="F48" s="41">
        <v>0.15</v>
      </c>
      <c r="G48" s="66"/>
      <c r="H48" s="66"/>
      <c r="I48" s="66"/>
      <c r="J48" s="66"/>
      <c r="K48" s="66"/>
      <c r="L48" s="66"/>
      <c r="M48" s="66"/>
      <c r="N48" s="66"/>
      <c r="O48" s="66"/>
      <c r="P48" s="66"/>
      <c r="Q48" s="66"/>
      <c r="R48" s="66"/>
      <c r="S48" s="66"/>
      <c r="T48" s="66"/>
      <c r="U48" s="66"/>
      <c r="V48" s="66"/>
      <c r="W48" s="66"/>
    </row>
    <row r="49" ht="15.75" customHeight="1">
      <c r="A49" s="37">
        <v>48.0</v>
      </c>
      <c r="B49" s="37" t="s">
        <v>123</v>
      </c>
      <c r="C49" s="36" t="s">
        <v>657</v>
      </c>
      <c r="D49" s="36" t="s">
        <v>658</v>
      </c>
      <c r="E49" s="42" t="s">
        <v>605</v>
      </c>
      <c r="F49" s="41">
        <v>0.225</v>
      </c>
      <c r="G49" s="66"/>
      <c r="H49" s="66"/>
      <c r="I49" s="66"/>
      <c r="J49" s="66"/>
      <c r="K49" s="66"/>
      <c r="L49" s="66"/>
      <c r="M49" s="66"/>
      <c r="N49" s="66"/>
      <c r="O49" s="66"/>
      <c r="P49" s="66"/>
      <c r="Q49" s="66"/>
      <c r="R49" s="66"/>
      <c r="S49" s="66"/>
      <c r="T49" s="66"/>
      <c r="U49" s="66"/>
      <c r="V49" s="66"/>
      <c r="W49" s="66"/>
    </row>
    <row r="50" ht="15.75" customHeight="1">
      <c r="A50" s="37">
        <v>49.0</v>
      </c>
      <c r="B50" s="37" t="s">
        <v>123</v>
      </c>
      <c r="C50" s="36" t="s">
        <v>659</v>
      </c>
      <c r="D50" s="36" t="s">
        <v>660</v>
      </c>
      <c r="E50" s="36" t="s">
        <v>597</v>
      </c>
      <c r="F50" s="41">
        <v>0.15</v>
      </c>
      <c r="G50" s="66"/>
      <c r="H50" s="66"/>
      <c r="I50" s="66"/>
      <c r="J50" s="66"/>
      <c r="K50" s="66"/>
      <c r="L50" s="66"/>
      <c r="M50" s="66"/>
      <c r="N50" s="66"/>
      <c r="O50" s="66"/>
      <c r="P50" s="66"/>
      <c r="Q50" s="66"/>
      <c r="R50" s="66"/>
      <c r="S50" s="66"/>
      <c r="T50" s="66"/>
      <c r="U50" s="66"/>
      <c r="V50" s="66"/>
      <c r="W50" s="66"/>
    </row>
    <row r="51" ht="15.75" customHeight="1">
      <c r="A51" s="37">
        <v>50.0</v>
      </c>
      <c r="B51" s="37" t="s">
        <v>123</v>
      </c>
      <c r="C51" s="36" t="s">
        <v>661</v>
      </c>
      <c r="D51" s="36" t="s">
        <v>662</v>
      </c>
      <c r="E51" s="36" t="s">
        <v>587</v>
      </c>
      <c r="F51" s="41">
        <v>0.225</v>
      </c>
      <c r="G51" s="66"/>
      <c r="H51" s="66"/>
      <c r="I51" s="66"/>
      <c r="J51" s="66"/>
      <c r="K51" s="66"/>
      <c r="L51" s="66"/>
      <c r="M51" s="66"/>
      <c r="N51" s="66"/>
      <c r="O51" s="66"/>
      <c r="P51" s="66"/>
      <c r="Q51" s="66"/>
      <c r="R51" s="66"/>
      <c r="S51" s="66"/>
      <c r="T51" s="66"/>
      <c r="U51" s="66"/>
      <c r="V51" s="66"/>
      <c r="W51" s="66"/>
    </row>
    <row r="52" ht="15.75" customHeight="1">
      <c r="A52" s="37">
        <v>51.0</v>
      </c>
      <c r="B52" s="37" t="s">
        <v>123</v>
      </c>
      <c r="C52" s="36" t="s">
        <v>661</v>
      </c>
      <c r="D52" s="36" t="s">
        <v>662</v>
      </c>
      <c r="E52" s="36" t="s">
        <v>591</v>
      </c>
      <c r="F52" s="41">
        <v>0.225</v>
      </c>
      <c r="G52" s="66"/>
      <c r="H52" s="66"/>
      <c r="I52" s="66"/>
      <c r="J52" s="66"/>
      <c r="K52" s="66"/>
      <c r="L52" s="66"/>
      <c r="M52" s="66"/>
      <c r="N52" s="66"/>
      <c r="O52" s="66"/>
      <c r="P52" s="66"/>
      <c r="Q52" s="66"/>
      <c r="R52" s="66"/>
      <c r="S52" s="66"/>
      <c r="T52" s="66"/>
      <c r="U52" s="66"/>
      <c r="V52" s="66"/>
      <c r="W52" s="66"/>
    </row>
    <row r="53" ht="15.75" customHeight="1">
      <c r="A53" s="37">
        <v>52.0</v>
      </c>
      <c r="B53" s="37" t="s">
        <v>123</v>
      </c>
      <c r="C53" s="36" t="s">
        <v>661</v>
      </c>
      <c r="D53" s="36" t="s">
        <v>662</v>
      </c>
      <c r="E53" s="36" t="s">
        <v>599</v>
      </c>
      <c r="F53" s="41">
        <v>0.15</v>
      </c>
      <c r="G53" s="66"/>
      <c r="H53" s="66"/>
      <c r="I53" s="66"/>
      <c r="J53" s="66"/>
      <c r="K53" s="66"/>
      <c r="L53" s="66"/>
      <c r="M53" s="66"/>
      <c r="N53" s="66"/>
      <c r="O53" s="66"/>
      <c r="P53" s="66"/>
      <c r="Q53" s="66"/>
      <c r="R53" s="66"/>
      <c r="S53" s="66"/>
      <c r="T53" s="66"/>
      <c r="U53" s="66"/>
      <c r="V53" s="66"/>
      <c r="W53" s="66"/>
    </row>
    <row r="54" ht="15.75" customHeight="1">
      <c r="A54" s="37">
        <v>53.0</v>
      </c>
      <c r="B54" s="37" t="s">
        <v>123</v>
      </c>
      <c r="C54" s="36" t="s">
        <v>661</v>
      </c>
      <c r="D54" s="36" t="s">
        <v>662</v>
      </c>
      <c r="E54" s="36" t="s">
        <v>601</v>
      </c>
      <c r="F54" s="41">
        <v>0.45</v>
      </c>
      <c r="G54" s="66"/>
      <c r="H54" s="66"/>
      <c r="I54" s="66"/>
      <c r="J54" s="66"/>
      <c r="K54" s="66"/>
      <c r="L54" s="66"/>
      <c r="M54" s="66"/>
      <c r="N54" s="66"/>
      <c r="O54" s="66"/>
      <c r="P54" s="66"/>
      <c r="Q54" s="66"/>
      <c r="R54" s="66"/>
      <c r="S54" s="66"/>
      <c r="T54" s="66"/>
      <c r="U54" s="66"/>
      <c r="V54" s="66"/>
      <c r="W54" s="66"/>
    </row>
    <row r="55" ht="15.75" customHeight="1">
      <c r="A55" s="37">
        <v>54.0</v>
      </c>
      <c r="B55" s="37" t="s">
        <v>123</v>
      </c>
      <c r="C55" s="36" t="s">
        <v>661</v>
      </c>
      <c r="D55" s="36" t="s">
        <v>662</v>
      </c>
      <c r="E55" s="36" t="s">
        <v>603</v>
      </c>
      <c r="F55" s="41">
        <v>0.375</v>
      </c>
      <c r="G55" s="66"/>
      <c r="H55" s="66"/>
      <c r="I55" s="66"/>
      <c r="J55" s="66"/>
      <c r="K55" s="66"/>
      <c r="L55" s="66"/>
      <c r="M55" s="66"/>
      <c r="N55" s="66"/>
      <c r="O55" s="66"/>
      <c r="P55" s="66"/>
      <c r="Q55" s="66"/>
      <c r="R55" s="66"/>
      <c r="S55" s="66"/>
      <c r="T55" s="66"/>
      <c r="U55" s="66"/>
      <c r="V55" s="66"/>
      <c r="W55" s="66"/>
    </row>
    <row r="56" ht="15.75" customHeight="1">
      <c r="A56" s="37">
        <v>55.0</v>
      </c>
      <c r="B56" s="37" t="s">
        <v>123</v>
      </c>
      <c r="C56" s="36" t="s">
        <v>661</v>
      </c>
      <c r="D56" s="36" t="s">
        <v>662</v>
      </c>
      <c r="E56" s="36" t="s">
        <v>607</v>
      </c>
      <c r="F56" s="41">
        <v>0.15</v>
      </c>
      <c r="G56" s="66"/>
      <c r="H56" s="66"/>
      <c r="I56" s="66"/>
      <c r="J56" s="66"/>
      <c r="K56" s="66"/>
      <c r="L56" s="66"/>
      <c r="M56" s="66"/>
      <c r="N56" s="66"/>
      <c r="O56" s="66"/>
      <c r="P56" s="66"/>
      <c r="Q56" s="66"/>
      <c r="R56" s="66"/>
      <c r="S56" s="66"/>
      <c r="T56" s="66"/>
      <c r="U56" s="66"/>
      <c r="V56" s="66"/>
      <c r="W56" s="66"/>
    </row>
    <row r="57" ht="15.75" customHeight="1">
      <c r="A57" s="37">
        <v>56.0</v>
      </c>
      <c r="B57" s="37" t="s">
        <v>123</v>
      </c>
      <c r="C57" s="36" t="s">
        <v>661</v>
      </c>
      <c r="D57" s="36" t="s">
        <v>662</v>
      </c>
      <c r="E57" s="36" t="s">
        <v>613</v>
      </c>
      <c r="F57" s="41">
        <v>0.375</v>
      </c>
      <c r="G57" s="66"/>
      <c r="H57" s="66"/>
      <c r="I57" s="66"/>
      <c r="J57" s="66"/>
      <c r="K57" s="66"/>
      <c r="L57" s="66"/>
      <c r="M57" s="66"/>
      <c r="N57" s="66"/>
      <c r="O57" s="66"/>
      <c r="P57" s="66"/>
      <c r="Q57" s="66"/>
      <c r="R57" s="66"/>
      <c r="S57" s="66"/>
      <c r="T57" s="66"/>
      <c r="U57" s="66"/>
      <c r="V57" s="66"/>
      <c r="W57" s="66"/>
    </row>
    <row r="58" ht="15.75" customHeight="1">
      <c r="A58" s="37">
        <v>57.0</v>
      </c>
      <c r="B58" s="37" t="s">
        <v>123</v>
      </c>
      <c r="C58" s="36" t="s">
        <v>663</v>
      </c>
      <c r="D58" s="36" t="s">
        <v>664</v>
      </c>
      <c r="E58" s="36" t="s">
        <v>587</v>
      </c>
      <c r="F58" s="41">
        <v>0.225</v>
      </c>
      <c r="G58" s="66"/>
      <c r="H58" s="66"/>
      <c r="I58" s="66"/>
      <c r="J58" s="66"/>
      <c r="K58" s="66"/>
      <c r="L58" s="66"/>
      <c r="M58" s="66"/>
      <c r="N58" s="66"/>
      <c r="O58" s="66"/>
      <c r="P58" s="66"/>
      <c r="Q58" s="66"/>
      <c r="R58" s="66"/>
      <c r="S58" s="66"/>
      <c r="T58" s="66"/>
      <c r="U58" s="66"/>
      <c r="V58" s="66"/>
      <c r="W58" s="66"/>
    </row>
    <row r="59" ht="15.75" customHeight="1">
      <c r="A59" s="37">
        <v>58.0</v>
      </c>
      <c r="B59" s="37" t="s">
        <v>123</v>
      </c>
      <c r="C59" s="36" t="s">
        <v>663</v>
      </c>
      <c r="D59" s="36" t="s">
        <v>664</v>
      </c>
      <c r="E59" s="36" t="s">
        <v>591</v>
      </c>
      <c r="F59" s="41">
        <v>0.15</v>
      </c>
      <c r="G59" s="66"/>
      <c r="H59" s="66"/>
      <c r="I59" s="66"/>
      <c r="J59" s="66"/>
      <c r="K59" s="66"/>
      <c r="L59" s="66"/>
      <c r="M59" s="66"/>
      <c r="N59" s="66"/>
      <c r="O59" s="66"/>
      <c r="P59" s="66"/>
      <c r="Q59" s="66"/>
      <c r="R59" s="66"/>
      <c r="S59" s="66"/>
      <c r="T59" s="66"/>
      <c r="U59" s="66"/>
      <c r="V59" s="66"/>
      <c r="W59" s="66"/>
    </row>
    <row r="60" ht="15.75" customHeight="1">
      <c r="A60" s="37">
        <v>59.0</v>
      </c>
      <c r="B60" s="37" t="s">
        <v>123</v>
      </c>
      <c r="C60" s="36" t="s">
        <v>663</v>
      </c>
      <c r="D60" s="36" t="s">
        <v>664</v>
      </c>
      <c r="E60" s="36" t="s">
        <v>599</v>
      </c>
      <c r="F60" s="41">
        <v>0.6</v>
      </c>
      <c r="G60" s="66"/>
      <c r="H60" s="66"/>
      <c r="I60" s="66"/>
      <c r="J60" s="66"/>
      <c r="K60" s="66"/>
      <c r="L60" s="66"/>
      <c r="M60" s="66"/>
      <c r="N60" s="66"/>
      <c r="O60" s="66"/>
      <c r="P60" s="66"/>
      <c r="Q60" s="66"/>
      <c r="R60" s="66"/>
      <c r="S60" s="66"/>
      <c r="T60" s="66"/>
      <c r="U60" s="66"/>
      <c r="V60" s="66"/>
      <c r="W60" s="66"/>
    </row>
    <row r="61" ht="15.75" customHeight="1">
      <c r="A61" s="37">
        <v>60.0</v>
      </c>
      <c r="B61" s="37" t="s">
        <v>123</v>
      </c>
      <c r="C61" s="36" t="s">
        <v>663</v>
      </c>
      <c r="D61" s="36" t="s">
        <v>664</v>
      </c>
      <c r="E61" s="42" t="s">
        <v>605</v>
      </c>
      <c r="F61" s="41">
        <v>0.375</v>
      </c>
      <c r="G61" s="66"/>
      <c r="H61" s="66"/>
      <c r="I61" s="66"/>
      <c r="J61" s="66"/>
      <c r="K61" s="66"/>
      <c r="L61" s="66"/>
      <c r="M61" s="66"/>
      <c r="N61" s="66"/>
      <c r="O61" s="66"/>
      <c r="P61" s="66"/>
      <c r="Q61" s="66"/>
      <c r="R61" s="66"/>
      <c r="S61" s="66"/>
      <c r="T61" s="66"/>
      <c r="U61" s="66"/>
      <c r="V61" s="66"/>
      <c r="W61" s="66"/>
    </row>
    <row r="62" ht="15.75" customHeight="1">
      <c r="A62" s="37">
        <v>61.0</v>
      </c>
      <c r="B62" s="37" t="s">
        <v>123</v>
      </c>
      <c r="C62" s="36" t="s">
        <v>663</v>
      </c>
      <c r="D62" s="36" t="s">
        <v>664</v>
      </c>
      <c r="E62" s="36" t="s">
        <v>607</v>
      </c>
      <c r="F62" s="41">
        <v>0.6</v>
      </c>
      <c r="G62" s="66"/>
      <c r="H62" s="66"/>
      <c r="I62" s="66"/>
      <c r="J62" s="66"/>
      <c r="K62" s="66"/>
      <c r="L62" s="66"/>
      <c r="M62" s="66"/>
      <c r="N62" s="66"/>
      <c r="O62" s="66"/>
      <c r="P62" s="66"/>
      <c r="Q62" s="66"/>
      <c r="R62" s="66"/>
      <c r="S62" s="66"/>
      <c r="T62" s="66"/>
      <c r="U62" s="66"/>
      <c r="V62" s="66"/>
      <c r="W62" s="66"/>
    </row>
    <row r="63" ht="15.75" customHeight="1">
      <c r="A63" s="37">
        <v>62.0</v>
      </c>
      <c r="B63" s="37" t="s">
        <v>123</v>
      </c>
      <c r="C63" s="36" t="s">
        <v>663</v>
      </c>
      <c r="D63" s="36" t="s">
        <v>664</v>
      </c>
      <c r="E63" s="36" t="s">
        <v>611</v>
      </c>
      <c r="F63" s="41">
        <v>0.3</v>
      </c>
      <c r="G63" s="66"/>
      <c r="H63" s="66"/>
      <c r="I63" s="66"/>
      <c r="J63" s="66"/>
      <c r="K63" s="66"/>
      <c r="L63" s="66"/>
      <c r="M63" s="66"/>
      <c r="N63" s="66"/>
      <c r="O63" s="66"/>
      <c r="P63" s="66"/>
      <c r="Q63" s="66"/>
      <c r="R63" s="66"/>
      <c r="S63" s="66"/>
      <c r="T63" s="66"/>
      <c r="U63" s="66"/>
      <c r="V63" s="66"/>
      <c r="W63" s="66"/>
    </row>
    <row r="64" ht="15.75" customHeight="1">
      <c r="A64" s="37">
        <v>63.0</v>
      </c>
      <c r="B64" s="37" t="s">
        <v>123</v>
      </c>
      <c r="C64" s="36" t="s">
        <v>643</v>
      </c>
      <c r="D64" s="36" t="s">
        <v>665</v>
      </c>
      <c r="E64" s="36" t="s">
        <v>587</v>
      </c>
      <c r="F64" s="41">
        <v>0.15</v>
      </c>
      <c r="G64" s="66"/>
      <c r="H64" s="66"/>
      <c r="I64" s="66"/>
      <c r="J64" s="66"/>
      <c r="K64" s="66"/>
      <c r="L64" s="66"/>
      <c r="M64" s="66"/>
      <c r="N64" s="66"/>
      <c r="O64" s="66"/>
      <c r="P64" s="66"/>
      <c r="Q64" s="66"/>
      <c r="R64" s="66"/>
      <c r="S64" s="66"/>
      <c r="T64" s="66"/>
      <c r="U64" s="66"/>
      <c r="V64" s="66"/>
      <c r="W64" s="66"/>
    </row>
    <row r="65" ht="15.75" customHeight="1">
      <c r="A65" s="37">
        <v>64.0</v>
      </c>
      <c r="B65" s="37" t="s">
        <v>123</v>
      </c>
      <c r="C65" s="36" t="s">
        <v>643</v>
      </c>
      <c r="D65" s="36" t="s">
        <v>665</v>
      </c>
      <c r="E65" s="36" t="s">
        <v>589</v>
      </c>
      <c r="F65" s="41">
        <v>0.525</v>
      </c>
      <c r="G65" s="66"/>
      <c r="H65" s="66"/>
      <c r="I65" s="66"/>
      <c r="J65" s="66"/>
      <c r="K65" s="66"/>
      <c r="L65" s="66"/>
      <c r="M65" s="66"/>
      <c r="N65" s="66"/>
      <c r="O65" s="66"/>
      <c r="P65" s="66"/>
      <c r="Q65" s="66"/>
      <c r="R65" s="66"/>
      <c r="S65" s="66"/>
      <c r="T65" s="66"/>
      <c r="U65" s="66"/>
      <c r="V65" s="66"/>
      <c r="W65" s="66"/>
    </row>
    <row r="66" ht="15.75" customHeight="1">
      <c r="A66" s="37">
        <v>65.0</v>
      </c>
      <c r="B66" s="37" t="s">
        <v>123</v>
      </c>
      <c r="C66" s="36" t="s">
        <v>643</v>
      </c>
      <c r="D66" s="36" t="s">
        <v>665</v>
      </c>
      <c r="E66" s="36" t="s">
        <v>593</v>
      </c>
      <c r="F66" s="41">
        <v>0.3</v>
      </c>
      <c r="G66" s="66"/>
      <c r="H66" s="66"/>
      <c r="I66" s="66"/>
      <c r="J66" s="66"/>
      <c r="K66" s="66"/>
      <c r="L66" s="66"/>
      <c r="M66" s="66"/>
      <c r="N66" s="66"/>
      <c r="O66" s="66"/>
      <c r="P66" s="66"/>
      <c r="Q66" s="66"/>
      <c r="R66" s="66"/>
      <c r="S66" s="66"/>
      <c r="T66" s="66"/>
      <c r="U66" s="66"/>
      <c r="V66" s="66"/>
      <c r="W66" s="66"/>
    </row>
    <row r="67" ht="15.75" customHeight="1">
      <c r="A67" s="37">
        <v>66.0</v>
      </c>
      <c r="B67" s="37" t="s">
        <v>123</v>
      </c>
      <c r="C67" s="36" t="s">
        <v>643</v>
      </c>
      <c r="D67" s="36" t="s">
        <v>665</v>
      </c>
      <c r="E67" s="36" t="s">
        <v>595</v>
      </c>
      <c r="F67" s="41">
        <v>0.3</v>
      </c>
      <c r="G67" s="66"/>
      <c r="H67" s="66"/>
      <c r="I67" s="66"/>
      <c r="J67" s="66"/>
      <c r="K67" s="66"/>
      <c r="L67" s="66"/>
      <c r="M67" s="66"/>
      <c r="N67" s="66"/>
      <c r="O67" s="66"/>
      <c r="P67" s="66"/>
      <c r="Q67" s="66"/>
      <c r="R67" s="66"/>
      <c r="S67" s="66"/>
      <c r="T67" s="66"/>
      <c r="U67" s="66"/>
      <c r="V67" s="66"/>
      <c r="W67" s="66"/>
    </row>
    <row r="68" ht="15.75" customHeight="1">
      <c r="A68" s="37">
        <v>67.0</v>
      </c>
      <c r="B68" s="37" t="s">
        <v>123</v>
      </c>
      <c r="C68" s="36" t="s">
        <v>643</v>
      </c>
      <c r="D68" s="36" t="s">
        <v>665</v>
      </c>
      <c r="E68" s="36" t="s">
        <v>597</v>
      </c>
      <c r="F68" s="41">
        <v>0.15</v>
      </c>
      <c r="G68" s="66"/>
      <c r="H68" s="66"/>
      <c r="I68" s="66"/>
      <c r="J68" s="66"/>
      <c r="K68" s="66"/>
      <c r="L68" s="66"/>
      <c r="M68" s="66"/>
      <c r="N68" s="66"/>
      <c r="O68" s="66"/>
      <c r="P68" s="66"/>
      <c r="Q68" s="66"/>
      <c r="R68" s="66"/>
      <c r="S68" s="66"/>
      <c r="T68" s="66"/>
      <c r="U68" s="66"/>
      <c r="V68" s="66"/>
      <c r="W68" s="66"/>
    </row>
    <row r="69" ht="15.75" customHeight="1">
      <c r="A69" s="37">
        <v>68.0</v>
      </c>
      <c r="B69" s="37" t="s">
        <v>123</v>
      </c>
      <c r="C69" s="36" t="s">
        <v>666</v>
      </c>
      <c r="D69" s="36" t="s">
        <v>667</v>
      </c>
      <c r="E69" s="36" t="s">
        <v>589</v>
      </c>
      <c r="F69" s="41">
        <v>0.375</v>
      </c>
      <c r="G69" s="65"/>
      <c r="H69" s="65"/>
      <c r="I69" s="65"/>
      <c r="J69" s="65"/>
      <c r="K69" s="65"/>
      <c r="L69" s="65"/>
      <c r="M69" s="65"/>
      <c r="N69" s="65"/>
      <c r="O69" s="65"/>
      <c r="P69" s="65"/>
      <c r="Q69" s="65"/>
      <c r="R69" s="65"/>
      <c r="S69" s="65"/>
      <c r="T69" s="65"/>
      <c r="U69" s="65"/>
      <c r="V69" s="65"/>
      <c r="W69" s="65"/>
    </row>
    <row r="70" ht="15.75" customHeight="1">
      <c r="A70" s="37">
        <v>69.0</v>
      </c>
      <c r="B70" s="37" t="s">
        <v>123</v>
      </c>
      <c r="C70" s="36" t="s">
        <v>666</v>
      </c>
      <c r="D70" s="36" t="s">
        <v>667</v>
      </c>
      <c r="E70" s="36" t="s">
        <v>593</v>
      </c>
      <c r="F70" s="41">
        <v>0.9</v>
      </c>
      <c r="G70" s="65"/>
      <c r="H70" s="65"/>
      <c r="I70" s="65"/>
      <c r="J70" s="65"/>
      <c r="K70" s="65"/>
      <c r="L70" s="65"/>
      <c r="M70" s="65"/>
      <c r="N70" s="65"/>
      <c r="O70" s="65"/>
      <c r="P70" s="65"/>
      <c r="Q70" s="65"/>
      <c r="R70" s="65"/>
      <c r="S70" s="65"/>
      <c r="T70" s="65"/>
      <c r="U70" s="65"/>
      <c r="V70" s="65"/>
      <c r="W70" s="65"/>
    </row>
    <row r="71" ht="15.75" customHeight="1">
      <c r="A71" s="37">
        <v>70.0</v>
      </c>
      <c r="B71" s="37" t="s">
        <v>123</v>
      </c>
      <c r="C71" s="36" t="s">
        <v>666</v>
      </c>
      <c r="D71" s="36" t="s">
        <v>667</v>
      </c>
      <c r="E71" s="36" t="s">
        <v>595</v>
      </c>
      <c r="F71" s="41">
        <v>0.3</v>
      </c>
      <c r="G71" s="65"/>
      <c r="H71" s="65"/>
      <c r="I71" s="65"/>
      <c r="J71" s="65"/>
      <c r="K71" s="65"/>
      <c r="L71" s="65"/>
      <c r="M71" s="65"/>
      <c r="N71" s="65"/>
      <c r="O71" s="65"/>
      <c r="P71" s="65"/>
      <c r="Q71" s="65"/>
      <c r="R71" s="65"/>
      <c r="S71" s="65"/>
      <c r="T71" s="65"/>
      <c r="U71" s="65"/>
      <c r="V71" s="65"/>
      <c r="W71" s="65"/>
    </row>
    <row r="72" ht="15.75" customHeight="1">
      <c r="A72" s="37">
        <v>71.0</v>
      </c>
      <c r="B72" s="37" t="s">
        <v>123</v>
      </c>
      <c r="C72" s="36" t="s">
        <v>666</v>
      </c>
      <c r="D72" s="36" t="s">
        <v>667</v>
      </c>
      <c r="E72" s="36" t="s">
        <v>603</v>
      </c>
      <c r="F72" s="41">
        <v>0.15</v>
      </c>
      <c r="G72" s="65"/>
      <c r="H72" s="65"/>
      <c r="I72" s="65"/>
      <c r="J72" s="65"/>
      <c r="K72" s="65"/>
      <c r="L72" s="65"/>
      <c r="M72" s="65"/>
      <c r="N72" s="65"/>
      <c r="O72" s="65"/>
      <c r="P72" s="65"/>
      <c r="Q72" s="65"/>
      <c r="R72" s="65"/>
      <c r="S72" s="65"/>
      <c r="T72" s="65"/>
      <c r="U72" s="65"/>
      <c r="V72" s="65"/>
      <c r="W72" s="65"/>
    </row>
    <row r="73" ht="15.75" customHeight="1">
      <c r="A73" s="37">
        <v>72.0</v>
      </c>
      <c r="B73" s="37" t="s">
        <v>123</v>
      </c>
      <c r="C73" s="36" t="s">
        <v>666</v>
      </c>
      <c r="D73" s="36" t="s">
        <v>667</v>
      </c>
      <c r="E73" s="36" t="s">
        <v>609</v>
      </c>
      <c r="F73" s="41">
        <v>0.35</v>
      </c>
      <c r="G73" s="65"/>
      <c r="H73" s="65"/>
      <c r="I73" s="65"/>
      <c r="J73" s="65"/>
      <c r="K73" s="65"/>
      <c r="L73" s="65"/>
      <c r="M73" s="65"/>
      <c r="N73" s="65"/>
      <c r="O73" s="65"/>
      <c r="P73" s="65"/>
      <c r="Q73" s="65"/>
      <c r="R73" s="65"/>
      <c r="S73" s="65"/>
      <c r="T73" s="65"/>
      <c r="U73" s="65"/>
      <c r="V73" s="65"/>
      <c r="W73" s="65"/>
    </row>
    <row r="74" ht="15.75" customHeight="1">
      <c r="A74" s="37">
        <v>73.0</v>
      </c>
      <c r="B74" s="37" t="s">
        <v>130</v>
      </c>
      <c r="C74" s="36" t="s">
        <v>668</v>
      </c>
      <c r="D74" s="36" t="s">
        <v>669</v>
      </c>
      <c r="E74" s="36" t="s">
        <v>587</v>
      </c>
      <c r="F74" s="41">
        <v>1.0</v>
      </c>
      <c r="G74" s="65"/>
      <c r="H74" s="65"/>
      <c r="I74" s="65"/>
      <c r="J74" s="65"/>
      <c r="K74" s="65"/>
      <c r="L74" s="65"/>
      <c r="M74" s="65"/>
      <c r="N74" s="65"/>
      <c r="O74" s="65"/>
      <c r="P74" s="65"/>
      <c r="Q74" s="65"/>
      <c r="R74" s="65"/>
      <c r="S74" s="65"/>
      <c r="T74" s="65"/>
      <c r="U74" s="65"/>
      <c r="V74" s="65"/>
      <c r="W74" s="65"/>
    </row>
    <row r="75" ht="15.75" customHeight="1">
      <c r="A75" s="37">
        <v>74.0</v>
      </c>
      <c r="B75" s="37" t="s">
        <v>130</v>
      </c>
      <c r="C75" s="36" t="s">
        <v>668</v>
      </c>
      <c r="D75" s="36" t="s">
        <v>669</v>
      </c>
      <c r="E75" s="36" t="s">
        <v>591</v>
      </c>
      <c r="F75" s="41">
        <v>0.8</v>
      </c>
      <c r="G75" s="65"/>
      <c r="H75" s="65"/>
      <c r="I75" s="65"/>
      <c r="J75" s="65"/>
      <c r="K75" s="65"/>
      <c r="L75" s="65"/>
      <c r="M75" s="65"/>
      <c r="N75" s="65"/>
      <c r="O75" s="65"/>
      <c r="P75" s="65"/>
      <c r="Q75" s="65"/>
      <c r="R75" s="65"/>
      <c r="S75" s="65"/>
      <c r="T75" s="65"/>
      <c r="U75" s="65"/>
      <c r="V75" s="65"/>
      <c r="W75" s="65"/>
    </row>
    <row r="76" ht="15.75" customHeight="1">
      <c r="A76" s="37">
        <v>75.0</v>
      </c>
      <c r="B76" s="37" t="s">
        <v>130</v>
      </c>
      <c r="C76" s="36" t="s">
        <v>668</v>
      </c>
      <c r="D76" s="36" t="s">
        <v>669</v>
      </c>
      <c r="E76" s="36" t="s">
        <v>599</v>
      </c>
      <c r="F76" s="41">
        <v>0.9</v>
      </c>
      <c r="G76" s="65"/>
      <c r="H76" s="65"/>
      <c r="I76" s="65"/>
      <c r="J76" s="65"/>
      <c r="K76" s="65"/>
      <c r="L76" s="65"/>
      <c r="M76" s="65"/>
      <c r="N76" s="65"/>
      <c r="O76" s="65"/>
      <c r="P76" s="65"/>
      <c r="Q76" s="65"/>
      <c r="R76" s="65"/>
      <c r="S76" s="65"/>
      <c r="T76" s="65"/>
      <c r="U76" s="65"/>
      <c r="V76" s="65"/>
      <c r="W76" s="65"/>
    </row>
    <row r="77" ht="15.75" customHeight="1">
      <c r="A77" s="37">
        <v>76.0</v>
      </c>
      <c r="B77" s="37" t="s">
        <v>130</v>
      </c>
      <c r="C77" s="36" t="s">
        <v>668</v>
      </c>
      <c r="D77" s="36" t="s">
        <v>669</v>
      </c>
      <c r="E77" s="36" t="s">
        <v>609</v>
      </c>
      <c r="F77" s="41">
        <v>0.5</v>
      </c>
      <c r="G77" s="65"/>
      <c r="H77" s="65"/>
      <c r="I77" s="65"/>
      <c r="J77" s="65"/>
      <c r="K77" s="65"/>
      <c r="L77" s="65"/>
      <c r="M77" s="65"/>
      <c r="N77" s="65"/>
      <c r="O77" s="65"/>
      <c r="P77" s="65"/>
      <c r="Q77" s="65"/>
      <c r="R77" s="65"/>
      <c r="S77" s="65"/>
      <c r="T77" s="65"/>
      <c r="U77" s="65"/>
      <c r="V77" s="65"/>
      <c r="W77" s="65"/>
    </row>
    <row r="78" ht="15.75" customHeight="1">
      <c r="A78" s="37">
        <v>77.0</v>
      </c>
      <c r="B78" s="37" t="s">
        <v>130</v>
      </c>
      <c r="C78" s="36" t="s">
        <v>670</v>
      </c>
      <c r="D78" s="36" t="s">
        <v>671</v>
      </c>
      <c r="E78" s="36" t="s">
        <v>593</v>
      </c>
      <c r="F78" s="41">
        <v>0.6</v>
      </c>
      <c r="G78" s="65"/>
      <c r="H78" s="65"/>
      <c r="I78" s="65"/>
      <c r="J78" s="65"/>
      <c r="K78" s="65"/>
      <c r="L78" s="65"/>
      <c r="M78" s="65"/>
      <c r="N78" s="65"/>
      <c r="O78" s="65"/>
      <c r="P78" s="65"/>
      <c r="Q78" s="65"/>
      <c r="R78" s="65"/>
      <c r="S78" s="65"/>
      <c r="T78" s="65"/>
      <c r="U78" s="65"/>
      <c r="V78" s="65"/>
      <c r="W78" s="65"/>
    </row>
    <row r="79" ht="15.75" customHeight="1">
      <c r="A79" s="37">
        <v>78.0</v>
      </c>
      <c r="B79" s="37" t="s">
        <v>130</v>
      </c>
      <c r="C79" s="36" t="s">
        <v>670</v>
      </c>
      <c r="D79" s="36" t="s">
        <v>671</v>
      </c>
      <c r="E79" s="36" t="s">
        <v>595</v>
      </c>
      <c r="F79" s="41">
        <v>0.9</v>
      </c>
      <c r="G79" s="65"/>
      <c r="H79" s="65"/>
      <c r="I79" s="65"/>
      <c r="J79" s="65"/>
      <c r="K79" s="65"/>
      <c r="L79" s="65"/>
      <c r="M79" s="65"/>
      <c r="N79" s="65"/>
      <c r="O79" s="65"/>
      <c r="P79" s="65"/>
      <c r="Q79" s="65"/>
      <c r="R79" s="65"/>
      <c r="S79" s="65"/>
      <c r="T79" s="65"/>
      <c r="U79" s="65"/>
      <c r="V79" s="65"/>
      <c r="W79" s="65"/>
    </row>
    <row r="80" ht="15.75" customHeight="1">
      <c r="A80" s="37">
        <v>79.0</v>
      </c>
      <c r="B80" s="37" t="s">
        <v>130</v>
      </c>
      <c r="C80" s="36" t="s">
        <v>670</v>
      </c>
      <c r="D80" s="36" t="s">
        <v>671</v>
      </c>
      <c r="E80" s="36" t="s">
        <v>603</v>
      </c>
      <c r="F80" s="41">
        <v>1.1</v>
      </c>
      <c r="G80" s="65"/>
      <c r="H80" s="65"/>
      <c r="I80" s="65"/>
      <c r="J80" s="65"/>
      <c r="K80" s="65"/>
      <c r="L80" s="65"/>
      <c r="M80" s="65"/>
      <c r="N80" s="65"/>
      <c r="O80" s="65"/>
      <c r="P80" s="65"/>
      <c r="Q80" s="65"/>
      <c r="R80" s="65"/>
      <c r="S80" s="65"/>
      <c r="T80" s="65"/>
      <c r="U80" s="65"/>
      <c r="V80" s="65"/>
      <c r="W80" s="65"/>
    </row>
    <row r="81" ht="15.75" customHeight="1">
      <c r="A81" s="37">
        <v>80.0</v>
      </c>
      <c r="B81" s="37" t="s">
        <v>130</v>
      </c>
      <c r="C81" s="36" t="s">
        <v>672</v>
      </c>
      <c r="D81" s="36" t="s">
        <v>673</v>
      </c>
      <c r="E81" s="36" t="s">
        <v>597</v>
      </c>
      <c r="F81" s="41">
        <v>0.6</v>
      </c>
      <c r="G81" s="65"/>
      <c r="H81" s="65"/>
      <c r="I81" s="65"/>
      <c r="J81" s="65"/>
      <c r="K81" s="65"/>
      <c r="L81" s="65"/>
      <c r="M81" s="65"/>
      <c r="N81" s="65"/>
      <c r="O81" s="65"/>
      <c r="P81" s="65"/>
      <c r="Q81" s="65"/>
      <c r="R81" s="65"/>
      <c r="S81" s="65"/>
      <c r="T81" s="65"/>
      <c r="U81" s="65"/>
      <c r="V81" s="65"/>
      <c r="W81" s="65"/>
    </row>
    <row r="82" ht="15.75" customHeight="1">
      <c r="A82" s="37">
        <v>81.0</v>
      </c>
      <c r="B82" s="37" t="s">
        <v>130</v>
      </c>
      <c r="C82" s="36" t="s">
        <v>672</v>
      </c>
      <c r="D82" s="36" t="s">
        <v>673</v>
      </c>
      <c r="E82" s="42" t="s">
        <v>605</v>
      </c>
      <c r="F82" s="41">
        <v>0.4</v>
      </c>
      <c r="G82" s="65"/>
      <c r="H82" s="65"/>
      <c r="I82" s="65"/>
      <c r="J82" s="65"/>
      <c r="K82" s="65"/>
      <c r="L82" s="65"/>
      <c r="M82" s="65"/>
      <c r="N82" s="65"/>
      <c r="O82" s="65"/>
      <c r="P82" s="65"/>
      <c r="Q82" s="65"/>
      <c r="R82" s="65"/>
      <c r="S82" s="65"/>
      <c r="T82" s="65"/>
      <c r="U82" s="65"/>
      <c r="V82" s="65"/>
      <c r="W82" s="65"/>
    </row>
    <row r="83" ht="15.75" customHeight="1">
      <c r="A83" s="37">
        <v>82.0</v>
      </c>
      <c r="B83" s="37" t="s">
        <v>130</v>
      </c>
      <c r="C83" s="36" t="s">
        <v>672</v>
      </c>
      <c r="D83" s="36" t="s">
        <v>673</v>
      </c>
      <c r="E83" s="36" t="s">
        <v>611</v>
      </c>
      <c r="F83" s="41">
        <v>1.2</v>
      </c>
      <c r="G83" s="65"/>
      <c r="H83" s="65"/>
      <c r="I83" s="65"/>
      <c r="J83" s="65"/>
      <c r="K83" s="65"/>
      <c r="L83" s="65"/>
      <c r="M83" s="65"/>
      <c r="N83" s="65"/>
      <c r="O83" s="65"/>
      <c r="P83" s="65"/>
      <c r="Q83" s="65"/>
      <c r="R83" s="65"/>
      <c r="S83" s="65"/>
      <c r="T83" s="65"/>
      <c r="U83" s="65"/>
      <c r="V83" s="65"/>
      <c r="W83" s="65"/>
    </row>
    <row r="84" ht="15.75" customHeight="1">
      <c r="A84" s="37">
        <v>83.0</v>
      </c>
      <c r="B84" s="37" t="s">
        <v>130</v>
      </c>
      <c r="C84" s="36" t="s">
        <v>674</v>
      </c>
      <c r="D84" s="36" t="s">
        <v>675</v>
      </c>
      <c r="E84" s="36" t="s">
        <v>589</v>
      </c>
      <c r="F84" s="41">
        <v>1.1</v>
      </c>
      <c r="G84" s="65"/>
      <c r="H84" s="65"/>
      <c r="I84" s="65"/>
      <c r="J84" s="65"/>
      <c r="K84" s="65"/>
      <c r="L84" s="65"/>
      <c r="M84" s="65"/>
      <c r="N84" s="65"/>
      <c r="O84" s="65"/>
      <c r="P84" s="65"/>
      <c r="Q84" s="65"/>
      <c r="R84" s="65"/>
      <c r="S84" s="65"/>
      <c r="T84" s="65"/>
      <c r="U84" s="65"/>
      <c r="V84" s="65"/>
      <c r="W84" s="65"/>
    </row>
    <row r="85" ht="15.75" customHeight="1">
      <c r="A85" s="37">
        <v>84.0</v>
      </c>
      <c r="B85" s="37" t="s">
        <v>130</v>
      </c>
      <c r="C85" s="36" t="s">
        <v>674</v>
      </c>
      <c r="D85" s="36" t="s">
        <v>675</v>
      </c>
      <c r="E85" s="36" t="s">
        <v>593</v>
      </c>
      <c r="F85" s="41">
        <v>0.6</v>
      </c>
      <c r="G85" s="65"/>
      <c r="H85" s="65"/>
      <c r="I85" s="65"/>
      <c r="J85" s="65"/>
      <c r="K85" s="65"/>
      <c r="L85" s="65"/>
      <c r="M85" s="65"/>
      <c r="N85" s="65"/>
      <c r="O85" s="65"/>
      <c r="P85" s="65"/>
      <c r="Q85" s="65"/>
      <c r="R85" s="65"/>
      <c r="S85" s="65"/>
      <c r="T85" s="65"/>
      <c r="U85" s="65"/>
      <c r="V85" s="65"/>
      <c r="W85" s="65"/>
    </row>
    <row r="86" ht="15.75" customHeight="1">
      <c r="A86" s="37">
        <v>85.0</v>
      </c>
      <c r="B86" s="37" t="s">
        <v>130</v>
      </c>
      <c r="C86" s="36" t="s">
        <v>674</v>
      </c>
      <c r="D86" s="36" t="s">
        <v>675</v>
      </c>
      <c r="E86" s="36" t="s">
        <v>595</v>
      </c>
      <c r="F86" s="41">
        <v>0.8</v>
      </c>
      <c r="G86" s="65"/>
      <c r="H86" s="65"/>
      <c r="I86" s="65"/>
      <c r="J86" s="65"/>
      <c r="K86" s="65"/>
      <c r="L86" s="65"/>
      <c r="M86" s="65"/>
      <c r="N86" s="65"/>
      <c r="O86" s="65"/>
      <c r="P86" s="65"/>
      <c r="Q86" s="65"/>
      <c r="R86" s="65"/>
      <c r="S86" s="65"/>
      <c r="T86" s="65"/>
      <c r="U86" s="65"/>
      <c r="V86" s="65"/>
      <c r="W86" s="65"/>
    </row>
    <row r="87" ht="15.75" customHeight="1">
      <c r="A87" s="37">
        <v>86.0</v>
      </c>
      <c r="B87" s="37" t="s">
        <v>130</v>
      </c>
      <c r="C87" s="36" t="s">
        <v>674</v>
      </c>
      <c r="D87" s="36" t="s">
        <v>675</v>
      </c>
      <c r="E87" s="36" t="s">
        <v>597</v>
      </c>
      <c r="F87" s="41">
        <v>0.6</v>
      </c>
      <c r="G87" s="65"/>
      <c r="H87" s="65"/>
      <c r="I87" s="65"/>
      <c r="J87" s="65"/>
      <c r="K87" s="65"/>
      <c r="L87" s="65"/>
      <c r="M87" s="65"/>
      <c r="N87" s="65"/>
      <c r="O87" s="65"/>
      <c r="P87" s="65"/>
      <c r="Q87" s="65"/>
      <c r="R87" s="65"/>
      <c r="S87" s="65"/>
      <c r="T87" s="65"/>
      <c r="U87" s="65"/>
      <c r="V87" s="65"/>
      <c r="W87" s="65"/>
    </row>
    <row r="88" ht="15.75" customHeight="1">
      <c r="A88" s="37">
        <v>87.0</v>
      </c>
      <c r="B88" s="37" t="s">
        <v>130</v>
      </c>
      <c r="C88" s="36" t="s">
        <v>676</v>
      </c>
      <c r="D88" s="36" t="s">
        <v>677</v>
      </c>
      <c r="E88" s="36" t="s">
        <v>587</v>
      </c>
      <c r="F88" s="41">
        <v>0.6</v>
      </c>
      <c r="G88" s="65"/>
      <c r="H88" s="65"/>
      <c r="I88" s="65"/>
      <c r="J88" s="65"/>
      <c r="K88" s="65"/>
      <c r="L88" s="65"/>
      <c r="M88" s="65"/>
      <c r="N88" s="65"/>
      <c r="O88" s="65"/>
      <c r="P88" s="65"/>
      <c r="Q88" s="65"/>
      <c r="R88" s="65"/>
      <c r="S88" s="65"/>
      <c r="T88" s="65"/>
      <c r="U88" s="65"/>
      <c r="V88" s="65"/>
      <c r="W88" s="65"/>
    </row>
    <row r="89" ht="15.75" customHeight="1">
      <c r="A89" s="37">
        <v>88.0</v>
      </c>
      <c r="B89" s="37" t="s">
        <v>130</v>
      </c>
      <c r="C89" s="36" t="s">
        <v>676</v>
      </c>
      <c r="D89" s="36" t="s">
        <v>677</v>
      </c>
      <c r="E89" s="36" t="s">
        <v>591</v>
      </c>
      <c r="F89" s="41">
        <v>0.4</v>
      </c>
      <c r="G89" s="65"/>
      <c r="H89" s="65"/>
      <c r="I89" s="65"/>
      <c r="J89" s="65"/>
      <c r="K89" s="65"/>
      <c r="L89" s="65"/>
      <c r="M89" s="65"/>
      <c r="N89" s="65"/>
      <c r="O89" s="65"/>
      <c r="P89" s="65"/>
      <c r="Q89" s="65"/>
      <c r="R89" s="65"/>
      <c r="S89" s="65"/>
      <c r="T89" s="65"/>
      <c r="U89" s="65"/>
      <c r="V89" s="65"/>
      <c r="W89" s="65"/>
    </row>
    <row r="90" ht="15.75" customHeight="1">
      <c r="A90" s="37">
        <v>89.0</v>
      </c>
      <c r="B90" s="37" t="s">
        <v>130</v>
      </c>
      <c r="C90" s="36" t="s">
        <v>676</v>
      </c>
      <c r="D90" s="36" t="s">
        <v>677</v>
      </c>
      <c r="E90" s="36" t="s">
        <v>601</v>
      </c>
      <c r="F90" s="41">
        <v>0.9</v>
      </c>
      <c r="G90" s="65"/>
      <c r="H90" s="65"/>
      <c r="I90" s="65"/>
      <c r="J90" s="65"/>
      <c r="K90" s="65"/>
      <c r="L90" s="65"/>
      <c r="M90" s="65"/>
      <c r="N90" s="65"/>
      <c r="O90" s="65"/>
      <c r="P90" s="65"/>
      <c r="Q90" s="65"/>
      <c r="R90" s="65"/>
      <c r="S90" s="65"/>
      <c r="T90" s="65"/>
      <c r="U90" s="65"/>
      <c r="V90" s="65"/>
      <c r="W90" s="65"/>
    </row>
    <row r="91" ht="15.75" customHeight="1">
      <c r="A91" s="37">
        <v>90.0</v>
      </c>
      <c r="B91" s="37" t="s">
        <v>130</v>
      </c>
      <c r="C91" s="36" t="s">
        <v>676</v>
      </c>
      <c r="D91" s="36" t="s">
        <v>677</v>
      </c>
      <c r="E91" s="36" t="s">
        <v>607</v>
      </c>
      <c r="F91" s="41">
        <v>0.5</v>
      </c>
      <c r="G91" s="65"/>
      <c r="H91" s="65"/>
      <c r="I91" s="65"/>
      <c r="J91" s="65"/>
      <c r="K91" s="65"/>
      <c r="L91" s="65"/>
      <c r="M91" s="65"/>
      <c r="N91" s="65"/>
      <c r="O91" s="65"/>
      <c r="P91" s="65"/>
      <c r="Q91" s="65"/>
      <c r="R91" s="65"/>
      <c r="S91" s="65"/>
      <c r="T91" s="65"/>
      <c r="U91" s="65"/>
      <c r="V91" s="65"/>
      <c r="W91" s="65"/>
    </row>
    <row r="92" ht="15.75" customHeight="1">
      <c r="A92" s="37">
        <v>91.0</v>
      </c>
      <c r="B92" s="37" t="s">
        <v>130</v>
      </c>
      <c r="C92" s="36" t="s">
        <v>676</v>
      </c>
      <c r="D92" s="36" t="s">
        <v>677</v>
      </c>
      <c r="E92" s="36" t="s">
        <v>613</v>
      </c>
      <c r="F92" s="41">
        <v>0.7</v>
      </c>
      <c r="G92" s="65"/>
      <c r="H92" s="65"/>
      <c r="I92" s="65"/>
      <c r="J92" s="65"/>
      <c r="K92" s="65"/>
      <c r="L92" s="65"/>
      <c r="M92" s="65"/>
      <c r="N92" s="65"/>
      <c r="O92" s="65"/>
      <c r="P92" s="65"/>
      <c r="Q92" s="65"/>
      <c r="R92" s="65"/>
      <c r="S92" s="65"/>
      <c r="T92" s="65"/>
      <c r="U92" s="65"/>
      <c r="V92" s="65"/>
      <c r="W92" s="65"/>
    </row>
    <row r="93" ht="15.75" customHeight="1">
      <c r="A93" s="37">
        <v>92.0</v>
      </c>
      <c r="B93" s="37" t="s">
        <v>130</v>
      </c>
      <c r="C93" s="36" t="s">
        <v>678</v>
      </c>
      <c r="D93" s="36" t="s">
        <v>679</v>
      </c>
      <c r="E93" s="36" t="s">
        <v>587</v>
      </c>
      <c r="F93" s="41">
        <v>0.6</v>
      </c>
      <c r="G93" s="65"/>
      <c r="H93" s="65"/>
      <c r="I93" s="65"/>
      <c r="J93" s="65"/>
      <c r="K93" s="65"/>
      <c r="L93" s="65"/>
      <c r="M93" s="65"/>
      <c r="N93" s="65"/>
      <c r="O93" s="65"/>
      <c r="P93" s="65"/>
      <c r="Q93" s="65"/>
      <c r="R93" s="65"/>
      <c r="S93" s="65"/>
      <c r="T93" s="65"/>
      <c r="U93" s="65"/>
      <c r="V93" s="65"/>
      <c r="W93" s="65"/>
    </row>
    <row r="94" ht="15.75" customHeight="1">
      <c r="A94" s="37">
        <v>93.0</v>
      </c>
      <c r="B94" s="37" t="s">
        <v>130</v>
      </c>
      <c r="C94" s="36" t="s">
        <v>678</v>
      </c>
      <c r="D94" s="36" t="s">
        <v>679</v>
      </c>
      <c r="E94" s="36" t="s">
        <v>589</v>
      </c>
      <c r="F94" s="41">
        <v>0.5</v>
      </c>
      <c r="G94" s="65"/>
      <c r="H94" s="65"/>
      <c r="I94" s="65"/>
      <c r="J94" s="65"/>
      <c r="K94" s="65"/>
      <c r="L94" s="65"/>
      <c r="M94" s="65"/>
      <c r="N94" s="65"/>
      <c r="O94" s="65"/>
      <c r="P94" s="65"/>
      <c r="Q94" s="65"/>
      <c r="R94" s="65"/>
      <c r="S94" s="65"/>
      <c r="T94" s="65"/>
      <c r="U94" s="65"/>
      <c r="V94" s="65"/>
      <c r="W94" s="65"/>
    </row>
    <row r="95" ht="15.75" customHeight="1">
      <c r="A95" s="37">
        <v>94.0</v>
      </c>
      <c r="B95" s="37" t="s">
        <v>130</v>
      </c>
      <c r="C95" s="36" t="s">
        <v>678</v>
      </c>
      <c r="D95" s="36" t="s">
        <v>679</v>
      </c>
      <c r="E95" s="36" t="s">
        <v>593</v>
      </c>
      <c r="F95" s="41">
        <v>0.4</v>
      </c>
      <c r="G95" s="65"/>
      <c r="H95" s="65"/>
      <c r="I95" s="65"/>
      <c r="J95" s="65"/>
      <c r="K95" s="65"/>
      <c r="L95" s="65"/>
      <c r="M95" s="65"/>
      <c r="N95" s="65"/>
      <c r="O95" s="65"/>
      <c r="P95" s="65"/>
      <c r="Q95" s="65"/>
      <c r="R95" s="65"/>
      <c r="S95" s="65"/>
      <c r="T95" s="65"/>
      <c r="U95" s="65"/>
      <c r="V95" s="65"/>
      <c r="W95" s="65"/>
    </row>
    <row r="96" ht="15.75" customHeight="1">
      <c r="A96" s="37">
        <v>95.0</v>
      </c>
      <c r="B96" s="37" t="s">
        <v>130</v>
      </c>
      <c r="C96" s="36" t="s">
        <v>645</v>
      </c>
      <c r="D96" s="36" t="s">
        <v>680</v>
      </c>
      <c r="E96" s="36" t="s">
        <v>589</v>
      </c>
      <c r="F96" s="41">
        <v>0.2</v>
      </c>
      <c r="G96" s="65"/>
      <c r="H96" s="65"/>
      <c r="I96" s="65"/>
      <c r="J96" s="65"/>
      <c r="K96" s="65"/>
      <c r="L96" s="65"/>
      <c r="M96" s="65"/>
      <c r="N96" s="65"/>
      <c r="O96" s="65"/>
      <c r="P96" s="65"/>
      <c r="Q96" s="65"/>
      <c r="R96" s="65"/>
      <c r="S96" s="65"/>
      <c r="T96" s="65"/>
      <c r="U96" s="65"/>
      <c r="V96" s="65"/>
      <c r="W96" s="65"/>
    </row>
    <row r="97" ht="15.75" customHeight="1">
      <c r="A97" s="37">
        <v>96.0</v>
      </c>
      <c r="B97" s="37" t="s">
        <v>130</v>
      </c>
      <c r="C97" s="36" t="s">
        <v>645</v>
      </c>
      <c r="D97" s="36" t="s">
        <v>680</v>
      </c>
      <c r="E97" s="36" t="s">
        <v>597</v>
      </c>
      <c r="F97" s="41">
        <v>0.3</v>
      </c>
      <c r="G97" s="65"/>
      <c r="H97" s="65"/>
      <c r="I97" s="65"/>
      <c r="J97" s="65"/>
      <c r="K97" s="65"/>
      <c r="L97" s="65"/>
      <c r="M97" s="65"/>
      <c r="N97" s="65"/>
      <c r="O97" s="65"/>
      <c r="P97" s="65"/>
      <c r="Q97" s="65"/>
      <c r="R97" s="65"/>
      <c r="S97" s="65"/>
      <c r="T97" s="65"/>
      <c r="U97" s="65"/>
      <c r="V97" s="65"/>
      <c r="W97" s="65"/>
    </row>
    <row r="98" ht="15.75" customHeight="1">
      <c r="A98" s="37">
        <v>97.0</v>
      </c>
      <c r="B98" s="37" t="s">
        <v>132</v>
      </c>
      <c r="C98" s="36" t="s">
        <v>681</v>
      </c>
      <c r="D98" s="36" t="s">
        <v>682</v>
      </c>
      <c r="E98" s="36" t="s">
        <v>597</v>
      </c>
      <c r="F98" s="41">
        <v>0.56</v>
      </c>
      <c r="G98" s="65"/>
      <c r="H98" s="65"/>
      <c r="I98" s="65"/>
      <c r="J98" s="65"/>
      <c r="K98" s="65"/>
      <c r="L98" s="65"/>
      <c r="M98" s="65"/>
      <c r="N98" s="65"/>
      <c r="O98" s="65"/>
      <c r="P98" s="65"/>
      <c r="Q98" s="65"/>
      <c r="R98" s="65"/>
      <c r="S98" s="65"/>
      <c r="T98" s="65"/>
      <c r="U98" s="65"/>
      <c r="V98" s="65"/>
      <c r="W98" s="65"/>
    </row>
    <row r="99" ht="15.75" customHeight="1">
      <c r="A99" s="37">
        <v>98.0</v>
      </c>
      <c r="B99" s="37" t="s">
        <v>132</v>
      </c>
      <c r="C99" s="36" t="s">
        <v>681</v>
      </c>
      <c r="D99" s="36" t="s">
        <v>682</v>
      </c>
      <c r="E99" s="36" t="s">
        <v>609</v>
      </c>
      <c r="F99" s="41">
        <v>0.28</v>
      </c>
      <c r="G99" s="65"/>
      <c r="H99" s="65"/>
      <c r="I99" s="65"/>
      <c r="J99" s="65"/>
      <c r="K99" s="65"/>
      <c r="L99" s="65"/>
      <c r="M99" s="65"/>
      <c r="N99" s="65"/>
      <c r="O99" s="65"/>
      <c r="P99" s="65"/>
      <c r="Q99" s="65"/>
      <c r="R99" s="65"/>
      <c r="S99" s="65"/>
      <c r="T99" s="65"/>
      <c r="U99" s="65"/>
      <c r="V99" s="65"/>
      <c r="W99" s="65"/>
    </row>
    <row r="100" ht="15.75" customHeight="1">
      <c r="A100" s="37">
        <v>99.0</v>
      </c>
      <c r="B100" s="37" t="s">
        <v>132</v>
      </c>
      <c r="C100" s="36" t="s">
        <v>681</v>
      </c>
      <c r="D100" s="36" t="s">
        <v>682</v>
      </c>
      <c r="E100" s="36" t="s">
        <v>611</v>
      </c>
      <c r="F100" s="41">
        <v>0.77</v>
      </c>
      <c r="G100" s="65"/>
      <c r="H100" s="65"/>
      <c r="I100" s="65"/>
      <c r="J100" s="65"/>
      <c r="K100" s="65"/>
      <c r="L100" s="65"/>
      <c r="M100" s="65"/>
      <c r="N100" s="65"/>
      <c r="O100" s="65"/>
      <c r="P100" s="65"/>
      <c r="Q100" s="65"/>
      <c r="R100" s="65"/>
      <c r="S100" s="65"/>
      <c r="T100" s="65"/>
      <c r="U100" s="65"/>
      <c r="V100" s="65"/>
      <c r="W100" s="65"/>
    </row>
    <row r="101" ht="15.75" customHeight="1">
      <c r="A101" s="37">
        <v>100.0</v>
      </c>
      <c r="B101" s="37" t="s">
        <v>132</v>
      </c>
      <c r="C101" s="36" t="s">
        <v>683</v>
      </c>
      <c r="D101" s="36" t="s">
        <v>684</v>
      </c>
      <c r="E101" s="36" t="s">
        <v>587</v>
      </c>
      <c r="F101" s="41">
        <v>0.63</v>
      </c>
      <c r="G101" s="65"/>
      <c r="H101" s="65"/>
      <c r="I101" s="65"/>
      <c r="J101" s="65"/>
      <c r="K101" s="65"/>
      <c r="L101" s="65"/>
      <c r="M101" s="65"/>
      <c r="N101" s="65"/>
      <c r="O101" s="65"/>
      <c r="P101" s="65"/>
      <c r="Q101" s="65"/>
      <c r="R101" s="65"/>
      <c r="S101" s="65"/>
      <c r="T101" s="65"/>
      <c r="U101" s="65"/>
      <c r="V101" s="65"/>
      <c r="W101" s="65"/>
    </row>
    <row r="102" ht="15.75" customHeight="1">
      <c r="A102" s="37">
        <v>101.0</v>
      </c>
      <c r="B102" s="37" t="s">
        <v>132</v>
      </c>
      <c r="C102" s="36" t="s">
        <v>683</v>
      </c>
      <c r="D102" s="36" t="s">
        <v>684</v>
      </c>
      <c r="E102" s="36" t="s">
        <v>591</v>
      </c>
      <c r="F102" s="41">
        <v>0.42</v>
      </c>
      <c r="G102" s="65"/>
      <c r="H102" s="65"/>
      <c r="I102" s="65"/>
      <c r="J102" s="65"/>
      <c r="K102" s="65"/>
      <c r="L102" s="65"/>
      <c r="M102" s="65"/>
      <c r="N102" s="65"/>
      <c r="O102" s="65"/>
      <c r="P102" s="65"/>
      <c r="Q102" s="65"/>
      <c r="R102" s="65"/>
      <c r="S102" s="65"/>
      <c r="T102" s="65"/>
      <c r="U102" s="65"/>
      <c r="V102" s="65"/>
      <c r="W102" s="65"/>
    </row>
    <row r="103" ht="15.75" customHeight="1">
      <c r="A103" s="37">
        <v>102.0</v>
      </c>
      <c r="B103" s="37" t="s">
        <v>132</v>
      </c>
      <c r="C103" s="36" t="s">
        <v>683</v>
      </c>
      <c r="D103" s="36" t="s">
        <v>684</v>
      </c>
      <c r="E103" s="36" t="s">
        <v>599</v>
      </c>
      <c r="F103" s="41">
        <v>0.49</v>
      </c>
      <c r="G103" s="65"/>
      <c r="H103" s="65"/>
      <c r="I103" s="65"/>
      <c r="J103" s="65"/>
      <c r="K103" s="65"/>
      <c r="L103" s="65"/>
      <c r="M103" s="65"/>
      <c r="N103" s="65"/>
      <c r="O103" s="65"/>
      <c r="P103" s="65"/>
      <c r="Q103" s="65"/>
      <c r="R103" s="65"/>
      <c r="S103" s="65"/>
      <c r="T103" s="65"/>
      <c r="U103" s="65"/>
      <c r="V103" s="65"/>
      <c r="W103" s="65"/>
    </row>
    <row r="104" ht="15.75" customHeight="1">
      <c r="A104" s="37">
        <v>103.0</v>
      </c>
      <c r="B104" s="37" t="s">
        <v>132</v>
      </c>
      <c r="C104" s="36" t="s">
        <v>683</v>
      </c>
      <c r="D104" s="36" t="s">
        <v>684</v>
      </c>
      <c r="E104" s="36" t="s">
        <v>601</v>
      </c>
      <c r="F104" s="41">
        <v>0.28</v>
      </c>
      <c r="G104" s="65"/>
      <c r="H104" s="65"/>
      <c r="I104" s="65"/>
      <c r="J104" s="65"/>
      <c r="K104" s="65"/>
      <c r="L104" s="65"/>
      <c r="M104" s="65"/>
      <c r="N104" s="65"/>
      <c r="O104" s="65"/>
      <c r="P104" s="65"/>
      <c r="Q104" s="65"/>
      <c r="R104" s="65"/>
      <c r="S104" s="65"/>
      <c r="T104" s="65"/>
      <c r="U104" s="65"/>
      <c r="V104" s="65"/>
      <c r="W104" s="65"/>
    </row>
    <row r="105" ht="15.75" customHeight="1">
      <c r="A105" s="37">
        <v>104.0</v>
      </c>
      <c r="B105" s="37" t="s">
        <v>132</v>
      </c>
      <c r="C105" s="36" t="s">
        <v>685</v>
      </c>
      <c r="D105" s="36" t="s">
        <v>686</v>
      </c>
      <c r="E105" s="36" t="s">
        <v>589</v>
      </c>
      <c r="F105" s="41">
        <v>0.49</v>
      </c>
      <c r="G105" s="65"/>
      <c r="H105" s="65"/>
      <c r="I105" s="65"/>
      <c r="J105" s="65"/>
      <c r="K105" s="65"/>
      <c r="L105" s="65"/>
      <c r="M105" s="65"/>
      <c r="N105" s="65"/>
      <c r="O105" s="65"/>
      <c r="P105" s="65"/>
      <c r="Q105" s="65"/>
      <c r="R105" s="65"/>
      <c r="S105" s="65"/>
      <c r="T105" s="65"/>
      <c r="U105" s="65"/>
      <c r="V105" s="65"/>
      <c r="W105" s="65"/>
    </row>
    <row r="106" ht="15.75" customHeight="1">
      <c r="A106" s="37">
        <v>105.0</v>
      </c>
      <c r="B106" s="37" t="s">
        <v>132</v>
      </c>
      <c r="C106" s="36" t="s">
        <v>685</v>
      </c>
      <c r="D106" s="36" t="s">
        <v>686</v>
      </c>
      <c r="E106" s="36" t="s">
        <v>593</v>
      </c>
      <c r="F106" s="41">
        <v>0.21</v>
      </c>
      <c r="G106" s="65"/>
      <c r="H106" s="65"/>
      <c r="I106" s="65"/>
      <c r="J106" s="65"/>
      <c r="K106" s="65"/>
      <c r="L106" s="65"/>
      <c r="M106" s="65"/>
      <c r="N106" s="65"/>
      <c r="O106" s="65"/>
      <c r="P106" s="65"/>
      <c r="Q106" s="65"/>
      <c r="R106" s="65"/>
      <c r="S106" s="65"/>
      <c r="T106" s="65"/>
      <c r="U106" s="65"/>
      <c r="V106" s="65"/>
      <c r="W106" s="65"/>
    </row>
    <row r="107" ht="15.75" customHeight="1">
      <c r="A107" s="37">
        <v>106.0</v>
      </c>
      <c r="B107" s="37" t="s">
        <v>132</v>
      </c>
      <c r="C107" s="36" t="s">
        <v>685</v>
      </c>
      <c r="D107" s="36" t="s">
        <v>686</v>
      </c>
      <c r="E107" s="36" t="s">
        <v>595</v>
      </c>
      <c r="F107" s="41">
        <v>0.42</v>
      </c>
      <c r="G107" s="65"/>
      <c r="H107" s="65"/>
      <c r="I107" s="65"/>
      <c r="J107" s="65"/>
      <c r="K107" s="65"/>
      <c r="L107" s="65"/>
      <c r="M107" s="65"/>
      <c r="N107" s="65"/>
      <c r="O107" s="65"/>
      <c r="P107" s="65"/>
      <c r="Q107" s="65"/>
      <c r="R107" s="65"/>
      <c r="S107" s="65"/>
      <c r="T107" s="65"/>
      <c r="U107" s="65"/>
      <c r="V107" s="65"/>
      <c r="W107" s="65"/>
    </row>
    <row r="108" ht="15.75" customHeight="1">
      <c r="A108" s="37">
        <v>107.0</v>
      </c>
      <c r="B108" s="37" t="s">
        <v>132</v>
      </c>
      <c r="C108" s="36" t="s">
        <v>685</v>
      </c>
      <c r="D108" s="36" t="s">
        <v>686</v>
      </c>
      <c r="E108" s="36" t="s">
        <v>597</v>
      </c>
      <c r="F108" s="41">
        <v>0.56</v>
      </c>
      <c r="G108" s="65"/>
      <c r="H108" s="65"/>
      <c r="I108" s="65"/>
      <c r="J108" s="65"/>
      <c r="K108" s="65"/>
      <c r="L108" s="65"/>
      <c r="M108" s="65"/>
      <c r="N108" s="65"/>
      <c r="O108" s="65"/>
      <c r="P108" s="65"/>
      <c r="Q108" s="65"/>
      <c r="R108" s="65"/>
      <c r="S108" s="65"/>
      <c r="T108" s="65"/>
      <c r="U108" s="65"/>
      <c r="V108" s="65"/>
      <c r="W108" s="65"/>
    </row>
    <row r="109" ht="15.75" customHeight="1">
      <c r="A109" s="37">
        <v>108.0</v>
      </c>
      <c r="B109" s="37" t="s">
        <v>132</v>
      </c>
      <c r="C109" s="36" t="s">
        <v>685</v>
      </c>
      <c r="D109" s="36" t="s">
        <v>686</v>
      </c>
      <c r="E109" s="42" t="s">
        <v>605</v>
      </c>
      <c r="F109" s="41">
        <v>0.35</v>
      </c>
      <c r="G109" s="65"/>
      <c r="H109" s="65"/>
      <c r="I109" s="65"/>
      <c r="J109" s="65"/>
      <c r="K109" s="65"/>
      <c r="L109" s="65"/>
      <c r="M109" s="65"/>
      <c r="N109" s="65"/>
      <c r="O109" s="65"/>
      <c r="P109" s="65"/>
      <c r="Q109" s="65"/>
      <c r="R109" s="65"/>
      <c r="S109" s="65"/>
      <c r="T109" s="65"/>
      <c r="U109" s="65"/>
      <c r="V109" s="65"/>
      <c r="W109" s="65"/>
    </row>
    <row r="110" ht="15.75" customHeight="1">
      <c r="A110" s="37">
        <v>109.0</v>
      </c>
      <c r="B110" s="37" t="s">
        <v>132</v>
      </c>
      <c r="C110" s="36" t="s">
        <v>687</v>
      </c>
      <c r="D110" s="36" t="s">
        <v>688</v>
      </c>
      <c r="E110" s="36" t="s">
        <v>601</v>
      </c>
      <c r="F110" s="41">
        <v>0.56</v>
      </c>
      <c r="G110" s="65"/>
      <c r="H110" s="65"/>
      <c r="I110" s="65"/>
      <c r="J110" s="65"/>
      <c r="K110" s="65"/>
      <c r="L110" s="65"/>
      <c r="M110" s="65"/>
      <c r="N110" s="65"/>
      <c r="O110" s="65"/>
      <c r="P110" s="65"/>
      <c r="Q110" s="65"/>
      <c r="R110" s="65"/>
      <c r="S110" s="65"/>
      <c r="T110" s="65"/>
      <c r="U110" s="65"/>
      <c r="V110" s="65"/>
      <c r="W110" s="65"/>
    </row>
    <row r="111" ht="15.75" customHeight="1">
      <c r="A111" s="37">
        <v>110.0</v>
      </c>
      <c r="B111" s="37" t="s">
        <v>132</v>
      </c>
      <c r="C111" s="36" t="s">
        <v>687</v>
      </c>
      <c r="D111" s="36" t="s">
        <v>688</v>
      </c>
      <c r="E111" s="36" t="s">
        <v>603</v>
      </c>
      <c r="F111" s="41">
        <v>0.28</v>
      </c>
      <c r="G111" s="65"/>
      <c r="H111" s="65"/>
      <c r="I111" s="65"/>
      <c r="J111" s="65"/>
      <c r="K111" s="65"/>
      <c r="L111" s="65"/>
      <c r="M111" s="65"/>
      <c r="N111" s="65"/>
      <c r="O111" s="65"/>
      <c r="P111" s="65"/>
      <c r="Q111" s="65"/>
      <c r="R111" s="65"/>
      <c r="S111" s="65"/>
      <c r="T111" s="65"/>
      <c r="U111" s="65"/>
      <c r="V111" s="65"/>
      <c r="W111" s="65"/>
    </row>
    <row r="112" ht="15.75" customHeight="1">
      <c r="A112" s="37">
        <v>111.0</v>
      </c>
      <c r="B112" s="37" t="s">
        <v>132</v>
      </c>
      <c r="C112" s="36" t="s">
        <v>687</v>
      </c>
      <c r="D112" s="36" t="s">
        <v>688</v>
      </c>
      <c r="E112" s="36" t="s">
        <v>607</v>
      </c>
      <c r="F112" s="41">
        <v>0.35</v>
      </c>
      <c r="G112" s="65"/>
      <c r="H112" s="65"/>
      <c r="I112" s="65"/>
      <c r="J112" s="65"/>
      <c r="K112" s="65"/>
      <c r="L112" s="65"/>
      <c r="M112" s="65"/>
      <c r="N112" s="65"/>
      <c r="O112" s="65"/>
      <c r="P112" s="65"/>
      <c r="Q112" s="65"/>
      <c r="R112" s="65"/>
      <c r="S112" s="65"/>
      <c r="T112" s="65"/>
      <c r="U112" s="65"/>
      <c r="V112" s="65"/>
      <c r="W112" s="65"/>
    </row>
    <row r="113" ht="15.75" customHeight="1">
      <c r="A113" s="37">
        <v>112.0</v>
      </c>
      <c r="B113" s="37" t="s">
        <v>132</v>
      </c>
      <c r="C113" s="36" t="s">
        <v>687</v>
      </c>
      <c r="D113" s="36" t="s">
        <v>688</v>
      </c>
      <c r="E113" s="36" t="s">
        <v>613</v>
      </c>
      <c r="F113" s="41">
        <v>0.49</v>
      </c>
      <c r="G113" s="65"/>
      <c r="H113" s="65"/>
      <c r="I113" s="65"/>
      <c r="J113" s="65"/>
      <c r="K113" s="65"/>
      <c r="L113" s="65"/>
      <c r="M113" s="65"/>
      <c r="N113" s="65"/>
      <c r="O113" s="65"/>
      <c r="P113" s="65"/>
      <c r="Q113" s="65"/>
      <c r="R113" s="65"/>
      <c r="S113" s="65"/>
      <c r="T113" s="65"/>
      <c r="U113" s="65"/>
      <c r="V113" s="65"/>
      <c r="W113" s="65"/>
    </row>
    <row r="114" ht="15.75" customHeight="1">
      <c r="A114" s="37">
        <v>113.0</v>
      </c>
      <c r="B114" s="37" t="s">
        <v>132</v>
      </c>
      <c r="C114" s="36" t="s">
        <v>687</v>
      </c>
      <c r="D114" s="36" t="s">
        <v>688</v>
      </c>
      <c r="E114" s="36" t="s">
        <v>603</v>
      </c>
      <c r="F114" s="41">
        <v>0.3</v>
      </c>
      <c r="G114" s="65"/>
      <c r="H114" s="65"/>
      <c r="I114" s="65"/>
      <c r="J114" s="65"/>
      <c r="K114" s="65"/>
      <c r="L114" s="65"/>
      <c r="M114" s="65"/>
      <c r="N114" s="65"/>
      <c r="O114" s="65"/>
      <c r="P114" s="65"/>
      <c r="Q114" s="65"/>
      <c r="R114" s="65"/>
      <c r="S114" s="65"/>
      <c r="T114" s="65"/>
      <c r="U114" s="65"/>
      <c r="V114" s="65"/>
      <c r="W114" s="65"/>
    </row>
    <row r="115" ht="15.75" customHeight="1">
      <c r="A115" s="37">
        <v>114.0</v>
      </c>
      <c r="B115" s="37" t="s">
        <v>140</v>
      </c>
      <c r="C115" s="36" t="s">
        <v>689</v>
      </c>
      <c r="D115" s="36" t="s">
        <v>690</v>
      </c>
      <c r="E115" s="36" t="s">
        <v>589</v>
      </c>
      <c r="F115" s="41">
        <v>0.14</v>
      </c>
      <c r="G115" s="65"/>
      <c r="H115" s="65"/>
      <c r="I115" s="65"/>
      <c r="J115" s="65"/>
      <c r="K115" s="65"/>
      <c r="L115" s="65"/>
      <c r="M115" s="65"/>
      <c r="N115" s="65"/>
      <c r="O115" s="65"/>
      <c r="P115" s="65"/>
      <c r="Q115" s="65"/>
      <c r="R115" s="65"/>
      <c r="S115" s="65"/>
      <c r="T115" s="65"/>
      <c r="U115" s="65"/>
      <c r="V115" s="65"/>
      <c r="W115" s="65"/>
    </row>
    <row r="116" ht="15.75" customHeight="1">
      <c r="A116" s="37">
        <v>115.0</v>
      </c>
      <c r="B116" s="37" t="s">
        <v>140</v>
      </c>
      <c r="C116" s="36" t="s">
        <v>689</v>
      </c>
      <c r="D116" s="36" t="s">
        <v>690</v>
      </c>
      <c r="E116" s="36" t="s">
        <v>595</v>
      </c>
      <c r="F116" s="41">
        <v>0.315</v>
      </c>
      <c r="G116" s="65"/>
      <c r="H116" s="65"/>
      <c r="I116" s="65"/>
      <c r="J116" s="65"/>
      <c r="K116" s="65"/>
      <c r="L116" s="65"/>
      <c r="M116" s="65"/>
      <c r="N116" s="65"/>
      <c r="O116" s="65"/>
      <c r="P116" s="65"/>
      <c r="Q116" s="65"/>
      <c r="R116" s="65"/>
      <c r="S116" s="65"/>
      <c r="T116" s="65"/>
      <c r="U116" s="65"/>
      <c r="V116" s="65"/>
      <c r="W116" s="65"/>
    </row>
    <row r="117" ht="15.75" customHeight="1">
      <c r="A117" s="37">
        <v>116.0</v>
      </c>
      <c r="B117" s="37" t="s">
        <v>140</v>
      </c>
      <c r="C117" s="36" t="s">
        <v>689</v>
      </c>
      <c r="D117" s="36" t="s">
        <v>690</v>
      </c>
      <c r="E117" s="36" t="s">
        <v>597</v>
      </c>
      <c r="F117" s="41">
        <v>0.175</v>
      </c>
      <c r="G117" s="65"/>
      <c r="H117" s="65"/>
      <c r="I117" s="65"/>
      <c r="J117" s="65"/>
      <c r="K117" s="65"/>
      <c r="L117" s="65"/>
      <c r="M117" s="65"/>
      <c r="N117" s="65"/>
      <c r="O117" s="65"/>
      <c r="P117" s="65"/>
      <c r="Q117" s="65"/>
      <c r="R117" s="65"/>
      <c r="S117" s="65"/>
      <c r="T117" s="65"/>
      <c r="U117" s="65"/>
      <c r="V117" s="65"/>
      <c r="W117" s="65"/>
    </row>
    <row r="118" ht="15.75" customHeight="1">
      <c r="A118" s="37">
        <v>117.0</v>
      </c>
      <c r="B118" s="37" t="s">
        <v>140</v>
      </c>
      <c r="C118" s="36" t="s">
        <v>689</v>
      </c>
      <c r="D118" s="36" t="s">
        <v>690</v>
      </c>
      <c r="E118" s="42" t="s">
        <v>605</v>
      </c>
      <c r="F118" s="41">
        <v>0.21</v>
      </c>
      <c r="G118" s="65"/>
      <c r="H118" s="65"/>
      <c r="I118" s="65"/>
      <c r="J118" s="65"/>
      <c r="K118" s="65"/>
      <c r="L118" s="65"/>
      <c r="M118" s="65"/>
      <c r="N118" s="65"/>
      <c r="O118" s="65"/>
      <c r="P118" s="65"/>
      <c r="Q118" s="65"/>
      <c r="R118" s="65"/>
      <c r="S118" s="65"/>
      <c r="T118" s="65"/>
      <c r="U118" s="65"/>
      <c r="V118" s="65"/>
      <c r="W118" s="65"/>
    </row>
    <row r="119" ht="15.75" customHeight="1">
      <c r="A119" s="37">
        <v>118.0</v>
      </c>
      <c r="B119" s="37" t="s">
        <v>140</v>
      </c>
      <c r="C119" s="36" t="s">
        <v>689</v>
      </c>
      <c r="D119" s="36" t="s">
        <v>690</v>
      </c>
      <c r="E119" s="36" t="s">
        <v>611</v>
      </c>
      <c r="F119" s="41">
        <v>0.4</v>
      </c>
      <c r="G119" s="65"/>
      <c r="H119" s="65"/>
      <c r="I119" s="65"/>
      <c r="J119" s="65"/>
      <c r="K119" s="65"/>
      <c r="L119" s="65"/>
      <c r="M119" s="65"/>
      <c r="N119" s="65"/>
      <c r="O119" s="65"/>
      <c r="P119" s="65"/>
      <c r="Q119" s="65"/>
      <c r="R119" s="65"/>
      <c r="S119" s="65"/>
      <c r="T119" s="65"/>
      <c r="U119" s="65"/>
      <c r="V119" s="65"/>
      <c r="W119" s="65"/>
    </row>
    <row r="120" ht="15.75" customHeight="1">
      <c r="A120" s="37">
        <v>119.0</v>
      </c>
      <c r="B120" s="37" t="s">
        <v>140</v>
      </c>
      <c r="C120" s="36" t="s">
        <v>691</v>
      </c>
      <c r="D120" s="36" t="s">
        <v>692</v>
      </c>
      <c r="E120" s="36" t="s">
        <v>587</v>
      </c>
      <c r="F120" s="41">
        <v>0.175</v>
      </c>
      <c r="G120" s="65"/>
      <c r="H120" s="65"/>
      <c r="I120" s="65"/>
      <c r="J120" s="65"/>
      <c r="K120" s="65"/>
      <c r="L120" s="65"/>
      <c r="M120" s="65"/>
      <c r="N120" s="65"/>
      <c r="O120" s="65"/>
      <c r="P120" s="65"/>
      <c r="Q120" s="65"/>
      <c r="R120" s="65"/>
      <c r="S120" s="65"/>
      <c r="T120" s="65"/>
      <c r="U120" s="65"/>
      <c r="V120" s="65"/>
      <c r="W120" s="65"/>
    </row>
    <row r="121" ht="15.75" customHeight="1">
      <c r="A121" s="37">
        <v>120.0</v>
      </c>
      <c r="B121" s="37" t="s">
        <v>140</v>
      </c>
      <c r="C121" s="36" t="s">
        <v>691</v>
      </c>
      <c r="D121" s="36" t="s">
        <v>692</v>
      </c>
      <c r="E121" s="36" t="s">
        <v>597</v>
      </c>
      <c r="F121" s="41">
        <v>0.245</v>
      </c>
      <c r="G121" s="65"/>
      <c r="H121" s="65"/>
      <c r="I121" s="65"/>
      <c r="J121" s="65"/>
      <c r="K121" s="65"/>
      <c r="L121" s="65"/>
      <c r="M121" s="65"/>
      <c r="N121" s="65"/>
      <c r="O121" s="65"/>
      <c r="P121" s="65"/>
      <c r="Q121" s="65"/>
      <c r="R121" s="65"/>
      <c r="S121" s="65"/>
      <c r="T121" s="65"/>
      <c r="U121" s="65"/>
      <c r="V121" s="65"/>
      <c r="W121" s="65"/>
    </row>
    <row r="122" ht="15.75" customHeight="1">
      <c r="A122" s="37">
        <v>121.0</v>
      </c>
      <c r="B122" s="37" t="s">
        <v>140</v>
      </c>
      <c r="C122" s="36" t="s">
        <v>691</v>
      </c>
      <c r="D122" s="36" t="s">
        <v>692</v>
      </c>
      <c r="E122" s="36" t="s">
        <v>599</v>
      </c>
      <c r="F122" s="41">
        <v>0.14</v>
      </c>
      <c r="G122" s="65"/>
      <c r="H122" s="65"/>
      <c r="I122" s="65"/>
      <c r="J122" s="65"/>
      <c r="K122" s="65"/>
      <c r="L122" s="65"/>
      <c r="M122" s="65"/>
      <c r="N122" s="65"/>
      <c r="O122" s="65"/>
      <c r="P122" s="65"/>
      <c r="Q122" s="65"/>
      <c r="R122" s="65"/>
      <c r="S122" s="65"/>
      <c r="T122" s="65"/>
      <c r="U122" s="65"/>
      <c r="V122" s="65"/>
      <c r="W122" s="65"/>
    </row>
    <row r="123" ht="15.75" customHeight="1">
      <c r="A123" s="37">
        <v>122.0</v>
      </c>
      <c r="B123" s="37" t="s">
        <v>140</v>
      </c>
      <c r="C123" s="36" t="s">
        <v>691</v>
      </c>
      <c r="D123" s="36" t="s">
        <v>692</v>
      </c>
      <c r="E123" s="36" t="s">
        <v>609</v>
      </c>
      <c r="F123" s="41">
        <v>0.3</v>
      </c>
      <c r="G123" s="65"/>
      <c r="H123" s="65"/>
      <c r="I123" s="65"/>
      <c r="J123" s="65"/>
      <c r="K123" s="65"/>
      <c r="L123" s="65"/>
      <c r="M123" s="65"/>
      <c r="N123" s="65"/>
      <c r="O123" s="65"/>
      <c r="P123" s="65"/>
      <c r="Q123" s="65"/>
      <c r="R123" s="65"/>
      <c r="S123" s="65"/>
      <c r="T123" s="65"/>
      <c r="U123" s="65"/>
      <c r="V123" s="65"/>
      <c r="W123" s="65"/>
    </row>
    <row r="124" ht="15.75" customHeight="1">
      <c r="A124" s="37">
        <v>123.0</v>
      </c>
      <c r="B124" s="37" t="s">
        <v>140</v>
      </c>
      <c r="C124" s="36" t="s">
        <v>657</v>
      </c>
      <c r="D124" s="36" t="s">
        <v>693</v>
      </c>
      <c r="E124" s="36" t="s">
        <v>589</v>
      </c>
      <c r="F124" s="41">
        <v>0.14</v>
      </c>
      <c r="G124" s="65"/>
      <c r="H124" s="65"/>
      <c r="I124" s="65"/>
      <c r="J124" s="65"/>
      <c r="K124" s="65"/>
      <c r="L124" s="65"/>
      <c r="M124" s="65"/>
      <c r="N124" s="65"/>
      <c r="O124" s="65"/>
      <c r="P124" s="65"/>
      <c r="Q124" s="65"/>
      <c r="R124" s="65"/>
      <c r="S124" s="65"/>
      <c r="T124" s="65"/>
      <c r="U124" s="65"/>
      <c r="V124" s="65"/>
      <c r="W124" s="65"/>
    </row>
    <row r="125" ht="15.75" customHeight="1">
      <c r="A125" s="37">
        <v>124.0</v>
      </c>
      <c r="B125" s="37" t="s">
        <v>140</v>
      </c>
      <c r="C125" s="36" t="s">
        <v>657</v>
      </c>
      <c r="D125" s="36" t="s">
        <v>693</v>
      </c>
      <c r="E125" s="36" t="s">
        <v>593</v>
      </c>
      <c r="F125" s="41">
        <v>0.175</v>
      </c>
      <c r="G125" s="65"/>
      <c r="H125" s="65"/>
      <c r="I125" s="65"/>
      <c r="J125" s="65"/>
      <c r="K125" s="65"/>
      <c r="L125" s="65"/>
      <c r="M125" s="65"/>
      <c r="N125" s="65"/>
      <c r="O125" s="65"/>
      <c r="P125" s="65"/>
      <c r="Q125" s="65"/>
      <c r="R125" s="65"/>
      <c r="S125" s="65"/>
      <c r="T125" s="65"/>
      <c r="U125" s="65"/>
      <c r="V125" s="65"/>
      <c r="W125" s="65"/>
    </row>
    <row r="126" ht="15.75" customHeight="1">
      <c r="A126" s="37">
        <v>125.0</v>
      </c>
      <c r="B126" s="37" t="s">
        <v>140</v>
      </c>
      <c r="C126" s="36" t="s">
        <v>657</v>
      </c>
      <c r="D126" s="36" t="s">
        <v>693</v>
      </c>
      <c r="E126" s="36" t="s">
        <v>595</v>
      </c>
      <c r="F126" s="41">
        <v>0.49</v>
      </c>
      <c r="G126" s="65"/>
      <c r="H126" s="65"/>
      <c r="I126" s="65"/>
      <c r="J126" s="65"/>
      <c r="K126" s="65"/>
      <c r="L126" s="65"/>
      <c r="M126" s="65"/>
      <c r="N126" s="65"/>
      <c r="O126" s="65"/>
      <c r="P126" s="65"/>
      <c r="Q126" s="65"/>
      <c r="R126" s="65"/>
      <c r="S126" s="65"/>
      <c r="T126" s="65"/>
      <c r="U126" s="65"/>
      <c r="V126" s="65"/>
      <c r="W126" s="65"/>
    </row>
    <row r="127" ht="15.75" customHeight="1">
      <c r="A127" s="37">
        <v>126.0</v>
      </c>
      <c r="B127" s="37" t="s">
        <v>140</v>
      </c>
      <c r="C127" s="36" t="s">
        <v>657</v>
      </c>
      <c r="D127" s="36" t="s">
        <v>693</v>
      </c>
      <c r="E127" s="36" t="s">
        <v>603</v>
      </c>
      <c r="F127" s="41">
        <v>0.175</v>
      </c>
      <c r="G127" s="65"/>
      <c r="H127" s="65"/>
      <c r="I127" s="65"/>
      <c r="J127" s="65"/>
      <c r="K127" s="65"/>
      <c r="L127" s="65"/>
      <c r="M127" s="65"/>
      <c r="N127" s="65"/>
      <c r="O127" s="65"/>
      <c r="P127" s="65"/>
      <c r="Q127" s="65"/>
      <c r="R127" s="65"/>
      <c r="S127" s="65"/>
      <c r="T127" s="65"/>
      <c r="U127" s="65"/>
      <c r="V127" s="65"/>
      <c r="W127" s="65"/>
    </row>
    <row r="128" ht="15.75" customHeight="1">
      <c r="A128" s="37">
        <v>127.0</v>
      </c>
      <c r="B128" s="37" t="s">
        <v>140</v>
      </c>
      <c r="C128" s="36" t="s">
        <v>657</v>
      </c>
      <c r="D128" s="36" t="s">
        <v>693</v>
      </c>
      <c r="E128" s="42" t="s">
        <v>605</v>
      </c>
      <c r="F128" s="41">
        <v>0.14</v>
      </c>
      <c r="G128" s="65"/>
      <c r="H128" s="65"/>
      <c r="I128" s="65"/>
      <c r="J128" s="65"/>
      <c r="K128" s="65"/>
      <c r="L128" s="65"/>
      <c r="M128" s="65"/>
      <c r="N128" s="65"/>
      <c r="O128" s="65"/>
      <c r="P128" s="65"/>
      <c r="Q128" s="65"/>
      <c r="R128" s="65"/>
      <c r="S128" s="65"/>
      <c r="T128" s="65"/>
      <c r="U128" s="65"/>
      <c r="V128" s="65"/>
      <c r="W128" s="65"/>
    </row>
    <row r="129" ht="15.75" customHeight="1">
      <c r="A129" s="37">
        <v>128.0</v>
      </c>
      <c r="B129" s="37" t="s">
        <v>140</v>
      </c>
      <c r="C129" s="36" t="s">
        <v>694</v>
      </c>
      <c r="D129" s="36" t="s">
        <v>695</v>
      </c>
      <c r="E129" s="36" t="s">
        <v>587</v>
      </c>
      <c r="F129" s="41">
        <v>0.28</v>
      </c>
      <c r="G129" s="65"/>
      <c r="H129" s="65"/>
      <c r="I129" s="65"/>
      <c r="J129" s="65"/>
      <c r="K129" s="65"/>
      <c r="L129" s="65"/>
      <c r="M129" s="65"/>
      <c r="N129" s="65"/>
      <c r="O129" s="65"/>
      <c r="P129" s="65"/>
      <c r="Q129" s="65"/>
      <c r="R129" s="65"/>
      <c r="S129" s="65"/>
      <c r="T129" s="65"/>
      <c r="U129" s="65"/>
      <c r="V129" s="65"/>
      <c r="W129" s="65"/>
    </row>
    <row r="130" ht="15.75" customHeight="1">
      <c r="A130" s="37">
        <v>129.0</v>
      </c>
      <c r="B130" s="37" t="s">
        <v>140</v>
      </c>
      <c r="C130" s="36" t="s">
        <v>694</v>
      </c>
      <c r="D130" s="36" t="s">
        <v>695</v>
      </c>
      <c r="E130" s="36" t="s">
        <v>591</v>
      </c>
      <c r="F130" s="41">
        <v>0.21</v>
      </c>
      <c r="G130" s="65"/>
      <c r="H130" s="65"/>
      <c r="I130" s="65"/>
      <c r="J130" s="65"/>
      <c r="K130" s="65"/>
      <c r="L130" s="65"/>
      <c r="M130" s="65"/>
      <c r="N130" s="65"/>
      <c r="O130" s="65"/>
      <c r="P130" s="65"/>
      <c r="Q130" s="65"/>
      <c r="R130" s="65"/>
      <c r="S130" s="65"/>
      <c r="T130" s="65"/>
      <c r="U130" s="65"/>
      <c r="V130" s="65"/>
      <c r="W130" s="65"/>
    </row>
    <row r="131" ht="15.75" customHeight="1">
      <c r="A131" s="37">
        <v>130.0</v>
      </c>
      <c r="B131" s="37" t="s">
        <v>140</v>
      </c>
      <c r="C131" s="36" t="s">
        <v>694</v>
      </c>
      <c r="D131" s="36" t="s">
        <v>695</v>
      </c>
      <c r="E131" s="36" t="s">
        <v>597</v>
      </c>
      <c r="F131" s="41">
        <v>0.105</v>
      </c>
      <c r="G131" s="65"/>
      <c r="H131" s="65"/>
      <c r="I131" s="65"/>
      <c r="J131" s="65"/>
      <c r="K131" s="65"/>
      <c r="L131" s="65"/>
      <c r="M131" s="65"/>
      <c r="N131" s="65"/>
      <c r="O131" s="65"/>
      <c r="P131" s="65"/>
      <c r="Q131" s="65"/>
      <c r="R131" s="65"/>
      <c r="S131" s="65"/>
      <c r="T131" s="65"/>
      <c r="U131" s="65"/>
      <c r="V131" s="65"/>
      <c r="W131" s="65"/>
    </row>
    <row r="132" ht="15.75" customHeight="1">
      <c r="A132" s="37">
        <v>131.0</v>
      </c>
      <c r="B132" s="37" t="s">
        <v>140</v>
      </c>
      <c r="C132" s="36" t="s">
        <v>694</v>
      </c>
      <c r="D132" s="36" t="s">
        <v>695</v>
      </c>
      <c r="E132" s="36" t="s">
        <v>607</v>
      </c>
      <c r="F132" s="41">
        <v>0.175</v>
      </c>
      <c r="G132" s="65"/>
      <c r="H132" s="65"/>
      <c r="I132" s="65"/>
      <c r="J132" s="65"/>
      <c r="K132" s="65"/>
      <c r="L132" s="65"/>
      <c r="M132" s="65"/>
      <c r="N132" s="65"/>
      <c r="O132" s="65"/>
      <c r="P132" s="65"/>
      <c r="Q132" s="65"/>
      <c r="R132" s="65"/>
      <c r="S132" s="65"/>
      <c r="T132" s="65"/>
      <c r="U132" s="65"/>
      <c r="V132" s="65"/>
      <c r="W132" s="65"/>
    </row>
    <row r="133" ht="15.75" customHeight="1">
      <c r="A133" s="37">
        <v>132.0</v>
      </c>
      <c r="B133" s="37" t="s">
        <v>140</v>
      </c>
      <c r="C133" s="36" t="s">
        <v>696</v>
      </c>
      <c r="D133" s="36" t="s">
        <v>697</v>
      </c>
      <c r="E133" s="36" t="s">
        <v>587</v>
      </c>
      <c r="F133" s="41">
        <v>0.175</v>
      </c>
      <c r="G133" s="65"/>
      <c r="H133" s="65"/>
      <c r="I133" s="65"/>
      <c r="J133" s="65"/>
      <c r="K133" s="65"/>
      <c r="L133" s="65"/>
      <c r="M133" s="65"/>
      <c r="N133" s="65"/>
      <c r="O133" s="65"/>
      <c r="P133" s="65"/>
      <c r="Q133" s="65"/>
      <c r="R133" s="65"/>
      <c r="S133" s="65"/>
      <c r="T133" s="65"/>
      <c r="U133" s="65"/>
      <c r="V133" s="65"/>
      <c r="W133" s="65"/>
    </row>
    <row r="134" ht="15.75" customHeight="1">
      <c r="A134" s="37">
        <v>133.0</v>
      </c>
      <c r="B134" s="37" t="s">
        <v>140</v>
      </c>
      <c r="C134" s="36" t="s">
        <v>696</v>
      </c>
      <c r="D134" s="36" t="s">
        <v>697</v>
      </c>
      <c r="E134" s="36" t="s">
        <v>601</v>
      </c>
      <c r="F134" s="41">
        <v>0.35</v>
      </c>
      <c r="G134" s="65"/>
      <c r="H134" s="65"/>
      <c r="I134" s="65"/>
      <c r="J134" s="65"/>
      <c r="K134" s="65"/>
      <c r="L134" s="65"/>
      <c r="M134" s="65"/>
      <c r="N134" s="65"/>
      <c r="O134" s="65"/>
      <c r="P134" s="65"/>
      <c r="Q134" s="65"/>
      <c r="R134" s="65"/>
      <c r="S134" s="65"/>
      <c r="T134" s="65"/>
      <c r="U134" s="65"/>
      <c r="V134" s="65"/>
      <c r="W134" s="65"/>
    </row>
    <row r="135" ht="15.75" customHeight="1">
      <c r="A135" s="37">
        <v>134.0</v>
      </c>
      <c r="B135" s="37" t="s">
        <v>140</v>
      </c>
      <c r="C135" s="36" t="s">
        <v>696</v>
      </c>
      <c r="D135" s="36" t="s">
        <v>697</v>
      </c>
      <c r="E135" s="36" t="s">
        <v>607</v>
      </c>
      <c r="F135" s="41">
        <v>0.315</v>
      </c>
      <c r="G135" s="65"/>
      <c r="H135" s="65"/>
      <c r="I135" s="65"/>
      <c r="J135" s="65"/>
      <c r="K135" s="65"/>
      <c r="L135" s="65"/>
      <c r="M135" s="65"/>
      <c r="N135" s="65"/>
      <c r="O135" s="65"/>
      <c r="P135" s="65"/>
      <c r="Q135" s="65"/>
      <c r="R135" s="65"/>
      <c r="S135" s="65"/>
      <c r="T135" s="65"/>
      <c r="U135" s="65"/>
      <c r="V135" s="65"/>
      <c r="W135" s="65"/>
    </row>
    <row r="136" ht="15.75" customHeight="1">
      <c r="A136" s="37">
        <v>135.0</v>
      </c>
      <c r="B136" s="37" t="s">
        <v>140</v>
      </c>
      <c r="C136" s="36" t="s">
        <v>696</v>
      </c>
      <c r="D136" s="36" t="s">
        <v>697</v>
      </c>
      <c r="E136" s="36" t="s">
        <v>613</v>
      </c>
      <c r="F136" s="41">
        <v>0.28</v>
      </c>
      <c r="G136" s="65"/>
      <c r="H136" s="65"/>
      <c r="I136" s="65"/>
      <c r="J136" s="65"/>
      <c r="K136" s="65"/>
      <c r="L136" s="65"/>
      <c r="M136" s="65"/>
      <c r="N136" s="65"/>
      <c r="O136" s="65"/>
      <c r="P136" s="65"/>
      <c r="Q136" s="65"/>
      <c r="R136" s="65"/>
      <c r="S136" s="65"/>
      <c r="T136" s="65"/>
      <c r="U136" s="65"/>
      <c r="V136" s="65"/>
      <c r="W136" s="65"/>
    </row>
    <row r="137" ht="15.75" customHeight="1">
      <c r="A137" s="37">
        <v>136.0</v>
      </c>
      <c r="B137" s="37" t="s">
        <v>150</v>
      </c>
      <c r="C137" s="36" t="s">
        <v>698</v>
      </c>
      <c r="D137" s="36" t="s">
        <v>699</v>
      </c>
      <c r="E137" s="36" t="s">
        <v>587</v>
      </c>
      <c r="F137" s="41">
        <v>0.8</v>
      </c>
      <c r="G137" s="65"/>
      <c r="H137" s="65"/>
      <c r="I137" s="65"/>
      <c r="J137" s="65"/>
      <c r="K137" s="65"/>
      <c r="L137" s="65"/>
      <c r="M137" s="65"/>
      <c r="N137" s="65"/>
      <c r="O137" s="65"/>
      <c r="P137" s="65"/>
      <c r="Q137" s="65"/>
      <c r="R137" s="65"/>
      <c r="S137" s="65"/>
      <c r="T137" s="65"/>
      <c r="U137" s="65"/>
      <c r="V137" s="65"/>
      <c r="W137" s="65"/>
    </row>
    <row r="138" ht="15.75" customHeight="1">
      <c r="A138" s="37">
        <v>137.0</v>
      </c>
      <c r="B138" s="37" t="s">
        <v>150</v>
      </c>
      <c r="C138" s="36" t="s">
        <v>698</v>
      </c>
      <c r="D138" s="36" t="s">
        <v>699</v>
      </c>
      <c r="E138" s="36" t="s">
        <v>591</v>
      </c>
      <c r="F138" s="41">
        <v>0.5</v>
      </c>
      <c r="G138" s="65"/>
      <c r="H138" s="65"/>
      <c r="I138" s="65"/>
      <c r="J138" s="65"/>
      <c r="K138" s="65"/>
      <c r="L138" s="65"/>
      <c r="M138" s="65"/>
      <c r="N138" s="65"/>
      <c r="O138" s="65"/>
      <c r="P138" s="65"/>
      <c r="Q138" s="65"/>
      <c r="R138" s="65"/>
      <c r="S138" s="65"/>
      <c r="T138" s="65"/>
      <c r="U138" s="65"/>
      <c r="V138" s="65"/>
      <c r="W138" s="65"/>
    </row>
    <row r="139" ht="15.75" customHeight="1">
      <c r="A139" s="37">
        <v>138.0</v>
      </c>
      <c r="B139" s="37" t="s">
        <v>150</v>
      </c>
      <c r="C139" s="36" t="s">
        <v>698</v>
      </c>
      <c r="D139" s="36" t="s">
        <v>699</v>
      </c>
      <c r="E139" s="36" t="s">
        <v>593</v>
      </c>
      <c r="F139" s="41">
        <v>-0.8</v>
      </c>
      <c r="G139" s="65"/>
      <c r="H139" s="65"/>
      <c r="I139" s="65"/>
      <c r="J139" s="65"/>
      <c r="K139" s="65"/>
      <c r="L139" s="65"/>
      <c r="M139" s="65"/>
      <c r="N139" s="65"/>
      <c r="O139" s="65"/>
      <c r="P139" s="65"/>
      <c r="Q139" s="65"/>
      <c r="R139" s="65"/>
      <c r="S139" s="65"/>
      <c r="T139" s="65"/>
      <c r="U139" s="65"/>
      <c r="V139" s="65"/>
      <c r="W139" s="65"/>
    </row>
    <row r="140" ht="15.75" customHeight="1">
      <c r="A140" s="37">
        <v>139.0</v>
      </c>
      <c r="B140" s="37" t="s">
        <v>150</v>
      </c>
      <c r="C140" s="36" t="s">
        <v>698</v>
      </c>
      <c r="D140" s="36" t="s">
        <v>699</v>
      </c>
      <c r="E140" s="36" t="s">
        <v>599</v>
      </c>
      <c r="F140" s="41">
        <v>0.7</v>
      </c>
      <c r="G140" s="65"/>
      <c r="H140" s="65"/>
      <c r="I140" s="65"/>
      <c r="J140" s="65"/>
      <c r="K140" s="65"/>
      <c r="L140" s="65"/>
      <c r="M140" s="65"/>
      <c r="N140" s="65"/>
      <c r="O140" s="65"/>
      <c r="P140" s="65"/>
      <c r="Q140" s="65"/>
      <c r="R140" s="65"/>
      <c r="S140" s="65"/>
      <c r="T140" s="65"/>
      <c r="U140" s="65"/>
      <c r="V140" s="65"/>
      <c r="W140" s="65"/>
    </row>
    <row r="141" ht="15.75" customHeight="1">
      <c r="A141" s="37">
        <v>140.0</v>
      </c>
      <c r="B141" s="37" t="s">
        <v>150</v>
      </c>
      <c r="C141" s="36" t="s">
        <v>698</v>
      </c>
      <c r="D141" s="36" t="s">
        <v>699</v>
      </c>
      <c r="E141" s="36" t="s">
        <v>603</v>
      </c>
      <c r="F141" s="41">
        <v>-1.0</v>
      </c>
      <c r="G141" s="65"/>
      <c r="H141" s="65"/>
      <c r="I141" s="65"/>
      <c r="J141" s="65"/>
      <c r="K141" s="65"/>
      <c r="L141" s="65"/>
      <c r="M141" s="65"/>
      <c r="N141" s="65"/>
      <c r="O141" s="65"/>
      <c r="P141" s="65"/>
      <c r="Q141" s="65"/>
      <c r="R141" s="65"/>
      <c r="S141" s="65"/>
      <c r="T141" s="65"/>
      <c r="U141" s="65"/>
      <c r="V141" s="65"/>
      <c r="W141" s="65"/>
    </row>
    <row r="142" ht="15.75" customHeight="1">
      <c r="A142" s="37">
        <v>141.0</v>
      </c>
      <c r="B142" s="37" t="s">
        <v>150</v>
      </c>
      <c r="C142" s="36" t="s">
        <v>698</v>
      </c>
      <c r="D142" s="36" t="s">
        <v>699</v>
      </c>
      <c r="E142" s="36" t="s">
        <v>611</v>
      </c>
      <c r="F142" s="41">
        <v>0.3</v>
      </c>
      <c r="G142" s="65"/>
      <c r="H142" s="65"/>
      <c r="I142" s="65"/>
      <c r="J142" s="65"/>
      <c r="K142" s="65"/>
      <c r="L142" s="65"/>
      <c r="M142" s="65"/>
      <c r="N142" s="65"/>
      <c r="O142" s="65"/>
      <c r="P142" s="65"/>
      <c r="Q142" s="65"/>
      <c r="R142" s="65"/>
      <c r="S142" s="65"/>
      <c r="T142" s="65"/>
      <c r="U142" s="65"/>
      <c r="V142" s="65"/>
      <c r="W142" s="65"/>
    </row>
    <row r="143" ht="15.75" customHeight="1">
      <c r="A143" s="37">
        <v>142.0</v>
      </c>
      <c r="B143" s="37" t="s">
        <v>150</v>
      </c>
      <c r="C143" s="36" t="s">
        <v>700</v>
      </c>
      <c r="D143" s="36" t="s">
        <v>701</v>
      </c>
      <c r="E143" s="36" t="s">
        <v>593</v>
      </c>
      <c r="F143" s="41">
        <v>-0.5</v>
      </c>
      <c r="G143" s="65"/>
      <c r="H143" s="65"/>
      <c r="I143" s="65"/>
      <c r="J143" s="65"/>
      <c r="K143" s="65"/>
      <c r="L143" s="65"/>
      <c r="M143" s="65"/>
      <c r="N143" s="65"/>
      <c r="O143" s="65"/>
      <c r="P143" s="65"/>
      <c r="Q143" s="65"/>
      <c r="R143" s="65"/>
      <c r="S143" s="65"/>
      <c r="T143" s="65"/>
      <c r="U143" s="65"/>
      <c r="V143" s="65"/>
      <c r="W143" s="65"/>
    </row>
    <row r="144" ht="15.75" customHeight="1">
      <c r="A144" s="37">
        <v>143.0</v>
      </c>
      <c r="B144" s="37" t="s">
        <v>150</v>
      </c>
      <c r="C144" s="36" t="s">
        <v>700</v>
      </c>
      <c r="D144" s="36" t="s">
        <v>701</v>
      </c>
      <c r="E144" s="36" t="s">
        <v>597</v>
      </c>
      <c r="F144" s="41">
        <v>0.2</v>
      </c>
      <c r="G144" s="65"/>
      <c r="H144" s="65"/>
      <c r="I144" s="65"/>
      <c r="J144" s="65"/>
      <c r="K144" s="65"/>
      <c r="L144" s="65"/>
      <c r="M144" s="65"/>
      <c r="N144" s="65"/>
      <c r="O144" s="65"/>
      <c r="P144" s="65"/>
      <c r="Q144" s="65"/>
      <c r="R144" s="65"/>
      <c r="S144" s="65"/>
      <c r="T144" s="65"/>
      <c r="U144" s="65"/>
      <c r="V144" s="65"/>
      <c r="W144" s="65"/>
    </row>
    <row r="145" ht="15.75" customHeight="1">
      <c r="A145" s="37">
        <v>144.0</v>
      </c>
      <c r="B145" s="37" t="s">
        <v>150</v>
      </c>
      <c r="C145" s="36" t="s">
        <v>700</v>
      </c>
      <c r="D145" s="36" t="s">
        <v>701</v>
      </c>
      <c r="E145" s="36" t="s">
        <v>603</v>
      </c>
      <c r="F145" s="41">
        <v>-0.5</v>
      </c>
      <c r="G145" s="65"/>
      <c r="H145" s="65"/>
      <c r="I145" s="65"/>
      <c r="J145" s="65"/>
      <c r="K145" s="65"/>
      <c r="L145" s="65"/>
      <c r="M145" s="65"/>
      <c r="N145" s="65"/>
      <c r="O145" s="65"/>
      <c r="P145" s="65"/>
      <c r="Q145" s="65"/>
      <c r="R145" s="65"/>
      <c r="S145" s="65"/>
      <c r="T145" s="65"/>
      <c r="U145" s="65"/>
      <c r="V145" s="65"/>
      <c r="W145" s="65"/>
    </row>
    <row r="146" ht="15.75" customHeight="1">
      <c r="A146" s="37">
        <v>145.0</v>
      </c>
      <c r="B146" s="37" t="s">
        <v>150</v>
      </c>
      <c r="C146" s="36" t="s">
        <v>700</v>
      </c>
      <c r="D146" s="36" t="s">
        <v>701</v>
      </c>
      <c r="E146" s="36" t="s">
        <v>609</v>
      </c>
      <c r="F146" s="41">
        <v>0.25</v>
      </c>
      <c r="G146" s="65"/>
      <c r="H146" s="65"/>
      <c r="I146" s="65"/>
      <c r="J146" s="65"/>
      <c r="K146" s="65"/>
      <c r="L146" s="65"/>
      <c r="M146" s="65"/>
      <c r="N146" s="65"/>
      <c r="O146" s="65"/>
      <c r="P146" s="65"/>
      <c r="Q146" s="65"/>
      <c r="R146" s="65"/>
      <c r="S146" s="65"/>
      <c r="T146" s="65"/>
      <c r="U146" s="65"/>
      <c r="V146" s="65"/>
      <c r="W146" s="65"/>
    </row>
    <row r="147" ht="15.75" customHeight="1">
      <c r="A147" s="37">
        <v>146.0</v>
      </c>
      <c r="B147" s="37" t="s">
        <v>150</v>
      </c>
      <c r="C147" s="36" t="s">
        <v>702</v>
      </c>
      <c r="D147" s="36" t="s">
        <v>703</v>
      </c>
      <c r="E147" s="36" t="s">
        <v>589</v>
      </c>
      <c r="F147" s="41">
        <v>0.4</v>
      </c>
      <c r="G147" s="65"/>
      <c r="H147" s="65"/>
      <c r="I147" s="65"/>
      <c r="J147" s="65"/>
      <c r="K147" s="65"/>
      <c r="L147" s="65"/>
      <c r="M147" s="65"/>
      <c r="N147" s="65"/>
      <c r="O147" s="65"/>
      <c r="P147" s="65"/>
      <c r="Q147" s="65"/>
      <c r="R147" s="65"/>
      <c r="S147" s="65"/>
      <c r="T147" s="65"/>
      <c r="U147" s="65"/>
      <c r="V147" s="65"/>
      <c r="W147" s="65"/>
    </row>
    <row r="148" ht="15.75" customHeight="1">
      <c r="A148" s="37">
        <v>147.0</v>
      </c>
      <c r="B148" s="37" t="s">
        <v>150</v>
      </c>
      <c r="C148" s="36" t="s">
        <v>702</v>
      </c>
      <c r="D148" s="36" t="s">
        <v>703</v>
      </c>
      <c r="E148" s="36" t="s">
        <v>593</v>
      </c>
      <c r="F148" s="41">
        <v>1.5</v>
      </c>
      <c r="G148" s="65"/>
      <c r="H148" s="65"/>
      <c r="I148" s="65"/>
      <c r="J148" s="65"/>
      <c r="K148" s="65"/>
      <c r="L148" s="65"/>
      <c r="M148" s="65"/>
      <c r="N148" s="65"/>
      <c r="O148" s="65"/>
      <c r="P148" s="65"/>
      <c r="Q148" s="65"/>
      <c r="R148" s="65"/>
      <c r="S148" s="65"/>
      <c r="T148" s="65"/>
      <c r="U148" s="65"/>
      <c r="V148" s="65"/>
      <c r="W148" s="65"/>
    </row>
    <row r="149" ht="15.75" customHeight="1">
      <c r="A149" s="37">
        <v>148.0</v>
      </c>
      <c r="B149" s="37" t="s">
        <v>150</v>
      </c>
      <c r="C149" s="36" t="s">
        <v>702</v>
      </c>
      <c r="D149" s="36" t="s">
        <v>703</v>
      </c>
      <c r="E149" s="36" t="s">
        <v>603</v>
      </c>
      <c r="F149" s="41">
        <v>-0.8</v>
      </c>
      <c r="G149" s="65"/>
      <c r="H149" s="65"/>
      <c r="I149" s="65"/>
      <c r="J149" s="65"/>
      <c r="K149" s="65"/>
      <c r="L149" s="65"/>
      <c r="M149" s="65"/>
      <c r="N149" s="65"/>
      <c r="O149" s="65"/>
      <c r="P149" s="65"/>
      <c r="Q149" s="65"/>
      <c r="R149" s="65"/>
      <c r="S149" s="65"/>
      <c r="T149" s="65"/>
      <c r="U149" s="65"/>
      <c r="V149" s="65"/>
      <c r="W149" s="65"/>
    </row>
    <row r="150" ht="15.75" customHeight="1">
      <c r="A150" s="37">
        <v>149.0</v>
      </c>
      <c r="B150" s="37" t="s">
        <v>150</v>
      </c>
      <c r="C150" s="36" t="s">
        <v>702</v>
      </c>
      <c r="D150" s="36" t="s">
        <v>703</v>
      </c>
      <c r="E150" s="42" t="s">
        <v>605</v>
      </c>
      <c r="F150" s="41">
        <v>0.3</v>
      </c>
      <c r="G150" s="65"/>
      <c r="H150" s="65"/>
      <c r="I150" s="65"/>
      <c r="J150" s="65"/>
      <c r="K150" s="65"/>
      <c r="L150" s="65"/>
      <c r="M150" s="65"/>
      <c r="N150" s="65"/>
      <c r="O150" s="65"/>
      <c r="P150" s="65"/>
      <c r="Q150" s="65"/>
      <c r="R150" s="65"/>
      <c r="S150" s="65"/>
      <c r="T150" s="65"/>
      <c r="U150" s="65"/>
      <c r="V150" s="65"/>
      <c r="W150" s="65"/>
    </row>
    <row r="151" ht="15.75" customHeight="1">
      <c r="A151" s="37">
        <v>150.0</v>
      </c>
      <c r="B151" s="37" t="s">
        <v>150</v>
      </c>
      <c r="C151" s="36" t="s">
        <v>702</v>
      </c>
      <c r="D151" s="36" t="s">
        <v>703</v>
      </c>
      <c r="E151" s="36" t="s">
        <v>609</v>
      </c>
      <c r="F151" s="41">
        <v>0.4</v>
      </c>
      <c r="G151" s="65"/>
      <c r="H151" s="65"/>
      <c r="I151" s="65"/>
      <c r="J151" s="65"/>
      <c r="K151" s="65"/>
      <c r="L151" s="65"/>
      <c r="M151" s="65"/>
      <c r="N151" s="65"/>
      <c r="O151" s="65"/>
      <c r="P151" s="65"/>
      <c r="Q151" s="65"/>
      <c r="R151" s="65"/>
      <c r="S151" s="65"/>
      <c r="T151" s="65"/>
      <c r="U151" s="65"/>
      <c r="V151" s="65"/>
      <c r="W151" s="65"/>
    </row>
    <row r="152" ht="15.75" customHeight="1">
      <c r="A152" s="37">
        <v>151.0</v>
      </c>
      <c r="B152" s="37" t="s">
        <v>150</v>
      </c>
      <c r="C152" s="36" t="s">
        <v>704</v>
      </c>
      <c r="D152" s="36" t="s">
        <v>705</v>
      </c>
      <c r="E152" s="36" t="s">
        <v>593</v>
      </c>
      <c r="F152" s="41">
        <v>-0.8</v>
      </c>
      <c r="G152" s="65"/>
      <c r="H152" s="65"/>
      <c r="I152" s="65"/>
      <c r="J152" s="65"/>
      <c r="K152" s="65"/>
      <c r="L152" s="65"/>
      <c r="M152" s="65"/>
      <c r="N152" s="65"/>
      <c r="O152" s="65"/>
      <c r="P152" s="65"/>
      <c r="Q152" s="65"/>
      <c r="R152" s="65"/>
      <c r="S152" s="65"/>
      <c r="T152" s="65"/>
      <c r="U152" s="65"/>
      <c r="V152" s="65"/>
      <c r="W152" s="65"/>
    </row>
    <row r="153" ht="15.75" customHeight="1">
      <c r="A153" s="37">
        <v>152.0</v>
      </c>
      <c r="B153" s="37" t="s">
        <v>150</v>
      </c>
      <c r="C153" s="36" t="s">
        <v>704</v>
      </c>
      <c r="D153" s="36" t="s">
        <v>705</v>
      </c>
      <c r="E153" s="36" t="s">
        <v>595</v>
      </c>
      <c r="F153" s="41">
        <v>0.4</v>
      </c>
      <c r="G153" s="65"/>
      <c r="H153" s="65"/>
      <c r="I153" s="65"/>
      <c r="J153" s="65"/>
      <c r="K153" s="65"/>
      <c r="L153" s="65"/>
      <c r="M153" s="65"/>
      <c r="N153" s="65"/>
      <c r="O153" s="65"/>
      <c r="P153" s="65"/>
      <c r="Q153" s="65"/>
      <c r="R153" s="65"/>
      <c r="S153" s="65"/>
      <c r="T153" s="65"/>
      <c r="U153" s="65"/>
      <c r="V153" s="65"/>
      <c r="W153" s="65"/>
    </row>
    <row r="154" ht="15.75" customHeight="1">
      <c r="A154" s="37">
        <v>153.0</v>
      </c>
      <c r="B154" s="37" t="s">
        <v>150</v>
      </c>
      <c r="C154" s="36" t="s">
        <v>704</v>
      </c>
      <c r="D154" s="36" t="s">
        <v>705</v>
      </c>
      <c r="E154" s="36" t="s">
        <v>603</v>
      </c>
      <c r="F154" s="41">
        <v>1.6</v>
      </c>
      <c r="G154" s="65"/>
      <c r="H154" s="65"/>
      <c r="I154" s="65"/>
      <c r="J154" s="65"/>
      <c r="K154" s="65"/>
      <c r="L154" s="65"/>
      <c r="M154" s="65"/>
      <c r="N154" s="65"/>
      <c r="O154" s="65"/>
      <c r="P154" s="65"/>
      <c r="Q154" s="65"/>
      <c r="R154" s="65"/>
      <c r="S154" s="65"/>
      <c r="T154" s="65"/>
      <c r="U154" s="65"/>
      <c r="V154" s="65"/>
      <c r="W154" s="65"/>
    </row>
    <row r="155" ht="15.75" customHeight="1">
      <c r="A155" s="37">
        <v>154.0</v>
      </c>
      <c r="B155" s="37" t="s">
        <v>158</v>
      </c>
      <c r="C155" s="36" t="s">
        <v>706</v>
      </c>
      <c r="D155" s="36" t="s">
        <v>707</v>
      </c>
      <c r="E155" s="36" t="s">
        <v>589</v>
      </c>
      <c r="F155" s="41">
        <v>0.4</v>
      </c>
      <c r="G155" s="65"/>
      <c r="H155" s="65"/>
      <c r="I155" s="65"/>
      <c r="J155" s="65"/>
      <c r="K155" s="65"/>
      <c r="L155" s="65"/>
      <c r="M155" s="65"/>
      <c r="N155" s="65"/>
      <c r="O155" s="65"/>
      <c r="P155" s="65"/>
      <c r="Q155" s="65"/>
      <c r="R155" s="65"/>
      <c r="S155" s="65"/>
      <c r="T155" s="65"/>
      <c r="U155" s="65"/>
      <c r="V155" s="65"/>
      <c r="W155" s="65"/>
    </row>
    <row r="156" ht="15.75" customHeight="1">
      <c r="A156" s="37">
        <v>155.0</v>
      </c>
      <c r="B156" s="37" t="s">
        <v>158</v>
      </c>
      <c r="C156" s="36" t="s">
        <v>706</v>
      </c>
      <c r="D156" s="36" t="s">
        <v>707</v>
      </c>
      <c r="E156" s="36" t="s">
        <v>595</v>
      </c>
      <c r="F156" s="41">
        <v>0.3</v>
      </c>
      <c r="G156" s="65"/>
      <c r="H156" s="65"/>
      <c r="I156" s="65"/>
      <c r="J156" s="65"/>
      <c r="K156" s="65"/>
      <c r="L156" s="65"/>
      <c r="M156" s="65"/>
      <c r="N156" s="65"/>
      <c r="O156" s="65"/>
      <c r="P156" s="65"/>
      <c r="Q156" s="65"/>
      <c r="R156" s="65"/>
      <c r="S156" s="65"/>
      <c r="T156" s="65"/>
      <c r="U156" s="65"/>
      <c r="V156" s="65"/>
      <c r="W156" s="65"/>
    </row>
    <row r="157" ht="15.75" customHeight="1">
      <c r="A157" s="37">
        <v>156.0</v>
      </c>
      <c r="B157" s="37" t="s">
        <v>158</v>
      </c>
      <c r="C157" s="36" t="s">
        <v>706</v>
      </c>
      <c r="D157" s="36" t="s">
        <v>707</v>
      </c>
      <c r="E157" s="42" t="s">
        <v>605</v>
      </c>
      <c r="F157" s="41">
        <v>0.4</v>
      </c>
      <c r="G157" s="65"/>
      <c r="H157" s="65"/>
      <c r="I157" s="65"/>
      <c r="J157" s="65"/>
      <c r="K157" s="65"/>
      <c r="L157" s="65"/>
      <c r="M157" s="65"/>
      <c r="N157" s="65"/>
      <c r="O157" s="65"/>
      <c r="P157" s="65"/>
      <c r="Q157" s="65"/>
      <c r="R157" s="65"/>
      <c r="S157" s="65"/>
      <c r="T157" s="65"/>
      <c r="U157" s="65"/>
      <c r="V157" s="65"/>
      <c r="W157" s="65"/>
    </row>
    <row r="158" ht="15.75" customHeight="1">
      <c r="A158" s="37">
        <v>157.0</v>
      </c>
      <c r="B158" s="37" t="s">
        <v>158</v>
      </c>
      <c r="C158" s="36" t="s">
        <v>708</v>
      </c>
      <c r="D158" s="36" t="s">
        <v>709</v>
      </c>
      <c r="E158" s="36" t="s">
        <v>587</v>
      </c>
      <c r="F158" s="41">
        <v>0.4</v>
      </c>
      <c r="G158" s="65"/>
      <c r="H158" s="65"/>
      <c r="I158" s="65"/>
      <c r="J158" s="65"/>
      <c r="K158" s="65"/>
      <c r="L158" s="65"/>
      <c r="M158" s="65"/>
      <c r="N158" s="65"/>
      <c r="O158" s="65"/>
      <c r="P158" s="65"/>
      <c r="Q158" s="65"/>
      <c r="R158" s="65"/>
      <c r="S158" s="65"/>
      <c r="T158" s="65"/>
      <c r="U158" s="65"/>
      <c r="V158" s="65"/>
      <c r="W158" s="65"/>
    </row>
    <row r="159" ht="15.75" customHeight="1">
      <c r="A159" s="37">
        <v>158.0</v>
      </c>
      <c r="B159" s="37" t="s">
        <v>158</v>
      </c>
      <c r="C159" s="36" t="s">
        <v>708</v>
      </c>
      <c r="D159" s="36" t="s">
        <v>709</v>
      </c>
      <c r="E159" s="36" t="s">
        <v>591</v>
      </c>
      <c r="F159" s="41">
        <v>0.4</v>
      </c>
      <c r="G159" s="65"/>
      <c r="H159" s="65"/>
      <c r="I159" s="65"/>
      <c r="J159" s="65"/>
      <c r="K159" s="65"/>
      <c r="L159" s="65"/>
      <c r="M159" s="65"/>
      <c r="N159" s="65"/>
      <c r="O159" s="65"/>
      <c r="P159" s="65"/>
      <c r="Q159" s="65"/>
      <c r="R159" s="65"/>
      <c r="S159" s="65"/>
      <c r="T159" s="65"/>
      <c r="U159" s="65"/>
      <c r="V159" s="65"/>
      <c r="W159" s="65"/>
    </row>
    <row r="160" ht="15.75" customHeight="1">
      <c r="A160" s="37">
        <v>159.0</v>
      </c>
      <c r="B160" s="37" t="s">
        <v>158</v>
      </c>
      <c r="C160" s="36" t="s">
        <v>708</v>
      </c>
      <c r="D160" s="36" t="s">
        <v>709</v>
      </c>
      <c r="E160" s="36" t="s">
        <v>597</v>
      </c>
      <c r="F160" s="41">
        <v>0.3</v>
      </c>
      <c r="G160" s="65"/>
      <c r="H160" s="65"/>
      <c r="I160" s="65"/>
      <c r="J160" s="65"/>
      <c r="K160" s="65"/>
      <c r="L160" s="65"/>
      <c r="M160" s="65"/>
      <c r="N160" s="65"/>
      <c r="O160" s="65"/>
      <c r="P160" s="65"/>
      <c r="Q160" s="65"/>
      <c r="R160" s="65"/>
      <c r="S160" s="65"/>
      <c r="T160" s="65"/>
      <c r="U160" s="65"/>
      <c r="V160" s="65"/>
      <c r="W160" s="65"/>
    </row>
    <row r="161" ht="15.75" customHeight="1">
      <c r="A161" s="37">
        <v>160.0</v>
      </c>
      <c r="B161" s="37" t="s">
        <v>158</v>
      </c>
      <c r="C161" s="36" t="s">
        <v>708</v>
      </c>
      <c r="D161" s="36" t="s">
        <v>709</v>
      </c>
      <c r="E161" s="36" t="s">
        <v>599</v>
      </c>
      <c r="F161" s="41">
        <v>0.5</v>
      </c>
      <c r="G161" s="65"/>
      <c r="H161" s="65"/>
      <c r="I161" s="65"/>
      <c r="J161" s="65"/>
      <c r="K161" s="65"/>
      <c r="L161" s="65"/>
      <c r="M161" s="65"/>
      <c r="N161" s="65"/>
      <c r="O161" s="65"/>
      <c r="P161" s="65"/>
      <c r="Q161" s="65"/>
      <c r="R161" s="65"/>
      <c r="S161" s="65"/>
      <c r="T161" s="65"/>
      <c r="U161" s="65"/>
      <c r="V161" s="65"/>
      <c r="W161" s="65"/>
    </row>
    <row r="162" ht="15.75" customHeight="1">
      <c r="A162" s="37">
        <v>161.0</v>
      </c>
      <c r="B162" s="37" t="s">
        <v>158</v>
      </c>
      <c r="C162" s="36" t="s">
        <v>708</v>
      </c>
      <c r="D162" s="36" t="s">
        <v>709</v>
      </c>
      <c r="E162" s="36" t="s">
        <v>607</v>
      </c>
      <c r="F162" s="41">
        <v>0.6</v>
      </c>
      <c r="G162" s="65"/>
      <c r="H162" s="65"/>
      <c r="I162" s="65"/>
      <c r="J162" s="65"/>
      <c r="K162" s="65"/>
      <c r="L162" s="65"/>
      <c r="M162" s="65"/>
      <c r="N162" s="65"/>
      <c r="O162" s="65"/>
      <c r="P162" s="65"/>
      <c r="Q162" s="65"/>
      <c r="R162" s="65"/>
      <c r="S162" s="65"/>
      <c r="T162" s="65"/>
      <c r="U162" s="65"/>
      <c r="V162" s="65"/>
      <c r="W162" s="65"/>
    </row>
    <row r="163" ht="15.75" customHeight="1">
      <c r="A163" s="37">
        <v>162.0</v>
      </c>
      <c r="B163" s="37" t="s">
        <v>158</v>
      </c>
      <c r="C163" s="36" t="s">
        <v>708</v>
      </c>
      <c r="D163" s="36" t="s">
        <v>709</v>
      </c>
      <c r="E163" s="36" t="s">
        <v>603</v>
      </c>
      <c r="F163" s="41">
        <v>0.4</v>
      </c>
      <c r="G163" s="65"/>
      <c r="H163" s="65"/>
      <c r="I163" s="65"/>
      <c r="J163" s="65"/>
      <c r="K163" s="65"/>
      <c r="L163" s="65"/>
      <c r="M163" s="65"/>
      <c r="N163" s="65"/>
      <c r="O163" s="65"/>
      <c r="P163" s="65"/>
      <c r="Q163" s="65"/>
      <c r="R163" s="65"/>
      <c r="S163" s="65"/>
      <c r="T163" s="65"/>
      <c r="U163" s="65"/>
      <c r="V163" s="65"/>
      <c r="W163" s="65"/>
    </row>
    <row r="164" ht="15.75" customHeight="1">
      <c r="A164" s="37">
        <v>163.0</v>
      </c>
      <c r="B164" s="37" t="s">
        <v>158</v>
      </c>
      <c r="C164" s="36" t="s">
        <v>708</v>
      </c>
      <c r="D164" s="36" t="s">
        <v>709</v>
      </c>
      <c r="E164" s="36" t="s">
        <v>611</v>
      </c>
      <c r="F164" s="41">
        <v>0.4</v>
      </c>
      <c r="G164" s="65"/>
      <c r="H164" s="65"/>
      <c r="I164" s="65"/>
      <c r="J164" s="65"/>
      <c r="K164" s="65"/>
      <c r="L164" s="65"/>
      <c r="M164" s="65"/>
      <c r="N164" s="65"/>
      <c r="O164" s="65"/>
      <c r="P164" s="65"/>
      <c r="Q164" s="65"/>
      <c r="R164" s="65"/>
      <c r="S164" s="65"/>
      <c r="T164" s="65"/>
      <c r="U164" s="65"/>
      <c r="V164" s="65"/>
      <c r="W164" s="65"/>
    </row>
    <row r="165" ht="15.75" customHeight="1">
      <c r="A165" s="37">
        <v>164.0</v>
      </c>
      <c r="B165" s="37" t="s">
        <v>158</v>
      </c>
      <c r="C165" s="36" t="s">
        <v>710</v>
      </c>
      <c r="D165" s="36" t="s">
        <v>711</v>
      </c>
      <c r="E165" s="36" t="s">
        <v>587</v>
      </c>
      <c r="F165" s="41">
        <v>0.4</v>
      </c>
      <c r="G165" s="65"/>
      <c r="H165" s="65"/>
      <c r="I165" s="65"/>
      <c r="J165" s="65"/>
      <c r="K165" s="65"/>
      <c r="L165" s="65"/>
      <c r="M165" s="65"/>
      <c r="N165" s="65"/>
      <c r="O165" s="65"/>
      <c r="P165" s="65"/>
      <c r="Q165" s="65"/>
      <c r="R165" s="65"/>
      <c r="S165" s="65"/>
      <c r="T165" s="65"/>
      <c r="U165" s="65"/>
      <c r="V165" s="65"/>
      <c r="W165" s="65"/>
    </row>
    <row r="166" ht="15.75" customHeight="1">
      <c r="A166" s="37">
        <v>165.0</v>
      </c>
      <c r="B166" s="37" t="s">
        <v>158</v>
      </c>
      <c r="C166" s="36" t="s">
        <v>710</v>
      </c>
      <c r="D166" s="36" t="s">
        <v>711</v>
      </c>
      <c r="E166" s="36" t="s">
        <v>591</v>
      </c>
      <c r="F166" s="41">
        <v>0.6</v>
      </c>
      <c r="G166" s="65"/>
      <c r="H166" s="65"/>
      <c r="I166" s="65"/>
      <c r="J166" s="65"/>
      <c r="K166" s="65"/>
      <c r="L166" s="65"/>
      <c r="M166" s="65"/>
      <c r="N166" s="65"/>
      <c r="O166" s="65"/>
      <c r="P166" s="65"/>
      <c r="Q166" s="65"/>
      <c r="R166" s="65"/>
      <c r="S166" s="65"/>
      <c r="T166" s="65"/>
      <c r="U166" s="65"/>
      <c r="V166" s="65"/>
      <c r="W166" s="65"/>
    </row>
    <row r="167" ht="15.75" customHeight="1">
      <c r="A167" s="37">
        <v>166.0</v>
      </c>
      <c r="B167" s="37" t="s">
        <v>158</v>
      </c>
      <c r="C167" s="36" t="s">
        <v>710</v>
      </c>
      <c r="D167" s="36" t="s">
        <v>711</v>
      </c>
      <c r="E167" s="36" t="s">
        <v>609</v>
      </c>
      <c r="F167" s="41">
        <v>0.9</v>
      </c>
      <c r="G167" s="65"/>
      <c r="H167" s="65"/>
      <c r="I167" s="65"/>
      <c r="J167" s="65"/>
      <c r="K167" s="65"/>
      <c r="L167" s="65"/>
      <c r="M167" s="65"/>
      <c r="N167" s="65"/>
      <c r="O167" s="65"/>
      <c r="P167" s="65"/>
      <c r="Q167" s="65"/>
      <c r="R167" s="65"/>
      <c r="S167" s="65"/>
      <c r="T167" s="65"/>
      <c r="U167" s="65"/>
      <c r="V167" s="65"/>
      <c r="W167" s="65"/>
    </row>
    <row r="168" ht="15.75" customHeight="1">
      <c r="A168" s="37">
        <v>167.0</v>
      </c>
      <c r="B168" s="37" t="s">
        <v>158</v>
      </c>
      <c r="C168" s="36" t="s">
        <v>645</v>
      </c>
      <c r="D168" s="36" t="s">
        <v>712</v>
      </c>
      <c r="E168" s="36" t="s">
        <v>597</v>
      </c>
      <c r="F168" s="41">
        <v>0.2</v>
      </c>
      <c r="G168" s="65"/>
      <c r="H168" s="65"/>
      <c r="I168" s="65"/>
      <c r="J168" s="65"/>
      <c r="K168" s="65"/>
      <c r="L168" s="65"/>
      <c r="M168" s="65"/>
      <c r="N168" s="65"/>
      <c r="O168" s="65"/>
      <c r="P168" s="65"/>
      <c r="Q168" s="65"/>
      <c r="R168" s="65"/>
      <c r="S168" s="65"/>
      <c r="T168" s="65"/>
      <c r="U168" s="65"/>
      <c r="V168" s="65"/>
      <c r="W168" s="65"/>
    </row>
    <row r="169" ht="15.75" customHeight="1">
      <c r="A169" s="37">
        <v>168.0</v>
      </c>
      <c r="B169" s="37" t="s">
        <v>158</v>
      </c>
      <c r="C169" s="36" t="s">
        <v>713</v>
      </c>
      <c r="D169" s="36" t="s">
        <v>714</v>
      </c>
      <c r="E169" s="36" t="s">
        <v>601</v>
      </c>
      <c r="F169" s="41">
        <v>0.6</v>
      </c>
      <c r="G169" s="65"/>
      <c r="H169" s="65"/>
      <c r="I169" s="65"/>
      <c r="J169" s="65"/>
      <c r="K169" s="65"/>
      <c r="L169" s="65"/>
      <c r="M169" s="65"/>
      <c r="N169" s="65"/>
      <c r="O169" s="65"/>
      <c r="P169" s="65"/>
      <c r="Q169" s="65"/>
      <c r="R169" s="65"/>
      <c r="S169" s="65"/>
      <c r="T169" s="65"/>
      <c r="U169" s="65"/>
      <c r="V169" s="65"/>
      <c r="W169" s="65"/>
    </row>
    <row r="170" ht="15.75" customHeight="1">
      <c r="A170" s="37">
        <v>169.0</v>
      </c>
      <c r="B170" s="37" t="s">
        <v>158</v>
      </c>
      <c r="C170" s="36" t="s">
        <v>713</v>
      </c>
      <c r="D170" s="36" t="s">
        <v>714</v>
      </c>
      <c r="E170" s="36" t="s">
        <v>603</v>
      </c>
      <c r="F170" s="41">
        <v>0.5</v>
      </c>
      <c r="G170" s="65"/>
      <c r="H170" s="65"/>
      <c r="I170" s="65"/>
      <c r="J170" s="65"/>
      <c r="K170" s="65"/>
      <c r="L170" s="65"/>
      <c r="M170" s="65"/>
      <c r="N170" s="65"/>
      <c r="O170" s="65"/>
      <c r="P170" s="65"/>
      <c r="Q170" s="65"/>
      <c r="R170" s="65"/>
      <c r="S170" s="65"/>
      <c r="T170" s="65"/>
      <c r="U170" s="65"/>
      <c r="V170" s="65"/>
      <c r="W170" s="65"/>
    </row>
    <row r="171" ht="15.75" customHeight="1">
      <c r="A171" s="37">
        <v>170.0</v>
      </c>
      <c r="B171" s="37" t="s">
        <v>158</v>
      </c>
      <c r="C171" s="36" t="s">
        <v>713</v>
      </c>
      <c r="D171" s="36" t="s">
        <v>714</v>
      </c>
      <c r="E171" s="42" t="s">
        <v>605</v>
      </c>
      <c r="F171" s="41">
        <v>0.4</v>
      </c>
      <c r="G171" s="65"/>
      <c r="H171" s="65"/>
      <c r="I171" s="65"/>
      <c r="J171" s="65"/>
      <c r="K171" s="65"/>
      <c r="L171" s="65"/>
      <c r="M171" s="65"/>
      <c r="N171" s="65"/>
      <c r="O171" s="65"/>
      <c r="P171" s="65"/>
      <c r="Q171" s="65"/>
      <c r="R171" s="65"/>
      <c r="S171" s="65"/>
      <c r="T171" s="65"/>
      <c r="U171" s="65"/>
      <c r="V171" s="65"/>
      <c r="W171" s="65"/>
    </row>
    <row r="172" ht="15.75" customHeight="1">
      <c r="A172" s="37">
        <v>171.0</v>
      </c>
      <c r="B172" s="37" t="s">
        <v>158</v>
      </c>
      <c r="C172" s="36" t="s">
        <v>713</v>
      </c>
      <c r="D172" s="36" t="s">
        <v>714</v>
      </c>
      <c r="E172" s="36" t="s">
        <v>613</v>
      </c>
      <c r="F172" s="41">
        <v>0.9</v>
      </c>
      <c r="G172" s="65"/>
      <c r="H172" s="65"/>
      <c r="I172" s="65"/>
      <c r="J172" s="65"/>
      <c r="K172" s="65"/>
      <c r="L172" s="65"/>
      <c r="M172" s="65"/>
      <c r="N172" s="65"/>
      <c r="O172" s="65"/>
      <c r="P172" s="65"/>
      <c r="Q172" s="65"/>
      <c r="R172" s="65"/>
      <c r="S172" s="65"/>
      <c r="T172" s="65"/>
      <c r="U172" s="65"/>
      <c r="V172" s="65"/>
      <c r="W172" s="65"/>
    </row>
    <row r="173" ht="15.75" customHeight="1">
      <c r="A173" s="37">
        <v>172.0</v>
      </c>
      <c r="B173" s="37" t="s">
        <v>175</v>
      </c>
      <c r="C173" s="36" t="s">
        <v>715</v>
      </c>
      <c r="D173" s="36" t="s">
        <v>716</v>
      </c>
      <c r="E173" s="36" t="s">
        <v>595</v>
      </c>
      <c r="F173" s="41">
        <v>0.8</v>
      </c>
      <c r="G173" s="65"/>
      <c r="H173" s="65"/>
      <c r="I173" s="65"/>
      <c r="J173" s="65"/>
      <c r="K173" s="65"/>
      <c r="L173" s="65"/>
      <c r="M173" s="65"/>
      <c r="N173" s="65"/>
      <c r="O173" s="65"/>
      <c r="P173" s="65"/>
      <c r="Q173" s="65"/>
      <c r="R173" s="65"/>
      <c r="S173" s="65"/>
      <c r="T173" s="65"/>
      <c r="U173" s="65"/>
      <c r="V173" s="65"/>
      <c r="W173" s="65"/>
    </row>
    <row r="174" ht="15.75" customHeight="1">
      <c r="A174" s="37">
        <v>173.0</v>
      </c>
      <c r="B174" s="37" t="s">
        <v>175</v>
      </c>
      <c r="C174" s="36" t="s">
        <v>715</v>
      </c>
      <c r="D174" s="36" t="s">
        <v>716</v>
      </c>
      <c r="E174" s="42" t="s">
        <v>605</v>
      </c>
      <c r="F174" s="41">
        <v>0.64</v>
      </c>
      <c r="G174" s="65"/>
      <c r="H174" s="65"/>
      <c r="I174" s="65"/>
      <c r="J174" s="65"/>
      <c r="K174" s="65"/>
      <c r="L174" s="65"/>
      <c r="M174" s="65"/>
      <c r="N174" s="65"/>
      <c r="O174" s="65"/>
      <c r="P174" s="65"/>
      <c r="Q174" s="65"/>
      <c r="R174" s="65"/>
      <c r="S174" s="65"/>
      <c r="T174" s="65"/>
      <c r="U174" s="65"/>
      <c r="V174" s="65"/>
      <c r="W174" s="65"/>
    </row>
    <row r="175" ht="15.75" customHeight="1">
      <c r="A175" s="37">
        <v>174.0</v>
      </c>
      <c r="B175" s="37" t="s">
        <v>175</v>
      </c>
      <c r="C175" s="36" t="s">
        <v>715</v>
      </c>
      <c r="D175" s="36" t="s">
        <v>716</v>
      </c>
      <c r="E175" s="36" t="s">
        <v>611</v>
      </c>
      <c r="F175" s="41">
        <v>0.4</v>
      </c>
      <c r="G175" s="65"/>
      <c r="H175" s="65"/>
      <c r="I175" s="65"/>
      <c r="J175" s="65"/>
      <c r="K175" s="65"/>
      <c r="L175" s="65"/>
      <c r="M175" s="65"/>
      <c r="N175" s="65"/>
      <c r="O175" s="65"/>
      <c r="P175" s="65"/>
      <c r="Q175" s="65"/>
      <c r="R175" s="65"/>
      <c r="S175" s="65"/>
      <c r="T175" s="65"/>
      <c r="U175" s="65"/>
      <c r="V175" s="65"/>
      <c r="W175" s="65"/>
    </row>
    <row r="176" ht="15.75" customHeight="1">
      <c r="A176" s="37">
        <v>175.0</v>
      </c>
      <c r="B176" s="37" t="s">
        <v>175</v>
      </c>
      <c r="C176" s="36" t="s">
        <v>717</v>
      </c>
      <c r="D176" s="36" t="s">
        <v>718</v>
      </c>
      <c r="E176" s="36" t="s">
        <v>589</v>
      </c>
      <c r="F176" s="41">
        <v>0.4</v>
      </c>
      <c r="G176" s="65"/>
      <c r="H176" s="65"/>
      <c r="I176" s="65"/>
      <c r="J176" s="65"/>
      <c r="K176" s="65"/>
      <c r="L176" s="65"/>
      <c r="M176" s="65"/>
      <c r="N176" s="65"/>
      <c r="O176" s="65"/>
      <c r="P176" s="65"/>
      <c r="Q176" s="65"/>
      <c r="R176" s="65"/>
      <c r="S176" s="65"/>
      <c r="T176" s="65"/>
      <c r="U176" s="65"/>
      <c r="V176" s="65"/>
      <c r="W176" s="65"/>
    </row>
    <row r="177" ht="15.75" customHeight="1">
      <c r="A177" s="37">
        <v>176.0</v>
      </c>
      <c r="B177" s="37" t="s">
        <v>175</v>
      </c>
      <c r="C177" s="36" t="s">
        <v>717</v>
      </c>
      <c r="D177" s="36" t="s">
        <v>718</v>
      </c>
      <c r="E177" s="36" t="s">
        <v>593</v>
      </c>
      <c r="F177" s="41">
        <v>0.88</v>
      </c>
      <c r="G177" s="65"/>
      <c r="H177" s="65"/>
      <c r="I177" s="65"/>
      <c r="J177" s="65"/>
      <c r="K177" s="65"/>
      <c r="L177" s="65"/>
      <c r="M177" s="65"/>
      <c r="N177" s="65"/>
      <c r="O177" s="65"/>
      <c r="P177" s="65"/>
      <c r="Q177" s="65"/>
      <c r="R177" s="65"/>
      <c r="S177" s="65"/>
      <c r="T177" s="65"/>
      <c r="U177" s="65"/>
      <c r="V177" s="65"/>
      <c r="W177" s="65"/>
    </row>
    <row r="178" ht="15.75" customHeight="1">
      <c r="A178" s="37">
        <v>177.0</v>
      </c>
      <c r="B178" s="37" t="s">
        <v>175</v>
      </c>
      <c r="C178" s="36" t="s">
        <v>717</v>
      </c>
      <c r="D178" s="36" t="s">
        <v>718</v>
      </c>
      <c r="E178" s="36" t="s">
        <v>597</v>
      </c>
      <c r="F178" s="41">
        <v>0.32</v>
      </c>
      <c r="G178" s="65"/>
      <c r="H178" s="65"/>
      <c r="I178" s="65"/>
      <c r="J178" s="65"/>
      <c r="K178" s="65"/>
      <c r="L178" s="65"/>
      <c r="M178" s="65"/>
      <c r="N178" s="65"/>
      <c r="O178" s="65"/>
      <c r="P178" s="65"/>
      <c r="Q178" s="65"/>
      <c r="R178" s="65"/>
      <c r="S178" s="65"/>
      <c r="T178" s="65"/>
      <c r="U178" s="65"/>
      <c r="V178" s="65"/>
      <c r="W178" s="65"/>
    </row>
    <row r="179" ht="15.75" customHeight="1">
      <c r="A179" s="37">
        <v>178.0</v>
      </c>
      <c r="B179" s="37" t="s">
        <v>175</v>
      </c>
      <c r="C179" s="36" t="s">
        <v>717</v>
      </c>
      <c r="D179" s="36" t="s">
        <v>718</v>
      </c>
      <c r="E179" s="36" t="s">
        <v>609</v>
      </c>
      <c r="F179" s="41">
        <v>0.32</v>
      </c>
      <c r="G179" s="65"/>
      <c r="H179" s="65"/>
      <c r="I179" s="65"/>
      <c r="J179" s="65"/>
      <c r="K179" s="65"/>
      <c r="L179" s="65"/>
      <c r="M179" s="65"/>
      <c r="N179" s="65"/>
      <c r="O179" s="65"/>
      <c r="P179" s="65"/>
      <c r="Q179" s="65"/>
      <c r="R179" s="65"/>
      <c r="S179" s="65"/>
      <c r="T179" s="65"/>
      <c r="U179" s="65"/>
      <c r="V179" s="65"/>
      <c r="W179" s="65"/>
    </row>
    <row r="180" ht="15.75" customHeight="1">
      <c r="A180" s="37">
        <v>179.0</v>
      </c>
      <c r="B180" s="37" t="s">
        <v>175</v>
      </c>
      <c r="C180" s="36" t="s">
        <v>719</v>
      </c>
      <c r="D180" s="36" t="s">
        <v>720</v>
      </c>
      <c r="E180" s="36" t="s">
        <v>599</v>
      </c>
      <c r="F180" s="41">
        <v>0.32</v>
      </c>
      <c r="G180" s="65"/>
      <c r="H180" s="65"/>
      <c r="I180" s="65"/>
      <c r="J180" s="65"/>
      <c r="K180" s="65"/>
      <c r="L180" s="65"/>
      <c r="M180" s="65"/>
      <c r="N180" s="65"/>
      <c r="O180" s="65"/>
      <c r="P180" s="65"/>
      <c r="Q180" s="65"/>
      <c r="R180" s="65"/>
      <c r="S180" s="65"/>
      <c r="T180" s="65"/>
      <c r="U180" s="65"/>
      <c r="V180" s="65"/>
      <c r="W180" s="65"/>
    </row>
    <row r="181" ht="15.75" customHeight="1">
      <c r="A181" s="37">
        <v>180.0</v>
      </c>
      <c r="B181" s="37" t="s">
        <v>175</v>
      </c>
      <c r="C181" s="36" t="s">
        <v>719</v>
      </c>
      <c r="D181" s="36" t="s">
        <v>720</v>
      </c>
      <c r="E181" s="36" t="s">
        <v>601</v>
      </c>
      <c r="F181" s="41">
        <v>0.4</v>
      </c>
      <c r="G181" s="65"/>
      <c r="H181" s="65"/>
      <c r="I181" s="65"/>
      <c r="J181" s="65"/>
      <c r="K181" s="65"/>
      <c r="L181" s="65"/>
      <c r="M181" s="65"/>
      <c r="N181" s="65"/>
      <c r="O181" s="65"/>
      <c r="P181" s="65"/>
      <c r="Q181" s="65"/>
      <c r="R181" s="65"/>
      <c r="S181" s="65"/>
      <c r="T181" s="65"/>
      <c r="U181" s="65"/>
      <c r="V181" s="65"/>
      <c r="W181" s="65"/>
    </row>
    <row r="182" ht="15.75" customHeight="1">
      <c r="A182" s="37">
        <v>181.0</v>
      </c>
      <c r="B182" s="37" t="s">
        <v>175</v>
      </c>
      <c r="C182" s="36" t="s">
        <v>719</v>
      </c>
      <c r="D182" s="36" t="s">
        <v>720</v>
      </c>
      <c r="E182" s="36" t="s">
        <v>603</v>
      </c>
      <c r="F182" s="41">
        <v>0.48</v>
      </c>
      <c r="G182" s="65"/>
      <c r="H182" s="65"/>
      <c r="I182" s="65"/>
      <c r="J182" s="65"/>
      <c r="K182" s="65"/>
      <c r="L182" s="65"/>
      <c r="M182" s="65"/>
      <c r="N182" s="65"/>
      <c r="O182" s="65"/>
      <c r="P182" s="65"/>
      <c r="Q182" s="65"/>
      <c r="R182" s="65"/>
      <c r="S182" s="65"/>
      <c r="T182" s="65"/>
      <c r="U182" s="65"/>
      <c r="V182" s="65"/>
      <c r="W182" s="65"/>
    </row>
    <row r="183" ht="15.75" customHeight="1">
      <c r="A183" s="37">
        <v>182.0</v>
      </c>
      <c r="B183" s="37" t="s">
        <v>175</v>
      </c>
      <c r="C183" s="36" t="s">
        <v>719</v>
      </c>
      <c r="D183" s="36" t="s">
        <v>720</v>
      </c>
      <c r="E183" s="36" t="s">
        <v>613</v>
      </c>
      <c r="F183" s="41">
        <v>0.48</v>
      </c>
      <c r="G183" s="65"/>
      <c r="H183" s="65"/>
      <c r="I183" s="65"/>
      <c r="J183" s="65"/>
      <c r="K183" s="65"/>
      <c r="L183" s="65"/>
      <c r="M183" s="65"/>
      <c r="N183" s="65"/>
      <c r="O183" s="65"/>
      <c r="P183" s="65"/>
      <c r="Q183" s="65"/>
      <c r="R183" s="65"/>
      <c r="S183" s="65"/>
      <c r="T183" s="65"/>
      <c r="U183" s="65"/>
      <c r="V183" s="65"/>
      <c r="W183" s="65"/>
    </row>
    <row r="184" ht="15.75" customHeight="1">
      <c r="A184" s="37">
        <v>183.0</v>
      </c>
      <c r="B184" s="37" t="s">
        <v>175</v>
      </c>
      <c r="C184" s="36" t="s">
        <v>721</v>
      </c>
      <c r="D184" s="36" t="s">
        <v>722</v>
      </c>
      <c r="E184" s="36" t="s">
        <v>587</v>
      </c>
      <c r="F184" s="41">
        <v>0.48</v>
      </c>
      <c r="G184" s="65"/>
      <c r="H184" s="65"/>
      <c r="I184" s="65"/>
      <c r="J184" s="65"/>
      <c r="K184" s="65"/>
      <c r="L184" s="65"/>
      <c r="M184" s="65"/>
      <c r="N184" s="65"/>
      <c r="O184" s="65"/>
      <c r="P184" s="65"/>
      <c r="Q184" s="65"/>
      <c r="R184" s="65"/>
      <c r="S184" s="65"/>
      <c r="T184" s="65"/>
      <c r="U184" s="65"/>
      <c r="V184" s="65"/>
      <c r="W184" s="65"/>
    </row>
    <row r="185" ht="15.75" customHeight="1">
      <c r="A185" s="37">
        <v>184.0</v>
      </c>
      <c r="B185" s="37" t="s">
        <v>175</v>
      </c>
      <c r="C185" s="36" t="s">
        <v>721</v>
      </c>
      <c r="D185" s="36" t="s">
        <v>722</v>
      </c>
      <c r="E185" s="36" t="s">
        <v>591</v>
      </c>
      <c r="F185" s="41">
        <v>0.8</v>
      </c>
      <c r="G185" s="65"/>
      <c r="H185" s="65"/>
      <c r="I185" s="65"/>
      <c r="J185" s="65"/>
      <c r="K185" s="65"/>
      <c r="L185" s="65"/>
      <c r="M185" s="65"/>
      <c r="N185" s="65"/>
      <c r="O185" s="65"/>
      <c r="P185" s="65"/>
      <c r="Q185" s="65"/>
      <c r="R185" s="65"/>
      <c r="S185" s="65"/>
      <c r="T185" s="65"/>
      <c r="U185" s="65"/>
      <c r="V185" s="65"/>
      <c r="W185" s="65"/>
    </row>
    <row r="186" ht="15.75" customHeight="1">
      <c r="A186" s="37">
        <v>185.0</v>
      </c>
      <c r="B186" s="37" t="s">
        <v>175</v>
      </c>
      <c r="C186" s="36" t="s">
        <v>721</v>
      </c>
      <c r="D186" s="36" t="s">
        <v>722</v>
      </c>
      <c r="E186" s="36" t="s">
        <v>599</v>
      </c>
      <c r="F186" s="41">
        <v>0.4</v>
      </c>
      <c r="G186" s="65"/>
      <c r="H186" s="65"/>
      <c r="I186" s="65"/>
      <c r="J186" s="65"/>
      <c r="K186" s="65"/>
      <c r="L186" s="65"/>
      <c r="M186" s="65"/>
      <c r="N186" s="65"/>
      <c r="O186" s="65"/>
      <c r="P186" s="65"/>
      <c r="Q186" s="65"/>
      <c r="R186" s="65"/>
      <c r="S186" s="65"/>
      <c r="T186" s="65"/>
      <c r="U186" s="65"/>
      <c r="V186" s="65"/>
      <c r="W186" s="65"/>
    </row>
    <row r="187" ht="15.75" customHeight="1">
      <c r="A187" s="37">
        <v>186.0</v>
      </c>
      <c r="B187" s="37" t="s">
        <v>175</v>
      </c>
      <c r="C187" s="36" t="s">
        <v>721</v>
      </c>
      <c r="D187" s="36" t="s">
        <v>722</v>
      </c>
      <c r="E187" s="36" t="s">
        <v>609</v>
      </c>
      <c r="F187" s="41">
        <v>0.64</v>
      </c>
      <c r="G187" s="65"/>
      <c r="H187" s="65"/>
      <c r="I187" s="65"/>
      <c r="J187" s="65"/>
      <c r="K187" s="65"/>
      <c r="L187" s="65"/>
      <c r="M187" s="65"/>
      <c r="N187" s="65"/>
      <c r="O187" s="65"/>
      <c r="P187" s="65"/>
      <c r="Q187" s="65"/>
      <c r="R187" s="65"/>
      <c r="S187" s="65"/>
      <c r="T187" s="65"/>
      <c r="U187" s="65"/>
      <c r="V187" s="65"/>
      <c r="W187" s="65"/>
    </row>
    <row r="188" ht="15.75" customHeight="1">
      <c r="A188" s="37">
        <v>187.0</v>
      </c>
      <c r="B188" s="37" t="s">
        <v>175</v>
      </c>
      <c r="C188" s="36" t="s">
        <v>723</v>
      </c>
      <c r="D188" s="36" t="s">
        <v>724</v>
      </c>
      <c r="E188" s="36" t="s">
        <v>587</v>
      </c>
      <c r="F188" s="41">
        <v>0.8</v>
      </c>
      <c r="G188" s="65"/>
      <c r="H188" s="65"/>
      <c r="I188" s="65"/>
      <c r="J188" s="65"/>
      <c r="K188" s="65"/>
      <c r="L188" s="65"/>
      <c r="M188" s="65"/>
      <c r="N188" s="65"/>
      <c r="O188" s="65"/>
      <c r="P188" s="65"/>
      <c r="Q188" s="65"/>
      <c r="R188" s="65"/>
      <c r="S188" s="65"/>
      <c r="T188" s="65"/>
      <c r="U188" s="65"/>
      <c r="V188" s="65"/>
      <c r="W188" s="65"/>
    </row>
    <row r="189" ht="15.75" customHeight="1">
      <c r="A189" s="37">
        <v>188.0</v>
      </c>
      <c r="B189" s="37" t="s">
        <v>175</v>
      </c>
      <c r="C189" s="36" t="s">
        <v>723</v>
      </c>
      <c r="D189" s="36" t="s">
        <v>724</v>
      </c>
      <c r="E189" s="36" t="s">
        <v>591</v>
      </c>
      <c r="F189" s="41">
        <v>0.48</v>
      </c>
      <c r="G189" s="65"/>
      <c r="H189" s="65"/>
      <c r="I189" s="65"/>
      <c r="J189" s="65"/>
      <c r="K189" s="65"/>
      <c r="L189" s="65"/>
      <c r="M189" s="65"/>
      <c r="N189" s="65"/>
      <c r="O189" s="65"/>
      <c r="P189" s="65"/>
      <c r="Q189" s="65"/>
      <c r="R189" s="65"/>
      <c r="S189" s="65"/>
      <c r="T189" s="65"/>
      <c r="U189" s="65"/>
      <c r="V189" s="65"/>
      <c r="W189" s="65"/>
    </row>
    <row r="190" ht="15.75" customHeight="1">
      <c r="A190" s="37">
        <v>189.0</v>
      </c>
      <c r="B190" s="37" t="s">
        <v>175</v>
      </c>
      <c r="C190" s="36" t="s">
        <v>723</v>
      </c>
      <c r="D190" s="36" t="s">
        <v>724</v>
      </c>
      <c r="E190" s="36" t="s">
        <v>599</v>
      </c>
      <c r="F190" s="41">
        <v>0.4</v>
      </c>
      <c r="G190" s="65"/>
      <c r="H190" s="65"/>
      <c r="I190" s="65"/>
      <c r="J190" s="65"/>
      <c r="K190" s="65"/>
      <c r="L190" s="65"/>
      <c r="M190" s="65"/>
      <c r="N190" s="65"/>
      <c r="O190" s="65"/>
      <c r="P190" s="65"/>
      <c r="Q190" s="65"/>
      <c r="R190" s="65"/>
      <c r="S190" s="65"/>
      <c r="T190" s="65"/>
      <c r="U190" s="65"/>
      <c r="V190" s="65"/>
      <c r="W190" s="65"/>
    </row>
    <row r="191" ht="15.75" customHeight="1">
      <c r="A191" s="37">
        <v>190.0</v>
      </c>
      <c r="B191" s="37" t="s">
        <v>175</v>
      </c>
      <c r="C191" s="36" t="s">
        <v>723</v>
      </c>
      <c r="D191" s="36" t="s">
        <v>724</v>
      </c>
      <c r="E191" s="36" t="s">
        <v>601</v>
      </c>
      <c r="F191" s="41">
        <v>0.32</v>
      </c>
      <c r="G191" s="65"/>
      <c r="H191" s="65"/>
      <c r="I191" s="65"/>
      <c r="J191" s="65"/>
      <c r="K191" s="65"/>
      <c r="L191" s="65"/>
      <c r="M191" s="65"/>
      <c r="N191" s="65"/>
      <c r="O191" s="65"/>
      <c r="P191" s="65"/>
      <c r="Q191" s="65"/>
      <c r="R191" s="65"/>
      <c r="S191" s="65"/>
      <c r="T191" s="65"/>
      <c r="U191" s="65"/>
      <c r="V191" s="65"/>
      <c r="W191" s="65"/>
    </row>
    <row r="192" ht="15.75" customHeight="1">
      <c r="A192" s="37">
        <v>191.0</v>
      </c>
      <c r="B192" s="37" t="s">
        <v>175</v>
      </c>
      <c r="C192" s="36" t="s">
        <v>725</v>
      </c>
      <c r="D192" s="36" t="s">
        <v>726</v>
      </c>
      <c r="E192" s="36" t="s">
        <v>601</v>
      </c>
      <c r="F192" s="41">
        <v>0.48</v>
      </c>
      <c r="G192" s="65"/>
      <c r="H192" s="65"/>
      <c r="I192" s="65"/>
      <c r="J192" s="65"/>
      <c r="K192" s="65"/>
      <c r="L192" s="65"/>
      <c r="M192" s="65"/>
      <c r="N192" s="65"/>
      <c r="O192" s="65"/>
      <c r="P192" s="65"/>
      <c r="Q192" s="65"/>
      <c r="R192" s="65"/>
      <c r="S192" s="65"/>
      <c r="T192" s="65"/>
      <c r="U192" s="65"/>
      <c r="V192" s="65"/>
      <c r="W192" s="65"/>
    </row>
    <row r="193" ht="15.75" customHeight="1">
      <c r="A193" s="37">
        <v>192.0</v>
      </c>
      <c r="B193" s="37" t="s">
        <v>175</v>
      </c>
      <c r="C193" s="36" t="s">
        <v>725</v>
      </c>
      <c r="D193" s="36" t="s">
        <v>726</v>
      </c>
      <c r="E193" s="36" t="s">
        <v>603</v>
      </c>
      <c r="F193" s="41">
        <v>0.56</v>
      </c>
      <c r="G193" s="65"/>
      <c r="H193" s="65"/>
      <c r="I193" s="65"/>
      <c r="J193" s="65"/>
      <c r="K193" s="65"/>
      <c r="L193" s="65"/>
      <c r="M193" s="65"/>
      <c r="N193" s="65"/>
      <c r="O193" s="65"/>
      <c r="P193" s="65"/>
      <c r="Q193" s="65"/>
      <c r="R193" s="65"/>
      <c r="S193" s="65"/>
      <c r="T193" s="65"/>
      <c r="U193" s="65"/>
      <c r="V193" s="65"/>
      <c r="W193" s="65"/>
    </row>
    <row r="194" ht="15.75" customHeight="1">
      <c r="A194" s="37">
        <v>193.0</v>
      </c>
      <c r="B194" s="37" t="s">
        <v>175</v>
      </c>
      <c r="C194" s="36" t="s">
        <v>725</v>
      </c>
      <c r="D194" s="36" t="s">
        <v>726</v>
      </c>
      <c r="E194" s="36" t="s">
        <v>613</v>
      </c>
      <c r="F194" s="41">
        <v>0.88</v>
      </c>
      <c r="G194" s="65"/>
      <c r="H194" s="65"/>
      <c r="I194" s="65"/>
      <c r="J194" s="65"/>
      <c r="K194" s="65"/>
      <c r="L194" s="65"/>
      <c r="M194" s="65"/>
      <c r="N194" s="65"/>
      <c r="O194" s="65"/>
      <c r="P194" s="65"/>
      <c r="Q194" s="65"/>
      <c r="R194" s="65"/>
      <c r="S194" s="65"/>
      <c r="T194" s="65"/>
      <c r="U194" s="65"/>
      <c r="V194" s="65"/>
      <c r="W194" s="65"/>
    </row>
    <row r="195" ht="15.75" customHeight="1">
      <c r="A195" s="37">
        <v>194.0</v>
      </c>
      <c r="B195" s="37" t="s">
        <v>186</v>
      </c>
      <c r="C195" s="36" t="s">
        <v>727</v>
      </c>
      <c r="D195" s="36" t="s">
        <v>728</v>
      </c>
      <c r="E195" s="36" t="s">
        <v>597</v>
      </c>
      <c r="F195" s="41">
        <v>0.16</v>
      </c>
      <c r="G195" s="65"/>
      <c r="H195" s="65"/>
      <c r="I195" s="65"/>
      <c r="J195" s="65"/>
      <c r="K195" s="65"/>
      <c r="L195" s="65"/>
      <c r="M195" s="65"/>
      <c r="N195" s="65"/>
      <c r="O195" s="65"/>
      <c r="P195" s="65"/>
      <c r="Q195" s="65"/>
      <c r="R195" s="65"/>
      <c r="S195" s="65"/>
      <c r="T195" s="65"/>
      <c r="U195" s="65"/>
      <c r="V195" s="65"/>
      <c r="W195" s="65"/>
    </row>
    <row r="196" ht="15.75" customHeight="1">
      <c r="A196" s="37">
        <v>195.0</v>
      </c>
      <c r="B196" s="37" t="s">
        <v>186</v>
      </c>
      <c r="C196" s="36" t="s">
        <v>729</v>
      </c>
      <c r="D196" s="36" t="s">
        <v>730</v>
      </c>
      <c r="E196" s="36" t="s">
        <v>587</v>
      </c>
      <c r="F196" s="41">
        <v>0.4</v>
      </c>
      <c r="G196" s="65"/>
      <c r="H196" s="65"/>
      <c r="I196" s="65"/>
      <c r="J196" s="65"/>
      <c r="K196" s="65"/>
      <c r="L196" s="65"/>
      <c r="M196" s="65"/>
      <c r="N196" s="65"/>
      <c r="O196" s="65"/>
      <c r="P196" s="65"/>
      <c r="Q196" s="65"/>
      <c r="R196" s="65"/>
      <c r="S196" s="65"/>
      <c r="T196" s="65"/>
      <c r="U196" s="65"/>
      <c r="V196" s="65"/>
      <c r="W196" s="65"/>
    </row>
    <row r="197" ht="15.75" customHeight="1">
      <c r="A197" s="37">
        <v>196.0</v>
      </c>
      <c r="B197" s="37" t="s">
        <v>186</v>
      </c>
      <c r="C197" s="36" t="s">
        <v>729</v>
      </c>
      <c r="D197" s="36" t="s">
        <v>730</v>
      </c>
      <c r="E197" s="36" t="s">
        <v>597</v>
      </c>
      <c r="F197" s="41">
        <v>0.24</v>
      </c>
      <c r="G197" s="65"/>
      <c r="H197" s="65"/>
      <c r="I197" s="65"/>
      <c r="J197" s="65"/>
      <c r="K197" s="65"/>
      <c r="L197" s="65"/>
      <c r="M197" s="65"/>
      <c r="N197" s="65"/>
      <c r="O197" s="65"/>
      <c r="P197" s="65"/>
      <c r="Q197" s="65"/>
      <c r="R197" s="65"/>
      <c r="S197" s="65"/>
      <c r="T197" s="65"/>
      <c r="U197" s="65"/>
      <c r="V197" s="65"/>
      <c r="W197" s="65"/>
    </row>
    <row r="198" ht="15.75" customHeight="1">
      <c r="A198" s="37">
        <v>197.0</v>
      </c>
      <c r="B198" s="37" t="s">
        <v>186</v>
      </c>
      <c r="C198" s="36" t="s">
        <v>729</v>
      </c>
      <c r="D198" s="36" t="s">
        <v>730</v>
      </c>
      <c r="E198" s="36" t="s">
        <v>607</v>
      </c>
      <c r="F198" s="41">
        <v>0.32</v>
      </c>
      <c r="G198" s="65"/>
      <c r="H198" s="65"/>
      <c r="I198" s="65"/>
      <c r="J198" s="65"/>
      <c r="K198" s="65"/>
      <c r="L198" s="65"/>
      <c r="M198" s="65"/>
      <c r="N198" s="65"/>
      <c r="O198" s="65"/>
      <c r="P198" s="65"/>
      <c r="Q198" s="65"/>
      <c r="R198" s="65"/>
      <c r="S198" s="65"/>
      <c r="T198" s="65"/>
      <c r="U198" s="65"/>
      <c r="V198" s="65"/>
      <c r="W198" s="65"/>
    </row>
    <row r="199" ht="15.75" customHeight="1">
      <c r="A199" s="37">
        <v>198.0</v>
      </c>
      <c r="B199" s="37" t="s">
        <v>186</v>
      </c>
      <c r="C199" s="36" t="s">
        <v>729</v>
      </c>
      <c r="D199" s="36" t="s">
        <v>730</v>
      </c>
      <c r="E199" s="36" t="s">
        <v>611</v>
      </c>
      <c r="F199" s="41">
        <v>0.4</v>
      </c>
      <c r="G199" s="65"/>
      <c r="H199" s="65"/>
      <c r="I199" s="65"/>
      <c r="J199" s="65"/>
      <c r="K199" s="65"/>
      <c r="L199" s="65"/>
      <c r="M199" s="65"/>
      <c r="N199" s="65"/>
      <c r="O199" s="65"/>
      <c r="P199" s="65"/>
      <c r="Q199" s="65"/>
      <c r="R199" s="65"/>
      <c r="S199" s="65"/>
      <c r="T199" s="65"/>
      <c r="U199" s="65"/>
      <c r="V199" s="65"/>
      <c r="W199" s="65"/>
    </row>
    <row r="200" ht="15.75" customHeight="1">
      <c r="A200" s="46">
        <v>199.0</v>
      </c>
      <c r="B200" s="46" t="s">
        <v>186</v>
      </c>
      <c r="C200" s="14" t="s">
        <v>729</v>
      </c>
      <c r="D200" s="14" t="s">
        <v>730</v>
      </c>
      <c r="E200" s="14" t="s">
        <v>603</v>
      </c>
      <c r="F200" s="41">
        <v>0.35</v>
      </c>
      <c r="G200" s="66"/>
      <c r="H200" s="66"/>
      <c r="I200" s="66"/>
      <c r="J200" s="66"/>
      <c r="K200" s="66"/>
      <c r="L200" s="66"/>
      <c r="M200" s="66"/>
      <c r="N200" s="66"/>
      <c r="O200" s="66"/>
      <c r="P200" s="66"/>
      <c r="Q200" s="66"/>
      <c r="R200" s="66"/>
      <c r="S200" s="66"/>
      <c r="T200" s="66"/>
      <c r="U200" s="66"/>
      <c r="V200" s="66"/>
      <c r="W200" s="66"/>
    </row>
    <row r="201" ht="15.75" customHeight="1">
      <c r="A201" s="37">
        <v>200.0</v>
      </c>
      <c r="B201" s="37" t="s">
        <v>186</v>
      </c>
      <c r="C201" s="36" t="s">
        <v>731</v>
      </c>
      <c r="D201" s="36" t="s">
        <v>732</v>
      </c>
      <c r="E201" s="36" t="s">
        <v>589</v>
      </c>
      <c r="F201" s="41">
        <v>0.32</v>
      </c>
      <c r="G201" s="65"/>
      <c r="H201" s="65"/>
      <c r="I201" s="65"/>
      <c r="J201" s="65"/>
      <c r="K201" s="65"/>
      <c r="L201" s="65"/>
      <c r="M201" s="65"/>
      <c r="N201" s="65"/>
      <c r="O201" s="65"/>
      <c r="P201" s="65"/>
      <c r="Q201" s="65"/>
      <c r="R201" s="65"/>
      <c r="S201" s="65"/>
      <c r="T201" s="65"/>
      <c r="U201" s="65"/>
      <c r="V201" s="65"/>
      <c r="W201" s="65"/>
    </row>
    <row r="202" ht="15.75" customHeight="1">
      <c r="A202" s="37">
        <v>201.0</v>
      </c>
      <c r="B202" s="37" t="s">
        <v>186</v>
      </c>
      <c r="C202" s="36" t="s">
        <v>731</v>
      </c>
      <c r="D202" s="36" t="s">
        <v>732</v>
      </c>
      <c r="E202" s="36" t="s">
        <v>595</v>
      </c>
      <c r="F202" s="41">
        <v>0.48</v>
      </c>
      <c r="G202" s="65"/>
      <c r="H202" s="65"/>
      <c r="I202" s="65"/>
      <c r="J202" s="65"/>
      <c r="K202" s="65"/>
      <c r="L202" s="65"/>
      <c r="M202" s="65"/>
      <c r="N202" s="65"/>
      <c r="O202" s="65"/>
      <c r="P202" s="65"/>
      <c r="Q202" s="65"/>
      <c r="R202" s="65"/>
      <c r="S202" s="65"/>
      <c r="T202" s="65"/>
      <c r="U202" s="65"/>
      <c r="V202" s="65"/>
      <c r="W202" s="65"/>
    </row>
    <row r="203" ht="15.75" customHeight="1">
      <c r="A203" s="37">
        <v>202.0</v>
      </c>
      <c r="B203" s="37" t="s">
        <v>186</v>
      </c>
      <c r="C203" s="36" t="s">
        <v>731</v>
      </c>
      <c r="D203" s="36" t="s">
        <v>732</v>
      </c>
      <c r="E203" s="42" t="s">
        <v>605</v>
      </c>
      <c r="F203" s="41">
        <v>1.28</v>
      </c>
      <c r="G203" s="65"/>
      <c r="H203" s="65"/>
      <c r="I203" s="65"/>
      <c r="J203" s="65"/>
      <c r="K203" s="65"/>
      <c r="L203" s="65"/>
      <c r="M203" s="65"/>
      <c r="N203" s="65"/>
      <c r="O203" s="65"/>
      <c r="P203" s="65"/>
      <c r="Q203" s="65"/>
      <c r="R203" s="65"/>
      <c r="S203" s="65"/>
      <c r="T203" s="65"/>
      <c r="U203" s="65"/>
      <c r="V203" s="65"/>
      <c r="W203" s="65"/>
    </row>
    <row r="204" ht="15.75" customHeight="1">
      <c r="A204" s="37">
        <v>203.0</v>
      </c>
      <c r="B204" s="37" t="s">
        <v>186</v>
      </c>
      <c r="C204" s="36" t="s">
        <v>733</v>
      </c>
      <c r="D204" s="36" t="s">
        <v>734</v>
      </c>
      <c r="E204" s="36" t="s">
        <v>591</v>
      </c>
      <c r="F204" s="41">
        <v>0.4</v>
      </c>
      <c r="G204" s="65"/>
      <c r="H204" s="65"/>
      <c r="I204" s="65"/>
      <c r="J204" s="65"/>
      <c r="K204" s="65"/>
      <c r="L204" s="65"/>
      <c r="M204" s="65"/>
      <c r="N204" s="65"/>
      <c r="O204" s="65"/>
      <c r="P204" s="65"/>
      <c r="Q204" s="65"/>
      <c r="R204" s="65"/>
      <c r="S204" s="65"/>
      <c r="T204" s="65"/>
      <c r="U204" s="65"/>
      <c r="V204" s="65"/>
      <c r="W204" s="65"/>
    </row>
    <row r="205" ht="15.75" customHeight="1">
      <c r="A205" s="37">
        <v>204.0</v>
      </c>
      <c r="B205" s="37" t="s">
        <v>186</v>
      </c>
      <c r="C205" s="36" t="s">
        <v>733</v>
      </c>
      <c r="D205" s="36" t="s">
        <v>734</v>
      </c>
      <c r="E205" s="36" t="s">
        <v>595</v>
      </c>
      <c r="F205" s="41">
        <v>0.32</v>
      </c>
      <c r="G205" s="65"/>
      <c r="H205" s="65"/>
      <c r="I205" s="65"/>
      <c r="J205" s="65"/>
      <c r="K205" s="65"/>
      <c r="L205" s="65"/>
      <c r="M205" s="65"/>
      <c r="N205" s="65"/>
      <c r="O205" s="65"/>
      <c r="P205" s="65"/>
      <c r="Q205" s="65"/>
      <c r="R205" s="65"/>
      <c r="S205" s="65"/>
      <c r="T205" s="65"/>
      <c r="U205" s="65"/>
      <c r="V205" s="65"/>
      <c r="W205" s="65"/>
    </row>
    <row r="206" ht="15.75" customHeight="1">
      <c r="A206" s="37">
        <v>205.0</v>
      </c>
      <c r="B206" s="37" t="s">
        <v>186</v>
      </c>
      <c r="C206" s="36" t="s">
        <v>733</v>
      </c>
      <c r="D206" s="36" t="s">
        <v>734</v>
      </c>
      <c r="E206" s="36" t="s">
        <v>601</v>
      </c>
      <c r="F206" s="41">
        <v>0.32</v>
      </c>
      <c r="G206" s="65"/>
      <c r="H206" s="65"/>
      <c r="I206" s="65"/>
      <c r="J206" s="65"/>
      <c r="K206" s="65"/>
      <c r="L206" s="65"/>
      <c r="M206" s="65"/>
      <c r="N206" s="65"/>
      <c r="O206" s="65"/>
      <c r="P206" s="65"/>
      <c r="Q206" s="65"/>
      <c r="R206" s="65"/>
      <c r="S206" s="65"/>
      <c r="T206" s="65"/>
      <c r="U206" s="65"/>
      <c r="V206" s="65"/>
      <c r="W206" s="65"/>
    </row>
    <row r="207" ht="15.75" customHeight="1">
      <c r="A207" s="37">
        <v>206.0</v>
      </c>
      <c r="B207" s="37" t="s">
        <v>186</v>
      </c>
      <c r="C207" s="36" t="s">
        <v>733</v>
      </c>
      <c r="D207" s="36" t="s">
        <v>734</v>
      </c>
      <c r="E207" s="36" t="s">
        <v>609</v>
      </c>
      <c r="F207" s="41">
        <v>0.48</v>
      </c>
      <c r="G207" s="65"/>
      <c r="H207" s="65"/>
      <c r="I207" s="65"/>
      <c r="J207" s="65"/>
      <c r="K207" s="65"/>
      <c r="L207" s="65"/>
      <c r="M207" s="65"/>
      <c r="N207" s="65"/>
      <c r="O207" s="65"/>
      <c r="P207" s="65"/>
      <c r="Q207" s="65"/>
      <c r="R207" s="65"/>
      <c r="S207" s="65"/>
      <c r="T207" s="65"/>
      <c r="U207" s="65"/>
      <c r="V207" s="65"/>
      <c r="W207" s="65"/>
    </row>
    <row r="208" ht="15.75" customHeight="1">
      <c r="A208" s="37">
        <v>207.0</v>
      </c>
      <c r="B208" s="37" t="s">
        <v>186</v>
      </c>
      <c r="C208" s="36" t="s">
        <v>733</v>
      </c>
      <c r="D208" s="36" t="s">
        <v>734</v>
      </c>
      <c r="E208" s="36" t="s">
        <v>613</v>
      </c>
      <c r="F208" s="41">
        <v>0.32</v>
      </c>
      <c r="G208" s="65"/>
      <c r="H208" s="65"/>
      <c r="I208" s="65"/>
      <c r="J208" s="65"/>
      <c r="K208" s="65"/>
      <c r="L208" s="65"/>
      <c r="M208" s="65"/>
      <c r="N208" s="65"/>
      <c r="O208" s="65"/>
      <c r="P208" s="65"/>
      <c r="Q208" s="65"/>
      <c r="R208" s="65"/>
      <c r="S208" s="65"/>
      <c r="T208" s="65"/>
      <c r="U208" s="65"/>
      <c r="V208" s="65"/>
      <c r="W208" s="65"/>
    </row>
    <row r="209" ht="15.75" customHeight="1">
      <c r="A209" s="37">
        <v>208.0</v>
      </c>
      <c r="B209" s="37" t="s">
        <v>186</v>
      </c>
      <c r="C209" s="36" t="s">
        <v>735</v>
      </c>
      <c r="D209" s="36" t="s">
        <v>736</v>
      </c>
      <c r="E209" s="36" t="s">
        <v>587</v>
      </c>
      <c r="F209" s="41">
        <v>0.24</v>
      </c>
      <c r="G209" s="65"/>
      <c r="H209" s="65"/>
      <c r="I209" s="65"/>
      <c r="J209" s="65"/>
      <c r="K209" s="65"/>
      <c r="L209" s="65"/>
      <c r="M209" s="65"/>
      <c r="N209" s="65"/>
      <c r="O209" s="65"/>
      <c r="P209" s="65"/>
      <c r="Q209" s="65"/>
      <c r="R209" s="65"/>
      <c r="S209" s="65"/>
      <c r="T209" s="65"/>
      <c r="U209" s="65"/>
      <c r="V209" s="65"/>
      <c r="W209" s="65"/>
    </row>
    <row r="210" ht="15.75" customHeight="1">
      <c r="A210" s="37">
        <v>209.0</v>
      </c>
      <c r="B210" s="37" t="s">
        <v>186</v>
      </c>
      <c r="C210" s="36" t="s">
        <v>735</v>
      </c>
      <c r="D210" s="36" t="s">
        <v>736</v>
      </c>
      <c r="E210" s="36" t="s">
        <v>589</v>
      </c>
      <c r="F210" s="41">
        <v>0.56</v>
      </c>
      <c r="G210" s="65"/>
      <c r="H210" s="65"/>
      <c r="I210" s="65"/>
      <c r="J210" s="65"/>
      <c r="K210" s="65"/>
      <c r="L210" s="65"/>
      <c r="M210" s="65"/>
      <c r="N210" s="65"/>
      <c r="O210" s="65"/>
      <c r="P210" s="65"/>
      <c r="Q210" s="65"/>
      <c r="R210" s="65"/>
      <c r="S210" s="65"/>
      <c r="T210" s="65"/>
      <c r="U210" s="65"/>
      <c r="V210" s="65"/>
      <c r="W210" s="65"/>
    </row>
    <row r="211" ht="15.75" customHeight="1">
      <c r="A211" s="37">
        <v>210.0</v>
      </c>
      <c r="B211" s="37" t="s">
        <v>186</v>
      </c>
      <c r="C211" s="36" t="s">
        <v>735</v>
      </c>
      <c r="D211" s="36" t="s">
        <v>736</v>
      </c>
      <c r="E211" s="36" t="s">
        <v>593</v>
      </c>
      <c r="F211" s="41">
        <v>0.4</v>
      </c>
      <c r="G211" s="65"/>
      <c r="H211" s="65"/>
      <c r="I211" s="65"/>
      <c r="J211" s="65"/>
      <c r="K211" s="65"/>
      <c r="L211" s="65"/>
      <c r="M211" s="65"/>
      <c r="N211" s="65"/>
      <c r="O211" s="65"/>
      <c r="P211" s="65"/>
      <c r="Q211" s="65"/>
      <c r="R211" s="65"/>
      <c r="S211" s="65"/>
      <c r="T211" s="65"/>
      <c r="U211" s="65"/>
      <c r="V211" s="65"/>
      <c r="W211" s="65"/>
    </row>
    <row r="212" ht="15.75" customHeight="1">
      <c r="A212" s="37">
        <v>211.0</v>
      </c>
      <c r="B212" s="37" t="s">
        <v>186</v>
      </c>
      <c r="C212" s="36" t="s">
        <v>735</v>
      </c>
      <c r="D212" s="36" t="s">
        <v>736</v>
      </c>
      <c r="E212" s="36" t="s">
        <v>595</v>
      </c>
      <c r="F212" s="41">
        <v>0.48</v>
      </c>
      <c r="G212" s="65"/>
      <c r="H212" s="65"/>
      <c r="I212" s="65"/>
      <c r="J212" s="65"/>
      <c r="K212" s="65"/>
      <c r="L212" s="65"/>
      <c r="M212" s="65"/>
      <c r="N212" s="65"/>
      <c r="O212" s="65"/>
      <c r="P212" s="65"/>
      <c r="Q212" s="65"/>
      <c r="R212" s="65"/>
      <c r="S212" s="65"/>
      <c r="T212" s="65"/>
      <c r="U212" s="65"/>
      <c r="V212" s="65"/>
      <c r="W212" s="65"/>
    </row>
    <row r="213" ht="15.75" customHeight="1">
      <c r="A213" s="37">
        <v>212.0</v>
      </c>
      <c r="B213" s="37" t="s">
        <v>186</v>
      </c>
      <c r="C213" s="36" t="s">
        <v>735</v>
      </c>
      <c r="D213" s="36" t="s">
        <v>736</v>
      </c>
      <c r="E213" s="36" t="s">
        <v>597</v>
      </c>
      <c r="F213" s="41">
        <v>0.32</v>
      </c>
      <c r="G213" s="65"/>
      <c r="H213" s="65"/>
      <c r="I213" s="65"/>
      <c r="J213" s="65"/>
      <c r="K213" s="65"/>
      <c r="L213" s="65"/>
      <c r="M213" s="65"/>
      <c r="N213" s="65"/>
      <c r="O213" s="65"/>
      <c r="P213" s="65"/>
      <c r="Q213" s="65"/>
      <c r="R213" s="65"/>
      <c r="S213" s="65"/>
      <c r="T213" s="65"/>
      <c r="U213" s="65"/>
      <c r="V213" s="65"/>
      <c r="W213" s="65"/>
    </row>
    <row r="214" ht="15.75" customHeight="1">
      <c r="A214" s="37">
        <v>213.0</v>
      </c>
      <c r="B214" s="37" t="s">
        <v>197</v>
      </c>
      <c r="C214" s="36" t="s">
        <v>737</v>
      </c>
      <c r="D214" s="36" t="s">
        <v>738</v>
      </c>
      <c r="E214" s="36" t="s">
        <v>587</v>
      </c>
      <c r="F214" s="41">
        <v>0.63</v>
      </c>
      <c r="G214" s="65"/>
      <c r="H214" s="65"/>
      <c r="I214" s="65"/>
      <c r="J214" s="65"/>
      <c r="K214" s="65"/>
      <c r="L214" s="65"/>
      <c r="M214" s="65"/>
      <c r="N214" s="65"/>
      <c r="O214" s="65"/>
      <c r="P214" s="65"/>
      <c r="Q214" s="65"/>
      <c r="R214" s="65"/>
      <c r="S214" s="65"/>
      <c r="T214" s="65"/>
      <c r="U214" s="65"/>
      <c r="V214" s="65"/>
      <c r="W214" s="65"/>
    </row>
    <row r="215" ht="15.75" customHeight="1">
      <c r="A215" s="37">
        <v>214.0</v>
      </c>
      <c r="B215" s="37" t="s">
        <v>197</v>
      </c>
      <c r="C215" s="36" t="s">
        <v>737</v>
      </c>
      <c r="D215" s="36" t="s">
        <v>738</v>
      </c>
      <c r="E215" s="36" t="s">
        <v>591</v>
      </c>
      <c r="F215" s="41">
        <v>0.54</v>
      </c>
      <c r="G215" s="65"/>
      <c r="H215" s="65"/>
      <c r="I215" s="65"/>
      <c r="J215" s="65"/>
      <c r="K215" s="65"/>
      <c r="L215" s="65"/>
      <c r="M215" s="65"/>
      <c r="N215" s="65"/>
      <c r="O215" s="65"/>
      <c r="P215" s="65"/>
      <c r="Q215" s="65"/>
      <c r="R215" s="65"/>
      <c r="S215" s="65"/>
      <c r="T215" s="65"/>
      <c r="U215" s="65"/>
      <c r="V215" s="65"/>
      <c r="W215" s="65"/>
    </row>
    <row r="216" ht="15.75" customHeight="1">
      <c r="A216" s="37">
        <v>215.0</v>
      </c>
      <c r="B216" s="37" t="s">
        <v>197</v>
      </c>
      <c r="C216" s="36" t="s">
        <v>737</v>
      </c>
      <c r="D216" s="36" t="s">
        <v>738</v>
      </c>
      <c r="E216" s="36" t="s">
        <v>599</v>
      </c>
      <c r="F216" s="41">
        <v>0.27</v>
      </c>
      <c r="G216" s="65"/>
      <c r="H216" s="65"/>
      <c r="I216" s="65"/>
      <c r="J216" s="65"/>
      <c r="K216" s="65"/>
      <c r="L216" s="65"/>
      <c r="M216" s="65"/>
      <c r="N216" s="65"/>
      <c r="O216" s="65"/>
      <c r="P216" s="65"/>
      <c r="Q216" s="65"/>
      <c r="R216" s="65"/>
      <c r="S216" s="65"/>
      <c r="T216" s="65"/>
      <c r="U216" s="65"/>
      <c r="V216" s="65"/>
      <c r="W216" s="65"/>
    </row>
    <row r="217" ht="15.75" customHeight="1">
      <c r="A217" s="37">
        <v>216.0</v>
      </c>
      <c r="B217" s="37" t="s">
        <v>197</v>
      </c>
      <c r="C217" s="36" t="s">
        <v>737</v>
      </c>
      <c r="D217" s="36" t="s">
        <v>738</v>
      </c>
      <c r="E217" s="36" t="s">
        <v>607</v>
      </c>
      <c r="F217" s="41">
        <v>0.27</v>
      </c>
      <c r="G217" s="65"/>
      <c r="H217" s="65"/>
      <c r="I217" s="65"/>
      <c r="J217" s="65"/>
      <c r="K217" s="65"/>
      <c r="L217" s="65"/>
      <c r="M217" s="65"/>
      <c r="N217" s="65"/>
      <c r="O217" s="65"/>
      <c r="P217" s="65"/>
      <c r="Q217" s="65"/>
      <c r="R217" s="65"/>
      <c r="S217" s="65"/>
      <c r="T217" s="65"/>
      <c r="U217" s="65"/>
      <c r="V217" s="65"/>
      <c r="W217" s="65"/>
    </row>
    <row r="218" ht="15.75" customHeight="1">
      <c r="A218" s="37">
        <v>217.0</v>
      </c>
      <c r="B218" s="37" t="s">
        <v>197</v>
      </c>
      <c r="C218" s="36" t="s">
        <v>737</v>
      </c>
      <c r="D218" s="36" t="s">
        <v>738</v>
      </c>
      <c r="E218" s="36" t="s">
        <v>609</v>
      </c>
      <c r="F218" s="41">
        <v>0.225</v>
      </c>
      <c r="G218" s="65"/>
      <c r="H218" s="65"/>
      <c r="I218" s="65"/>
      <c r="J218" s="65"/>
      <c r="K218" s="65"/>
      <c r="L218" s="65"/>
      <c r="M218" s="65"/>
      <c r="N218" s="65"/>
      <c r="O218" s="65"/>
      <c r="P218" s="65"/>
      <c r="Q218" s="65"/>
      <c r="R218" s="65"/>
      <c r="S218" s="65"/>
      <c r="T218" s="65"/>
      <c r="U218" s="65"/>
      <c r="V218" s="65"/>
      <c r="W218" s="65"/>
    </row>
    <row r="219" ht="15.75" customHeight="1">
      <c r="A219" s="37">
        <v>218.0</v>
      </c>
      <c r="B219" s="37" t="s">
        <v>197</v>
      </c>
      <c r="C219" s="36" t="s">
        <v>739</v>
      </c>
      <c r="D219" s="36" t="s">
        <v>740</v>
      </c>
      <c r="E219" s="36" t="s">
        <v>587</v>
      </c>
      <c r="F219" s="41">
        <v>0.27</v>
      </c>
      <c r="G219" s="65"/>
      <c r="H219" s="65"/>
      <c r="I219" s="65"/>
      <c r="J219" s="65"/>
      <c r="K219" s="65"/>
      <c r="L219" s="65"/>
      <c r="M219" s="65"/>
      <c r="N219" s="65"/>
      <c r="O219" s="65"/>
      <c r="P219" s="65"/>
      <c r="Q219" s="65"/>
      <c r="R219" s="65"/>
      <c r="S219" s="65"/>
      <c r="T219" s="65"/>
      <c r="U219" s="65"/>
      <c r="V219" s="65"/>
      <c r="W219" s="65"/>
    </row>
    <row r="220" ht="15.75" customHeight="1">
      <c r="A220" s="37">
        <v>219.0</v>
      </c>
      <c r="B220" s="37" t="s">
        <v>197</v>
      </c>
      <c r="C220" s="36" t="s">
        <v>739</v>
      </c>
      <c r="D220" s="36" t="s">
        <v>740</v>
      </c>
      <c r="E220" s="36" t="s">
        <v>601</v>
      </c>
      <c r="F220" s="41">
        <v>0.63</v>
      </c>
      <c r="G220" s="65"/>
      <c r="H220" s="65"/>
      <c r="I220" s="65"/>
      <c r="J220" s="65"/>
      <c r="K220" s="65"/>
      <c r="L220" s="65"/>
      <c r="M220" s="65"/>
      <c r="N220" s="65"/>
      <c r="O220" s="65"/>
      <c r="P220" s="65"/>
      <c r="Q220" s="65"/>
      <c r="R220" s="65"/>
      <c r="S220" s="65"/>
      <c r="T220" s="65"/>
      <c r="U220" s="65"/>
      <c r="V220" s="65"/>
      <c r="W220" s="65"/>
    </row>
    <row r="221" ht="15.75" customHeight="1">
      <c r="A221" s="37">
        <v>220.0</v>
      </c>
      <c r="B221" s="37" t="s">
        <v>197</v>
      </c>
      <c r="C221" s="36" t="s">
        <v>739</v>
      </c>
      <c r="D221" s="36" t="s">
        <v>740</v>
      </c>
      <c r="E221" s="36" t="s">
        <v>607</v>
      </c>
      <c r="F221" s="41">
        <v>0.72</v>
      </c>
      <c r="G221" s="65"/>
      <c r="H221" s="65"/>
      <c r="I221" s="65"/>
      <c r="J221" s="65"/>
      <c r="K221" s="65"/>
      <c r="L221" s="65"/>
      <c r="M221" s="65"/>
      <c r="N221" s="65"/>
      <c r="O221" s="65"/>
      <c r="P221" s="65"/>
      <c r="Q221" s="65"/>
      <c r="R221" s="65"/>
      <c r="S221" s="65"/>
      <c r="T221" s="65"/>
      <c r="U221" s="65"/>
      <c r="V221" s="65"/>
      <c r="W221" s="65"/>
    </row>
    <row r="222" ht="15.75" customHeight="1">
      <c r="A222" s="37">
        <v>221.0</v>
      </c>
      <c r="B222" s="37" t="s">
        <v>197</v>
      </c>
      <c r="C222" s="36" t="s">
        <v>741</v>
      </c>
      <c r="D222" s="36" t="s">
        <v>742</v>
      </c>
      <c r="E222" s="36" t="s">
        <v>589</v>
      </c>
      <c r="F222" s="41">
        <v>0.36</v>
      </c>
      <c r="G222" s="65"/>
      <c r="H222" s="65"/>
      <c r="I222" s="65"/>
      <c r="J222" s="65"/>
      <c r="K222" s="65"/>
      <c r="L222" s="65"/>
      <c r="M222" s="65"/>
      <c r="N222" s="65"/>
      <c r="O222" s="65"/>
      <c r="P222" s="65"/>
      <c r="Q222" s="65"/>
      <c r="R222" s="65"/>
      <c r="S222" s="65"/>
      <c r="T222" s="65"/>
      <c r="U222" s="65"/>
      <c r="V222" s="65"/>
      <c r="W222" s="65"/>
    </row>
    <row r="223" ht="15.75" customHeight="1">
      <c r="A223" s="37">
        <v>222.0</v>
      </c>
      <c r="B223" s="37" t="s">
        <v>197</v>
      </c>
      <c r="C223" s="36" t="s">
        <v>741</v>
      </c>
      <c r="D223" s="36" t="s">
        <v>742</v>
      </c>
      <c r="E223" s="36" t="s">
        <v>595</v>
      </c>
      <c r="F223" s="41">
        <v>0.72</v>
      </c>
      <c r="G223" s="65"/>
      <c r="H223" s="65"/>
      <c r="I223" s="65"/>
      <c r="J223" s="65"/>
      <c r="K223" s="65"/>
      <c r="L223" s="65"/>
      <c r="M223" s="65"/>
      <c r="N223" s="65"/>
      <c r="O223" s="65"/>
      <c r="P223" s="65"/>
      <c r="Q223" s="65"/>
      <c r="R223" s="65"/>
      <c r="S223" s="65"/>
      <c r="T223" s="65"/>
      <c r="U223" s="65"/>
      <c r="V223" s="65"/>
      <c r="W223" s="65"/>
    </row>
    <row r="224" ht="15.75" customHeight="1">
      <c r="A224" s="37">
        <v>223.0</v>
      </c>
      <c r="B224" s="37" t="s">
        <v>197</v>
      </c>
      <c r="C224" s="36" t="s">
        <v>741</v>
      </c>
      <c r="D224" s="36" t="s">
        <v>742</v>
      </c>
      <c r="E224" s="36" t="s">
        <v>603</v>
      </c>
      <c r="F224" s="41">
        <v>0.18</v>
      </c>
      <c r="G224" s="65"/>
      <c r="H224" s="65"/>
      <c r="I224" s="65"/>
      <c r="J224" s="65"/>
      <c r="K224" s="65"/>
      <c r="L224" s="65"/>
      <c r="M224" s="65"/>
      <c r="N224" s="65"/>
      <c r="O224" s="65"/>
      <c r="P224" s="65"/>
      <c r="Q224" s="65"/>
      <c r="R224" s="65"/>
      <c r="S224" s="65"/>
      <c r="T224" s="65"/>
      <c r="U224" s="65"/>
      <c r="V224" s="65"/>
      <c r="W224" s="65"/>
    </row>
    <row r="225" ht="15.75" customHeight="1">
      <c r="A225" s="37">
        <v>224.0</v>
      </c>
      <c r="B225" s="37" t="s">
        <v>197</v>
      </c>
      <c r="C225" s="36" t="s">
        <v>741</v>
      </c>
      <c r="D225" s="36" t="s">
        <v>742</v>
      </c>
      <c r="E225" s="36" t="s">
        <v>613</v>
      </c>
      <c r="F225" s="41">
        <v>0.225</v>
      </c>
      <c r="G225" s="65"/>
      <c r="H225" s="65"/>
      <c r="I225" s="65"/>
      <c r="J225" s="65"/>
      <c r="K225" s="65"/>
      <c r="L225" s="65"/>
      <c r="M225" s="65"/>
      <c r="N225" s="65"/>
      <c r="O225" s="65"/>
      <c r="P225" s="65"/>
      <c r="Q225" s="65"/>
      <c r="R225" s="65"/>
      <c r="S225" s="65"/>
      <c r="T225" s="65"/>
      <c r="U225" s="65"/>
      <c r="V225" s="65"/>
      <c r="W225" s="65"/>
    </row>
    <row r="226" ht="15.75" customHeight="1">
      <c r="A226" s="37">
        <v>225.0</v>
      </c>
      <c r="B226" s="37" t="s">
        <v>197</v>
      </c>
      <c r="C226" s="36" t="s">
        <v>743</v>
      </c>
      <c r="D226" s="36" t="s">
        <v>744</v>
      </c>
      <c r="E226" s="36" t="s">
        <v>587</v>
      </c>
      <c r="F226" s="41">
        <v>0.405</v>
      </c>
      <c r="G226" s="65"/>
      <c r="H226" s="65"/>
      <c r="I226" s="65"/>
      <c r="J226" s="65"/>
      <c r="K226" s="65"/>
      <c r="L226" s="65"/>
      <c r="M226" s="65"/>
      <c r="N226" s="65"/>
      <c r="O226" s="65"/>
      <c r="P226" s="65"/>
      <c r="Q226" s="65"/>
      <c r="R226" s="65"/>
      <c r="S226" s="65"/>
      <c r="T226" s="65"/>
      <c r="U226" s="65"/>
      <c r="V226" s="65"/>
      <c r="W226" s="65"/>
    </row>
    <row r="227" ht="15.75" customHeight="1">
      <c r="A227" s="37">
        <v>226.0</v>
      </c>
      <c r="B227" s="37" t="s">
        <v>197</v>
      </c>
      <c r="C227" s="36" t="s">
        <v>743</v>
      </c>
      <c r="D227" s="36" t="s">
        <v>744</v>
      </c>
      <c r="E227" s="36" t="s">
        <v>591</v>
      </c>
      <c r="F227" s="41">
        <v>0.765</v>
      </c>
      <c r="G227" s="65"/>
      <c r="H227" s="65"/>
      <c r="I227" s="65"/>
      <c r="J227" s="65"/>
      <c r="K227" s="65"/>
      <c r="L227" s="65"/>
      <c r="M227" s="65"/>
      <c r="N227" s="65"/>
      <c r="O227" s="65"/>
      <c r="P227" s="65"/>
      <c r="Q227" s="65"/>
      <c r="R227" s="65"/>
      <c r="S227" s="65"/>
      <c r="T227" s="65"/>
      <c r="U227" s="65"/>
      <c r="V227" s="65"/>
      <c r="W227" s="65"/>
    </row>
    <row r="228" ht="15.75" customHeight="1">
      <c r="A228" s="37">
        <v>227.0</v>
      </c>
      <c r="B228" s="37" t="s">
        <v>197</v>
      </c>
      <c r="C228" s="36" t="s">
        <v>743</v>
      </c>
      <c r="D228" s="36" t="s">
        <v>744</v>
      </c>
      <c r="E228" s="36" t="s">
        <v>613</v>
      </c>
      <c r="F228" s="41">
        <v>0.18</v>
      </c>
      <c r="G228" s="65"/>
      <c r="H228" s="65"/>
      <c r="I228" s="65"/>
      <c r="J228" s="65"/>
      <c r="K228" s="65"/>
      <c r="L228" s="65"/>
      <c r="M228" s="65"/>
      <c r="N228" s="65"/>
      <c r="O228" s="65"/>
      <c r="P228" s="65"/>
      <c r="Q228" s="65"/>
      <c r="R228" s="65"/>
      <c r="S228" s="65"/>
      <c r="T228" s="65"/>
      <c r="U228" s="65"/>
      <c r="V228" s="65"/>
      <c r="W228" s="65"/>
    </row>
    <row r="229" ht="15.75" customHeight="1">
      <c r="A229" s="37">
        <v>228.0</v>
      </c>
      <c r="B229" s="37" t="s">
        <v>197</v>
      </c>
      <c r="C229" s="36" t="s">
        <v>745</v>
      </c>
      <c r="D229" s="36" t="s">
        <v>746</v>
      </c>
      <c r="E229" s="36" t="s">
        <v>589</v>
      </c>
      <c r="F229" s="41">
        <v>0.585</v>
      </c>
      <c r="G229" s="65"/>
      <c r="H229" s="65"/>
      <c r="I229" s="65"/>
      <c r="J229" s="65"/>
      <c r="K229" s="65"/>
      <c r="L229" s="65"/>
      <c r="M229" s="65"/>
      <c r="N229" s="65"/>
      <c r="O229" s="65"/>
      <c r="P229" s="65"/>
      <c r="Q229" s="65"/>
      <c r="R229" s="65"/>
      <c r="S229" s="65"/>
      <c r="T229" s="65"/>
      <c r="U229" s="65"/>
      <c r="V229" s="65"/>
      <c r="W229" s="65"/>
    </row>
    <row r="230" ht="15.75" customHeight="1">
      <c r="A230" s="37">
        <v>229.0</v>
      </c>
      <c r="B230" s="37" t="s">
        <v>197</v>
      </c>
      <c r="C230" s="36" t="s">
        <v>745</v>
      </c>
      <c r="D230" s="36" t="s">
        <v>746</v>
      </c>
      <c r="E230" s="36" t="s">
        <v>593</v>
      </c>
      <c r="F230" s="41">
        <v>0.315</v>
      </c>
      <c r="G230" s="65"/>
      <c r="H230" s="65"/>
      <c r="I230" s="65"/>
      <c r="J230" s="65"/>
      <c r="K230" s="65"/>
      <c r="L230" s="65"/>
      <c r="M230" s="65"/>
      <c r="N230" s="65"/>
      <c r="O230" s="65"/>
      <c r="P230" s="65"/>
      <c r="Q230" s="65"/>
      <c r="R230" s="65"/>
      <c r="S230" s="65"/>
      <c r="T230" s="65"/>
      <c r="U230" s="65"/>
      <c r="V230" s="65"/>
      <c r="W230" s="65"/>
    </row>
    <row r="231" ht="15.75" customHeight="1">
      <c r="A231" s="37">
        <v>230.0</v>
      </c>
      <c r="B231" s="37" t="s">
        <v>197</v>
      </c>
      <c r="C231" s="36" t="s">
        <v>745</v>
      </c>
      <c r="D231" s="36" t="s">
        <v>746</v>
      </c>
      <c r="E231" s="36" t="s">
        <v>595</v>
      </c>
      <c r="F231" s="41">
        <v>0.72</v>
      </c>
      <c r="G231" s="65"/>
      <c r="H231" s="65"/>
      <c r="I231" s="65"/>
      <c r="J231" s="65"/>
      <c r="K231" s="65"/>
      <c r="L231" s="65"/>
      <c r="M231" s="65"/>
      <c r="N231" s="65"/>
      <c r="O231" s="65"/>
      <c r="P231" s="65"/>
      <c r="Q231" s="65"/>
      <c r="R231" s="65"/>
      <c r="S231" s="65"/>
      <c r="T231" s="65"/>
      <c r="U231" s="65"/>
      <c r="V231" s="65"/>
      <c r="W231" s="65"/>
    </row>
    <row r="232" ht="15.75" customHeight="1">
      <c r="A232" s="37">
        <v>231.0</v>
      </c>
      <c r="B232" s="37" t="s">
        <v>197</v>
      </c>
      <c r="C232" s="36" t="s">
        <v>745</v>
      </c>
      <c r="D232" s="36" t="s">
        <v>746</v>
      </c>
      <c r="E232" s="42" t="s">
        <v>605</v>
      </c>
      <c r="F232" s="41">
        <v>0.36</v>
      </c>
      <c r="G232" s="65"/>
      <c r="H232" s="65"/>
      <c r="I232" s="65"/>
      <c r="J232" s="65"/>
      <c r="K232" s="65"/>
      <c r="L232" s="65"/>
      <c r="M232" s="65"/>
      <c r="N232" s="65"/>
      <c r="O232" s="65"/>
      <c r="P232" s="65"/>
      <c r="Q232" s="65"/>
      <c r="R232" s="65"/>
      <c r="S232" s="65"/>
      <c r="T232" s="65"/>
      <c r="U232" s="65"/>
      <c r="V232" s="65"/>
      <c r="W232" s="65"/>
    </row>
    <row r="233" ht="15.75" customHeight="1">
      <c r="A233" s="37">
        <v>232.0</v>
      </c>
      <c r="B233" s="37" t="s">
        <v>197</v>
      </c>
      <c r="C233" s="36" t="s">
        <v>747</v>
      </c>
      <c r="D233" s="36" t="s">
        <v>748</v>
      </c>
      <c r="E233" s="36" t="s">
        <v>587</v>
      </c>
      <c r="F233" s="41">
        <v>0.36</v>
      </c>
      <c r="G233" s="65"/>
      <c r="H233" s="65"/>
      <c r="I233" s="65"/>
      <c r="J233" s="65"/>
      <c r="K233" s="65"/>
      <c r="L233" s="65"/>
      <c r="M233" s="65"/>
      <c r="N233" s="65"/>
      <c r="O233" s="65"/>
      <c r="P233" s="65"/>
      <c r="Q233" s="65"/>
      <c r="R233" s="65"/>
      <c r="S233" s="65"/>
      <c r="T233" s="65"/>
      <c r="U233" s="65"/>
      <c r="V233" s="65"/>
      <c r="W233" s="65"/>
    </row>
    <row r="234" ht="15.75" customHeight="1">
      <c r="A234" s="37">
        <v>233.0</v>
      </c>
      <c r="B234" s="37" t="s">
        <v>197</v>
      </c>
      <c r="C234" s="36" t="s">
        <v>747</v>
      </c>
      <c r="D234" s="36" t="s">
        <v>748</v>
      </c>
      <c r="E234" s="36" t="s">
        <v>591</v>
      </c>
      <c r="F234" s="41">
        <v>0.225</v>
      </c>
      <c r="G234" s="65"/>
      <c r="H234" s="65"/>
      <c r="I234" s="65"/>
      <c r="J234" s="65"/>
      <c r="K234" s="65"/>
      <c r="L234" s="65"/>
      <c r="M234" s="65"/>
      <c r="N234" s="65"/>
      <c r="O234" s="65"/>
      <c r="P234" s="65"/>
      <c r="Q234" s="65"/>
      <c r="R234" s="65"/>
      <c r="S234" s="65"/>
      <c r="T234" s="65"/>
      <c r="U234" s="65"/>
      <c r="V234" s="65"/>
      <c r="W234" s="65"/>
    </row>
    <row r="235" ht="15.75" customHeight="1">
      <c r="A235" s="37">
        <v>234.0</v>
      </c>
      <c r="B235" s="37" t="s">
        <v>197</v>
      </c>
      <c r="C235" s="36" t="s">
        <v>747</v>
      </c>
      <c r="D235" s="36" t="s">
        <v>748</v>
      </c>
      <c r="E235" s="36" t="s">
        <v>599</v>
      </c>
      <c r="F235" s="41">
        <v>0.81</v>
      </c>
      <c r="G235" s="65"/>
      <c r="H235" s="65"/>
      <c r="I235" s="65"/>
      <c r="J235" s="65"/>
      <c r="K235" s="65"/>
      <c r="L235" s="65"/>
      <c r="M235" s="65"/>
      <c r="N235" s="65"/>
      <c r="O235" s="65"/>
      <c r="P235" s="65"/>
      <c r="Q235" s="65"/>
      <c r="R235" s="65"/>
      <c r="S235" s="65"/>
      <c r="T235" s="65"/>
      <c r="U235" s="65"/>
      <c r="V235" s="65"/>
      <c r="W235" s="65"/>
    </row>
    <row r="236" ht="15.75" customHeight="1">
      <c r="A236" s="37">
        <v>235.0</v>
      </c>
      <c r="B236" s="37" t="s">
        <v>197</v>
      </c>
      <c r="C236" s="36" t="s">
        <v>747</v>
      </c>
      <c r="D236" s="36" t="s">
        <v>748</v>
      </c>
      <c r="E236" s="36" t="s">
        <v>607</v>
      </c>
      <c r="F236" s="41">
        <v>0.27</v>
      </c>
      <c r="G236" s="65"/>
      <c r="H236" s="65"/>
      <c r="I236" s="65"/>
      <c r="J236" s="65"/>
      <c r="K236" s="65"/>
      <c r="L236" s="65"/>
      <c r="M236" s="65"/>
      <c r="N236" s="65"/>
      <c r="O236" s="65"/>
      <c r="P236" s="65"/>
      <c r="Q236" s="65"/>
      <c r="R236" s="65"/>
      <c r="S236" s="65"/>
      <c r="T236" s="65"/>
      <c r="U236" s="65"/>
      <c r="V236" s="65"/>
      <c r="W236" s="65"/>
    </row>
    <row r="237" ht="15.75" customHeight="1">
      <c r="A237" s="37">
        <v>236.0</v>
      </c>
      <c r="B237" s="37" t="s">
        <v>197</v>
      </c>
      <c r="C237" s="36" t="s">
        <v>747</v>
      </c>
      <c r="D237" s="36" t="s">
        <v>748</v>
      </c>
      <c r="E237" s="36" t="s">
        <v>611</v>
      </c>
      <c r="F237" s="41">
        <v>0.35</v>
      </c>
      <c r="G237" s="65"/>
      <c r="H237" s="65"/>
      <c r="I237" s="65"/>
      <c r="J237" s="65"/>
      <c r="K237" s="65"/>
      <c r="L237" s="65"/>
      <c r="M237" s="65"/>
      <c r="N237" s="65"/>
      <c r="O237" s="65"/>
      <c r="P237" s="65"/>
      <c r="Q237" s="65"/>
      <c r="R237" s="65"/>
      <c r="S237" s="65"/>
      <c r="T237" s="65"/>
      <c r="U237" s="65"/>
      <c r="V237" s="65"/>
      <c r="W237" s="65"/>
    </row>
    <row r="238" ht="15.75" customHeight="1">
      <c r="A238" s="37">
        <v>237.0</v>
      </c>
      <c r="B238" s="37" t="s">
        <v>197</v>
      </c>
      <c r="C238" s="36" t="s">
        <v>674</v>
      </c>
      <c r="D238" s="36" t="s">
        <v>749</v>
      </c>
      <c r="E238" s="36" t="s">
        <v>589</v>
      </c>
      <c r="F238" s="41">
        <v>0.54</v>
      </c>
      <c r="G238" s="65"/>
      <c r="H238" s="65"/>
      <c r="I238" s="65"/>
      <c r="J238" s="65"/>
      <c r="K238" s="65"/>
      <c r="L238" s="65"/>
      <c r="M238" s="65"/>
      <c r="N238" s="65"/>
      <c r="O238" s="65"/>
      <c r="P238" s="65"/>
      <c r="Q238" s="65"/>
      <c r="R238" s="65"/>
      <c r="S238" s="65"/>
      <c r="T238" s="65"/>
      <c r="U238" s="65"/>
      <c r="V238" s="65"/>
      <c r="W238" s="65"/>
    </row>
    <row r="239" ht="15.75" customHeight="1">
      <c r="A239" s="37">
        <v>238.0</v>
      </c>
      <c r="B239" s="37" t="s">
        <v>197</v>
      </c>
      <c r="C239" s="36" t="s">
        <v>674</v>
      </c>
      <c r="D239" s="36" t="s">
        <v>749</v>
      </c>
      <c r="E239" s="36" t="s">
        <v>593</v>
      </c>
      <c r="F239" s="41">
        <v>0.27</v>
      </c>
      <c r="G239" s="65"/>
      <c r="H239" s="65"/>
      <c r="I239" s="65"/>
      <c r="J239" s="65"/>
      <c r="K239" s="65"/>
      <c r="L239" s="65"/>
      <c r="M239" s="65"/>
      <c r="N239" s="65"/>
      <c r="O239" s="65"/>
      <c r="P239" s="65"/>
      <c r="Q239" s="65"/>
      <c r="R239" s="65"/>
      <c r="S239" s="65"/>
      <c r="T239" s="65"/>
      <c r="U239" s="65"/>
      <c r="V239" s="65"/>
      <c r="W239" s="65"/>
    </row>
    <row r="240" ht="15.75" customHeight="1">
      <c r="A240" s="37">
        <v>239.0</v>
      </c>
      <c r="B240" s="37" t="s">
        <v>197</v>
      </c>
      <c r="C240" s="36" t="s">
        <v>674</v>
      </c>
      <c r="D240" s="36" t="s">
        <v>749</v>
      </c>
      <c r="E240" s="36" t="s">
        <v>595</v>
      </c>
      <c r="F240" s="41">
        <v>0.45</v>
      </c>
      <c r="G240" s="65"/>
      <c r="H240" s="65"/>
      <c r="I240" s="65"/>
      <c r="J240" s="65"/>
      <c r="K240" s="65"/>
      <c r="L240" s="65"/>
      <c r="M240" s="65"/>
      <c r="N240" s="65"/>
      <c r="O240" s="65"/>
      <c r="P240" s="65"/>
      <c r="Q240" s="65"/>
      <c r="R240" s="65"/>
      <c r="S240" s="65"/>
      <c r="T240" s="65"/>
      <c r="U240" s="65"/>
      <c r="V240" s="65"/>
      <c r="W240" s="65"/>
    </row>
    <row r="241" ht="15.75" customHeight="1">
      <c r="A241" s="37">
        <v>240.0</v>
      </c>
      <c r="B241" s="37" t="s">
        <v>197</v>
      </c>
      <c r="C241" s="36" t="s">
        <v>674</v>
      </c>
      <c r="D241" s="36" t="s">
        <v>749</v>
      </c>
      <c r="E241" s="36" t="s">
        <v>597</v>
      </c>
      <c r="F241" s="41">
        <v>0.585</v>
      </c>
      <c r="G241" s="66"/>
      <c r="H241" s="66"/>
      <c r="I241" s="66"/>
      <c r="J241" s="66"/>
      <c r="K241" s="66"/>
      <c r="L241" s="66"/>
      <c r="M241" s="66"/>
      <c r="N241" s="66"/>
      <c r="O241" s="66"/>
      <c r="P241" s="66"/>
      <c r="Q241" s="66"/>
      <c r="R241" s="66"/>
      <c r="S241" s="66"/>
      <c r="T241" s="66"/>
      <c r="U241" s="66"/>
      <c r="V241" s="66"/>
      <c r="W241" s="66"/>
    </row>
    <row r="242" ht="15.75" customHeight="1">
      <c r="A242" s="37">
        <v>241.0</v>
      </c>
      <c r="B242" s="37" t="s">
        <v>197</v>
      </c>
      <c r="C242" s="36" t="s">
        <v>750</v>
      </c>
      <c r="D242" s="36" t="s">
        <v>751</v>
      </c>
      <c r="E242" s="36" t="s">
        <v>589</v>
      </c>
      <c r="F242" s="41">
        <v>0.72</v>
      </c>
      <c r="G242" s="66"/>
      <c r="H242" s="66"/>
      <c r="I242" s="66"/>
      <c r="J242" s="66"/>
      <c r="K242" s="66"/>
      <c r="L242" s="66"/>
      <c r="M242" s="66"/>
      <c r="N242" s="66"/>
      <c r="O242" s="66"/>
      <c r="P242" s="66"/>
      <c r="Q242" s="66"/>
      <c r="R242" s="66"/>
      <c r="S242" s="66"/>
      <c r="T242" s="66"/>
      <c r="U242" s="66"/>
      <c r="V242" s="66"/>
      <c r="W242" s="66"/>
    </row>
    <row r="243" ht="15.75" customHeight="1">
      <c r="A243" s="37">
        <v>242.0</v>
      </c>
      <c r="B243" s="37" t="s">
        <v>197</v>
      </c>
      <c r="C243" s="36" t="s">
        <v>750</v>
      </c>
      <c r="D243" s="36" t="s">
        <v>751</v>
      </c>
      <c r="E243" s="36" t="s">
        <v>593</v>
      </c>
      <c r="F243" s="41">
        <v>0.36</v>
      </c>
      <c r="G243" s="65"/>
      <c r="H243" s="65"/>
      <c r="I243" s="65"/>
      <c r="J243" s="65"/>
      <c r="K243" s="65"/>
      <c r="L243" s="65"/>
      <c r="M243" s="65"/>
      <c r="N243" s="65"/>
      <c r="O243" s="65"/>
      <c r="P243" s="65"/>
      <c r="Q243" s="65"/>
      <c r="R243" s="65"/>
      <c r="S243" s="65"/>
      <c r="T243" s="65"/>
      <c r="U243" s="65"/>
      <c r="V243" s="65"/>
      <c r="W243" s="65"/>
    </row>
    <row r="244" ht="15.75" customHeight="1">
      <c r="A244" s="37">
        <v>243.0</v>
      </c>
      <c r="B244" s="37" t="s">
        <v>197</v>
      </c>
      <c r="C244" s="36" t="s">
        <v>750</v>
      </c>
      <c r="D244" s="36" t="s">
        <v>751</v>
      </c>
      <c r="E244" s="36" t="s">
        <v>597</v>
      </c>
      <c r="F244" s="41">
        <v>0.27</v>
      </c>
      <c r="G244" s="65"/>
      <c r="H244" s="65"/>
      <c r="I244" s="65"/>
      <c r="J244" s="65"/>
      <c r="K244" s="65"/>
      <c r="L244" s="65"/>
      <c r="M244" s="65"/>
      <c r="N244" s="65"/>
      <c r="O244" s="65"/>
      <c r="P244" s="65"/>
      <c r="Q244" s="65"/>
      <c r="R244" s="65"/>
      <c r="S244" s="65"/>
      <c r="T244" s="65"/>
      <c r="U244" s="65"/>
      <c r="V244" s="65"/>
      <c r="W244" s="65"/>
    </row>
    <row r="245" ht="15.75" customHeight="1">
      <c r="A245" s="37">
        <v>244.0</v>
      </c>
      <c r="B245" s="37" t="s">
        <v>197</v>
      </c>
      <c r="C245" s="36" t="s">
        <v>752</v>
      </c>
      <c r="D245" s="36" t="s">
        <v>753</v>
      </c>
      <c r="E245" s="36" t="s">
        <v>589</v>
      </c>
      <c r="F245" s="41">
        <v>0.36</v>
      </c>
      <c r="G245" s="65"/>
      <c r="H245" s="65"/>
      <c r="I245" s="65"/>
      <c r="J245" s="65"/>
      <c r="K245" s="65"/>
      <c r="L245" s="65"/>
      <c r="M245" s="65"/>
      <c r="N245" s="65"/>
      <c r="O245" s="65"/>
      <c r="P245" s="65"/>
      <c r="Q245" s="65"/>
      <c r="R245" s="65"/>
      <c r="S245" s="65"/>
      <c r="T245" s="65"/>
      <c r="U245" s="65"/>
      <c r="V245" s="65"/>
      <c r="W245" s="65"/>
    </row>
    <row r="246" ht="15.75" customHeight="1">
      <c r="A246" s="37">
        <v>245.0</v>
      </c>
      <c r="B246" s="37" t="s">
        <v>197</v>
      </c>
      <c r="C246" s="36" t="s">
        <v>752</v>
      </c>
      <c r="D246" s="36" t="s">
        <v>753</v>
      </c>
      <c r="E246" s="36" t="s">
        <v>595</v>
      </c>
      <c r="F246" s="41">
        <v>0.45</v>
      </c>
      <c r="G246" s="65"/>
      <c r="H246" s="65"/>
      <c r="I246" s="65"/>
      <c r="J246" s="65"/>
      <c r="K246" s="65"/>
      <c r="L246" s="65"/>
      <c r="M246" s="65"/>
      <c r="N246" s="65"/>
      <c r="O246" s="65"/>
      <c r="P246" s="65"/>
      <c r="Q246" s="65"/>
      <c r="R246" s="65"/>
      <c r="S246" s="65"/>
      <c r="T246" s="65"/>
      <c r="U246" s="65"/>
      <c r="V246" s="65"/>
      <c r="W246" s="65"/>
    </row>
    <row r="247" ht="15.75" customHeight="1">
      <c r="A247" s="37">
        <v>246.0</v>
      </c>
      <c r="B247" s="37" t="s">
        <v>197</v>
      </c>
      <c r="C247" s="36" t="s">
        <v>752</v>
      </c>
      <c r="D247" s="36" t="s">
        <v>753</v>
      </c>
      <c r="E247" s="42" t="s">
        <v>605</v>
      </c>
      <c r="F247" s="41">
        <v>0.765</v>
      </c>
      <c r="G247" s="65"/>
      <c r="H247" s="65"/>
      <c r="I247" s="65"/>
      <c r="J247" s="65"/>
      <c r="K247" s="65"/>
      <c r="L247" s="65"/>
      <c r="M247" s="65"/>
      <c r="N247" s="65"/>
      <c r="O247" s="65"/>
      <c r="P247" s="65"/>
      <c r="Q247" s="65"/>
      <c r="R247" s="65"/>
      <c r="S247" s="65"/>
      <c r="T247" s="65"/>
      <c r="U247" s="65"/>
      <c r="V247" s="65"/>
      <c r="W247" s="65"/>
    </row>
    <row r="248" ht="15.75" customHeight="1">
      <c r="A248" s="37">
        <v>247.0</v>
      </c>
      <c r="B248" s="37" t="s">
        <v>197</v>
      </c>
      <c r="C248" s="36" t="s">
        <v>754</v>
      </c>
      <c r="D248" s="36" t="s">
        <v>755</v>
      </c>
      <c r="E248" s="36" t="s">
        <v>591</v>
      </c>
      <c r="F248" s="41">
        <v>0.72</v>
      </c>
      <c r="G248" s="65"/>
      <c r="H248" s="65"/>
      <c r="I248" s="65"/>
      <c r="J248" s="65"/>
      <c r="K248" s="65"/>
      <c r="L248" s="65"/>
      <c r="M248" s="65"/>
      <c r="N248" s="65"/>
      <c r="O248" s="65"/>
      <c r="P248" s="65"/>
      <c r="Q248" s="65"/>
      <c r="R248" s="65"/>
      <c r="S248" s="65"/>
      <c r="T248" s="65"/>
      <c r="U248" s="65"/>
      <c r="V248" s="65"/>
      <c r="W248" s="65"/>
    </row>
    <row r="249" ht="15.75" customHeight="1">
      <c r="A249" s="37">
        <v>248.0</v>
      </c>
      <c r="B249" s="37" t="s">
        <v>197</v>
      </c>
      <c r="C249" s="36" t="s">
        <v>754</v>
      </c>
      <c r="D249" s="36" t="s">
        <v>755</v>
      </c>
      <c r="E249" s="36" t="s">
        <v>609</v>
      </c>
      <c r="F249" s="41">
        <v>0.36</v>
      </c>
      <c r="G249" s="65"/>
      <c r="H249" s="65"/>
      <c r="I249" s="65"/>
      <c r="J249" s="65"/>
      <c r="K249" s="65"/>
      <c r="L249" s="65"/>
      <c r="M249" s="65"/>
      <c r="N249" s="65"/>
      <c r="O249" s="65"/>
      <c r="P249" s="65"/>
      <c r="Q249" s="65"/>
      <c r="R249" s="65"/>
      <c r="S249" s="65"/>
      <c r="T249" s="65"/>
      <c r="U249" s="65"/>
      <c r="V249" s="65"/>
      <c r="W249" s="65"/>
    </row>
    <row r="250" ht="15.75" customHeight="1">
      <c r="A250" s="37">
        <v>249.0</v>
      </c>
      <c r="B250" s="37" t="s">
        <v>197</v>
      </c>
      <c r="C250" s="36" t="s">
        <v>756</v>
      </c>
      <c r="D250" s="36" t="s">
        <v>757</v>
      </c>
      <c r="E250" s="36" t="s">
        <v>589</v>
      </c>
      <c r="F250" s="41">
        <v>0.225</v>
      </c>
      <c r="G250" s="65"/>
      <c r="H250" s="65"/>
      <c r="I250" s="65"/>
      <c r="J250" s="65"/>
      <c r="K250" s="65"/>
      <c r="L250" s="65"/>
      <c r="M250" s="65"/>
      <c r="N250" s="65"/>
      <c r="O250" s="65"/>
      <c r="P250" s="65"/>
      <c r="Q250" s="65"/>
      <c r="R250" s="65"/>
      <c r="S250" s="65"/>
      <c r="T250" s="65"/>
      <c r="U250" s="65"/>
      <c r="V250" s="65"/>
      <c r="W250" s="65"/>
    </row>
    <row r="251" ht="15.75" customHeight="1">
      <c r="A251" s="37">
        <v>250.0</v>
      </c>
      <c r="B251" s="37" t="s">
        <v>197</v>
      </c>
      <c r="C251" s="36" t="s">
        <v>756</v>
      </c>
      <c r="D251" s="36" t="s">
        <v>757</v>
      </c>
      <c r="E251" s="36" t="s">
        <v>593</v>
      </c>
      <c r="F251" s="41">
        <v>0.765</v>
      </c>
      <c r="G251" s="65"/>
      <c r="H251" s="65"/>
      <c r="I251" s="65"/>
      <c r="J251" s="65"/>
      <c r="K251" s="65"/>
      <c r="L251" s="65"/>
      <c r="M251" s="65"/>
      <c r="N251" s="65"/>
      <c r="O251" s="65"/>
      <c r="P251" s="65"/>
      <c r="Q251" s="65"/>
      <c r="R251" s="65"/>
      <c r="S251" s="65"/>
      <c r="T251" s="65"/>
      <c r="U251" s="65"/>
      <c r="V251" s="65"/>
      <c r="W251" s="65"/>
    </row>
    <row r="252" ht="15.75" customHeight="1">
      <c r="A252" s="37">
        <v>251.0</v>
      </c>
      <c r="B252" s="37" t="s">
        <v>197</v>
      </c>
      <c r="C252" s="36" t="s">
        <v>756</v>
      </c>
      <c r="D252" s="36" t="s">
        <v>757</v>
      </c>
      <c r="E252" s="42" t="s">
        <v>605</v>
      </c>
      <c r="F252" s="41">
        <v>0.315</v>
      </c>
      <c r="G252" s="65"/>
      <c r="H252" s="65"/>
      <c r="I252" s="65"/>
      <c r="J252" s="65"/>
      <c r="K252" s="65"/>
      <c r="L252" s="65"/>
      <c r="M252" s="65"/>
      <c r="N252" s="65"/>
      <c r="O252" s="65"/>
      <c r="P252" s="65"/>
      <c r="Q252" s="65"/>
      <c r="R252" s="65"/>
      <c r="S252" s="65"/>
      <c r="T252" s="65"/>
      <c r="U252" s="65"/>
      <c r="V252" s="65"/>
      <c r="W252" s="65"/>
    </row>
    <row r="253" ht="15.75" customHeight="1">
      <c r="A253" s="37">
        <v>252.0</v>
      </c>
      <c r="B253" s="37" t="s">
        <v>197</v>
      </c>
      <c r="C253" s="36" t="s">
        <v>756</v>
      </c>
      <c r="D253" s="36" t="s">
        <v>757</v>
      </c>
      <c r="E253" s="36" t="s">
        <v>609</v>
      </c>
      <c r="F253" s="41">
        <v>0.72</v>
      </c>
      <c r="G253" s="65"/>
      <c r="H253" s="65"/>
      <c r="I253" s="65"/>
      <c r="J253" s="65"/>
      <c r="K253" s="65"/>
      <c r="L253" s="65"/>
      <c r="M253" s="65"/>
      <c r="N253" s="65"/>
      <c r="O253" s="65"/>
      <c r="P253" s="65"/>
      <c r="Q253" s="65"/>
      <c r="R253" s="65"/>
      <c r="S253" s="65"/>
      <c r="T253" s="65"/>
      <c r="U253" s="65"/>
      <c r="V253" s="65"/>
      <c r="W253" s="65"/>
    </row>
    <row r="254" ht="15.75" customHeight="1">
      <c r="A254" s="37">
        <v>253.0</v>
      </c>
      <c r="B254" s="37" t="s">
        <v>241</v>
      </c>
      <c r="C254" s="36" t="s">
        <v>758</v>
      </c>
      <c r="D254" s="36" t="s">
        <v>759</v>
      </c>
      <c r="E254" s="36" t="s">
        <v>589</v>
      </c>
      <c r="F254" s="41">
        <v>0.3</v>
      </c>
      <c r="G254" s="65"/>
      <c r="H254" s="65"/>
      <c r="I254" s="65"/>
      <c r="J254" s="65"/>
      <c r="K254" s="65"/>
      <c r="L254" s="65"/>
      <c r="M254" s="65"/>
      <c r="N254" s="65"/>
      <c r="O254" s="65"/>
      <c r="P254" s="65"/>
      <c r="Q254" s="65"/>
      <c r="R254" s="65"/>
      <c r="S254" s="65"/>
      <c r="T254" s="65"/>
      <c r="U254" s="65"/>
      <c r="V254" s="65"/>
      <c r="W254" s="65"/>
    </row>
    <row r="255" ht="15.75" customHeight="1">
      <c r="A255" s="37">
        <v>254.0</v>
      </c>
      <c r="B255" s="37" t="s">
        <v>241</v>
      </c>
      <c r="C255" s="36" t="s">
        <v>758</v>
      </c>
      <c r="D255" s="36" t="s">
        <v>759</v>
      </c>
      <c r="E255" s="36" t="s">
        <v>597</v>
      </c>
      <c r="F255" s="41">
        <v>0.6</v>
      </c>
      <c r="G255" s="65"/>
      <c r="H255" s="65"/>
      <c r="I255" s="65"/>
      <c r="J255" s="65"/>
      <c r="K255" s="65"/>
      <c r="L255" s="65"/>
      <c r="M255" s="65"/>
      <c r="N255" s="65"/>
      <c r="O255" s="65"/>
      <c r="P255" s="65"/>
      <c r="Q255" s="65"/>
      <c r="R255" s="65"/>
      <c r="S255" s="65"/>
      <c r="T255" s="65"/>
      <c r="U255" s="65"/>
      <c r="V255" s="65"/>
      <c r="W255" s="65"/>
    </row>
    <row r="256" ht="15.75" customHeight="1">
      <c r="A256" s="37">
        <v>255.0</v>
      </c>
      <c r="B256" s="37" t="s">
        <v>241</v>
      </c>
      <c r="C256" s="36" t="s">
        <v>760</v>
      </c>
      <c r="D256" s="36" t="s">
        <v>761</v>
      </c>
      <c r="E256" s="36" t="s">
        <v>587</v>
      </c>
      <c r="F256" s="41">
        <v>0.2</v>
      </c>
      <c r="G256" s="65"/>
      <c r="H256" s="65"/>
      <c r="I256" s="65"/>
      <c r="J256" s="65"/>
      <c r="K256" s="65"/>
      <c r="L256" s="65"/>
      <c r="M256" s="65"/>
      <c r="N256" s="65"/>
      <c r="O256" s="65"/>
      <c r="P256" s="65"/>
      <c r="Q256" s="65"/>
      <c r="R256" s="65"/>
      <c r="S256" s="65"/>
      <c r="T256" s="65"/>
      <c r="U256" s="65"/>
      <c r="V256" s="65"/>
      <c r="W256" s="65"/>
    </row>
    <row r="257" ht="15.75" customHeight="1">
      <c r="A257" s="37">
        <v>256.0</v>
      </c>
      <c r="B257" s="37" t="s">
        <v>241</v>
      </c>
      <c r="C257" s="36" t="s">
        <v>760</v>
      </c>
      <c r="D257" s="36" t="s">
        <v>761</v>
      </c>
      <c r="E257" s="36" t="s">
        <v>599</v>
      </c>
      <c r="F257" s="41">
        <v>0.9</v>
      </c>
      <c r="G257" s="65"/>
      <c r="H257" s="65"/>
      <c r="I257" s="65"/>
      <c r="J257" s="65"/>
      <c r="K257" s="65"/>
      <c r="L257" s="65"/>
      <c r="M257" s="65"/>
      <c r="N257" s="65"/>
      <c r="O257" s="65"/>
      <c r="P257" s="65"/>
      <c r="Q257" s="65"/>
      <c r="R257" s="65"/>
      <c r="S257" s="65"/>
      <c r="T257" s="65"/>
      <c r="U257" s="65"/>
      <c r="V257" s="65"/>
      <c r="W257" s="65"/>
    </row>
    <row r="258" ht="15.75" customHeight="1">
      <c r="A258" s="37">
        <v>257.0</v>
      </c>
      <c r="B258" s="37" t="s">
        <v>241</v>
      </c>
      <c r="C258" s="36" t="s">
        <v>762</v>
      </c>
      <c r="D258" s="36" t="s">
        <v>763</v>
      </c>
      <c r="E258" s="36" t="s">
        <v>589</v>
      </c>
      <c r="F258" s="41">
        <v>0.6</v>
      </c>
      <c r="G258" s="65"/>
      <c r="H258" s="65"/>
      <c r="I258" s="65"/>
      <c r="J258" s="65"/>
      <c r="K258" s="65"/>
      <c r="L258" s="65"/>
      <c r="M258" s="65"/>
      <c r="N258" s="65"/>
      <c r="O258" s="65"/>
      <c r="P258" s="65"/>
      <c r="Q258" s="65"/>
      <c r="R258" s="65"/>
      <c r="S258" s="65"/>
      <c r="T258" s="65"/>
      <c r="U258" s="65"/>
      <c r="V258" s="65"/>
      <c r="W258" s="65"/>
    </row>
    <row r="259" ht="15.75" customHeight="1">
      <c r="A259" s="37">
        <v>258.0</v>
      </c>
      <c r="B259" s="37" t="s">
        <v>241</v>
      </c>
      <c r="C259" s="36" t="s">
        <v>762</v>
      </c>
      <c r="D259" s="36" t="s">
        <v>763</v>
      </c>
      <c r="E259" s="36" t="s">
        <v>593</v>
      </c>
      <c r="F259" s="41">
        <v>0.4</v>
      </c>
      <c r="G259" s="65"/>
      <c r="H259" s="65"/>
      <c r="I259" s="65"/>
      <c r="J259" s="65"/>
      <c r="K259" s="65"/>
      <c r="L259" s="65"/>
      <c r="M259" s="65"/>
      <c r="N259" s="65"/>
      <c r="O259" s="65"/>
      <c r="P259" s="65"/>
      <c r="Q259" s="65"/>
      <c r="R259" s="65"/>
      <c r="S259" s="65"/>
      <c r="T259" s="65"/>
      <c r="U259" s="65"/>
      <c r="V259" s="65"/>
      <c r="W259" s="65"/>
    </row>
    <row r="260" ht="15.75" customHeight="1">
      <c r="A260" s="37">
        <v>259.0</v>
      </c>
      <c r="B260" s="37" t="s">
        <v>241</v>
      </c>
      <c r="C260" s="36" t="s">
        <v>762</v>
      </c>
      <c r="D260" s="36" t="s">
        <v>763</v>
      </c>
      <c r="E260" s="36" t="s">
        <v>595</v>
      </c>
      <c r="F260" s="41">
        <v>0.5</v>
      </c>
      <c r="G260" s="65"/>
      <c r="H260" s="65"/>
      <c r="I260" s="65"/>
      <c r="J260" s="65"/>
      <c r="K260" s="65"/>
      <c r="L260" s="65"/>
      <c r="M260" s="65"/>
      <c r="N260" s="65"/>
      <c r="O260" s="65"/>
      <c r="P260" s="65"/>
      <c r="Q260" s="65"/>
      <c r="R260" s="65"/>
      <c r="S260" s="65"/>
      <c r="T260" s="65"/>
      <c r="U260" s="65"/>
      <c r="V260" s="65"/>
      <c r="W260" s="65"/>
    </row>
    <row r="261" ht="15.75" customHeight="1">
      <c r="A261" s="37">
        <v>260.0</v>
      </c>
      <c r="B261" s="37" t="s">
        <v>241</v>
      </c>
      <c r="C261" s="36" t="s">
        <v>762</v>
      </c>
      <c r="D261" s="36" t="s">
        <v>763</v>
      </c>
      <c r="E261" s="42" t="s">
        <v>605</v>
      </c>
      <c r="F261" s="41">
        <v>0.4</v>
      </c>
      <c r="G261" s="65"/>
      <c r="H261" s="65"/>
      <c r="I261" s="65"/>
      <c r="J261" s="65"/>
      <c r="K261" s="65"/>
      <c r="L261" s="65"/>
      <c r="M261" s="65"/>
      <c r="N261" s="65"/>
      <c r="O261" s="65"/>
      <c r="P261" s="65"/>
      <c r="Q261" s="65"/>
      <c r="R261" s="65"/>
      <c r="S261" s="65"/>
      <c r="T261" s="65"/>
      <c r="U261" s="65"/>
      <c r="V261" s="65"/>
      <c r="W261" s="65"/>
    </row>
    <row r="262" ht="15.75" customHeight="1">
      <c r="A262" s="37">
        <v>261.0</v>
      </c>
      <c r="B262" s="37" t="s">
        <v>241</v>
      </c>
      <c r="C262" s="36" t="s">
        <v>762</v>
      </c>
      <c r="D262" s="36" t="s">
        <v>763</v>
      </c>
      <c r="E262" s="36" t="s">
        <v>611</v>
      </c>
      <c r="F262" s="41">
        <v>0.35</v>
      </c>
      <c r="G262" s="65"/>
      <c r="H262" s="65"/>
      <c r="I262" s="65"/>
      <c r="J262" s="65"/>
      <c r="K262" s="65"/>
      <c r="L262" s="65"/>
      <c r="M262" s="65"/>
      <c r="N262" s="65"/>
      <c r="O262" s="65"/>
      <c r="P262" s="65"/>
      <c r="Q262" s="65"/>
      <c r="R262" s="65"/>
      <c r="S262" s="65"/>
      <c r="T262" s="65"/>
      <c r="U262" s="65"/>
      <c r="V262" s="65"/>
      <c r="W262" s="65"/>
    </row>
    <row r="263" ht="15.75" customHeight="1">
      <c r="A263" s="37">
        <v>262.0</v>
      </c>
      <c r="B263" s="37" t="s">
        <v>241</v>
      </c>
      <c r="C263" s="36" t="s">
        <v>764</v>
      </c>
      <c r="D263" s="36" t="s">
        <v>765</v>
      </c>
      <c r="E263" s="36" t="s">
        <v>611</v>
      </c>
      <c r="F263" s="41">
        <v>0.4</v>
      </c>
      <c r="G263" s="65"/>
      <c r="H263" s="65"/>
      <c r="I263" s="65"/>
      <c r="J263" s="65"/>
      <c r="K263" s="65"/>
      <c r="L263" s="65"/>
      <c r="M263" s="65"/>
      <c r="N263" s="65"/>
      <c r="O263" s="65"/>
      <c r="P263" s="65"/>
      <c r="Q263" s="65"/>
      <c r="R263" s="65"/>
      <c r="S263" s="65"/>
      <c r="T263" s="65"/>
      <c r="U263" s="65"/>
      <c r="V263" s="65"/>
      <c r="W263" s="65"/>
    </row>
    <row r="264" ht="15.75" customHeight="1">
      <c r="A264" s="37">
        <v>263.0</v>
      </c>
      <c r="B264" s="37" t="s">
        <v>241</v>
      </c>
      <c r="C264" s="36" t="s">
        <v>764</v>
      </c>
      <c r="D264" s="36" t="s">
        <v>765</v>
      </c>
      <c r="E264" s="36" t="s">
        <v>587</v>
      </c>
      <c r="F264" s="41">
        <v>0.3</v>
      </c>
      <c r="G264" s="65"/>
      <c r="H264" s="65"/>
      <c r="I264" s="65"/>
      <c r="J264" s="65"/>
      <c r="K264" s="65"/>
      <c r="L264" s="65"/>
      <c r="M264" s="65"/>
      <c r="N264" s="65"/>
      <c r="O264" s="65"/>
      <c r="P264" s="65"/>
      <c r="Q264" s="65"/>
      <c r="R264" s="65"/>
      <c r="S264" s="65"/>
      <c r="T264" s="65"/>
      <c r="U264" s="65"/>
      <c r="V264" s="65"/>
      <c r="W264" s="65"/>
    </row>
    <row r="265" ht="15.75" customHeight="1">
      <c r="A265" s="37">
        <v>264.0</v>
      </c>
      <c r="B265" s="37" t="s">
        <v>241</v>
      </c>
      <c r="C265" s="36" t="s">
        <v>764</v>
      </c>
      <c r="D265" s="36" t="s">
        <v>765</v>
      </c>
      <c r="E265" s="36" t="s">
        <v>607</v>
      </c>
      <c r="F265" s="41">
        <v>0.6</v>
      </c>
      <c r="G265" s="65"/>
      <c r="H265" s="65"/>
      <c r="I265" s="65"/>
      <c r="J265" s="65"/>
      <c r="K265" s="65"/>
      <c r="L265" s="65"/>
      <c r="M265" s="65"/>
      <c r="N265" s="65"/>
      <c r="O265" s="65"/>
      <c r="P265" s="65"/>
      <c r="Q265" s="65"/>
      <c r="R265" s="65"/>
      <c r="S265" s="65"/>
      <c r="T265" s="65"/>
      <c r="U265" s="65"/>
      <c r="V265" s="65"/>
      <c r="W265" s="65"/>
    </row>
    <row r="266" ht="15.75" customHeight="1">
      <c r="A266" s="37">
        <v>265.0</v>
      </c>
      <c r="B266" s="37" t="s">
        <v>241</v>
      </c>
      <c r="C266" s="36" t="s">
        <v>766</v>
      </c>
      <c r="D266" s="36" t="s">
        <v>767</v>
      </c>
      <c r="E266" s="36" t="s">
        <v>601</v>
      </c>
      <c r="F266" s="41">
        <v>0.4</v>
      </c>
      <c r="G266" s="65"/>
      <c r="H266" s="65"/>
      <c r="I266" s="65"/>
      <c r="J266" s="65"/>
      <c r="K266" s="65"/>
      <c r="L266" s="65"/>
      <c r="M266" s="65"/>
      <c r="N266" s="65"/>
      <c r="O266" s="65"/>
      <c r="P266" s="65"/>
      <c r="Q266" s="65"/>
      <c r="R266" s="65"/>
      <c r="S266" s="65"/>
      <c r="T266" s="65"/>
      <c r="U266" s="65"/>
      <c r="V266" s="65"/>
      <c r="W266" s="65"/>
    </row>
    <row r="267" ht="15.75" customHeight="1">
      <c r="A267" s="37">
        <v>266.0</v>
      </c>
      <c r="B267" s="37" t="s">
        <v>241</v>
      </c>
      <c r="C267" s="36" t="s">
        <v>766</v>
      </c>
      <c r="D267" s="36" t="s">
        <v>767</v>
      </c>
      <c r="E267" s="36" t="s">
        <v>613</v>
      </c>
      <c r="F267" s="41">
        <v>0.5</v>
      </c>
      <c r="G267" s="65"/>
      <c r="H267" s="65"/>
      <c r="I267" s="65"/>
      <c r="J267" s="65"/>
      <c r="K267" s="65"/>
      <c r="L267" s="65"/>
      <c r="M267" s="65"/>
      <c r="N267" s="65"/>
      <c r="O267" s="65"/>
      <c r="P267" s="65"/>
      <c r="Q267" s="65"/>
      <c r="R267" s="65"/>
      <c r="S267" s="65"/>
      <c r="T267" s="65"/>
      <c r="U267" s="65"/>
      <c r="V267" s="65"/>
      <c r="W267" s="65"/>
    </row>
    <row r="268" ht="15.75" customHeight="1">
      <c r="A268" s="37">
        <v>267.0</v>
      </c>
      <c r="B268" s="37" t="s">
        <v>241</v>
      </c>
      <c r="C268" s="36" t="s">
        <v>766</v>
      </c>
      <c r="D268" s="36" t="s">
        <v>767</v>
      </c>
      <c r="E268" s="36" t="s">
        <v>603</v>
      </c>
      <c r="F268" s="41">
        <v>0.3</v>
      </c>
      <c r="G268" s="65"/>
      <c r="H268" s="65"/>
      <c r="I268" s="65"/>
      <c r="J268" s="65"/>
      <c r="K268" s="65"/>
      <c r="L268" s="65"/>
      <c r="M268" s="65"/>
      <c r="N268" s="65"/>
      <c r="O268" s="65"/>
      <c r="P268" s="65"/>
      <c r="Q268" s="65"/>
      <c r="R268" s="65"/>
      <c r="S268" s="65"/>
      <c r="T268" s="65"/>
      <c r="U268" s="65"/>
      <c r="V268" s="65"/>
      <c r="W268" s="65"/>
    </row>
    <row r="269" ht="15.75" customHeight="1">
      <c r="A269" s="37">
        <v>268.0</v>
      </c>
      <c r="B269" s="37" t="s">
        <v>241</v>
      </c>
      <c r="C269" s="36" t="s">
        <v>768</v>
      </c>
      <c r="D269" s="36" t="s">
        <v>769</v>
      </c>
      <c r="E269" s="36" t="s">
        <v>587</v>
      </c>
      <c r="F269" s="41">
        <v>0.4</v>
      </c>
      <c r="G269" s="65"/>
      <c r="H269" s="65"/>
      <c r="I269" s="65"/>
      <c r="J269" s="65"/>
      <c r="K269" s="65"/>
      <c r="L269" s="65"/>
      <c r="M269" s="65"/>
      <c r="N269" s="65"/>
      <c r="O269" s="65"/>
      <c r="P269" s="65"/>
      <c r="Q269" s="65"/>
      <c r="R269" s="65"/>
      <c r="S269" s="65"/>
      <c r="T269" s="65"/>
      <c r="U269" s="65"/>
      <c r="V269" s="65"/>
      <c r="W269" s="65"/>
    </row>
    <row r="270" ht="15.75" customHeight="1">
      <c r="A270" s="37">
        <v>269.0</v>
      </c>
      <c r="B270" s="37" t="s">
        <v>241</v>
      </c>
      <c r="C270" s="36" t="s">
        <v>768</v>
      </c>
      <c r="D270" s="36" t="s">
        <v>769</v>
      </c>
      <c r="E270" s="36" t="s">
        <v>591</v>
      </c>
      <c r="F270" s="41">
        <v>0.5</v>
      </c>
      <c r="G270" s="65"/>
      <c r="H270" s="65"/>
      <c r="I270" s="65"/>
      <c r="J270" s="65"/>
      <c r="K270" s="65"/>
      <c r="L270" s="65"/>
      <c r="M270" s="65"/>
      <c r="N270" s="65"/>
      <c r="O270" s="65"/>
      <c r="P270" s="65"/>
      <c r="Q270" s="65"/>
      <c r="R270" s="65"/>
      <c r="S270" s="65"/>
      <c r="T270" s="65"/>
      <c r="U270" s="65"/>
      <c r="V270" s="65"/>
      <c r="W270" s="65"/>
    </row>
    <row r="271" ht="15.75" customHeight="1">
      <c r="A271" s="37">
        <v>270.0</v>
      </c>
      <c r="B271" s="37" t="s">
        <v>241</v>
      </c>
      <c r="C271" s="36" t="s">
        <v>768</v>
      </c>
      <c r="D271" s="36" t="s">
        <v>769</v>
      </c>
      <c r="E271" s="36" t="s">
        <v>609</v>
      </c>
      <c r="F271" s="41">
        <v>0.3</v>
      </c>
      <c r="G271" s="65"/>
      <c r="H271" s="65"/>
      <c r="I271" s="65"/>
      <c r="J271" s="65"/>
      <c r="K271" s="65"/>
      <c r="L271" s="65"/>
      <c r="M271" s="65"/>
      <c r="N271" s="65"/>
      <c r="O271" s="65"/>
      <c r="P271" s="65"/>
      <c r="Q271" s="65"/>
      <c r="R271" s="65"/>
      <c r="S271" s="65"/>
      <c r="T271" s="65"/>
      <c r="U271" s="65"/>
      <c r="V271" s="65"/>
      <c r="W271" s="65"/>
    </row>
    <row r="272" ht="15.75" customHeight="1">
      <c r="A272" s="37">
        <v>271.0</v>
      </c>
      <c r="B272" s="37" t="s">
        <v>245</v>
      </c>
      <c r="C272" s="36" t="s">
        <v>758</v>
      </c>
      <c r="D272" s="36" t="s">
        <v>770</v>
      </c>
      <c r="E272" s="36" t="s">
        <v>589</v>
      </c>
      <c r="F272" s="41">
        <v>0.2</v>
      </c>
      <c r="G272" s="65"/>
      <c r="H272" s="65"/>
      <c r="I272" s="65"/>
      <c r="J272" s="65"/>
      <c r="K272" s="65"/>
      <c r="L272" s="65"/>
      <c r="M272" s="65"/>
      <c r="N272" s="65"/>
      <c r="O272" s="65"/>
      <c r="P272" s="65"/>
      <c r="Q272" s="65"/>
      <c r="R272" s="65"/>
      <c r="S272" s="65"/>
      <c r="T272" s="65"/>
      <c r="U272" s="65"/>
      <c r="V272" s="65"/>
      <c r="W272" s="65"/>
    </row>
    <row r="273" ht="15.75" customHeight="1">
      <c r="A273" s="37">
        <v>272.0</v>
      </c>
      <c r="B273" s="37" t="s">
        <v>245</v>
      </c>
      <c r="C273" s="36" t="s">
        <v>758</v>
      </c>
      <c r="D273" s="36" t="s">
        <v>770</v>
      </c>
      <c r="E273" s="36" t="s">
        <v>597</v>
      </c>
      <c r="F273" s="41">
        <v>0.4</v>
      </c>
      <c r="G273" s="65"/>
      <c r="H273" s="65"/>
      <c r="I273" s="65"/>
      <c r="J273" s="65"/>
      <c r="K273" s="65"/>
      <c r="L273" s="65"/>
      <c r="M273" s="65"/>
      <c r="N273" s="65"/>
      <c r="O273" s="65"/>
      <c r="P273" s="65"/>
      <c r="Q273" s="65"/>
      <c r="R273" s="65"/>
      <c r="S273" s="65"/>
      <c r="T273" s="65"/>
      <c r="U273" s="65"/>
      <c r="V273" s="65"/>
      <c r="W273" s="65"/>
    </row>
    <row r="274" ht="15.75" customHeight="1">
      <c r="A274" s="37">
        <v>273.0</v>
      </c>
      <c r="B274" s="37" t="s">
        <v>245</v>
      </c>
      <c r="C274" s="36" t="s">
        <v>760</v>
      </c>
      <c r="D274" s="36" t="s">
        <v>771</v>
      </c>
      <c r="E274" s="36" t="s">
        <v>587</v>
      </c>
      <c r="F274" s="41">
        <v>0.2</v>
      </c>
      <c r="G274" s="66"/>
      <c r="H274" s="66"/>
      <c r="I274" s="66"/>
      <c r="J274" s="66"/>
      <c r="K274" s="66"/>
      <c r="L274" s="66"/>
      <c r="M274" s="66"/>
      <c r="N274" s="66"/>
      <c r="O274" s="66"/>
      <c r="P274" s="66"/>
      <c r="Q274" s="66"/>
      <c r="R274" s="66"/>
      <c r="S274" s="66"/>
      <c r="T274" s="66"/>
      <c r="U274" s="66"/>
      <c r="V274" s="66"/>
      <c r="W274" s="66"/>
    </row>
    <row r="275" ht="15.75" customHeight="1">
      <c r="A275" s="37">
        <v>274.0</v>
      </c>
      <c r="B275" s="37" t="s">
        <v>245</v>
      </c>
      <c r="C275" s="36" t="s">
        <v>760</v>
      </c>
      <c r="D275" s="36" t="s">
        <v>771</v>
      </c>
      <c r="E275" s="36" t="s">
        <v>599</v>
      </c>
      <c r="F275" s="41">
        <v>0.6</v>
      </c>
      <c r="G275" s="66"/>
      <c r="H275" s="66"/>
      <c r="I275" s="66"/>
      <c r="J275" s="66"/>
      <c r="K275" s="66"/>
      <c r="L275" s="66"/>
      <c r="M275" s="66"/>
      <c r="N275" s="66"/>
      <c r="O275" s="66"/>
      <c r="P275" s="66"/>
      <c r="Q275" s="66"/>
      <c r="R275" s="66"/>
      <c r="S275" s="66"/>
      <c r="T275" s="66"/>
      <c r="U275" s="66"/>
      <c r="V275" s="66"/>
      <c r="W275" s="66"/>
    </row>
    <row r="276" ht="15.75" customHeight="1">
      <c r="A276" s="37">
        <v>275.0</v>
      </c>
      <c r="B276" s="37" t="s">
        <v>245</v>
      </c>
      <c r="C276" s="36" t="s">
        <v>762</v>
      </c>
      <c r="D276" s="36" t="s">
        <v>772</v>
      </c>
      <c r="E276" s="36" t="s">
        <v>589</v>
      </c>
      <c r="F276" s="41">
        <v>0.4</v>
      </c>
      <c r="G276" s="66"/>
      <c r="H276" s="66"/>
      <c r="I276" s="66"/>
      <c r="J276" s="66"/>
      <c r="K276" s="66"/>
      <c r="L276" s="66"/>
      <c r="M276" s="66"/>
      <c r="N276" s="66"/>
      <c r="O276" s="66"/>
      <c r="P276" s="66"/>
      <c r="Q276" s="66"/>
      <c r="R276" s="66"/>
      <c r="S276" s="66"/>
      <c r="T276" s="66"/>
      <c r="U276" s="66"/>
      <c r="V276" s="66"/>
      <c r="W276" s="66"/>
    </row>
    <row r="277" ht="15.75" customHeight="1">
      <c r="A277" s="37">
        <v>276.0</v>
      </c>
      <c r="B277" s="37" t="s">
        <v>245</v>
      </c>
      <c r="C277" s="36" t="s">
        <v>762</v>
      </c>
      <c r="D277" s="36" t="s">
        <v>772</v>
      </c>
      <c r="E277" s="36" t="s">
        <v>593</v>
      </c>
      <c r="F277" s="41">
        <v>0.2</v>
      </c>
      <c r="G277" s="66"/>
      <c r="H277" s="66"/>
      <c r="I277" s="66"/>
      <c r="J277" s="66"/>
      <c r="K277" s="66"/>
      <c r="L277" s="66"/>
      <c r="M277" s="66"/>
      <c r="N277" s="66"/>
      <c r="O277" s="66"/>
      <c r="P277" s="66"/>
      <c r="Q277" s="66"/>
      <c r="R277" s="66"/>
      <c r="S277" s="66"/>
      <c r="T277" s="66"/>
      <c r="U277" s="66"/>
      <c r="V277" s="66"/>
      <c r="W277" s="66"/>
    </row>
    <row r="278" ht="15.75" customHeight="1">
      <c r="A278" s="37">
        <v>277.0</v>
      </c>
      <c r="B278" s="37" t="s">
        <v>245</v>
      </c>
      <c r="C278" s="36" t="s">
        <v>762</v>
      </c>
      <c r="D278" s="36" t="s">
        <v>772</v>
      </c>
      <c r="E278" s="36" t="s">
        <v>595</v>
      </c>
      <c r="F278" s="41">
        <v>0.3</v>
      </c>
      <c r="G278" s="66"/>
      <c r="H278" s="66"/>
      <c r="I278" s="66"/>
      <c r="J278" s="66"/>
      <c r="K278" s="66"/>
      <c r="L278" s="66"/>
      <c r="M278" s="66"/>
      <c r="N278" s="66"/>
      <c r="O278" s="66"/>
      <c r="P278" s="66"/>
      <c r="Q278" s="66"/>
      <c r="R278" s="66"/>
      <c r="S278" s="66"/>
      <c r="T278" s="66"/>
      <c r="U278" s="66"/>
      <c r="V278" s="66"/>
      <c r="W278" s="66"/>
    </row>
    <row r="279" ht="15.75" customHeight="1">
      <c r="A279" s="37">
        <v>278.0</v>
      </c>
      <c r="B279" s="37" t="s">
        <v>245</v>
      </c>
      <c r="C279" s="36" t="s">
        <v>762</v>
      </c>
      <c r="D279" s="36" t="s">
        <v>772</v>
      </c>
      <c r="E279" s="36" t="s">
        <v>611</v>
      </c>
      <c r="F279" s="41">
        <v>0.3</v>
      </c>
      <c r="G279" s="66"/>
      <c r="H279" s="66"/>
      <c r="I279" s="66"/>
      <c r="J279" s="66"/>
      <c r="K279" s="66"/>
      <c r="L279" s="66"/>
      <c r="M279" s="66"/>
      <c r="N279" s="66"/>
      <c r="O279" s="66"/>
      <c r="P279" s="66"/>
      <c r="Q279" s="66"/>
      <c r="R279" s="66"/>
      <c r="S279" s="66"/>
      <c r="T279" s="66"/>
      <c r="U279" s="66"/>
      <c r="V279" s="66"/>
      <c r="W279" s="66"/>
    </row>
    <row r="280" ht="15.75" customHeight="1">
      <c r="A280" s="37">
        <v>279.0</v>
      </c>
      <c r="B280" s="37" t="s">
        <v>245</v>
      </c>
      <c r="C280" s="36" t="s">
        <v>764</v>
      </c>
      <c r="D280" s="36" t="s">
        <v>773</v>
      </c>
      <c r="E280" s="36" t="s">
        <v>611</v>
      </c>
      <c r="F280" s="41">
        <v>0.35</v>
      </c>
      <c r="G280" s="66"/>
      <c r="H280" s="66"/>
      <c r="I280" s="66"/>
      <c r="J280" s="66"/>
      <c r="K280" s="66"/>
      <c r="L280" s="66"/>
      <c r="M280" s="66"/>
      <c r="N280" s="66"/>
      <c r="O280" s="66"/>
      <c r="P280" s="66"/>
      <c r="Q280" s="66"/>
      <c r="R280" s="66"/>
      <c r="S280" s="66"/>
      <c r="T280" s="66"/>
      <c r="U280" s="66"/>
      <c r="V280" s="66"/>
      <c r="W280" s="66"/>
    </row>
    <row r="281" ht="15.75" customHeight="1">
      <c r="A281" s="37">
        <v>280.0</v>
      </c>
      <c r="B281" s="37" t="s">
        <v>245</v>
      </c>
      <c r="C281" s="36" t="s">
        <v>764</v>
      </c>
      <c r="D281" s="36" t="s">
        <v>773</v>
      </c>
      <c r="E281" s="36" t="s">
        <v>587</v>
      </c>
      <c r="F281" s="41">
        <v>0.2</v>
      </c>
      <c r="G281" s="66"/>
      <c r="H281" s="66"/>
      <c r="I281" s="66"/>
      <c r="J281" s="66"/>
      <c r="K281" s="66"/>
      <c r="L281" s="66"/>
      <c r="M281" s="66"/>
      <c r="N281" s="66"/>
      <c r="O281" s="66"/>
      <c r="P281" s="66"/>
      <c r="Q281" s="66"/>
      <c r="R281" s="66"/>
      <c r="S281" s="66"/>
      <c r="T281" s="66"/>
      <c r="U281" s="66"/>
      <c r="V281" s="66"/>
      <c r="W281" s="66"/>
    </row>
    <row r="282" ht="15.75" customHeight="1">
      <c r="A282" s="37">
        <v>281.0</v>
      </c>
      <c r="B282" s="37" t="s">
        <v>245</v>
      </c>
      <c r="C282" s="36" t="s">
        <v>764</v>
      </c>
      <c r="D282" s="36" t="s">
        <v>773</v>
      </c>
      <c r="E282" s="36" t="s">
        <v>607</v>
      </c>
      <c r="F282" s="41">
        <v>0.5</v>
      </c>
      <c r="G282" s="66"/>
      <c r="H282" s="66"/>
      <c r="I282" s="66"/>
      <c r="J282" s="66"/>
      <c r="K282" s="66"/>
      <c r="L282" s="66"/>
      <c r="M282" s="66"/>
      <c r="N282" s="66"/>
      <c r="O282" s="66"/>
      <c r="P282" s="66"/>
      <c r="Q282" s="66"/>
      <c r="R282" s="66"/>
      <c r="S282" s="66"/>
      <c r="T282" s="66"/>
      <c r="U282" s="66"/>
      <c r="V282" s="66"/>
      <c r="W282" s="66"/>
    </row>
    <row r="283" ht="15.75" customHeight="1">
      <c r="A283" s="37">
        <v>282.0</v>
      </c>
      <c r="B283" s="37" t="s">
        <v>245</v>
      </c>
      <c r="C283" s="36" t="s">
        <v>766</v>
      </c>
      <c r="D283" s="36" t="s">
        <v>774</v>
      </c>
      <c r="E283" s="36" t="s">
        <v>601</v>
      </c>
      <c r="F283" s="41">
        <v>0.2</v>
      </c>
      <c r="G283" s="66"/>
      <c r="H283" s="66"/>
      <c r="I283" s="66"/>
      <c r="J283" s="66"/>
      <c r="K283" s="66"/>
      <c r="L283" s="66"/>
      <c r="M283" s="66"/>
      <c r="N283" s="66"/>
      <c r="O283" s="66"/>
      <c r="P283" s="66"/>
      <c r="Q283" s="66"/>
      <c r="R283" s="66"/>
      <c r="S283" s="66"/>
      <c r="T283" s="66"/>
      <c r="U283" s="66"/>
      <c r="V283" s="66"/>
      <c r="W283" s="66"/>
    </row>
    <row r="284" ht="15.75" customHeight="1">
      <c r="A284" s="37">
        <v>283.0</v>
      </c>
      <c r="B284" s="37" t="s">
        <v>245</v>
      </c>
      <c r="C284" s="36" t="s">
        <v>766</v>
      </c>
      <c r="D284" s="36" t="s">
        <v>774</v>
      </c>
      <c r="E284" s="36" t="s">
        <v>613</v>
      </c>
      <c r="F284" s="41">
        <v>0.3</v>
      </c>
      <c r="G284" s="66"/>
      <c r="H284" s="66"/>
      <c r="I284" s="66"/>
      <c r="J284" s="66"/>
      <c r="K284" s="66"/>
      <c r="L284" s="66"/>
      <c r="M284" s="66"/>
      <c r="N284" s="66"/>
      <c r="O284" s="66"/>
      <c r="P284" s="66"/>
      <c r="Q284" s="66"/>
      <c r="R284" s="66"/>
      <c r="S284" s="66"/>
      <c r="T284" s="66"/>
      <c r="U284" s="66"/>
      <c r="V284" s="66"/>
      <c r="W284" s="66"/>
    </row>
    <row r="285" ht="15.75" customHeight="1">
      <c r="A285" s="37">
        <v>284.0</v>
      </c>
      <c r="B285" s="37" t="s">
        <v>245</v>
      </c>
      <c r="C285" s="36" t="s">
        <v>768</v>
      </c>
      <c r="D285" s="36" t="s">
        <v>775</v>
      </c>
      <c r="E285" s="36" t="s">
        <v>587</v>
      </c>
      <c r="F285" s="41">
        <v>0.2</v>
      </c>
      <c r="G285" s="66"/>
      <c r="H285" s="66"/>
      <c r="I285" s="66"/>
      <c r="J285" s="66"/>
      <c r="K285" s="66"/>
      <c r="L285" s="66"/>
      <c r="M285" s="66"/>
      <c r="N285" s="66"/>
      <c r="O285" s="66"/>
      <c r="P285" s="66"/>
      <c r="Q285" s="66"/>
      <c r="R285" s="66"/>
      <c r="S285" s="66"/>
      <c r="T285" s="66"/>
      <c r="U285" s="66"/>
      <c r="V285" s="66"/>
      <c r="W285" s="66"/>
    </row>
    <row r="286" ht="15.75" customHeight="1">
      <c r="A286" s="37">
        <v>285.0</v>
      </c>
      <c r="B286" s="37" t="s">
        <v>245</v>
      </c>
      <c r="C286" s="36" t="s">
        <v>768</v>
      </c>
      <c r="D286" s="36" t="s">
        <v>775</v>
      </c>
      <c r="E286" s="36" t="s">
        <v>609</v>
      </c>
      <c r="F286" s="41">
        <v>0.3</v>
      </c>
      <c r="G286" s="66"/>
      <c r="H286" s="66"/>
      <c r="I286" s="66"/>
      <c r="J286" s="66"/>
      <c r="K286" s="66"/>
      <c r="L286" s="66"/>
      <c r="M286" s="66"/>
      <c r="N286" s="66"/>
      <c r="O286" s="66"/>
      <c r="P286" s="66"/>
      <c r="Q286" s="66"/>
      <c r="R286" s="66"/>
      <c r="S286" s="66"/>
      <c r="T286" s="66"/>
      <c r="U286" s="66"/>
      <c r="V286" s="66"/>
      <c r="W286" s="66"/>
    </row>
    <row r="287" ht="15.75" customHeight="1">
      <c r="A287" s="37">
        <v>286.0</v>
      </c>
      <c r="B287" s="37" t="s">
        <v>245</v>
      </c>
      <c r="C287" s="36" t="s">
        <v>768</v>
      </c>
      <c r="D287" s="36" t="s">
        <v>775</v>
      </c>
      <c r="E287" s="36" t="s">
        <v>591</v>
      </c>
      <c r="F287" s="41">
        <v>0.3</v>
      </c>
      <c r="G287" s="66"/>
      <c r="H287" s="66"/>
      <c r="I287" s="66"/>
      <c r="J287" s="66"/>
      <c r="K287" s="66"/>
      <c r="L287" s="66"/>
      <c r="M287" s="66"/>
      <c r="N287" s="66"/>
      <c r="O287" s="66"/>
      <c r="P287" s="66"/>
      <c r="Q287" s="66"/>
      <c r="R287" s="66"/>
      <c r="S287" s="66"/>
      <c r="T287" s="66"/>
      <c r="U287" s="66"/>
      <c r="V287" s="66"/>
      <c r="W287" s="66"/>
    </row>
    <row r="288" ht="15.75" customHeight="1">
      <c r="A288" s="22">
        <v>287.0</v>
      </c>
      <c r="B288" s="22" t="s">
        <v>241</v>
      </c>
      <c r="C288" s="22" t="s">
        <v>766</v>
      </c>
      <c r="D288" s="22" t="s">
        <v>767</v>
      </c>
      <c r="E288" s="22" t="s">
        <v>613</v>
      </c>
      <c r="F288" s="22">
        <v>0.4</v>
      </c>
    </row>
    <row r="289" ht="15.75" customHeight="1">
      <c r="A289" s="22">
        <v>288.0</v>
      </c>
      <c r="B289" s="22" t="s">
        <v>241</v>
      </c>
      <c r="C289" s="22" t="s">
        <v>766</v>
      </c>
      <c r="D289" s="22" t="s">
        <v>767</v>
      </c>
      <c r="E289" s="22" t="s">
        <v>601</v>
      </c>
      <c r="F289" s="22">
        <v>0.2</v>
      </c>
    </row>
    <row r="290" ht="15.75" customHeight="1">
      <c r="A290" s="22">
        <v>289.0</v>
      </c>
      <c r="B290" s="22" t="s">
        <v>241</v>
      </c>
      <c r="C290" s="22" t="s">
        <v>766</v>
      </c>
      <c r="D290" s="22" t="s">
        <v>767</v>
      </c>
      <c r="E290" s="22" t="s">
        <v>609</v>
      </c>
      <c r="F290" s="22">
        <v>0.2</v>
      </c>
    </row>
    <row r="291" ht="15.75" customHeight="1">
      <c r="A291" s="22">
        <v>290.0</v>
      </c>
      <c r="B291" s="22" t="s">
        <v>241</v>
      </c>
      <c r="C291" s="22" t="s">
        <v>758</v>
      </c>
      <c r="D291" s="22" t="s">
        <v>759</v>
      </c>
      <c r="E291" s="22" t="s">
        <v>597</v>
      </c>
      <c r="F291" s="22">
        <v>0.4</v>
      </c>
    </row>
    <row r="292" ht="15.75" customHeight="1">
      <c r="A292" s="22">
        <v>291.0</v>
      </c>
      <c r="B292" s="22" t="s">
        <v>241</v>
      </c>
      <c r="C292" s="22" t="s">
        <v>758</v>
      </c>
      <c r="D292" s="22" t="s">
        <v>759</v>
      </c>
      <c r="E292" s="22" t="s">
        <v>589</v>
      </c>
      <c r="F292" s="22">
        <v>0.2</v>
      </c>
    </row>
    <row r="293" ht="15.75" customHeight="1">
      <c r="A293" s="22">
        <v>292.0</v>
      </c>
      <c r="B293" s="22" t="s">
        <v>241</v>
      </c>
      <c r="C293" s="22" t="s">
        <v>758</v>
      </c>
      <c r="D293" s="22" t="s">
        <v>759</v>
      </c>
      <c r="E293" s="22" t="s">
        <v>595</v>
      </c>
      <c r="F293" s="22">
        <v>0.2</v>
      </c>
    </row>
    <row r="294" ht="15.75" customHeight="1">
      <c r="A294" s="5"/>
      <c r="B294" s="5"/>
      <c r="C294" s="5"/>
      <c r="D294" s="5"/>
      <c r="E294" s="5"/>
      <c r="F294" s="5"/>
    </row>
    <row r="295" ht="15.75" customHeight="1">
      <c r="A295" s="5"/>
      <c r="B295" s="5"/>
      <c r="C295" s="5"/>
      <c r="D295" s="5"/>
      <c r="E295" s="5"/>
      <c r="F295" s="5"/>
    </row>
    <row r="296" ht="15.75" customHeight="1">
      <c r="A296" s="5"/>
      <c r="B296" s="5"/>
      <c r="C296" s="5"/>
      <c r="D296" s="5"/>
      <c r="E296" s="5"/>
      <c r="F296" s="5"/>
    </row>
    <row r="297" ht="15.75" customHeight="1">
      <c r="A297" s="5"/>
      <c r="B297" s="5"/>
      <c r="C297" s="5"/>
      <c r="D297" s="5"/>
      <c r="E297" s="5"/>
      <c r="F297" s="5"/>
    </row>
    <row r="298" ht="15.75" customHeight="1">
      <c r="A298" s="5"/>
      <c r="B298" s="5"/>
      <c r="C298" s="5"/>
      <c r="D298" s="5"/>
      <c r="E298" s="5"/>
      <c r="F298" s="5"/>
    </row>
    <row r="299" ht="15.75" customHeight="1">
      <c r="A299" s="5"/>
      <c r="B299" s="5"/>
      <c r="C299" s="5"/>
      <c r="D299" s="5"/>
      <c r="E299" s="5"/>
      <c r="F299" s="5"/>
    </row>
    <row r="300" ht="15.75" customHeight="1">
      <c r="A300" s="5"/>
      <c r="B300" s="5"/>
      <c r="C300" s="5"/>
      <c r="D300" s="5"/>
      <c r="E300" s="5"/>
      <c r="F300" s="5"/>
    </row>
    <row r="301" ht="15.75" customHeight="1">
      <c r="A301" s="5"/>
      <c r="B301" s="5"/>
      <c r="C301" s="5"/>
      <c r="D301" s="5"/>
      <c r="E301" s="5"/>
      <c r="F301" s="5"/>
    </row>
    <row r="302" ht="15.75" customHeight="1">
      <c r="A302" s="5"/>
      <c r="B302" s="5"/>
      <c r="C302" s="5"/>
      <c r="D302" s="5"/>
      <c r="E302" s="5"/>
      <c r="F302" s="5"/>
    </row>
    <row r="303" ht="15.75" customHeight="1">
      <c r="A303" s="5"/>
      <c r="B303" s="5"/>
      <c r="C303" s="5"/>
      <c r="D303" s="5"/>
      <c r="E303" s="5"/>
      <c r="F303" s="5"/>
    </row>
    <row r="304" ht="15.75" customHeight="1">
      <c r="A304" s="5"/>
      <c r="B304" s="5"/>
      <c r="C304" s="5"/>
      <c r="D304" s="5"/>
      <c r="E304" s="5"/>
      <c r="F304" s="5"/>
    </row>
    <row r="305" ht="15.75" customHeight="1">
      <c r="A305" s="5"/>
      <c r="B305" s="5"/>
      <c r="C305" s="5"/>
      <c r="D305" s="5"/>
      <c r="E305" s="5"/>
      <c r="F305" s="5"/>
    </row>
    <row r="306" ht="15.75" customHeight="1">
      <c r="A306" s="5"/>
      <c r="B306" s="5"/>
      <c r="C306" s="5"/>
      <c r="D306" s="5"/>
      <c r="E306" s="5"/>
      <c r="F306" s="5"/>
    </row>
    <row r="307" ht="15.75" customHeight="1">
      <c r="A307" s="5"/>
      <c r="B307" s="5"/>
      <c r="C307" s="5"/>
      <c r="D307" s="5"/>
      <c r="E307" s="5"/>
      <c r="F307" s="5"/>
    </row>
    <row r="308" ht="15.75" customHeight="1">
      <c r="A308" s="5"/>
      <c r="B308" s="5"/>
      <c r="C308" s="5"/>
      <c r="D308" s="5"/>
      <c r="E308" s="5"/>
      <c r="F308" s="5"/>
    </row>
    <row r="309" ht="15.75" customHeight="1">
      <c r="A309" s="5"/>
      <c r="B309" s="5"/>
      <c r="C309" s="5"/>
      <c r="D309" s="5"/>
      <c r="E309" s="5"/>
      <c r="F309" s="5"/>
    </row>
    <row r="310" ht="15.75" customHeight="1">
      <c r="A310" s="5"/>
      <c r="B310" s="5"/>
      <c r="C310" s="5"/>
      <c r="D310" s="5"/>
      <c r="E310" s="5"/>
      <c r="F310" s="5"/>
    </row>
    <row r="311" ht="15.75" customHeight="1">
      <c r="A311" s="5"/>
      <c r="B311" s="5"/>
      <c r="C311" s="5"/>
      <c r="D311" s="5"/>
      <c r="E311" s="5"/>
      <c r="F311" s="5"/>
    </row>
    <row r="312" ht="15.75" customHeight="1">
      <c r="A312" s="5"/>
      <c r="B312" s="5"/>
      <c r="C312" s="5"/>
      <c r="D312" s="5"/>
      <c r="E312" s="5"/>
      <c r="F312" s="5"/>
    </row>
    <row r="313" ht="15.75" customHeight="1">
      <c r="A313" s="5"/>
      <c r="B313" s="5"/>
      <c r="C313" s="5"/>
      <c r="D313" s="5"/>
      <c r="E313" s="5"/>
      <c r="F313" s="5"/>
    </row>
    <row r="314" ht="15.75" customHeight="1">
      <c r="A314" s="5"/>
      <c r="B314" s="5"/>
      <c r="C314" s="5"/>
      <c r="D314" s="5"/>
      <c r="E314" s="5"/>
      <c r="F314" s="5"/>
    </row>
    <row r="315" ht="15.75" customHeight="1">
      <c r="A315" s="5"/>
      <c r="B315" s="5"/>
      <c r="C315" s="5"/>
      <c r="D315" s="5"/>
      <c r="E315" s="5"/>
      <c r="F315" s="5"/>
    </row>
    <row r="316" ht="15.75" customHeight="1">
      <c r="A316" s="5"/>
      <c r="B316" s="5"/>
      <c r="C316" s="5"/>
      <c r="D316" s="5"/>
      <c r="E316" s="5"/>
      <c r="F316" s="5"/>
    </row>
    <row r="317" ht="15.75" customHeight="1">
      <c r="A317" s="5"/>
      <c r="B317" s="5"/>
      <c r="C317" s="5"/>
      <c r="D317" s="5"/>
      <c r="E317" s="5"/>
      <c r="F317" s="5"/>
    </row>
    <row r="318" ht="15.75" customHeight="1">
      <c r="A318" s="5"/>
      <c r="B318" s="5"/>
      <c r="C318" s="5"/>
      <c r="D318" s="5"/>
      <c r="E318" s="5"/>
      <c r="F318" s="5"/>
    </row>
    <row r="319" ht="15.75" customHeight="1">
      <c r="A319" s="5"/>
      <c r="B319" s="5"/>
      <c r="C319" s="5"/>
      <c r="D319" s="5"/>
      <c r="E319" s="5"/>
      <c r="F319" s="5"/>
    </row>
    <row r="320" ht="15.75" customHeight="1">
      <c r="A320" s="5"/>
      <c r="B320" s="5"/>
      <c r="C320" s="5"/>
      <c r="D320" s="5"/>
      <c r="E320" s="5"/>
      <c r="F320" s="5"/>
    </row>
    <row r="321" ht="15.75" customHeight="1">
      <c r="A321" s="5"/>
      <c r="B321" s="5"/>
      <c r="C321" s="5"/>
      <c r="D321" s="5"/>
      <c r="E321" s="5"/>
      <c r="F321" s="5"/>
    </row>
    <row r="322" ht="15.75" customHeight="1">
      <c r="A322" s="5"/>
      <c r="B322" s="5"/>
      <c r="C322" s="5"/>
      <c r="D322" s="5"/>
      <c r="E322" s="5"/>
      <c r="F322" s="5"/>
    </row>
    <row r="323" ht="15.75" customHeight="1">
      <c r="A323" s="5"/>
      <c r="B323" s="5"/>
      <c r="C323" s="5"/>
      <c r="D323" s="5"/>
      <c r="E323" s="5"/>
      <c r="F323" s="5"/>
    </row>
    <row r="324" ht="15.75" customHeight="1">
      <c r="A324" s="5"/>
      <c r="B324" s="5"/>
      <c r="C324" s="5"/>
      <c r="D324" s="5"/>
      <c r="E324" s="5"/>
      <c r="F324" s="5"/>
    </row>
    <row r="325" ht="15.75" customHeight="1">
      <c r="A325" s="5"/>
      <c r="B325" s="5"/>
      <c r="C325" s="5"/>
      <c r="D325" s="5"/>
      <c r="E325" s="5"/>
      <c r="F325" s="5"/>
    </row>
    <row r="326" ht="15.75" customHeight="1">
      <c r="A326" s="5"/>
      <c r="B326" s="5"/>
      <c r="C326" s="5"/>
      <c r="D326" s="5"/>
      <c r="E326" s="5"/>
      <c r="F326" s="5"/>
    </row>
    <row r="327" ht="15.75" customHeight="1">
      <c r="A327" s="5"/>
      <c r="B327" s="5"/>
      <c r="C327" s="5"/>
      <c r="D327" s="5"/>
      <c r="E327" s="5"/>
      <c r="F327" s="5"/>
    </row>
    <row r="328" ht="15.75" customHeight="1">
      <c r="A328" s="5"/>
      <c r="B328" s="5"/>
      <c r="C328" s="5"/>
      <c r="D328" s="5"/>
      <c r="E328" s="5"/>
      <c r="F328" s="5"/>
    </row>
    <row r="329" ht="15.75" customHeight="1">
      <c r="A329" s="5"/>
      <c r="B329" s="5"/>
      <c r="C329" s="5"/>
      <c r="D329" s="5"/>
      <c r="E329" s="5"/>
      <c r="F329" s="5"/>
    </row>
    <row r="330" ht="15.75" customHeight="1">
      <c r="A330" s="5"/>
      <c r="B330" s="5"/>
      <c r="C330" s="5"/>
      <c r="D330" s="5"/>
      <c r="E330" s="5"/>
      <c r="F330" s="5"/>
    </row>
    <row r="331" ht="15.75" customHeight="1">
      <c r="A331" s="5"/>
      <c r="B331" s="5"/>
      <c r="C331" s="5"/>
      <c r="D331" s="5"/>
      <c r="E331" s="5"/>
      <c r="F331" s="5"/>
    </row>
    <row r="332" ht="15.75" customHeight="1">
      <c r="A332" s="5"/>
      <c r="B332" s="5"/>
      <c r="C332" s="5"/>
      <c r="D332" s="5"/>
      <c r="E332" s="5"/>
      <c r="F332" s="5"/>
    </row>
    <row r="333" ht="15.75" customHeight="1">
      <c r="A333" s="5"/>
      <c r="B333" s="5"/>
      <c r="C333" s="5"/>
      <c r="D333" s="5"/>
      <c r="E333" s="5"/>
      <c r="F333" s="5"/>
    </row>
    <row r="334" ht="15.75" customHeight="1">
      <c r="A334" s="5"/>
      <c r="B334" s="5"/>
      <c r="C334" s="5"/>
      <c r="D334" s="5"/>
      <c r="E334" s="5"/>
      <c r="F334" s="5"/>
    </row>
    <row r="335" ht="15.75" customHeight="1">
      <c r="A335" s="5"/>
      <c r="B335" s="5"/>
      <c r="C335" s="5"/>
      <c r="D335" s="5"/>
      <c r="E335" s="5"/>
      <c r="F335" s="5"/>
    </row>
    <row r="336" ht="15.75" customHeight="1">
      <c r="A336" s="5"/>
      <c r="B336" s="5"/>
      <c r="C336" s="5"/>
      <c r="D336" s="5"/>
      <c r="E336" s="5"/>
      <c r="F336" s="5"/>
    </row>
    <row r="337" ht="15.75" customHeight="1">
      <c r="A337" s="5"/>
      <c r="B337" s="5"/>
      <c r="C337" s="5"/>
      <c r="D337" s="5"/>
      <c r="E337" s="5"/>
      <c r="F337" s="5"/>
    </row>
    <row r="338" ht="15.75" customHeight="1">
      <c r="A338" s="5"/>
      <c r="B338" s="5"/>
      <c r="C338" s="5"/>
      <c r="D338" s="5"/>
      <c r="E338" s="5"/>
      <c r="F338" s="5"/>
    </row>
    <row r="339" ht="15.75" customHeight="1">
      <c r="A339" s="5"/>
      <c r="B339" s="5"/>
      <c r="C339" s="5"/>
      <c r="D339" s="5"/>
      <c r="E339" s="5"/>
      <c r="F339" s="5"/>
    </row>
    <row r="340" ht="15.75" customHeight="1">
      <c r="A340" s="5"/>
      <c r="B340" s="5"/>
      <c r="C340" s="5"/>
      <c r="D340" s="5"/>
      <c r="E340" s="5"/>
      <c r="F340" s="5"/>
    </row>
    <row r="341" ht="15.75" customHeight="1">
      <c r="A341" s="5"/>
      <c r="B341" s="5"/>
      <c r="C341" s="5"/>
      <c r="D341" s="5"/>
      <c r="E341" s="5"/>
      <c r="F341" s="5"/>
    </row>
    <row r="342" ht="15.75" customHeight="1">
      <c r="A342" s="5"/>
      <c r="B342" s="5"/>
      <c r="C342" s="5"/>
      <c r="D342" s="5"/>
      <c r="E342" s="5"/>
      <c r="F342" s="5"/>
    </row>
    <row r="343" ht="15.75" customHeight="1">
      <c r="A343" s="5"/>
      <c r="B343" s="5"/>
      <c r="C343" s="5"/>
      <c r="D343" s="5"/>
      <c r="E343" s="5"/>
      <c r="F343" s="5"/>
    </row>
    <row r="344" ht="15.75" customHeight="1">
      <c r="A344" s="5"/>
      <c r="B344" s="5"/>
      <c r="C344" s="5"/>
      <c r="D344" s="5"/>
      <c r="E344" s="5"/>
      <c r="F344" s="5"/>
    </row>
    <row r="345" ht="15.75" customHeight="1">
      <c r="A345" s="5"/>
      <c r="B345" s="5"/>
      <c r="C345" s="5"/>
      <c r="D345" s="5"/>
      <c r="E345" s="5"/>
      <c r="F345" s="5"/>
    </row>
    <row r="346" ht="15.75" customHeight="1">
      <c r="A346" s="5"/>
      <c r="B346" s="5"/>
      <c r="C346" s="5"/>
      <c r="D346" s="5"/>
      <c r="E346" s="5"/>
      <c r="F346" s="5"/>
    </row>
    <row r="347" ht="15.75" customHeight="1">
      <c r="A347" s="5"/>
      <c r="B347" s="5"/>
      <c r="C347" s="5"/>
      <c r="D347" s="5"/>
      <c r="E347" s="5"/>
      <c r="F347" s="5"/>
    </row>
    <row r="348" ht="15.75" customHeight="1">
      <c r="A348" s="5"/>
      <c r="B348" s="5"/>
      <c r="C348" s="5"/>
      <c r="D348" s="5"/>
      <c r="E348" s="5"/>
      <c r="F348" s="5"/>
    </row>
    <row r="349" ht="15.75" customHeight="1">
      <c r="A349" s="5"/>
      <c r="B349" s="5"/>
      <c r="C349" s="5"/>
      <c r="D349" s="5"/>
      <c r="E349" s="5"/>
      <c r="F349" s="5"/>
    </row>
    <row r="350" ht="15.75" customHeight="1">
      <c r="A350" s="5"/>
      <c r="B350" s="5"/>
      <c r="C350" s="5"/>
      <c r="D350" s="5"/>
      <c r="E350" s="5"/>
      <c r="F350" s="5"/>
    </row>
    <row r="351" ht="15.75" customHeight="1">
      <c r="A351" s="5"/>
      <c r="B351" s="5"/>
      <c r="C351" s="5"/>
      <c r="D351" s="5"/>
      <c r="E351" s="5"/>
      <c r="F351" s="5"/>
    </row>
    <row r="352" ht="15.75" customHeight="1">
      <c r="A352" s="5"/>
      <c r="B352" s="5"/>
      <c r="C352" s="5"/>
      <c r="D352" s="5"/>
      <c r="E352" s="5"/>
      <c r="F352" s="5"/>
    </row>
    <row r="353" ht="15.75" customHeight="1">
      <c r="A353" s="5"/>
      <c r="B353" s="5"/>
      <c r="C353" s="5"/>
      <c r="D353" s="5"/>
      <c r="E353" s="5"/>
      <c r="F353" s="5"/>
    </row>
    <row r="354" ht="15.75" customHeight="1">
      <c r="A354" s="5"/>
      <c r="B354" s="5"/>
      <c r="C354" s="5"/>
      <c r="D354" s="5"/>
      <c r="E354" s="5"/>
      <c r="F354" s="5"/>
    </row>
    <row r="355" ht="15.75" customHeight="1">
      <c r="A355" s="5"/>
      <c r="B355" s="5"/>
      <c r="C355" s="5"/>
      <c r="D355" s="5"/>
      <c r="E355" s="5"/>
      <c r="F355" s="5"/>
    </row>
    <row r="356" ht="15.75" customHeight="1">
      <c r="A356" s="5"/>
      <c r="B356" s="5"/>
      <c r="C356" s="5"/>
      <c r="D356" s="5"/>
      <c r="E356" s="5"/>
      <c r="F356" s="5"/>
    </row>
    <row r="357" ht="15.75" customHeight="1">
      <c r="A357" s="5"/>
      <c r="B357" s="5"/>
      <c r="C357" s="5"/>
      <c r="D357" s="5"/>
      <c r="E357" s="5"/>
      <c r="F357" s="5"/>
    </row>
    <row r="358" ht="15.75" customHeight="1">
      <c r="A358" s="5"/>
      <c r="B358" s="5"/>
      <c r="C358" s="5"/>
      <c r="D358" s="5"/>
      <c r="E358" s="5"/>
      <c r="F358" s="5"/>
    </row>
    <row r="359" ht="15.75" customHeight="1">
      <c r="A359" s="5"/>
      <c r="B359" s="5"/>
      <c r="C359" s="5"/>
      <c r="D359" s="5"/>
      <c r="E359" s="5"/>
      <c r="F359" s="5"/>
    </row>
    <row r="360" ht="15.75" customHeight="1">
      <c r="A360" s="5"/>
      <c r="B360" s="5"/>
      <c r="C360" s="5"/>
      <c r="D360" s="5"/>
      <c r="E360" s="5"/>
      <c r="F360" s="5"/>
    </row>
    <row r="361" ht="15.75" customHeight="1">
      <c r="A361" s="5"/>
      <c r="B361" s="5"/>
      <c r="C361" s="5"/>
      <c r="D361" s="5"/>
      <c r="E361" s="5"/>
      <c r="F361" s="5"/>
    </row>
    <row r="362" ht="15.75" customHeight="1">
      <c r="A362" s="5"/>
      <c r="B362" s="5"/>
      <c r="C362" s="5"/>
      <c r="D362" s="5"/>
      <c r="E362" s="5"/>
      <c r="F362" s="5"/>
    </row>
    <row r="363" ht="15.75" customHeight="1">
      <c r="A363" s="5"/>
      <c r="B363" s="5"/>
      <c r="C363" s="5"/>
      <c r="D363" s="5"/>
      <c r="E363" s="5"/>
      <c r="F363" s="5"/>
    </row>
    <row r="364" ht="15.75" customHeight="1">
      <c r="A364" s="5"/>
      <c r="B364" s="5"/>
      <c r="C364" s="5"/>
      <c r="D364" s="5"/>
      <c r="E364" s="5"/>
      <c r="F364" s="5"/>
    </row>
    <row r="365" ht="15.75" customHeight="1">
      <c r="A365" s="5"/>
      <c r="B365" s="5"/>
      <c r="C365" s="5"/>
      <c r="D365" s="5"/>
      <c r="E365" s="5"/>
      <c r="F365" s="5"/>
    </row>
    <row r="366" ht="15.75" customHeight="1">
      <c r="A366" s="5"/>
      <c r="B366" s="5"/>
      <c r="C366" s="5"/>
      <c r="D366" s="5"/>
      <c r="E366" s="5"/>
      <c r="F366" s="5"/>
    </row>
    <row r="367" ht="15.75" customHeight="1">
      <c r="A367" s="5"/>
      <c r="B367" s="5"/>
      <c r="C367" s="5"/>
      <c r="D367" s="5"/>
      <c r="E367" s="5"/>
      <c r="F367" s="5"/>
    </row>
    <row r="368" ht="15.75" customHeight="1">
      <c r="A368" s="5"/>
      <c r="B368" s="5"/>
      <c r="C368" s="5"/>
      <c r="D368" s="5"/>
      <c r="E368" s="5"/>
      <c r="F368" s="5"/>
    </row>
    <row r="369" ht="15.75" customHeight="1">
      <c r="A369" s="5"/>
      <c r="B369" s="5"/>
      <c r="C369" s="5"/>
      <c r="D369" s="5"/>
      <c r="E369" s="5"/>
      <c r="F369" s="5"/>
    </row>
    <row r="370" ht="15.75" customHeight="1">
      <c r="A370" s="5"/>
      <c r="B370" s="5"/>
      <c r="C370" s="5"/>
      <c r="D370" s="5"/>
      <c r="E370" s="5"/>
      <c r="F370" s="5"/>
    </row>
    <row r="371" ht="15.75" customHeight="1">
      <c r="A371" s="5"/>
      <c r="B371" s="5"/>
      <c r="C371" s="5"/>
      <c r="D371" s="5"/>
      <c r="E371" s="5"/>
      <c r="F371" s="5"/>
    </row>
    <row r="372" ht="15.75" customHeight="1">
      <c r="A372" s="5"/>
      <c r="B372" s="5"/>
      <c r="C372" s="5"/>
      <c r="D372" s="5"/>
      <c r="E372" s="5"/>
      <c r="F372" s="5"/>
    </row>
    <row r="373" ht="15.75" customHeight="1">
      <c r="A373" s="5"/>
      <c r="B373" s="5"/>
      <c r="C373" s="5"/>
      <c r="D373" s="5"/>
      <c r="E373" s="5"/>
      <c r="F373" s="5"/>
    </row>
    <row r="374" ht="15.75" customHeight="1">
      <c r="A374" s="5"/>
      <c r="B374" s="5"/>
      <c r="C374" s="5"/>
      <c r="D374" s="5"/>
      <c r="E374" s="5"/>
      <c r="F374" s="5"/>
    </row>
    <row r="375" ht="15.75" customHeight="1">
      <c r="A375" s="5"/>
      <c r="B375" s="5"/>
      <c r="C375" s="5"/>
      <c r="D375" s="5"/>
      <c r="E375" s="5"/>
      <c r="F375" s="5"/>
    </row>
    <row r="376" ht="15.75" customHeight="1">
      <c r="A376" s="5"/>
      <c r="B376" s="5"/>
      <c r="C376" s="5"/>
      <c r="D376" s="5"/>
      <c r="E376" s="5"/>
      <c r="F376" s="5"/>
    </row>
    <row r="377" ht="15.75" customHeight="1">
      <c r="A377" s="5"/>
      <c r="B377" s="5"/>
      <c r="C377" s="5"/>
      <c r="D377" s="5"/>
      <c r="E377" s="5"/>
      <c r="F377" s="5"/>
    </row>
    <row r="378" ht="15.75" customHeight="1">
      <c r="A378" s="5"/>
      <c r="B378" s="5"/>
      <c r="C378" s="5"/>
      <c r="D378" s="5"/>
      <c r="E378" s="5"/>
      <c r="F378" s="5"/>
    </row>
    <row r="379" ht="15.75" customHeight="1">
      <c r="A379" s="5"/>
      <c r="B379" s="5"/>
      <c r="C379" s="5"/>
      <c r="D379" s="5"/>
      <c r="E379" s="5"/>
      <c r="F379" s="5"/>
    </row>
    <row r="380" ht="15.75" customHeight="1">
      <c r="A380" s="5"/>
      <c r="B380" s="5"/>
      <c r="C380" s="5"/>
      <c r="D380" s="5"/>
      <c r="E380" s="5"/>
      <c r="F380" s="5"/>
    </row>
    <row r="381" ht="15.75" customHeight="1">
      <c r="A381" s="5"/>
      <c r="B381" s="5"/>
      <c r="C381" s="5"/>
      <c r="D381" s="5"/>
      <c r="E381" s="5"/>
      <c r="F381" s="5"/>
    </row>
    <row r="382" ht="15.75" customHeight="1">
      <c r="A382" s="5"/>
      <c r="B382" s="5"/>
      <c r="C382" s="5"/>
      <c r="D382" s="5"/>
      <c r="E382" s="5"/>
      <c r="F382" s="5"/>
    </row>
    <row r="383" ht="15.75" customHeight="1">
      <c r="A383" s="5"/>
      <c r="B383" s="5"/>
      <c r="C383" s="5"/>
      <c r="D383" s="5"/>
      <c r="E383" s="5"/>
      <c r="F383" s="5"/>
    </row>
    <row r="384" ht="15.75" customHeight="1">
      <c r="A384" s="5"/>
      <c r="B384" s="5"/>
      <c r="C384" s="5"/>
      <c r="D384" s="5"/>
      <c r="E384" s="5"/>
      <c r="F384" s="5"/>
    </row>
    <row r="385" ht="15.75" customHeight="1">
      <c r="A385" s="5"/>
      <c r="B385" s="5"/>
      <c r="C385" s="5"/>
      <c r="D385" s="5"/>
      <c r="E385" s="5"/>
      <c r="F385" s="5"/>
    </row>
    <row r="386" ht="15.75" customHeight="1">
      <c r="A386" s="5"/>
      <c r="B386" s="5"/>
      <c r="C386" s="5"/>
      <c r="D386" s="5"/>
      <c r="E386" s="5"/>
      <c r="F386" s="5"/>
    </row>
    <row r="387" ht="15.75" customHeight="1">
      <c r="A387" s="5"/>
      <c r="B387" s="5"/>
      <c r="C387" s="5"/>
      <c r="D387" s="5"/>
      <c r="E387" s="5"/>
      <c r="F387" s="5"/>
    </row>
    <row r="388" ht="15.75" customHeight="1">
      <c r="A388" s="5"/>
      <c r="B388" s="5"/>
      <c r="C388" s="5"/>
      <c r="D388" s="5"/>
      <c r="E388" s="5"/>
      <c r="F388" s="5"/>
    </row>
    <row r="389" ht="15.75" customHeight="1">
      <c r="A389" s="5"/>
      <c r="B389" s="5"/>
      <c r="C389" s="5"/>
      <c r="D389" s="5"/>
      <c r="E389" s="5"/>
      <c r="F389" s="5"/>
    </row>
    <row r="390" ht="15.75" customHeight="1">
      <c r="A390" s="5"/>
      <c r="B390" s="5"/>
      <c r="C390" s="5"/>
      <c r="D390" s="5"/>
      <c r="E390" s="5"/>
      <c r="F390" s="5"/>
    </row>
    <row r="391" ht="15.75" customHeight="1">
      <c r="A391" s="5"/>
      <c r="B391" s="5"/>
      <c r="C391" s="5"/>
      <c r="D391" s="5"/>
      <c r="E391" s="5"/>
      <c r="F391" s="5"/>
    </row>
    <row r="392" ht="15.75" customHeight="1">
      <c r="A392" s="5"/>
      <c r="B392" s="5"/>
      <c r="C392" s="5"/>
      <c r="D392" s="5"/>
      <c r="E392" s="5"/>
      <c r="F392" s="5"/>
    </row>
    <row r="393" ht="15.75" customHeight="1">
      <c r="A393" s="5"/>
      <c r="B393" s="5"/>
      <c r="C393" s="5"/>
      <c r="D393" s="5"/>
      <c r="E393" s="5"/>
      <c r="F393" s="5"/>
    </row>
    <row r="394" ht="15.75" customHeight="1">
      <c r="A394" s="5"/>
      <c r="B394" s="5"/>
      <c r="C394" s="5"/>
      <c r="D394" s="5"/>
      <c r="E394" s="5"/>
      <c r="F394" s="5"/>
    </row>
    <row r="395" ht="15.75" customHeight="1">
      <c r="A395" s="5"/>
      <c r="B395" s="5"/>
      <c r="C395" s="5"/>
      <c r="D395" s="5"/>
      <c r="E395" s="5"/>
      <c r="F395" s="5"/>
    </row>
    <row r="396" ht="15.75" customHeight="1">
      <c r="A396" s="5"/>
      <c r="B396" s="5"/>
      <c r="C396" s="5"/>
      <c r="D396" s="5"/>
      <c r="E396" s="5"/>
      <c r="F396" s="5"/>
    </row>
    <row r="397" ht="15.75" customHeight="1">
      <c r="A397" s="5"/>
      <c r="B397" s="5"/>
      <c r="C397" s="5"/>
      <c r="D397" s="5"/>
      <c r="E397" s="5"/>
      <c r="F397" s="5"/>
    </row>
    <row r="398" ht="15.75" customHeight="1">
      <c r="A398" s="5"/>
      <c r="B398" s="5"/>
      <c r="C398" s="5"/>
      <c r="D398" s="5"/>
      <c r="E398" s="5"/>
      <c r="F398" s="5"/>
    </row>
    <row r="399" ht="15.75" customHeight="1">
      <c r="A399" s="5"/>
      <c r="B399" s="5"/>
      <c r="C399" s="5"/>
      <c r="D399" s="5"/>
      <c r="E399" s="5"/>
      <c r="F399" s="5"/>
    </row>
    <row r="400" ht="15.75" customHeight="1">
      <c r="A400" s="5"/>
      <c r="B400" s="5"/>
      <c r="C400" s="5"/>
      <c r="D400" s="5"/>
      <c r="E400" s="5"/>
      <c r="F400" s="5"/>
    </row>
    <row r="401" ht="15.75" customHeight="1">
      <c r="A401" s="5"/>
      <c r="B401" s="5"/>
      <c r="C401" s="5"/>
      <c r="D401" s="5"/>
      <c r="E401" s="5"/>
      <c r="F401" s="5"/>
    </row>
    <row r="402" ht="15.75" customHeight="1">
      <c r="A402" s="5"/>
      <c r="B402" s="5"/>
      <c r="C402" s="5"/>
      <c r="D402" s="5"/>
      <c r="E402" s="5"/>
      <c r="F402" s="5"/>
    </row>
    <row r="403" ht="15.75" customHeight="1">
      <c r="A403" s="5"/>
      <c r="B403" s="5"/>
      <c r="C403" s="5"/>
      <c r="D403" s="5"/>
      <c r="E403" s="5"/>
      <c r="F403" s="5"/>
    </row>
    <row r="404" ht="15.75" customHeight="1">
      <c r="A404" s="5"/>
      <c r="B404" s="5"/>
      <c r="C404" s="5"/>
      <c r="D404" s="5"/>
      <c r="E404" s="5"/>
      <c r="F404" s="5"/>
    </row>
    <row r="405" ht="15.75" customHeight="1">
      <c r="A405" s="5"/>
      <c r="B405" s="5"/>
      <c r="C405" s="5"/>
      <c r="D405" s="5"/>
      <c r="E405" s="5"/>
      <c r="F405" s="5"/>
    </row>
    <row r="406" ht="15.75" customHeight="1">
      <c r="A406" s="5"/>
      <c r="B406" s="5"/>
      <c r="C406" s="5"/>
      <c r="D406" s="5"/>
      <c r="E406" s="5"/>
      <c r="F406" s="5"/>
    </row>
    <row r="407" ht="15.75" customHeight="1">
      <c r="A407" s="5"/>
      <c r="B407" s="5"/>
      <c r="C407" s="5"/>
      <c r="D407" s="5"/>
      <c r="E407" s="5"/>
      <c r="F407" s="5"/>
    </row>
    <row r="408" ht="15.75" customHeight="1">
      <c r="A408" s="5"/>
      <c r="B408" s="5"/>
      <c r="C408" s="5"/>
      <c r="D408" s="5"/>
      <c r="E408" s="5"/>
      <c r="F408" s="5"/>
    </row>
    <row r="409" ht="15.75" customHeight="1">
      <c r="A409" s="5"/>
      <c r="B409" s="5"/>
      <c r="C409" s="5"/>
      <c r="D409" s="5"/>
      <c r="E409" s="5"/>
      <c r="F409" s="5"/>
    </row>
    <row r="410" ht="15.75" customHeight="1">
      <c r="A410" s="5"/>
      <c r="B410" s="5"/>
      <c r="C410" s="5"/>
      <c r="D410" s="5"/>
      <c r="E410" s="5"/>
      <c r="F410" s="5"/>
    </row>
    <row r="411" ht="15.75" customHeight="1">
      <c r="A411" s="5"/>
      <c r="B411" s="5"/>
      <c r="C411" s="5"/>
      <c r="D411" s="5"/>
      <c r="E411" s="5"/>
      <c r="F411" s="5"/>
    </row>
    <row r="412" ht="15.75" customHeight="1">
      <c r="A412" s="5"/>
      <c r="B412" s="5"/>
      <c r="C412" s="5"/>
      <c r="D412" s="5"/>
      <c r="E412" s="5"/>
      <c r="F412" s="5"/>
    </row>
    <row r="413" ht="15.75" customHeight="1">
      <c r="A413" s="5"/>
      <c r="B413" s="5"/>
      <c r="C413" s="5"/>
      <c r="D413" s="5"/>
      <c r="E413" s="5"/>
      <c r="F413" s="5"/>
    </row>
    <row r="414" ht="15.75" customHeight="1">
      <c r="A414" s="5"/>
      <c r="B414" s="5"/>
      <c r="C414" s="5"/>
      <c r="D414" s="5"/>
      <c r="E414" s="5"/>
      <c r="F414" s="5"/>
    </row>
    <row r="415" ht="15.75" customHeight="1">
      <c r="A415" s="5"/>
      <c r="B415" s="5"/>
      <c r="C415" s="5"/>
      <c r="D415" s="5"/>
      <c r="E415" s="5"/>
      <c r="F415" s="5"/>
    </row>
    <row r="416" ht="15.75" customHeight="1">
      <c r="A416" s="5"/>
      <c r="B416" s="5"/>
      <c r="C416" s="5"/>
      <c r="D416" s="5"/>
      <c r="E416" s="5"/>
      <c r="F416" s="5"/>
    </row>
    <row r="417" ht="15.75" customHeight="1">
      <c r="A417" s="5"/>
      <c r="B417" s="5"/>
      <c r="C417" s="5"/>
      <c r="D417" s="5"/>
      <c r="E417" s="5"/>
      <c r="F417" s="5"/>
    </row>
    <row r="418" ht="15.75" customHeight="1">
      <c r="A418" s="5"/>
      <c r="B418" s="5"/>
      <c r="C418" s="5"/>
      <c r="D418" s="5"/>
      <c r="E418" s="5"/>
      <c r="F418" s="5"/>
    </row>
    <row r="419" ht="15.75" customHeight="1">
      <c r="A419" s="5"/>
      <c r="B419" s="5"/>
      <c r="C419" s="5"/>
      <c r="D419" s="5"/>
      <c r="E419" s="5"/>
      <c r="F419" s="5"/>
    </row>
    <row r="420" ht="15.75" customHeight="1">
      <c r="A420" s="5"/>
      <c r="B420" s="5"/>
      <c r="C420" s="5"/>
      <c r="D420" s="5"/>
      <c r="E420" s="5"/>
      <c r="F420" s="5"/>
    </row>
    <row r="421" ht="15.75" customHeight="1">
      <c r="A421" s="5"/>
      <c r="B421" s="5"/>
      <c r="C421" s="5"/>
      <c r="D421" s="5"/>
      <c r="E421" s="5"/>
      <c r="F421" s="5"/>
    </row>
    <row r="422" ht="15.75" customHeight="1">
      <c r="A422" s="5"/>
      <c r="B422" s="5"/>
      <c r="C422" s="5"/>
      <c r="D422" s="5"/>
      <c r="E422" s="5"/>
      <c r="F422" s="5"/>
    </row>
    <row r="423" ht="15.75" customHeight="1">
      <c r="A423" s="5"/>
      <c r="B423" s="5"/>
      <c r="C423" s="5"/>
      <c r="D423" s="5"/>
      <c r="E423" s="5"/>
      <c r="F423" s="5"/>
    </row>
    <row r="424" ht="15.75" customHeight="1">
      <c r="A424" s="5"/>
      <c r="B424" s="5"/>
      <c r="C424" s="5"/>
      <c r="D424" s="5"/>
      <c r="E424" s="5"/>
      <c r="F424" s="5"/>
    </row>
    <row r="425" ht="15.75" customHeight="1">
      <c r="A425" s="5"/>
      <c r="B425" s="5"/>
      <c r="C425" s="5"/>
      <c r="D425" s="5"/>
      <c r="E425" s="5"/>
      <c r="F425" s="5"/>
    </row>
    <row r="426" ht="15.75" customHeight="1">
      <c r="A426" s="5"/>
      <c r="B426" s="5"/>
      <c r="C426" s="5"/>
      <c r="D426" s="5"/>
      <c r="E426" s="5"/>
      <c r="F426" s="5"/>
    </row>
    <row r="427" ht="15.75" customHeight="1">
      <c r="A427" s="5"/>
      <c r="B427" s="5"/>
      <c r="C427" s="5"/>
      <c r="D427" s="5"/>
      <c r="E427" s="5"/>
      <c r="F427" s="5"/>
    </row>
    <row r="428" ht="15.75" customHeight="1">
      <c r="A428" s="5"/>
      <c r="B428" s="5"/>
      <c r="C428" s="5"/>
      <c r="D428" s="5"/>
      <c r="E428" s="5"/>
      <c r="F428" s="5"/>
    </row>
    <row r="429" ht="15.75" customHeight="1">
      <c r="A429" s="5"/>
      <c r="B429" s="5"/>
      <c r="C429" s="5"/>
      <c r="D429" s="5"/>
      <c r="E429" s="5"/>
      <c r="F429" s="5"/>
    </row>
    <row r="430" ht="15.75" customHeight="1">
      <c r="A430" s="5"/>
      <c r="B430" s="5"/>
      <c r="C430" s="5"/>
      <c r="D430" s="5"/>
      <c r="E430" s="5"/>
      <c r="F430" s="5"/>
    </row>
    <row r="431" ht="15.75" customHeight="1">
      <c r="A431" s="5"/>
      <c r="B431" s="5"/>
      <c r="C431" s="5"/>
      <c r="D431" s="5"/>
      <c r="E431" s="5"/>
      <c r="F431" s="5"/>
    </row>
    <row r="432" ht="15.75" customHeight="1">
      <c r="A432" s="5"/>
      <c r="B432" s="5"/>
      <c r="C432" s="5"/>
      <c r="D432" s="5"/>
      <c r="E432" s="5"/>
      <c r="F432" s="5"/>
    </row>
    <row r="433" ht="15.75" customHeight="1">
      <c r="A433" s="5"/>
      <c r="B433" s="5"/>
      <c r="C433" s="5"/>
      <c r="D433" s="5"/>
      <c r="E433" s="5"/>
      <c r="F433" s="5"/>
    </row>
    <row r="434" ht="15.75" customHeight="1">
      <c r="A434" s="5"/>
      <c r="B434" s="5"/>
      <c r="C434" s="5"/>
      <c r="D434" s="5"/>
      <c r="E434" s="5"/>
      <c r="F434" s="5"/>
    </row>
    <row r="435" ht="15.75" customHeight="1">
      <c r="A435" s="5"/>
      <c r="B435" s="5"/>
      <c r="C435" s="5"/>
      <c r="D435" s="5"/>
      <c r="E435" s="5"/>
      <c r="F435" s="5"/>
    </row>
    <row r="436" ht="15.75" customHeight="1">
      <c r="A436" s="5"/>
      <c r="B436" s="5"/>
      <c r="C436" s="5"/>
      <c r="D436" s="5"/>
      <c r="E436" s="5"/>
      <c r="F436" s="5"/>
    </row>
    <row r="437" ht="15.75" customHeight="1">
      <c r="A437" s="5"/>
      <c r="B437" s="5"/>
      <c r="C437" s="5"/>
      <c r="D437" s="5"/>
      <c r="E437" s="5"/>
      <c r="F437" s="5"/>
    </row>
    <row r="438" ht="15.75" customHeight="1">
      <c r="A438" s="5"/>
      <c r="B438" s="5"/>
      <c r="C438" s="5"/>
      <c r="D438" s="5"/>
      <c r="E438" s="5"/>
      <c r="F438" s="5"/>
    </row>
    <row r="439" ht="15.75" customHeight="1">
      <c r="A439" s="5"/>
      <c r="B439" s="5"/>
      <c r="C439" s="5"/>
      <c r="D439" s="5"/>
      <c r="E439" s="5"/>
      <c r="F439" s="5"/>
    </row>
    <row r="440" ht="15.75" customHeight="1">
      <c r="A440" s="5"/>
      <c r="B440" s="5"/>
      <c r="C440" s="5"/>
      <c r="D440" s="5"/>
      <c r="E440" s="5"/>
      <c r="F440" s="5"/>
    </row>
    <row r="441" ht="15.75" customHeight="1">
      <c r="A441" s="5"/>
      <c r="B441" s="5"/>
      <c r="C441" s="5"/>
      <c r="D441" s="5"/>
      <c r="E441" s="5"/>
      <c r="F441" s="5"/>
    </row>
    <row r="442" ht="15.75" customHeight="1">
      <c r="A442" s="5"/>
      <c r="B442" s="5"/>
      <c r="C442" s="5"/>
      <c r="D442" s="5"/>
      <c r="E442" s="5"/>
      <c r="F442" s="5"/>
    </row>
    <row r="443" ht="15.75" customHeight="1">
      <c r="A443" s="5"/>
      <c r="B443" s="5"/>
      <c r="C443" s="5"/>
      <c r="D443" s="5"/>
      <c r="E443" s="5"/>
      <c r="F443" s="5"/>
    </row>
    <row r="444" ht="15.75" customHeight="1">
      <c r="A444" s="5"/>
      <c r="B444" s="5"/>
      <c r="C444" s="5"/>
      <c r="D444" s="5"/>
      <c r="E444" s="5"/>
      <c r="F444" s="5"/>
    </row>
    <row r="445" ht="15.75" customHeight="1">
      <c r="A445" s="5"/>
      <c r="B445" s="5"/>
      <c r="C445" s="5"/>
      <c r="D445" s="5"/>
      <c r="E445" s="5"/>
      <c r="F445" s="5"/>
    </row>
    <row r="446" ht="15.75" customHeight="1">
      <c r="A446" s="5"/>
      <c r="B446" s="5"/>
      <c r="C446" s="5"/>
      <c r="D446" s="5"/>
      <c r="E446" s="5"/>
      <c r="F446" s="5"/>
    </row>
    <row r="447" ht="15.75" customHeight="1">
      <c r="A447" s="5"/>
      <c r="B447" s="5"/>
      <c r="C447" s="5"/>
      <c r="D447" s="5"/>
      <c r="E447" s="5"/>
      <c r="F447" s="5"/>
    </row>
    <row r="448" ht="15.75" customHeight="1">
      <c r="A448" s="5"/>
      <c r="B448" s="5"/>
      <c r="C448" s="5"/>
      <c r="D448" s="5"/>
      <c r="E448" s="5"/>
      <c r="F448" s="5"/>
    </row>
    <row r="449" ht="15.75" customHeight="1">
      <c r="A449" s="5"/>
      <c r="B449" s="5"/>
      <c r="C449" s="5"/>
      <c r="D449" s="5"/>
      <c r="E449" s="5"/>
      <c r="F449" s="5"/>
    </row>
    <row r="450" ht="15.75" customHeight="1">
      <c r="A450" s="5"/>
      <c r="B450" s="5"/>
      <c r="C450" s="5"/>
      <c r="D450" s="5"/>
      <c r="E450" s="5"/>
      <c r="F450" s="5"/>
    </row>
    <row r="451" ht="15.75" customHeight="1">
      <c r="A451" s="5"/>
      <c r="B451" s="5"/>
      <c r="C451" s="5"/>
      <c r="D451" s="5"/>
      <c r="E451" s="5"/>
      <c r="F451" s="5"/>
    </row>
    <row r="452" ht="15.75" customHeight="1">
      <c r="A452" s="5"/>
      <c r="B452" s="5"/>
      <c r="C452" s="5"/>
      <c r="D452" s="5"/>
      <c r="E452" s="5"/>
      <c r="F452" s="5"/>
    </row>
    <row r="453" ht="15.75" customHeight="1">
      <c r="A453" s="5"/>
      <c r="B453" s="5"/>
      <c r="C453" s="5"/>
      <c r="D453" s="5"/>
      <c r="E453" s="5"/>
      <c r="F453" s="5"/>
    </row>
    <row r="454" ht="15.75" customHeight="1">
      <c r="A454" s="5"/>
      <c r="B454" s="5"/>
      <c r="C454" s="5"/>
      <c r="D454" s="5"/>
      <c r="E454" s="5"/>
      <c r="F454" s="5"/>
    </row>
    <row r="455" ht="15.75" customHeight="1">
      <c r="A455" s="5"/>
      <c r="B455" s="5"/>
      <c r="C455" s="5"/>
      <c r="D455" s="5"/>
      <c r="E455" s="5"/>
      <c r="F455" s="5"/>
    </row>
    <row r="456" ht="15.75" customHeight="1">
      <c r="A456" s="5"/>
      <c r="B456" s="5"/>
      <c r="C456" s="5"/>
      <c r="D456" s="5"/>
      <c r="E456" s="5"/>
      <c r="F456" s="5"/>
    </row>
    <row r="457" ht="15.75" customHeight="1">
      <c r="A457" s="5"/>
      <c r="B457" s="5"/>
      <c r="C457" s="5"/>
      <c r="D457" s="5"/>
      <c r="E457" s="5"/>
      <c r="F457" s="5"/>
    </row>
    <row r="458" ht="15.75" customHeight="1">
      <c r="A458" s="5"/>
      <c r="B458" s="5"/>
      <c r="C458" s="5"/>
      <c r="D458" s="5"/>
      <c r="E458" s="5"/>
      <c r="F458" s="5"/>
    </row>
    <row r="459" ht="15.75" customHeight="1">
      <c r="A459" s="5"/>
      <c r="B459" s="5"/>
      <c r="C459" s="5"/>
      <c r="D459" s="5"/>
      <c r="E459" s="5"/>
      <c r="F459" s="5"/>
    </row>
    <row r="460" ht="15.75" customHeight="1">
      <c r="A460" s="5"/>
      <c r="B460" s="5"/>
      <c r="C460" s="5"/>
      <c r="D460" s="5"/>
      <c r="E460" s="5"/>
      <c r="F460" s="5"/>
    </row>
    <row r="461" ht="15.75" customHeight="1">
      <c r="A461" s="5"/>
      <c r="B461" s="5"/>
      <c r="C461" s="5"/>
      <c r="D461" s="5"/>
      <c r="E461" s="5"/>
      <c r="F461" s="5"/>
    </row>
    <row r="462" ht="15.75" customHeight="1">
      <c r="A462" s="5"/>
      <c r="B462" s="5"/>
      <c r="C462" s="5"/>
      <c r="D462" s="5"/>
      <c r="E462" s="5"/>
      <c r="F462" s="5"/>
    </row>
    <row r="463" ht="15.75" customHeight="1">
      <c r="A463" s="5"/>
      <c r="B463" s="5"/>
      <c r="C463" s="5"/>
      <c r="D463" s="5"/>
      <c r="E463" s="5"/>
      <c r="F463" s="5"/>
    </row>
    <row r="464" ht="15.75" customHeight="1">
      <c r="A464" s="5"/>
      <c r="B464" s="5"/>
      <c r="C464" s="5"/>
      <c r="D464" s="5"/>
      <c r="E464" s="5"/>
      <c r="F464" s="5"/>
    </row>
    <row r="465" ht="15.75" customHeight="1">
      <c r="A465" s="5"/>
      <c r="B465" s="5"/>
      <c r="C465" s="5"/>
      <c r="D465" s="5"/>
      <c r="E465" s="5"/>
      <c r="F465" s="5"/>
    </row>
    <row r="466" ht="15.75" customHeight="1">
      <c r="A466" s="5"/>
      <c r="B466" s="5"/>
      <c r="C466" s="5"/>
      <c r="D466" s="5"/>
      <c r="E466" s="5"/>
      <c r="F466" s="5"/>
    </row>
    <row r="467" ht="15.75" customHeight="1">
      <c r="A467" s="5"/>
      <c r="B467" s="5"/>
      <c r="C467" s="5"/>
      <c r="D467" s="5"/>
      <c r="E467" s="5"/>
      <c r="F467" s="5"/>
    </row>
    <row r="468" ht="15.75" customHeight="1">
      <c r="A468" s="5"/>
      <c r="B468" s="5"/>
      <c r="C468" s="5"/>
      <c r="D468" s="5"/>
      <c r="E468" s="5"/>
      <c r="F468" s="5"/>
    </row>
    <row r="469" ht="15.75" customHeight="1">
      <c r="A469" s="5"/>
      <c r="B469" s="5"/>
      <c r="C469" s="5"/>
      <c r="D469" s="5"/>
      <c r="E469" s="5"/>
      <c r="F469" s="5"/>
    </row>
    <row r="470" ht="15.75" customHeight="1">
      <c r="A470" s="5"/>
      <c r="B470" s="5"/>
      <c r="C470" s="5"/>
      <c r="D470" s="5"/>
      <c r="E470" s="5"/>
      <c r="F470" s="5"/>
    </row>
    <row r="471" ht="15.75" customHeight="1">
      <c r="A471" s="5"/>
      <c r="B471" s="5"/>
      <c r="C471" s="5"/>
      <c r="D471" s="5"/>
      <c r="E471" s="5"/>
      <c r="F471" s="5"/>
    </row>
    <row r="472" ht="15.75" customHeight="1">
      <c r="A472" s="5"/>
      <c r="B472" s="5"/>
      <c r="C472" s="5"/>
      <c r="D472" s="5"/>
      <c r="E472" s="5"/>
      <c r="F472" s="5"/>
    </row>
    <row r="473" ht="15.75" customHeight="1">
      <c r="A473" s="5"/>
      <c r="B473" s="5"/>
      <c r="C473" s="5"/>
      <c r="D473" s="5"/>
      <c r="E473" s="5"/>
      <c r="F473" s="5"/>
    </row>
    <row r="474" ht="15.75" customHeight="1">
      <c r="A474" s="5"/>
      <c r="B474" s="5"/>
      <c r="C474" s="5"/>
      <c r="D474" s="5"/>
      <c r="E474" s="5"/>
      <c r="F474" s="5"/>
    </row>
    <row r="475" ht="15.75" customHeight="1">
      <c r="A475" s="5"/>
      <c r="B475" s="5"/>
      <c r="C475" s="5"/>
      <c r="D475" s="5"/>
      <c r="E475" s="5"/>
      <c r="F475" s="5"/>
    </row>
    <row r="476" ht="15.75" customHeight="1">
      <c r="A476" s="5"/>
      <c r="B476" s="5"/>
      <c r="C476" s="5"/>
      <c r="D476" s="5"/>
      <c r="E476" s="5"/>
      <c r="F476" s="5"/>
    </row>
    <row r="477" ht="15.75" customHeight="1">
      <c r="A477" s="5"/>
      <c r="B477" s="5"/>
      <c r="C477" s="5"/>
      <c r="D477" s="5"/>
      <c r="E477" s="5"/>
      <c r="F477" s="5"/>
    </row>
    <row r="478" ht="15.75" customHeight="1">
      <c r="A478" s="5"/>
      <c r="B478" s="5"/>
      <c r="C478" s="5"/>
      <c r="D478" s="5"/>
      <c r="E478" s="5"/>
      <c r="F478" s="5"/>
    </row>
    <row r="479" ht="15.75" customHeight="1">
      <c r="A479" s="5"/>
      <c r="B479" s="5"/>
      <c r="C479" s="5"/>
      <c r="D479" s="5"/>
      <c r="E479" s="5"/>
      <c r="F479" s="5"/>
    </row>
    <row r="480" ht="15.75" customHeight="1">
      <c r="A480" s="5"/>
      <c r="B480" s="5"/>
      <c r="C480" s="5"/>
      <c r="D480" s="5"/>
      <c r="E480" s="5"/>
      <c r="F480" s="5"/>
    </row>
    <row r="481" ht="15.75" customHeight="1">
      <c r="A481" s="5"/>
      <c r="B481" s="5"/>
      <c r="C481" s="5"/>
      <c r="D481" s="5"/>
      <c r="E481" s="5"/>
      <c r="F481" s="5"/>
    </row>
    <row r="482" ht="15.75" customHeight="1">
      <c r="A482" s="5"/>
      <c r="B482" s="5"/>
      <c r="C482" s="5"/>
      <c r="D482" s="5"/>
      <c r="E482" s="5"/>
      <c r="F482" s="5"/>
    </row>
    <row r="483" ht="15.75" customHeight="1">
      <c r="A483" s="5"/>
      <c r="B483" s="5"/>
      <c r="C483" s="5"/>
      <c r="D483" s="5"/>
      <c r="E483" s="5"/>
      <c r="F483" s="5"/>
    </row>
    <row r="484" ht="15.75" customHeight="1">
      <c r="A484" s="5"/>
      <c r="B484" s="5"/>
      <c r="C484" s="5"/>
      <c r="D484" s="5"/>
      <c r="E484" s="5"/>
      <c r="F484" s="5"/>
    </row>
    <row r="485" ht="15.75" customHeight="1">
      <c r="A485" s="5"/>
      <c r="B485" s="5"/>
      <c r="C485" s="5"/>
      <c r="D485" s="5"/>
      <c r="E485" s="5"/>
      <c r="F485" s="5"/>
    </row>
    <row r="486" ht="15.75" customHeight="1">
      <c r="A486" s="5"/>
      <c r="B486" s="5"/>
      <c r="C486" s="5"/>
      <c r="D486" s="5"/>
      <c r="E486" s="5"/>
      <c r="F486" s="5"/>
    </row>
    <row r="487" ht="15.75" customHeight="1">
      <c r="A487" s="5"/>
      <c r="B487" s="5"/>
      <c r="C487" s="5"/>
      <c r="D487" s="5"/>
      <c r="E487" s="5"/>
      <c r="F487" s="5"/>
    </row>
    <row r="488" ht="15.75" customHeight="1">
      <c r="A488" s="5"/>
      <c r="B488" s="5"/>
      <c r="C488" s="5"/>
      <c r="D488" s="5"/>
      <c r="E488" s="5"/>
      <c r="F488" s="5"/>
    </row>
    <row r="489" ht="15.75" customHeight="1">
      <c r="A489" s="5"/>
      <c r="B489" s="5"/>
      <c r="C489" s="5"/>
      <c r="D489" s="5"/>
      <c r="E489" s="5"/>
      <c r="F489" s="5"/>
    </row>
    <row r="490" ht="15.75" customHeight="1">
      <c r="A490" s="5"/>
      <c r="B490" s="5"/>
      <c r="C490" s="5"/>
      <c r="D490" s="5"/>
      <c r="E490" s="5"/>
      <c r="F490" s="5"/>
    </row>
    <row r="491" ht="15.75" customHeight="1">
      <c r="A491" s="5"/>
      <c r="B491" s="5"/>
      <c r="C491" s="5"/>
      <c r="D491" s="5"/>
      <c r="E491" s="5"/>
      <c r="F491" s="5"/>
    </row>
    <row r="492" ht="15.75" customHeight="1">
      <c r="A492" s="5"/>
      <c r="B492" s="5"/>
      <c r="C492" s="5"/>
      <c r="D492" s="5"/>
      <c r="E492" s="5"/>
      <c r="F492" s="5"/>
    </row>
    <row r="493" ht="15.75" customHeight="1">
      <c r="A493" s="5"/>
      <c r="B493" s="5"/>
      <c r="C493" s="5"/>
      <c r="D493" s="5"/>
      <c r="E493" s="5"/>
      <c r="F493" s="5"/>
    </row>
    <row r="494" ht="15.75" customHeight="1">
      <c r="A494" s="5"/>
      <c r="B494" s="5"/>
      <c r="C494" s="5"/>
      <c r="D494" s="5"/>
      <c r="E494" s="5"/>
      <c r="F494" s="5"/>
    </row>
    <row r="495" ht="15.75" customHeight="1">
      <c r="A495" s="5"/>
      <c r="B495" s="5"/>
      <c r="C495" s="5"/>
      <c r="D495" s="5"/>
      <c r="E495" s="5"/>
      <c r="F495" s="5"/>
    </row>
    <row r="496" ht="15.75" customHeight="1">
      <c r="A496" s="5"/>
      <c r="B496" s="5"/>
      <c r="C496" s="5"/>
      <c r="D496" s="5"/>
      <c r="E496" s="5"/>
      <c r="F496" s="5"/>
    </row>
    <row r="497" ht="15.75" customHeight="1">
      <c r="A497" s="5"/>
      <c r="B497" s="5"/>
      <c r="C497" s="5"/>
      <c r="D497" s="5"/>
      <c r="E497" s="5"/>
      <c r="F497" s="5"/>
    </row>
    <row r="498" ht="15.75" customHeight="1">
      <c r="A498" s="5"/>
      <c r="B498" s="5"/>
      <c r="C498" s="5"/>
      <c r="D498" s="5"/>
      <c r="E498" s="5"/>
      <c r="F498" s="5"/>
    </row>
    <row r="499" ht="15.75" customHeight="1">
      <c r="A499" s="5"/>
      <c r="B499" s="5"/>
      <c r="C499" s="5"/>
      <c r="D499" s="5"/>
      <c r="E499" s="5"/>
      <c r="F499" s="5"/>
    </row>
    <row r="500" ht="15.75" customHeight="1">
      <c r="A500" s="5"/>
      <c r="B500" s="5"/>
      <c r="C500" s="5"/>
      <c r="D500" s="5"/>
      <c r="E500" s="5"/>
      <c r="F500" s="5"/>
    </row>
    <row r="501" ht="15.75" customHeight="1">
      <c r="A501" s="5"/>
      <c r="B501" s="5"/>
      <c r="C501" s="5"/>
      <c r="D501" s="5"/>
      <c r="E501" s="5"/>
      <c r="F501" s="5"/>
    </row>
    <row r="502" ht="15.75" customHeight="1">
      <c r="A502" s="5"/>
      <c r="B502" s="5"/>
      <c r="C502" s="5"/>
      <c r="D502" s="5"/>
      <c r="E502" s="5"/>
      <c r="F502" s="5"/>
    </row>
    <row r="503" ht="15.75" customHeight="1">
      <c r="A503" s="5"/>
      <c r="B503" s="5"/>
      <c r="C503" s="5"/>
      <c r="D503" s="5"/>
      <c r="E503" s="5"/>
      <c r="F503" s="5"/>
    </row>
    <row r="504" ht="15.75" customHeight="1">
      <c r="A504" s="5"/>
      <c r="B504" s="5"/>
      <c r="C504" s="5"/>
      <c r="D504" s="5"/>
      <c r="E504" s="5"/>
      <c r="F504" s="5"/>
    </row>
    <row r="505" ht="15.75" customHeight="1">
      <c r="A505" s="5"/>
      <c r="B505" s="5"/>
      <c r="C505" s="5"/>
      <c r="D505" s="5"/>
      <c r="E505" s="5"/>
      <c r="F505" s="5"/>
    </row>
    <row r="506" ht="15.75" customHeight="1">
      <c r="A506" s="5"/>
      <c r="B506" s="5"/>
      <c r="C506" s="5"/>
      <c r="D506" s="5"/>
      <c r="E506" s="5"/>
      <c r="F506" s="5"/>
    </row>
    <row r="507" ht="15.75" customHeight="1">
      <c r="A507" s="5"/>
      <c r="B507" s="5"/>
      <c r="C507" s="5"/>
      <c r="D507" s="5"/>
      <c r="E507" s="5"/>
      <c r="F507" s="5"/>
    </row>
    <row r="508" ht="15.75" customHeight="1">
      <c r="A508" s="5"/>
      <c r="B508" s="5"/>
      <c r="C508" s="5"/>
      <c r="D508" s="5"/>
      <c r="E508" s="5"/>
      <c r="F508" s="5"/>
    </row>
    <row r="509" ht="15.75" customHeight="1">
      <c r="A509" s="5"/>
      <c r="B509" s="5"/>
      <c r="C509" s="5"/>
      <c r="D509" s="5"/>
      <c r="E509" s="5"/>
      <c r="F509" s="5"/>
    </row>
    <row r="510" ht="15.75" customHeight="1">
      <c r="A510" s="5"/>
      <c r="B510" s="5"/>
      <c r="C510" s="5"/>
      <c r="D510" s="5"/>
      <c r="E510" s="5"/>
      <c r="F510" s="5"/>
    </row>
    <row r="511" ht="15.75" customHeight="1">
      <c r="A511" s="5"/>
      <c r="B511" s="5"/>
      <c r="C511" s="5"/>
      <c r="D511" s="5"/>
      <c r="E511" s="5"/>
      <c r="F511" s="5"/>
    </row>
    <row r="512" ht="15.75" customHeight="1">
      <c r="A512" s="5"/>
      <c r="B512" s="5"/>
      <c r="C512" s="5"/>
      <c r="D512" s="5"/>
      <c r="E512" s="5"/>
      <c r="F512" s="5"/>
    </row>
    <row r="513" ht="15.75" customHeight="1">
      <c r="A513" s="5"/>
      <c r="B513" s="5"/>
      <c r="C513" s="5"/>
      <c r="D513" s="5"/>
      <c r="E513" s="5"/>
      <c r="F513" s="5"/>
    </row>
    <row r="514" ht="15.75" customHeight="1">
      <c r="A514" s="5"/>
      <c r="B514" s="5"/>
      <c r="C514" s="5"/>
      <c r="D514" s="5"/>
      <c r="E514" s="5"/>
      <c r="F514" s="5"/>
    </row>
    <row r="515" ht="15.75" customHeight="1">
      <c r="A515" s="5"/>
      <c r="B515" s="5"/>
      <c r="C515" s="5"/>
      <c r="D515" s="5"/>
      <c r="E515" s="5"/>
      <c r="F515" s="5"/>
    </row>
    <row r="516" ht="15.75" customHeight="1">
      <c r="A516" s="5"/>
      <c r="B516" s="5"/>
      <c r="C516" s="5"/>
      <c r="D516" s="5"/>
      <c r="E516" s="5"/>
      <c r="F516" s="5"/>
    </row>
    <row r="517" ht="15.75" customHeight="1">
      <c r="A517" s="5"/>
      <c r="B517" s="5"/>
      <c r="C517" s="5"/>
      <c r="D517" s="5"/>
      <c r="E517" s="5"/>
      <c r="F517" s="5"/>
    </row>
    <row r="518" ht="15.75" customHeight="1">
      <c r="A518" s="5"/>
      <c r="B518" s="5"/>
      <c r="C518" s="5"/>
      <c r="D518" s="5"/>
      <c r="E518" s="5"/>
      <c r="F518" s="5"/>
    </row>
    <row r="519" ht="15.75" customHeight="1">
      <c r="A519" s="5"/>
      <c r="B519" s="5"/>
      <c r="C519" s="5"/>
      <c r="D519" s="5"/>
      <c r="E519" s="5"/>
      <c r="F519" s="5"/>
    </row>
    <row r="520" ht="15.75" customHeight="1">
      <c r="A520" s="5"/>
      <c r="B520" s="5"/>
      <c r="C520" s="5"/>
      <c r="D520" s="5"/>
      <c r="E520" s="5"/>
      <c r="F520" s="5"/>
    </row>
    <row r="521" ht="15.75" customHeight="1">
      <c r="A521" s="5"/>
      <c r="B521" s="5"/>
      <c r="C521" s="5"/>
      <c r="D521" s="5"/>
      <c r="E521" s="5"/>
      <c r="F521" s="5"/>
    </row>
    <row r="522" ht="15.75" customHeight="1">
      <c r="A522" s="5"/>
      <c r="B522" s="5"/>
      <c r="C522" s="5"/>
      <c r="D522" s="5"/>
      <c r="E522" s="5"/>
      <c r="F522" s="5"/>
    </row>
    <row r="523" ht="15.75" customHeight="1">
      <c r="A523" s="5"/>
      <c r="B523" s="5"/>
      <c r="C523" s="5"/>
      <c r="D523" s="5"/>
      <c r="E523" s="5"/>
      <c r="F523" s="5"/>
    </row>
    <row r="524" ht="15.75" customHeight="1">
      <c r="A524" s="5"/>
      <c r="B524" s="5"/>
      <c r="C524" s="5"/>
      <c r="D524" s="5"/>
      <c r="E524" s="5"/>
      <c r="F524" s="5"/>
    </row>
    <row r="525" ht="15.75" customHeight="1">
      <c r="A525" s="5"/>
      <c r="B525" s="5"/>
      <c r="C525" s="5"/>
      <c r="D525" s="5"/>
      <c r="E525" s="5"/>
      <c r="F525" s="5"/>
    </row>
    <row r="526" ht="15.75" customHeight="1">
      <c r="A526" s="5"/>
      <c r="B526" s="5"/>
      <c r="C526" s="5"/>
      <c r="D526" s="5"/>
      <c r="E526" s="5"/>
      <c r="F526" s="5"/>
    </row>
    <row r="527" ht="15.75" customHeight="1">
      <c r="A527" s="5"/>
      <c r="B527" s="5"/>
      <c r="C527" s="5"/>
      <c r="D527" s="5"/>
      <c r="E527" s="5"/>
      <c r="F527" s="5"/>
    </row>
    <row r="528" ht="15.75" customHeight="1">
      <c r="A528" s="5"/>
      <c r="B528" s="5"/>
      <c r="C528" s="5"/>
      <c r="D528" s="5"/>
      <c r="E528" s="5"/>
      <c r="F528" s="5"/>
    </row>
    <row r="529" ht="15.75" customHeight="1">
      <c r="A529" s="5"/>
      <c r="B529" s="5"/>
      <c r="C529" s="5"/>
      <c r="D529" s="5"/>
      <c r="E529" s="5"/>
      <c r="F529" s="5"/>
    </row>
    <row r="530" ht="15.75" customHeight="1">
      <c r="A530" s="5"/>
      <c r="B530" s="5"/>
      <c r="C530" s="5"/>
      <c r="D530" s="5"/>
      <c r="E530" s="5"/>
      <c r="F530" s="5"/>
    </row>
    <row r="531" ht="15.75" customHeight="1">
      <c r="A531" s="5"/>
      <c r="B531" s="5"/>
      <c r="C531" s="5"/>
      <c r="D531" s="5"/>
      <c r="E531" s="5"/>
      <c r="F531" s="5"/>
    </row>
    <row r="532" ht="15.75" customHeight="1">
      <c r="A532" s="5"/>
      <c r="B532" s="5"/>
      <c r="C532" s="5"/>
      <c r="D532" s="5"/>
      <c r="E532" s="5"/>
      <c r="F532" s="5"/>
    </row>
    <row r="533" ht="15.75" customHeight="1">
      <c r="A533" s="5"/>
      <c r="B533" s="5"/>
      <c r="C533" s="5"/>
      <c r="D533" s="5"/>
      <c r="E533" s="5"/>
      <c r="F533" s="5"/>
    </row>
    <row r="534" ht="15.75" customHeight="1">
      <c r="A534" s="5"/>
      <c r="B534" s="5"/>
      <c r="C534" s="5"/>
      <c r="D534" s="5"/>
      <c r="E534" s="5"/>
      <c r="F534" s="5"/>
    </row>
    <row r="535" ht="15.75" customHeight="1">
      <c r="A535" s="5"/>
      <c r="B535" s="5"/>
      <c r="C535" s="5"/>
      <c r="D535" s="5"/>
      <c r="E535" s="5"/>
      <c r="F535" s="5"/>
    </row>
    <row r="536" ht="15.75" customHeight="1">
      <c r="A536" s="5"/>
      <c r="B536" s="5"/>
      <c r="C536" s="5"/>
      <c r="D536" s="5"/>
      <c r="E536" s="5"/>
      <c r="F536" s="5"/>
    </row>
    <row r="537" ht="15.75" customHeight="1">
      <c r="A537" s="5"/>
      <c r="B537" s="5"/>
      <c r="C537" s="5"/>
      <c r="D537" s="5"/>
      <c r="E537" s="5"/>
      <c r="F537" s="5"/>
    </row>
    <row r="538" ht="15.75" customHeight="1">
      <c r="A538" s="5"/>
      <c r="B538" s="5"/>
      <c r="C538" s="5"/>
      <c r="D538" s="5"/>
      <c r="E538" s="5"/>
      <c r="F538" s="5"/>
    </row>
    <row r="539" ht="15.75" customHeight="1">
      <c r="A539" s="5"/>
      <c r="B539" s="5"/>
      <c r="C539" s="5"/>
      <c r="D539" s="5"/>
      <c r="E539" s="5"/>
      <c r="F539" s="5"/>
    </row>
    <row r="540" ht="15.75" customHeight="1">
      <c r="A540" s="5"/>
      <c r="B540" s="5"/>
      <c r="C540" s="5"/>
      <c r="D540" s="5"/>
      <c r="E540" s="5"/>
      <c r="F540" s="5"/>
    </row>
    <row r="541" ht="15.75" customHeight="1">
      <c r="A541" s="5"/>
      <c r="B541" s="5"/>
      <c r="C541" s="5"/>
      <c r="D541" s="5"/>
      <c r="E541" s="5"/>
      <c r="F541" s="5"/>
    </row>
    <row r="542" ht="15.75" customHeight="1">
      <c r="A542" s="5"/>
      <c r="B542" s="5"/>
      <c r="C542" s="5"/>
      <c r="D542" s="5"/>
      <c r="E542" s="5"/>
      <c r="F542" s="5"/>
    </row>
    <row r="543" ht="15.75" customHeight="1">
      <c r="A543" s="5"/>
      <c r="B543" s="5"/>
      <c r="C543" s="5"/>
      <c r="D543" s="5"/>
      <c r="E543" s="5"/>
      <c r="F543" s="5"/>
    </row>
    <row r="544" ht="15.75" customHeight="1">
      <c r="A544" s="5"/>
      <c r="B544" s="5"/>
      <c r="C544" s="5"/>
      <c r="D544" s="5"/>
      <c r="E544" s="5"/>
      <c r="F544" s="5"/>
    </row>
    <row r="545" ht="15.75" customHeight="1">
      <c r="A545" s="5"/>
      <c r="B545" s="5"/>
      <c r="C545" s="5"/>
      <c r="D545" s="5"/>
      <c r="E545" s="5"/>
      <c r="F545" s="5"/>
    </row>
    <row r="546" ht="15.75" customHeight="1">
      <c r="A546" s="5"/>
      <c r="B546" s="5"/>
      <c r="C546" s="5"/>
      <c r="D546" s="5"/>
      <c r="E546" s="5"/>
      <c r="F546" s="5"/>
    </row>
    <row r="547" ht="15.75" customHeight="1">
      <c r="A547" s="5"/>
      <c r="B547" s="5"/>
      <c r="C547" s="5"/>
      <c r="D547" s="5"/>
      <c r="E547" s="5"/>
      <c r="F547" s="5"/>
    </row>
    <row r="548" ht="15.75" customHeight="1">
      <c r="A548" s="5"/>
      <c r="B548" s="5"/>
      <c r="C548" s="5"/>
      <c r="D548" s="5"/>
      <c r="E548" s="5"/>
      <c r="F548" s="5"/>
    </row>
    <row r="549" ht="15.75" customHeight="1">
      <c r="A549" s="5"/>
      <c r="B549" s="5"/>
      <c r="C549" s="5"/>
      <c r="D549" s="5"/>
      <c r="E549" s="5"/>
      <c r="F549" s="5"/>
    </row>
    <row r="550" ht="15.75" customHeight="1">
      <c r="A550" s="5"/>
      <c r="B550" s="5"/>
      <c r="C550" s="5"/>
      <c r="D550" s="5"/>
      <c r="E550" s="5"/>
      <c r="F550" s="5"/>
    </row>
    <row r="551" ht="15.75" customHeight="1">
      <c r="A551" s="5"/>
      <c r="B551" s="5"/>
      <c r="C551" s="5"/>
      <c r="D551" s="5"/>
      <c r="E551" s="5"/>
      <c r="F551" s="5"/>
    </row>
    <row r="552" ht="15.75" customHeight="1">
      <c r="A552" s="5"/>
      <c r="B552" s="5"/>
      <c r="C552" s="5"/>
      <c r="D552" s="5"/>
      <c r="E552" s="5"/>
      <c r="F552" s="5"/>
    </row>
    <row r="553" ht="15.75" customHeight="1">
      <c r="A553" s="5"/>
      <c r="B553" s="5"/>
      <c r="C553" s="5"/>
      <c r="D553" s="5"/>
      <c r="E553" s="5"/>
      <c r="F553" s="5"/>
    </row>
    <row r="554" ht="15.75" customHeight="1">
      <c r="A554" s="5"/>
      <c r="B554" s="5"/>
      <c r="C554" s="5"/>
      <c r="D554" s="5"/>
      <c r="E554" s="5"/>
      <c r="F554" s="5"/>
    </row>
    <row r="555" ht="15.75" customHeight="1">
      <c r="A555" s="5"/>
      <c r="B555" s="5"/>
      <c r="C555" s="5"/>
      <c r="D555" s="5"/>
      <c r="E555" s="5"/>
      <c r="F555" s="5"/>
    </row>
    <row r="556" ht="15.75" customHeight="1">
      <c r="A556" s="5"/>
      <c r="B556" s="5"/>
      <c r="C556" s="5"/>
      <c r="D556" s="5"/>
      <c r="E556" s="5"/>
      <c r="F556" s="5"/>
    </row>
    <row r="557" ht="15.75" customHeight="1">
      <c r="A557" s="5"/>
      <c r="B557" s="5"/>
      <c r="C557" s="5"/>
      <c r="D557" s="5"/>
      <c r="E557" s="5"/>
      <c r="F557" s="5"/>
    </row>
    <row r="558" ht="15.75" customHeight="1">
      <c r="A558" s="5"/>
      <c r="B558" s="5"/>
      <c r="C558" s="5"/>
      <c r="D558" s="5"/>
      <c r="E558" s="5"/>
      <c r="F558" s="5"/>
    </row>
    <row r="559" ht="15.75" customHeight="1">
      <c r="A559" s="5"/>
      <c r="B559" s="5"/>
      <c r="C559" s="5"/>
      <c r="D559" s="5"/>
      <c r="E559" s="5"/>
      <c r="F559" s="5"/>
    </row>
    <row r="560" ht="15.75" customHeight="1">
      <c r="A560" s="5"/>
      <c r="B560" s="5"/>
      <c r="C560" s="5"/>
      <c r="D560" s="5"/>
      <c r="E560" s="5"/>
      <c r="F560" s="5"/>
    </row>
    <row r="561" ht="15.75" customHeight="1">
      <c r="A561" s="5"/>
      <c r="B561" s="5"/>
      <c r="C561" s="5"/>
      <c r="D561" s="5"/>
      <c r="E561" s="5"/>
      <c r="F561" s="5"/>
    </row>
    <row r="562" ht="15.75" customHeight="1">
      <c r="A562" s="5"/>
      <c r="B562" s="5"/>
      <c r="C562" s="5"/>
      <c r="D562" s="5"/>
      <c r="E562" s="5"/>
      <c r="F562" s="5"/>
    </row>
    <row r="563" ht="15.75" customHeight="1">
      <c r="A563" s="5"/>
      <c r="B563" s="5"/>
      <c r="C563" s="5"/>
      <c r="D563" s="5"/>
      <c r="E563" s="5"/>
      <c r="F563" s="5"/>
    </row>
    <row r="564" ht="15.75" customHeight="1">
      <c r="A564" s="5"/>
      <c r="B564" s="5"/>
      <c r="C564" s="5"/>
      <c r="D564" s="5"/>
      <c r="E564" s="5"/>
      <c r="F564" s="5"/>
    </row>
    <row r="565" ht="15.75" customHeight="1">
      <c r="A565" s="5"/>
      <c r="B565" s="5"/>
      <c r="C565" s="5"/>
      <c r="D565" s="5"/>
      <c r="E565" s="5"/>
      <c r="F565" s="5"/>
    </row>
    <row r="566" ht="15.75" customHeight="1">
      <c r="A566" s="5"/>
      <c r="B566" s="5"/>
      <c r="C566" s="5"/>
      <c r="D566" s="5"/>
      <c r="E566" s="5"/>
      <c r="F566" s="5"/>
    </row>
    <row r="567" ht="15.75" customHeight="1">
      <c r="A567" s="5"/>
      <c r="B567" s="5"/>
      <c r="C567" s="5"/>
      <c r="D567" s="5"/>
      <c r="E567" s="5"/>
      <c r="F567" s="5"/>
    </row>
    <row r="568" ht="15.75" customHeight="1">
      <c r="A568" s="5"/>
      <c r="B568" s="5"/>
      <c r="C568" s="5"/>
      <c r="D568" s="5"/>
      <c r="E568" s="5"/>
      <c r="F568" s="5"/>
    </row>
    <row r="569" ht="15.75" customHeight="1">
      <c r="A569" s="5"/>
      <c r="B569" s="5"/>
      <c r="C569" s="5"/>
      <c r="D569" s="5"/>
      <c r="E569" s="5"/>
      <c r="F569" s="5"/>
    </row>
    <row r="570" ht="15.75" customHeight="1">
      <c r="A570" s="5"/>
      <c r="B570" s="5"/>
      <c r="C570" s="5"/>
      <c r="D570" s="5"/>
      <c r="E570" s="5"/>
      <c r="F570" s="5"/>
    </row>
    <row r="571" ht="15.75" customHeight="1">
      <c r="A571" s="5"/>
      <c r="B571" s="5"/>
      <c r="C571" s="5"/>
      <c r="D571" s="5"/>
      <c r="E571" s="5"/>
      <c r="F571" s="5"/>
    </row>
    <row r="572" ht="15.75" customHeight="1">
      <c r="A572" s="5"/>
      <c r="B572" s="5"/>
      <c r="C572" s="5"/>
      <c r="D572" s="5"/>
      <c r="E572" s="5"/>
      <c r="F572" s="5"/>
    </row>
    <row r="573" ht="15.75" customHeight="1">
      <c r="A573" s="5"/>
      <c r="B573" s="5"/>
      <c r="C573" s="5"/>
      <c r="D573" s="5"/>
      <c r="E573" s="5"/>
      <c r="F573" s="5"/>
    </row>
    <row r="574" ht="15.75" customHeight="1">
      <c r="A574" s="5"/>
      <c r="B574" s="5"/>
      <c r="C574" s="5"/>
      <c r="D574" s="5"/>
      <c r="E574" s="5"/>
      <c r="F574" s="5"/>
    </row>
    <row r="575" ht="15.75" customHeight="1">
      <c r="A575" s="5"/>
      <c r="B575" s="5"/>
      <c r="C575" s="5"/>
      <c r="D575" s="5"/>
      <c r="E575" s="5"/>
      <c r="F575" s="5"/>
    </row>
    <row r="576" ht="15.75" customHeight="1">
      <c r="A576" s="5"/>
      <c r="B576" s="5"/>
      <c r="C576" s="5"/>
      <c r="D576" s="5"/>
      <c r="E576" s="5"/>
      <c r="F576" s="5"/>
    </row>
    <row r="577" ht="15.75" customHeight="1">
      <c r="A577" s="5"/>
      <c r="B577" s="5"/>
      <c r="C577" s="5"/>
      <c r="D577" s="5"/>
      <c r="E577" s="5"/>
      <c r="F577" s="5"/>
    </row>
    <row r="578" ht="15.75" customHeight="1">
      <c r="A578" s="5"/>
      <c r="B578" s="5"/>
      <c r="C578" s="5"/>
      <c r="D578" s="5"/>
      <c r="E578" s="5"/>
      <c r="F578" s="5"/>
    </row>
    <row r="579" ht="15.75" customHeight="1">
      <c r="A579" s="5"/>
      <c r="B579" s="5"/>
      <c r="C579" s="5"/>
      <c r="D579" s="5"/>
      <c r="E579" s="5"/>
      <c r="F579" s="5"/>
    </row>
    <row r="580" ht="15.75" customHeight="1">
      <c r="A580" s="5"/>
      <c r="B580" s="5"/>
      <c r="C580" s="5"/>
      <c r="D580" s="5"/>
      <c r="E580" s="5"/>
      <c r="F580" s="5"/>
    </row>
    <row r="581" ht="15.75" customHeight="1">
      <c r="A581" s="5"/>
      <c r="B581" s="5"/>
      <c r="C581" s="5"/>
      <c r="D581" s="5"/>
      <c r="E581" s="5"/>
      <c r="F581" s="5"/>
    </row>
    <row r="582" ht="15.75" customHeight="1">
      <c r="A582" s="5"/>
      <c r="B582" s="5"/>
      <c r="C582" s="5"/>
      <c r="D582" s="5"/>
      <c r="E582" s="5"/>
      <c r="F582" s="5"/>
    </row>
    <row r="583" ht="15.75" customHeight="1">
      <c r="A583" s="5"/>
      <c r="B583" s="5"/>
      <c r="C583" s="5"/>
      <c r="D583" s="5"/>
      <c r="E583" s="5"/>
      <c r="F583" s="5"/>
    </row>
    <row r="584" ht="15.75" customHeight="1">
      <c r="A584" s="5"/>
      <c r="B584" s="5"/>
      <c r="C584" s="5"/>
      <c r="D584" s="5"/>
      <c r="E584" s="5"/>
      <c r="F584" s="5"/>
    </row>
    <row r="585" ht="15.75" customHeight="1">
      <c r="A585" s="5"/>
      <c r="B585" s="5"/>
      <c r="C585" s="5"/>
      <c r="D585" s="5"/>
      <c r="E585" s="5"/>
      <c r="F585" s="5"/>
    </row>
    <row r="586" ht="15.75" customHeight="1">
      <c r="A586" s="5"/>
      <c r="B586" s="5"/>
      <c r="C586" s="5"/>
      <c r="D586" s="5"/>
      <c r="E586" s="5"/>
      <c r="F586" s="5"/>
    </row>
    <row r="587" ht="15.75" customHeight="1">
      <c r="A587" s="5"/>
      <c r="B587" s="5"/>
      <c r="C587" s="5"/>
      <c r="D587" s="5"/>
      <c r="E587" s="5"/>
      <c r="F587" s="5"/>
    </row>
    <row r="588" ht="15.75" customHeight="1">
      <c r="A588" s="5"/>
      <c r="B588" s="5"/>
      <c r="C588" s="5"/>
      <c r="D588" s="5"/>
      <c r="E588" s="5"/>
      <c r="F588" s="5"/>
    </row>
    <row r="589" ht="15.75" customHeight="1">
      <c r="A589" s="5"/>
      <c r="B589" s="5"/>
      <c r="C589" s="5"/>
      <c r="D589" s="5"/>
      <c r="E589" s="5"/>
      <c r="F589" s="5"/>
    </row>
    <row r="590" ht="15.75" customHeight="1">
      <c r="A590" s="5"/>
      <c r="B590" s="5"/>
      <c r="C590" s="5"/>
      <c r="D590" s="5"/>
      <c r="E590" s="5"/>
      <c r="F590" s="5"/>
    </row>
    <row r="591" ht="15.75" customHeight="1">
      <c r="A591" s="5"/>
      <c r="B591" s="5"/>
      <c r="C591" s="5"/>
      <c r="D591" s="5"/>
      <c r="E591" s="5"/>
      <c r="F591" s="5"/>
    </row>
    <row r="592" ht="15.75" customHeight="1">
      <c r="A592" s="5"/>
      <c r="B592" s="5"/>
      <c r="C592" s="5"/>
      <c r="D592" s="5"/>
      <c r="E592" s="5"/>
      <c r="F592" s="5"/>
    </row>
    <row r="593" ht="15.75" customHeight="1">
      <c r="A593" s="5"/>
      <c r="B593" s="5"/>
      <c r="C593" s="5"/>
      <c r="D593" s="5"/>
      <c r="E593" s="5"/>
      <c r="F593" s="5"/>
    </row>
    <row r="594" ht="15.75" customHeight="1">
      <c r="A594" s="5"/>
      <c r="B594" s="5"/>
      <c r="C594" s="5"/>
      <c r="D594" s="5"/>
      <c r="E594" s="5"/>
      <c r="F594" s="5"/>
    </row>
    <row r="595" ht="15.75" customHeight="1">
      <c r="A595" s="5"/>
      <c r="B595" s="5"/>
      <c r="C595" s="5"/>
      <c r="D595" s="5"/>
      <c r="E595" s="5"/>
      <c r="F595" s="5"/>
    </row>
    <row r="596" ht="15.75" customHeight="1">
      <c r="A596" s="5"/>
      <c r="B596" s="5"/>
      <c r="C596" s="5"/>
      <c r="D596" s="5"/>
      <c r="E596" s="5"/>
      <c r="F596" s="5"/>
    </row>
    <row r="597" ht="15.75" customHeight="1">
      <c r="A597" s="5"/>
      <c r="B597" s="5"/>
      <c r="C597" s="5"/>
      <c r="D597" s="5"/>
      <c r="E597" s="5"/>
      <c r="F597" s="5"/>
    </row>
    <row r="598" ht="15.75" customHeight="1">
      <c r="A598" s="5"/>
      <c r="B598" s="5"/>
      <c r="C598" s="5"/>
      <c r="D598" s="5"/>
      <c r="E598" s="5"/>
      <c r="F598" s="5"/>
    </row>
    <row r="599" ht="15.75" customHeight="1">
      <c r="A599" s="5"/>
      <c r="B599" s="5"/>
      <c r="C599" s="5"/>
      <c r="D599" s="5"/>
      <c r="E599" s="5"/>
      <c r="F599" s="5"/>
    </row>
    <row r="600" ht="15.75" customHeight="1">
      <c r="A600" s="5"/>
      <c r="B600" s="5"/>
      <c r="C600" s="5"/>
      <c r="D600" s="5"/>
      <c r="E600" s="5"/>
      <c r="F600" s="5"/>
    </row>
    <row r="601" ht="15.75" customHeight="1">
      <c r="A601" s="5"/>
      <c r="B601" s="5"/>
      <c r="C601" s="5"/>
      <c r="D601" s="5"/>
      <c r="E601" s="5"/>
      <c r="F601" s="5"/>
    </row>
    <row r="602" ht="15.75" customHeight="1">
      <c r="A602" s="5"/>
      <c r="B602" s="5"/>
      <c r="C602" s="5"/>
      <c r="D602" s="5"/>
      <c r="E602" s="5"/>
      <c r="F602" s="5"/>
    </row>
    <row r="603" ht="15.75" customHeight="1">
      <c r="A603" s="5"/>
      <c r="B603" s="5"/>
      <c r="C603" s="5"/>
      <c r="D603" s="5"/>
      <c r="E603" s="5"/>
      <c r="F603" s="5"/>
    </row>
    <row r="604" ht="15.75" customHeight="1">
      <c r="A604" s="5"/>
      <c r="B604" s="5"/>
      <c r="C604" s="5"/>
      <c r="D604" s="5"/>
      <c r="E604" s="5"/>
      <c r="F604" s="5"/>
    </row>
    <row r="605" ht="15.75" customHeight="1">
      <c r="A605" s="5"/>
      <c r="B605" s="5"/>
      <c r="C605" s="5"/>
      <c r="D605" s="5"/>
      <c r="E605" s="5"/>
      <c r="F605" s="5"/>
    </row>
    <row r="606" ht="15.75" customHeight="1">
      <c r="A606" s="5"/>
      <c r="B606" s="5"/>
      <c r="C606" s="5"/>
      <c r="D606" s="5"/>
      <c r="E606" s="5"/>
      <c r="F606" s="5"/>
    </row>
    <row r="607" ht="15.75" customHeight="1">
      <c r="A607" s="5"/>
      <c r="B607" s="5"/>
      <c r="C607" s="5"/>
      <c r="D607" s="5"/>
      <c r="E607" s="5"/>
      <c r="F607" s="5"/>
    </row>
    <row r="608" ht="15.75" customHeight="1">
      <c r="A608" s="5"/>
      <c r="B608" s="5"/>
      <c r="C608" s="5"/>
      <c r="D608" s="5"/>
      <c r="E608" s="5"/>
      <c r="F608" s="5"/>
    </row>
    <row r="609" ht="15.75" customHeight="1">
      <c r="A609" s="5"/>
      <c r="B609" s="5"/>
      <c r="C609" s="5"/>
      <c r="D609" s="5"/>
      <c r="E609" s="5"/>
      <c r="F609" s="5"/>
    </row>
    <row r="610" ht="15.75" customHeight="1">
      <c r="A610" s="5"/>
      <c r="B610" s="5"/>
      <c r="C610" s="5"/>
      <c r="D610" s="5"/>
      <c r="E610" s="5"/>
      <c r="F610" s="5"/>
    </row>
    <row r="611" ht="15.75" customHeight="1">
      <c r="A611" s="5"/>
      <c r="B611" s="5"/>
      <c r="C611" s="5"/>
      <c r="D611" s="5"/>
      <c r="E611" s="5"/>
      <c r="F611" s="5"/>
    </row>
    <row r="612" ht="15.75" customHeight="1">
      <c r="A612" s="5"/>
      <c r="B612" s="5"/>
      <c r="C612" s="5"/>
      <c r="D612" s="5"/>
      <c r="E612" s="5"/>
      <c r="F612" s="5"/>
    </row>
    <row r="613" ht="15.75" customHeight="1">
      <c r="A613" s="5"/>
      <c r="B613" s="5"/>
      <c r="C613" s="5"/>
      <c r="D613" s="5"/>
      <c r="E613" s="5"/>
      <c r="F613" s="5"/>
    </row>
    <row r="614" ht="15.75" customHeight="1">
      <c r="A614" s="5"/>
      <c r="B614" s="5"/>
      <c r="C614" s="5"/>
      <c r="D614" s="5"/>
      <c r="E614" s="5"/>
      <c r="F614" s="5"/>
    </row>
    <row r="615" ht="15.75" customHeight="1">
      <c r="A615" s="5"/>
      <c r="B615" s="5"/>
      <c r="C615" s="5"/>
      <c r="D615" s="5"/>
      <c r="E615" s="5"/>
      <c r="F615" s="5"/>
    </row>
    <row r="616" ht="15.75" customHeight="1">
      <c r="A616" s="5"/>
      <c r="B616" s="5"/>
      <c r="C616" s="5"/>
      <c r="D616" s="5"/>
      <c r="E616" s="5"/>
      <c r="F616" s="5"/>
    </row>
    <row r="617" ht="15.75" customHeight="1">
      <c r="A617" s="5"/>
      <c r="B617" s="5"/>
      <c r="C617" s="5"/>
      <c r="D617" s="5"/>
      <c r="E617" s="5"/>
      <c r="F617" s="5"/>
    </row>
    <row r="618" ht="15.75" customHeight="1">
      <c r="A618" s="5"/>
      <c r="B618" s="5"/>
      <c r="C618" s="5"/>
      <c r="D618" s="5"/>
      <c r="E618" s="5"/>
      <c r="F618" s="5"/>
    </row>
    <row r="619" ht="15.75" customHeight="1">
      <c r="A619" s="5"/>
      <c r="B619" s="5"/>
      <c r="C619" s="5"/>
      <c r="D619" s="5"/>
      <c r="E619" s="5"/>
      <c r="F619" s="5"/>
    </row>
    <row r="620" ht="15.75" customHeight="1">
      <c r="A620" s="5"/>
      <c r="B620" s="5"/>
      <c r="C620" s="5"/>
      <c r="D620" s="5"/>
      <c r="E620" s="5"/>
      <c r="F620" s="5"/>
    </row>
    <row r="621" ht="15.75" customHeight="1">
      <c r="A621" s="5"/>
      <c r="B621" s="5"/>
      <c r="C621" s="5"/>
      <c r="D621" s="5"/>
      <c r="E621" s="5"/>
      <c r="F621" s="5"/>
    </row>
    <row r="622" ht="15.75" customHeight="1">
      <c r="A622" s="5"/>
      <c r="B622" s="5"/>
      <c r="C622" s="5"/>
      <c r="D622" s="5"/>
      <c r="E622" s="5"/>
      <c r="F622" s="5"/>
    </row>
    <row r="623" ht="15.75" customHeight="1">
      <c r="A623" s="5"/>
      <c r="B623" s="5"/>
      <c r="C623" s="5"/>
      <c r="D623" s="5"/>
      <c r="E623" s="5"/>
      <c r="F623" s="5"/>
    </row>
    <row r="624" ht="15.75" customHeight="1">
      <c r="A624" s="5"/>
      <c r="B624" s="5"/>
      <c r="C624" s="5"/>
      <c r="D624" s="5"/>
      <c r="E624" s="5"/>
      <c r="F624" s="5"/>
    </row>
    <row r="625" ht="15.75" customHeight="1">
      <c r="A625" s="5"/>
      <c r="B625" s="5"/>
      <c r="C625" s="5"/>
      <c r="D625" s="5"/>
      <c r="E625" s="5"/>
      <c r="F625" s="5"/>
    </row>
    <row r="626" ht="15.75" customHeight="1">
      <c r="A626" s="5"/>
      <c r="B626" s="5"/>
      <c r="C626" s="5"/>
      <c r="D626" s="5"/>
      <c r="E626" s="5"/>
      <c r="F626" s="5"/>
    </row>
    <row r="627" ht="15.75" customHeight="1">
      <c r="A627" s="5"/>
      <c r="B627" s="5"/>
      <c r="C627" s="5"/>
      <c r="D627" s="5"/>
      <c r="E627" s="5"/>
      <c r="F627" s="5"/>
    </row>
    <row r="628" ht="15.75" customHeight="1">
      <c r="A628" s="5"/>
      <c r="B628" s="5"/>
      <c r="C628" s="5"/>
      <c r="D628" s="5"/>
      <c r="E628" s="5"/>
      <c r="F628" s="5"/>
    </row>
    <row r="629" ht="15.75" customHeight="1">
      <c r="A629" s="5"/>
      <c r="B629" s="5"/>
      <c r="C629" s="5"/>
      <c r="D629" s="5"/>
      <c r="E629" s="5"/>
      <c r="F629" s="5"/>
    </row>
    <row r="630" ht="15.75" customHeight="1">
      <c r="A630" s="5"/>
      <c r="B630" s="5"/>
      <c r="C630" s="5"/>
      <c r="D630" s="5"/>
      <c r="E630" s="5"/>
      <c r="F630" s="5"/>
    </row>
    <row r="631" ht="15.75" customHeight="1">
      <c r="A631" s="5"/>
      <c r="B631" s="5"/>
      <c r="C631" s="5"/>
      <c r="D631" s="5"/>
      <c r="E631" s="5"/>
      <c r="F631" s="5"/>
    </row>
    <row r="632" ht="15.75" customHeight="1">
      <c r="A632" s="5"/>
      <c r="B632" s="5"/>
      <c r="C632" s="5"/>
      <c r="D632" s="5"/>
      <c r="E632" s="5"/>
      <c r="F632" s="5"/>
    </row>
    <row r="633" ht="15.75" customHeight="1">
      <c r="A633" s="5"/>
      <c r="B633" s="5"/>
      <c r="C633" s="5"/>
      <c r="D633" s="5"/>
      <c r="E633" s="5"/>
      <c r="F633" s="5"/>
    </row>
    <row r="634" ht="15.75" customHeight="1">
      <c r="A634" s="5"/>
      <c r="B634" s="5"/>
      <c r="C634" s="5"/>
      <c r="D634" s="5"/>
      <c r="E634" s="5"/>
      <c r="F634" s="5"/>
    </row>
    <row r="635" ht="15.75" customHeight="1">
      <c r="A635" s="5"/>
      <c r="B635" s="5"/>
      <c r="C635" s="5"/>
      <c r="D635" s="5"/>
      <c r="E635" s="5"/>
      <c r="F635" s="5"/>
    </row>
    <row r="636" ht="15.75" customHeight="1">
      <c r="A636" s="5"/>
      <c r="B636" s="5"/>
      <c r="C636" s="5"/>
      <c r="D636" s="5"/>
      <c r="E636" s="5"/>
      <c r="F636" s="5"/>
    </row>
    <row r="637" ht="15.75" customHeight="1">
      <c r="A637" s="5"/>
      <c r="B637" s="5"/>
      <c r="C637" s="5"/>
      <c r="D637" s="5"/>
      <c r="E637" s="5"/>
      <c r="F637" s="5"/>
    </row>
    <row r="638" ht="15.75" customHeight="1">
      <c r="A638" s="5"/>
      <c r="B638" s="5"/>
      <c r="C638" s="5"/>
      <c r="D638" s="5"/>
      <c r="E638" s="5"/>
      <c r="F638" s="5"/>
    </row>
    <row r="639" ht="15.75" customHeight="1">
      <c r="A639" s="5"/>
      <c r="B639" s="5"/>
      <c r="C639" s="5"/>
      <c r="D639" s="5"/>
      <c r="E639" s="5"/>
      <c r="F639" s="5"/>
    </row>
    <row r="640" ht="15.75" customHeight="1">
      <c r="A640" s="5"/>
      <c r="B640" s="5"/>
      <c r="C640" s="5"/>
      <c r="D640" s="5"/>
      <c r="E640" s="5"/>
      <c r="F640" s="5"/>
    </row>
    <row r="641" ht="15.75" customHeight="1">
      <c r="A641" s="5"/>
      <c r="B641" s="5"/>
      <c r="C641" s="5"/>
      <c r="D641" s="5"/>
      <c r="E641" s="5"/>
      <c r="F641" s="5"/>
    </row>
    <row r="642" ht="15.75" customHeight="1">
      <c r="A642" s="5"/>
      <c r="B642" s="5"/>
      <c r="C642" s="5"/>
      <c r="D642" s="5"/>
      <c r="E642" s="5"/>
      <c r="F642" s="5"/>
    </row>
    <row r="643" ht="15.75" customHeight="1">
      <c r="A643" s="5"/>
      <c r="B643" s="5"/>
      <c r="C643" s="5"/>
      <c r="D643" s="5"/>
      <c r="E643" s="5"/>
      <c r="F643" s="5"/>
    </row>
    <row r="644" ht="15.75" customHeight="1">
      <c r="A644" s="5"/>
      <c r="B644" s="5"/>
      <c r="C644" s="5"/>
      <c r="D644" s="5"/>
      <c r="E644" s="5"/>
      <c r="F644" s="5"/>
    </row>
    <row r="645" ht="15.75" customHeight="1">
      <c r="A645" s="5"/>
      <c r="B645" s="5"/>
      <c r="C645" s="5"/>
      <c r="D645" s="5"/>
      <c r="E645" s="5"/>
      <c r="F645" s="5"/>
    </row>
    <row r="646" ht="15.75" customHeight="1">
      <c r="A646" s="5"/>
      <c r="B646" s="5"/>
      <c r="C646" s="5"/>
      <c r="D646" s="5"/>
      <c r="E646" s="5"/>
      <c r="F646" s="5"/>
    </row>
    <row r="647" ht="15.75" customHeight="1">
      <c r="A647" s="5"/>
      <c r="B647" s="5"/>
      <c r="C647" s="5"/>
      <c r="D647" s="5"/>
      <c r="E647" s="5"/>
      <c r="F647" s="5"/>
    </row>
    <row r="648" ht="15.75" customHeight="1">
      <c r="A648" s="5"/>
      <c r="B648" s="5"/>
      <c r="C648" s="5"/>
      <c r="D648" s="5"/>
      <c r="E648" s="5"/>
      <c r="F648" s="5"/>
    </row>
    <row r="649" ht="15.75" customHeight="1">
      <c r="A649" s="5"/>
      <c r="B649" s="5"/>
      <c r="C649" s="5"/>
      <c r="D649" s="5"/>
      <c r="E649" s="5"/>
      <c r="F649" s="5"/>
    </row>
    <row r="650" ht="15.75" customHeight="1">
      <c r="A650" s="5"/>
      <c r="B650" s="5"/>
      <c r="C650" s="5"/>
      <c r="D650" s="5"/>
      <c r="E650" s="5"/>
      <c r="F650" s="5"/>
    </row>
    <row r="651" ht="15.75" customHeight="1">
      <c r="A651" s="5"/>
      <c r="B651" s="5"/>
      <c r="C651" s="5"/>
      <c r="D651" s="5"/>
      <c r="E651" s="5"/>
      <c r="F651" s="5"/>
    </row>
    <row r="652" ht="15.75" customHeight="1">
      <c r="A652" s="5"/>
      <c r="B652" s="5"/>
      <c r="C652" s="5"/>
      <c r="D652" s="5"/>
      <c r="E652" s="5"/>
      <c r="F652" s="5"/>
    </row>
    <row r="653" ht="15.75" customHeight="1">
      <c r="A653" s="5"/>
      <c r="B653" s="5"/>
      <c r="C653" s="5"/>
      <c r="D653" s="5"/>
      <c r="E653" s="5"/>
      <c r="F653" s="5"/>
    </row>
    <row r="654" ht="15.75" customHeight="1">
      <c r="A654" s="5"/>
      <c r="B654" s="5"/>
      <c r="C654" s="5"/>
      <c r="D654" s="5"/>
      <c r="E654" s="5"/>
      <c r="F654" s="5"/>
    </row>
    <row r="655" ht="15.75" customHeight="1">
      <c r="A655" s="5"/>
      <c r="B655" s="5"/>
      <c r="C655" s="5"/>
      <c r="D655" s="5"/>
      <c r="E655" s="5"/>
      <c r="F655" s="5"/>
    </row>
    <row r="656" ht="15.75" customHeight="1">
      <c r="A656" s="5"/>
      <c r="B656" s="5"/>
      <c r="C656" s="5"/>
      <c r="D656" s="5"/>
      <c r="E656" s="5"/>
      <c r="F656" s="5"/>
    </row>
    <row r="657" ht="15.75" customHeight="1">
      <c r="A657" s="5"/>
      <c r="B657" s="5"/>
      <c r="C657" s="5"/>
      <c r="D657" s="5"/>
      <c r="E657" s="5"/>
      <c r="F657" s="5"/>
    </row>
    <row r="658" ht="15.75" customHeight="1">
      <c r="A658" s="5"/>
      <c r="B658" s="5"/>
      <c r="C658" s="5"/>
      <c r="D658" s="5"/>
      <c r="E658" s="5"/>
      <c r="F658" s="5"/>
    </row>
    <row r="659" ht="15.75" customHeight="1">
      <c r="A659" s="5"/>
      <c r="B659" s="5"/>
      <c r="C659" s="5"/>
      <c r="D659" s="5"/>
      <c r="E659" s="5"/>
      <c r="F659" s="5"/>
    </row>
    <row r="660" ht="15.75" customHeight="1">
      <c r="A660" s="5"/>
      <c r="B660" s="5"/>
      <c r="C660" s="5"/>
      <c r="D660" s="5"/>
      <c r="E660" s="5"/>
      <c r="F660" s="5"/>
    </row>
    <row r="661" ht="15.75" customHeight="1">
      <c r="A661" s="5"/>
      <c r="B661" s="5"/>
      <c r="C661" s="5"/>
      <c r="D661" s="5"/>
      <c r="E661" s="5"/>
      <c r="F661" s="5"/>
    </row>
    <row r="662" ht="15.75" customHeight="1">
      <c r="A662" s="5"/>
      <c r="B662" s="5"/>
      <c r="C662" s="5"/>
      <c r="D662" s="5"/>
      <c r="E662" s="5"/>
      <c r="F662" s="5"/>
    </row>
    <row r="663" ht="15.75" customHeight="1">
      <c r="A663" s="5"/>
      <c r="B663" s="5"/>
      <c r="C663" s="5"/>
      <c r="D663" s="5"/>
      <c r="E663" s="5"/>
      <c r="F663" s="5"/>
    </row>
    <row r="664" ht="15.75" customHeight="1">
      <c r="A664" s="5"/>
      <c r="B664" s="5"/>
      <c r="C664" s="5"/>
      <c r="D664" s="5"/>
      <c r="E664" s="5"/>
      <c r="F664" s="5"/>
    </row>
    <row r="665" ht="15.75" customHeight="1">
      <c r="A665" s="5"/>
      <c r="B665" s="5"/>
      <c r="C665" s="5"/>
      <c r="D665" s="5"/>
      <c r="E665" s="5"/>
      <c r="F665" s="5"/>
    </row>
    <row r="666" ht="15.75" customHeight="1">
      <c r="A666" s="5"/>
      <c r="B666" s="5"/>
      <c r="C666" s="5"/>
      <c r="D666" s="5"/>
      <c r="E666" s="5"/>
      <c r="F666" s="5"/>
    </row>
    <row r="667" ht="15.75" customHeight="1">
      <c r="A667" s="5"/>
      <c r="B667" s="5"/>
      <c r="C667" s="5"/>
      <c r="D667" s="5"/>
      <c r="E667" s="5"/>
      <c r="F667" s="5"/>
    </row>
    <row r="668" ht="15.75" customHeight="1">
      <c r="A668" s="5"/>
      <c r="B668" s="5"/>
      <c r="C668" s="5"/>
      <c r="D668" s="5"/>
      <c r="E668" s="5"/>
      <c r="F668" s="5"/>
    </row>
    <row r="669" ht="15.75" customHeight="1">
      <c r="A669" s="5"/>
      <c r="B669" s="5"/>
      <c r="C669" s="5"/>
      <c r="D669" s="5"/>
      <c r="E669" s="5"/>
      <c r="F669" s="5"/>
    </row>
    <row r="670" ht="15.75" customHeight="1">
      <c r="A670" s="5"/>
      <c r="B670" s="5"/>
      <c r="C670" s="5"/>
      <c r="D670" s="5"/>
      <c r="E670" s="5"/>
      <c r="F670" s="5"/>
    </row>
    <row r="671" ht="15.75" customHeight="1">
      <c r="A671" s="5"/>
      <c r="B671" s="5"/>
      <c r="C671" s="5"/>
      <c r="D671" s="5"/>
      <c r="E671" s="5"/>
      <c r="F671" s="5"/>
    </row>
    <row r="672" ht="15.75" customHeight="1">
      <c r="A672" s="5"/>
      <c r="B672" s="5"/>
      <c r="C672" s="5"/>
      <c r="D672" s="5"/>
      <c r="E672" s="5"/>
      <c r="F672" s="5"/>
    </row>
    <row r="673" ht="15.75" customHeight="1">
      <c r="A673" s="5"/>
      <c r="B673" s="5"/>
      <c r="C673" s="5"/>
      <c r="D673" s="5"/>
      <c r="E673" s="5"/>
      <c r="F673" s="5"/>
    </row>
    <row r="674" ht="15.75" customHeight="1">
      <c r="A674" s="5"/>
      <c r="B674" s="5"/>
      <c r="C674" s="5"/>
      <c r="D674" s="5"/>
      <c r="E674" s="5"/>
      <c r="F674" s="5"/>
    </row>
    <row r="675" ht="15.75" customHeight="1">
      <c r="A675" s="5"/>
      <c r="B675" s="5"/>
      <c r="C675" s="5"/>
      <c r="D675" s="5"/>
      <c r="E675" s="5"/>
      <c r="F675" s="5"/>
    </row>
    <row r="676" ht="15.75" customHeight="1">
      <c r="A676" s="5"/>
      <c r="B676" s="5"/>
      <c r="C676" s="5"/>
      <c r="D676" s="5"/>
      <c r="E676" s="5"/>
      <c r="F676" s="5"/>
    </row>
    <row r="677" ht="15.75" customHeight="1">
      <c r="A677" s="5"/>
      <c r="B677" s="5"/>
      <c r="C677" s="5"/>
      <c r="D677" s="5"/>
      <c r="E677" s="5"/>
      <c r="F677" s="5"/>
    </row>
    <row r="678" ht="15.75" customHeight="1">
      <c r="A678" s="5"/>
      <c r="B678" s="5"/>
      <c r="C678" s="5"/>
      <c r="D678" s="5"/>
      <c r="E678" s="5"/>
      <c r="F678" s="5"/>
    </row>
    <row r="679" ht="15.75" customHeight="1">
      <c r="A679" s="5"/>
      <c r="B679" s="5"/>
      <c r="C679" s="5"/>
      <c r="D679" s="5"/>
      <c r="E679" s="5"/>
      <c r="F679" s="5"/>
    </row>
    <row r="680" ht="15.75" customHeight="1">
      <c r="A680" s="5"/>
      <c r="B680" s="5"/>
      <c r="C680" s="5"/>
      <c r="D680" s="5"/>
      <c r="E680" s="5"/>
      <c r="F680" s="5"/>
    </row>
    <row r="681" ht="15.75" customHeight="1">
      <c r="A681" s="5"/>
      <c r="B681" s="5"/>
      <c r="C681" s="5"/>
      <c r="D681" s="5"/>
      <c r="E681" s="5"/>
      <c r="F681" s="5"/>
    </row>
    <row r="682" ht="15.75" customHeight="1">
      <c r="A682" s="5"/>
      <c r="B682" s="5"/>
      <c r="C682" s="5"/>
      <c r="D682" s="5"/>
      <c r="E682" s="5"/>
      <c r="F682" s="5"/>
    </row>
    <row r="683" ht="15.75" customHeight="1">
      <c r="A683" s="5"/>
      <c r="B683" s="5"/>
      <c r="C683" s="5"/>
      <c r="D683" s="5"/>
      <c r="E683" s="5"/>
      <c r="F683" s="5"/>
    </row>
    <row r="684" ht="15.75" customHeight="1">
      <c r="A684" s="5"/>
      <c r="B684" s="5"/>
      <c r="C684" s="5"/>
      <c r="D684" s="5"/>
      <c r="E684" s="5"/>
      <c r="F684" s="5"/>
    </row>
    <row r="685" ht="15.75" customHeight="1">
      <c r="A685" s="5"/>
      <c r="B685" s="5"/>
      <c r="C685" s="5"/>
      <c r="D685" s="5"/>
      <c r="E685" s="5"/>
      <c r="F685" s="5"/>
    </row>
    <row r="686" ht="15.75" customHeight="1">
      <c r="A686" s="5"/>
      <c r="B686" s="5"/>
      <c r="C686" s="5"/>
      <c r="D686" s="5"/>
      <c r="E686" s="5"/>
      <c r="F686" s="5"/>
    </row>
    <row r="687" ht="15.75" customHeight="1">
      <c r="A687" s="5"/>
      <c r="B687" s="5"/>
      <c r="C687" s="5"/>
      <c r="D687" s="5"/>
      <c r="E687" s="5"/>
      <c r="F687" s="5"/>
    </row>
    <row r="688" ht="15.75" customHeight="1">
      <c r="A688" s="5"/>
      <c r="B688" s="5"/>
      <c r="C688" s="5"/>
      <c r="D688" s="5"/>
      <c r="E688" s="5"/>
      <c r="F688" s="5"/>
    </row>
    <row r="689" ht="15.75" customHeight="1">
      <c r="A689" s="5"/>
      <c r="B689" s="5"/>
      <c r="C689" s="5"/>
      <c r="D689" s="5"/>
      <c r="E689" s="5"/>
      <c r="F689" s="5"/>
    </row>
    <row r="690" ht="15.75" customHeight="1">
      <c r="A690" s="5"/>
      <c r="B690" s="5"/>
      <c r="C690" s="5"/>
      <c r="D690" s="5"/>
      <c r="E690" s="5"/>
      <c r="F690" s="5"/>
    </row>
    <row r="691" ht="15.75" customHeight="1">
      <c r="A691" s="5"/>
      <c r="B691" s="5"/>
      <c r="C691" s="5"/>
      <c r="D691" s="5"/>
      <c r="E691" s="5"/>
      <c r="F691" s="5"/>
    </row>
    <row r="692" ht="15.75" customHeight="1">
      <c r="A692" s="5"/>
      <c r="B692" s="5"/>
      <c r="C692" s="5"/>
      <c r="D692" s="5"/>
      <c r="E692" s="5"/>
      <c r="F692" s="5"/>
    </row>
    <row r="693" ht="15.75" customHeight="1">
      <c r="A693" s="5"/>
      <c r="B693" s="5"/>
      <c r="C693" s="5"/>
      <c r="D693" s="5"/>
      <c r="E693" s="5"/>
      <c r="F693" s="5"/>
    </row>
    <row r="694" ht="15.75" customHeight="1">
      <c r="A694" s="5"/>
      <c r="B694" s="5"/>
      <c r="C694" s="5"/>
      <c r="D694" s="5"/>
      <c r="E694" s="5"/>
      <c r="F694" s="5"/>
    </row>
    <row r="695" ht="15.75" customHeight="1">
      <c r="A695" s="5"/>
      <c r="B695" s="5"/>
      <c r="C695" s="5"/>
      <c r="D695" s="5"/>
      <c r="E695" s="5"/>
      <c r="F695" s="5"/>
    </row>
    <row r="696" ht="15.75" customHeight="1">
      <c r="A696" s="5"/>
      <c r="B696" s="5"/>
      <c r="C696" s="5"/>
      <c r="D696" s="5"/>
      <c r="E696" s="5"/>
      <c r="F696" s="5"/>
    </row>
    <row r="697" ht="15.75" customHeight="1">
      <c r="A697" s="5"/>
      <c r="B697" s="5"/>
      <c r="C697" s="5"/>
      <c r="D697" s="5"/>
      <c r="E697" s="5"/>
      <c r="F697" s="5"/>
    </row>
    <row r="698" ht="15.75" customHeight="1">
      <c r="A698" s="5"/>
      <c r="B698" s="5"/>
      <c r="C698" s="5"/>
      <c r="D698" s="5"/>
      <c r="E698" s="5"/>
      <c r="F698" s="5"/>
    </row>
    <row r="699" ht="15.75" customHeight="1">
      <c r="A699" s="5"/>
      <c r="B699" s="5"/>
      <c r="C699" s="5"/>
      <c r="D699" s="5"/>
      <c r="E699" s="5"/>
      <c r="F699" s="5"/>
    </row>
    <row r="700" ht="15.75" customHeight="1">
      <c r="A700" s="5"/>
      <c r="B700" s="5"/>
      <c r="C700" s="5"/>
      <c r="D700" s="5"/>
      <c r="E700" s="5"/>
      <c r="F700" s="5"/>
    </row>
    <row r="701" ht="15.75" customHeight="1">
      <c r="A701" s="5"/>
      <c r="B701" s="5"/>
      <c r="C701" s="5"/>
      <c r="D701" s="5"/>
      <c r="E701" s="5"/>
      <c r="F701" s="5"/>
    </row>
    <row r="702" ht="15.75" customHeight="1">
      <c r="A702" s="5"/>
      <c r="B702" s="5"/>
      <c r="C702" s="5"/>
      <c r="D702" s="5"/>
      <c r="E702" s="5"/>
      <c r="F702" s="5"/>
    </row>
    <row r="703" ht="15.75" customHeight="1">
      <c r="A703" s="5"/>
      <c r="B703" s="5"/>
      <c r="C703" s="5"/>
      <c r="D703" s="5"/>
      <c r="E703" s="5"/>
      <c r="F703" s="5"/>
    </row>
    <row r="704" ht="15.75" customHeight="1">
      <c r="A704" s="5"/>
      <c r="B704" s="5"/>
      <c r="C704" s="5"/>
      <c r="D704" s="5"/>
      <c r="E704" s="5"/>
      <c r="F704" s="5"/>
    </row>
    <row r="705" ht="15.75" customHeight="1">
      <c r="A705" s="5"/>
      <c r="B705" s="5"/>
      <c r="C705" s="5"/>
      <c r="D705" s="5"/>
      <c r="E705" s="5"/>
      <c r="F705" s="5"/>
    </row>
    <row r="706" ht="15.75" customHeight="1">
      <c r="A706" s="5"/>
      <c r="B706" s="5"/>
      <c r="C706" s="5"/>
      <c r="D706" s="5"/>
      <c r="E706" s="5"/>
      <c r="F706" s="5"/>
    </row>
    <row r="707" ht="15.75" customHeight="1">
      <c r="A707" s="5"/>
      <c r="B707" s="5"/>
      <c r="C707" s="5"/>
      <c r="D707" s="5"/>
      <c r="E707" s="5"/>
      <c r="F707" s="5"/>
    </row>
    <row r="708" ht="15.75" customHeight="1">
      <c r="A708" s="5"/>
      <c r="B708" s="5"/>
      <c r="C708" s="5"/>
      <c r="D708" s="5"/>
      <c r="E708" s="5"/>
      <c r="F708" s="5"/>
    </row>
    <row r="709" ht="15.75" customHeight="1">
      <c r="A709" s="5"/>
      <c r="B709" s="5"/>
      <c r="C709" s="5"/>
      <c r="D709" s="5"/>
      <c r="E709" s="5"/>
      <c r="F709" s="5"/>
    </row>
    <row r="710" ht="15.75" customHeight="1">
      <c r="A710" s="5"/>
      <c r="B710" s="5"/>
      <c r="C710" s="5"/>
      <c r="D710" s="5"/>
      <c r="E710" s="5"/>
      <c r="F710" s="5"/>
    </row>
    <row r="711" ht="15.75" customHeight="1">
      <c r="A711" s="5"/>
      <c r="B711" s="5"/>
      <c r="C711" s="5"/>
      <c r="D711" s="5"/>
      <c r="E711" s="5"/>
      <c r="F711" s="5"/>
    </row>
    <row r="712" ht="15.75" customHeight="1">
      <c r="A712" s="5"/>
      <c r="B712" s="5"/>
      <c r="C712" s="5"/>
      <c r="D712" s="5"/>
      <c r="E712" s="5"/>
      <c r="F712" s="5"/>
    </row>
    <row r="713" ht="15.75" customHeight="1">
      <c r="A713" s="5"/>
      <c r="B713" s="5"/>
      <c r="C713" s="5"/>
      <c r="D713" s="5"/>
      <c r="E713" s="5"/>
      <c r="F713" s="5"/>
    </row>
    <row r="714" ht="15.75" customHeight="1">
      <c r="A714" s="5"/>
      <c r="B714" s="5"/>
      <c r="C714" s="5"/>
      <c r="D714" s="5"/>
      <c r="E714" s="5"/>
      <c r="F714" s="5"/>
    </row>
    <row r="715" ht="15.75" customHeight="1">
      <c r="A715" s="5"/>
      <c r="B715" s="5"/>
      <c r="C715" s="5"/>
      <c r="D715" s="5"/>
      <c r="E715" s="5"/>
      <c r="F715" s="5"/>
    </row>
    <row r="716" ht="15.75" customHeight="1">
      <c r="A716" s="5"/>
      <c r="B716" s="5"/>
      <c r="C716" s="5"/>
      <c r="D716" s="5"/>
      <c r="E716" s="5"/>
      <c r="F716" s="5"/>
    </row>
    <row r="717" ht="15.75" customHeight="1">
      <c r="A717" s="5"/>
      <c r="B717" s="5"/>
      <c r="C717" s="5"/>
      <c r="D717" s="5"/>
      <c r="E717" s="5"/>
      <c r="F717" s="5"/>
    </row>
    <row r="718" ht="15.75" customHeight="1">
      <c r="A718" s="5"/>
      <c r="B718" s="5"/>
      <c r="C718" s="5"/>
      <c r="D718" s="5"/>
      <c r="E718" s="5"/>
      <c r="F718" s="5"/>
    </row>
    <row r="719" ht="15.75" customHeight="1">
      <c r="A719" s="5"/>
      <c r="B719" s="5"/>
      <c r="C719" s="5"/>
      <c r="D719" s="5"/>
      <c r="E719" s="5"/>
      <c r="F719" s="5"/>
    </row>
    <row r="720" ht="15.75" customHeight="1">
      <c r="A720" s="5"/>
      <c r="B720" s="5"/>
      <c r="C720" s="5"/>
      <c r="D720" s="5"/>
      <c r="E720" s="5"/>
      <c r="F720" s="5"/>
    </row>
    <row r="721" ht="15.75" customHeight="1">
      <c r="A721" s="5"/>
      <c r="B721" s="5"/>
      <c r="C721" s="5"/>
      <c r="D721" s="5"/>
      <c r="E721" s="5"/>
      <c r="F721" s="5"/>
    </row>
    <row r="722" ht="15.75" customHeight="1">
      <c r="A722" s="5"/>
      <c r="B722" s="5"/>
      <c r="C722" s="5"/>
      <c r="D722" s="5"/>
      <c r="E722" s="5"/>
      <c r="F722" s="5"/>
    </row>
    <row r="723" ht="15.75" customHeight="1">
      <c r="A723" s="5"/>
      <c r="B723" s="5"/>
      <c r="C723" s="5"/>
      <c r="D723" s="5"/>
      <c r="E723" s="5"/>
      <c r="F723" s="5"/>
    </row>
    <row r="724" ht="15.75" customHeight="1">
      <c r="A724" s="5"/>
      <c r="B724" s="5"/>
      <c r="C724" s="5"/>
      <c r="D724" s="5"/>
      <c r="E724" s="5"/>
      <c r="F724" s="5"/>
    </row>
    <row r="725" ht="15.75" customHeight="1">
      <c r="A725" s="5"/>
      <c r="B725" s="5"/>
      <c r="C725" s="5"/>
      <c r="D725" s="5"/>
      <c r="E725" s="5"/>
      <c r="F725" s="5"/>
    </row>
    <row r="726" ht="15.75" customHeight="1">
      <c r="A726" s="5"/>
      <c r="B726" s="5"/>
      <c r="C726" s="5"/>
      <c r="D726" s="5"/>
      <c r="E726" s="5"/>
      <c r="F726" s="5"/>
    </row>
    <row r="727" ht="15.75" customHeight="1">
      <c r="A727" s="5"/>
      <c r="B727" s="5"/>
      <c r="C727" s="5"/>
      <c r="D727" s="5"/>
      <c r="E727" s="5"/>
      <c r="F727" s="5"/>
    </row>
    <row r="728" ht="15.75" customHeight="1">
      <c r="A728" s="5"/>
      <c r="B728" s="5"/>
      <c r="C728" s="5"/>
      <c r="D728" s="5"/>
      <c r="E728" s="5"/>
      <c r="F728" s="5"/>
    </row>
    <row r="729" ht="15.75" customHeight="1">
      <c r="A729" s="5"/>
      <c r="B729" s="5"/>
      <c r="C729" s="5"/>
      <c r="D729" s="5"/>
      <c r="E729" s="5"/>
      <c r="F729" s="5"/>
    </row>
    <row r="730" ht="15.75" customHeight="1">
      <c r="A730" s="5"/>
      <c r="B730" s="5"/>
      <c r="C730" s="5"/>
      <c r="D730" s="5"/>
      <c r="E730" s="5"/>
      <c r="F730" s="5"/>
    </row>
    <row r="731" ht="15.75" customHeight="1">
      <c r="A731" s="5"/>
      <c r="B731" s="5"/>
      <c r="C731" s="5"/>
      <c r="D731" s="5"/>
      <c r="E731" s="5"/>
      <c r="F731" s="5"/>
    </row>
    <row r="732" ht="15.75" customHeight="1">
      <c r="A732" s="5"/>
      <c r="B732" s="5"/>
      <c r="C732" s="5"/>
      <c r="D732" s="5"/>
      <c r="E732" s="5"/>
      <c r="F732" s="5"/>
    </row>
    <row r="733" ht="15.75" customHeight="1">
      <c r="A733" s="5"/>
      <c r="B733" s="5"/>
      <c r="C733" s="5"/>
      <c r="D733" s="5"/>
      <c r="E733" s="5"/>
      <c r="F733" s="5"/>
    </row>
    <row r="734" ht="15.75" customHeight="1">
      <c r="A734" s="5"/>
      <c r="B734" s="5"/>
      <c r="C734" s="5"/>
      <c r="D734" s="5"/>
      <c r="E734" s="5"/>
      <c r="F734" s="5"/>
    </row>
    <row r="735" ht="15.75" customHeight="1">
      <c r="A735" s="5"/>
      <c r="B735" s="5"/>
      <c r="C735" s="5"/>
      <c r="D735" s="5"/>
      <c r="E735" s="5"/>
      <c r="F735" s="5"/>
    </row>
    <row r="736" ht="15.75" customHeight="1">
      <c r="A736" s="5"/>
      <c r="B736" s="5"/>
      <c r="C736" s="5"/>
      <c r="D736" s="5"/>
      <c r="E736" s="5"/>
      <c r="F736" s="5"/>
    </row>
    <row r="737" ht="15.75" customHeight="1">
      <c r="A737" s="5"/>
      <c r="B737" s="5"/>
      <c r="C737" s="5"/>
      <c r="D737" s="5"/>
      <c r="E737" s="5"/>
      <c r="F737" s="5"/>
    </row>
    <row r="738" ht="15.75" customHeight="1">
      <c r="A738" s="5"/>
      <c r="B738" s="5"/>
      <c r="C738" s="5"/>
      <c r="D738" s="5"/>
      <c r="E738" s="5"/>
      <c r="F738" s="5"/>
    </row>
    <row r="739" ht="15.75" customHeight="1">
      <c r="A739" s="5"/>
      <c r="B739" s="5"/>
      <c r="C739" s="5"/>
      <c r="D739" s="5"/>
      <c r="E739" s="5"/>
      <c r="F739" s="5"/>
    </row>
    <row r="740" ht="15.75" customHeight="1">
      <c r="A740" s="5"/>
      <c r="B740" s="5"/>
      <c r="C740" s="5"/>
      <c r="D740" s="5"/>
      <c r="E740" s="5"/>
      <c r="F740" s="5"/>
    </row>
    <row r="741" ht="15.75" customHeight="1">
      <c r="A741" s="5"/>
      <c r="B741" s="5"/>
      <c r="C741" s="5"/>
      <c r="D741" s="5"/>
      <c r="E741" s="5"/>
      <c r="F741" s="5"/>
    </row>
    <row r="742" ht="15.75" customHeight="1">
      <c r="A742" s="5"/>
      <c r="B742" s="5"/>
      <c r="C742" s="5"/>
      <c r="D742" s="5"/>
      <c r="E742" s="5"/>
      <c r="F742" s="5"/>
    </row>
    <row r="743" ht="15.75" customHeight="1">
      <c r="A743" s="5"/>
      <c r="B743" s="5"/>
      <c r="C743" s="5"/>
      <c r="D743" s="5"/>
      <c r="E743" s="5"/>
      <c r="F743" s="5"/>
    </row>
    <row r="744" ht="15.75" customHeight="1">
      <c r="A744" s="5"/>
      <c r="B744" s="5"/>
      <c r="C744" s="5"/>
      <c r="D744" s="5"/>
      <c r="E744" s="5"/>
      <c r="F744" s="5"/>
    </row>
    <row r="745" ht="15.75" customHeight="1">
      <c r="A745" s="5"/>
      <c r="B745" s="5"/>
      <c r="C745" s="5"/>
      <c r="D745" s="5"/>
      <c r="E745" s="5"/>
      <c r="F745" s="5"/>
    </row>
    <row r="746" ht="15.75" customHeight="1">
      <c r="A746" s="5"/>
      <c r="B746" s="5"/>
      <c r="C746" s="5"/>
      <c r="D746" s="5"/>
      <c r="E746" s="5"/>
      <c r="F746" s="5"/>
    </row>
    <row r="747" ht="15.75" customHeight="1">
      <c r="A747" s="5"/>
      <c r="B747" s="5"/>
      <c r="C747" s="5"/>
      <c r="D747" s="5"/>
      <c r="E747" s="5"/>
      <c r="F747" s="5"/>
    </row>
    <row r="748" ht="15.75" customHeight="1">
      <c r="A748" s="5"/>
      <c r="B748" s="5"/>
      <c r="C748" s="5"/>
      <c r="D748" s="5"/>
      <c r="E748" s="5"/>
      <c r="F748" s="5"/>
    </row>
    <row r="749" ht="15.75" customHeight="1">
      <c r="A749" s="5"/>
      <c r="B749" s="5"/>
      <c r="C749" s="5"/>
      <c r="D749" s="5"/>
      <c r="E749" s="5"/>
      <c r="F749" s="5"/>
    </row>
    <row r="750" ht="15.75" customHeight="1">
      <c r="A750" s="5"/>
      <c r="B750" s="5"/>
      <c r="C750" s="5"/>
      <c r="D750" s="5"/>
      <c r="E750" s="5"/>
      <c r="F750" s="5"/>
    </row>
    <row r="751" ht="15.75" customHeight="1">
      <c r="A751" s="5"/>
      <c r="B751" s="5"/>
      <c r="C751" s="5"/>
      <c r="D751" s="5"/>
      <c r="E751" s="5"/>
      <c r="F751" s="5"/>
    </row>
    <row r="752" ht="15.75" customHeight="1">
      <c r="A752" s="5"/>
      <c r="B752" s="5"/>
      <c r="C752" s="5"/>
      <c r="D752" s="5"/>
      <c r="E752" s="5"/>
      <c r="F752" s="5"/>
    </row>
    <row r="753" ht="15.75" customHeight="1">
      <c r="A753" s="5"/>
      <c r="B753" s="5"/>
      <c r="C753" s="5"/>
      <c r="D753" s="5"/>
      <c r="E753" s="5"/>
      <c r="F753" s="5"/>
    </row>
    <row r="754" ht="15.75" customHeight="1">
      <c r="A754" s="5"/>
      <c r="B754" s="5"/>
      <c r="C754" s="5"/>
      <c r="D754" s="5"/>
      <c r="E754" s="5"/>
      <c r="F754" s="5"/>
    </row>
    <row r="755" ht="15.75" customHeight="1">
      <c r="A755" s="5"/>
      <c r="B755" s="5"/>
      <c r="C755" s="5"/>
      <c r="D755" s="5"/>
      <c r="E755" s="5"/>
      <c r="F755" s="5"/>
    </row>
    <row r="756" ht="15.75" customHeight="1">
      <c r="A756" s="5"/>
      <c r="B756" s="5"/>
      <c r="C756" s="5"/>
      <c r="D756" s="5"/>
      <c r="E756" s="5"/>
      <c r="F756" s="5"/>
    </row>
    <row r="757" ht="15.75" customHeight="1">
      <c r="A757" s="5"/>
      <c r="B757" s="5"/>
      <c r="C757" s="5"/>
      <c r="D757" s="5"/>
      <c r="E757" s="5"/>
      <c r="F757" s="5"/>
    </row>
    <row r="758" ht="15.75" customHeight="1">
      <c r="A758" s="5"/>
      <c r="B758" s="5"/>
      <c r="C758" s="5"/>
      <c r="D758" s="5"/>
      <c r="E758" s="5"/>
      <c r="F758" s="5"/>
    </row>
    <row r="759" ht="15.75" customHeight="1">
      <c r="A759" s="5"/>
      <c r="B759" s="5"/>
      <c r="C759" s="5"/>
      <c r="D759" s="5"/>
      <c r="E759" s="5"/>
      <c r="F759" s="5"/>
    </row>
    <row r="760" ht="15.75" customHeight="1">
      <c r="A760" s="5"/>
      <c r="B760" s="5"/>
      <c r="C760" s="5"/>
      <c r="D760" s="5"/>
      <c r="E760" s="5"/>
      <c r="F760" s="5"/>
    </row>
    <row r="761" ht="15.75" customHeight="1">
      <c r="A761" s="5"/>
      <c r="B761" s="5"/>
      <c r="C761" s="5"/>
      <c r="D761" s="5"/>
      <c r="E761" s="5"/>
      <c r="F761" s="5"/>
    </row>
    <row r="762" ht="15.75" customHeight="1">
      <c r="A762" s="5"/>
      <c r="B762" s="5"/>
      <c r="C762" s="5"/>
      <c r="D762" s="5"/>
      <c r="E762" s="5"/>
      <c r="F762" s="5"/>
    </row>
    <row r="763" ht="15.75" customHeight="1">
      <c r="A763" s="5"/>
      <c r="B763" s="5"/>
      <c r="C763" s="5"/>
      <c r="D763" s="5"/>
      <c r="E763" s="5"/>
      <c r="F763" s="5"/>
    </row>
    <row r="764" ht="15.75" customHeight="1">
      <c r="A764" s="5"/>
      <c r="B764" s="5"/>
      <c r="C764" s="5"/>
      <c r="D764" s="5"/>
      <c r="E764" s="5"/>
      <c r="F764" s="5"/>
    </row>
    <row r="765" ht="15.75" customHeight="1">
      <c r="A765" s="5"/>
      <c r="B765" s="5"/>
      <c r="C765" s="5"/>
      <c r="D765" s="5"/>
      <c r="E765" s="5"/>
      <c r="F765" s="5"/>
    </row>
    <row r="766" ht="15.75" customHeight="1">
      <c r="A766" s="5"/>
      <c r="B766" s="5"/>
      <c r="C766" s="5"/>
      <c r="D766" s="5"/>
      <c r="E766" s="5"/>
      <c r="F766" s="5"/>
    </row>
    <row r="767" ht="15.75" customHeight="1">
      <c r="A767" s="5"/>
      <c r="B767" s="5"/>
      <c r="C767" s="5"/>
      <c r="D767" s="5"/>
      <c r="E767" s="5"/>
      <c r="F767" s="5"/>
    </row>
    <row r="768" ht="15.75" customHeight="1">
      <c r="A768" s="5"/>
      <c r="B768" s="5"/>
      <c r="C768" s="5"/>
      <c r="D768" s="5"/>
      <c r="E768" s="5"/>
      <c r="F768" s="5"/>
    </row>
    <row r="769" ht="15.75" customHeight="1">
      <c r="A769" s="5"/>
      <c r="B769" s="5"/>
      <c r="C769" s="5"/>
      <c r="D769" s="5"/>
      <c r="E769" s="5"/>
      <c r="F769" s="5"/>
    </row>
    <row r="770" ht="15.75" customHeight="1">
      <c r="A770" s="5"/>
      <c r="B770" s="5"/>
      <c r="C770" s="5"/>
      <c r="D770" s="5"/>
      <c r="E770" s="5"/>
      <c r="F770" s="5"/>
    </row>
    <row r="771" ht="15.75" customHeight="1">
      <c r="A771" s="5"/>
      <c r="B771" s="5"/>
      <c r="C771" s="5"/>
      <c r="D771" s="5"/>
      <c r="E771" s="5"/>
      <c r="F771" s="5"/>
    </row>
    <row r="772" ht="15.75" customHeight="1">
      <c r="A772" s="5"/>
      <c r="B772" s="5"/>
      <c r="C772" s="5"/>
      <c r="D772" s="5"/>
      <c r="E772" s="5"/>
      <c r="F772" s="5"/>
    </row>
    <row r="773" ht="15.75" customHeight="1">
      <c r="A773" s="5"/>
      <c r="B773" s="5"/>
      <c r="C773" s="5"/>
      <c r="D773" s="5"/>
      <c r="E773" s="5"/>
      <c r="F773" s="5"/>
    </row>
    <row r="774" ht="15.75" customHeight="1">
      <c r="A774" s="5"/>
      <c r="B774" s="5"/>
      <c r="C774" s="5"/>
      <c r="D774" s="5"/>
      <c r="E774" s="5"/>
      <c r="F774" s="5"/>
    </row>
    <row r="775" ht="15.75" customHeight="1">
      <c r="A775" s="5"/>
      <c r="B775" s="5"/>
      <c r="C775" s="5"/>
      <c r="D775" s="5"/>
      <c r="E775" s="5"/>
      <c r="F775" s="5"/>
    </row>
    <row r="776" ht="15.75" customHeight="1">
      <c r="A776" s="5"/>
      <c r="B776" s="5"/>
      <c r="C776" s="5"/>
      <c r="D776" s="5"/>
      <c r="E776" s="5"/>
      <c r="F776" s="5"/>
    </row>
    <row r="777" ht="15.75" customHeight="1">
      <c r="A777" s="5"/>
      <c r="B777" s="5"/>
      <c r="C777" s="5"/>
      <c r="D777" s="5"/>
      <c r="E777" s="5"/>
      <c r="F777" s="5"/>
    </row>
    <row r="778" ht="15.75" customHeight="1">
      <c r="A778" s="5"/>
      <c r="B778" s="5"/>
      <c r="C778" s="5"/>
      <c r="D778" s="5"/>
      <c r="E778" s="5"/>
      <c r="F778" s="5"/>
    </row>
    <row r="779" ht="15.75" customHeight="1">
      <c r="A779" s="5"/>
      <c r="B779" s="5"/>
      <c r="C779" s="5"/>
      <c r="D779" s="5"/>
      <c r="E779" s="5"/>
      <c r="F779" s="5"/>
    </row>
    <row r="780" ht="15.75" customHeight="1">
      <c r="A780" s="5"/>
      <c r="B780" s="5"/>
      <c r="C780" s="5"/>
      <c r="D780" s="5"/>
      <c r="E780" s="5"/>
      <c r="F780" s="5"/>
    </row>
    <row r="781" ht="15.75" customHeight="1">
      <c r="A781" s="5"/>
      <c r="B781" s="5"/>
      <c r="C781" s="5"/>
      <c r="D781" s="5"/>
      <c r="E781" s="5"/>
      <c r="F781" s="5"/>
    </row>
    <row r="782" ht="15.75" customHeight="1">
      <c r="A782" s="5"/>
      <c r="B782" s="5"/>
      <c r="C782" s="5"/>
      <c r="D782" s="5"/>
      <c r="E782" s="5"/>
      <c r="F782" s="5"/>
    </row>
    <row r="783" ht="15.75" customHeight="1">
      <c r="A783" s="5"/>
      <c r="B783" s="5"/>
      <c r="C783" s="5"/>
      <c r="D783" s="5"/>
      <c r="E783" s="5"/>
      <c r="F783" s="5"/>
    </row>
    <row r="784" ht="15.75" customHeight="1">
      <c r="A784" s="5"/>
      <c r="B784" s="5"/>
      <c r="C784" s="5"/>
      <c r="D784" s="5"/>
      <c r="E784" s="5"/>
      <c r="F784" s="5"/>
    </row>
    <row r="785" ht="15.75" customHeight="1">
      <c r="A785" s="5"/>
      <c r="B785" s="5"/>
      <c r="C785" s="5"/>
      <c r="D785" s="5"/>
      <c r="E785" s="5"/>
      <c r="F785" s="5"/>
    </row>
    <row r="786" ht="15.75" customHeight="1">
      <c r="A786" s="5"/>
      <c r="B786" s="5"/>
      <c r="C786" s="5"/>
      <c r="D786" s="5"/>
      <c r="E786" s="5"/>
      <c r="F786" s="5"/>
    </row>
    <row r="787" ht="15.75" customHeight="1">
      <c r="A787" s="5"/>
      <c r="B787" s="5"/>
      <c r="C787" s="5"/>
      <c r="D787" s="5"/>
      <c r="E787" s="5"/>
      <c r="F787" s="5"/>
    </row>
    <row r="788" ht="15.75" customHeight="1">
      <c r="A788" s="5"/>
      <c r="B788" s="5"/>
      <c r="C788" s="5"/>
      <c r="D788" s="5"/>
      <c r="E788" s="5"/>
      <c r="F788" s="5"/>
    </row>
    <row r="789" ht="15.75" customHeight="1">
      <c r="A789" s="5"/>
      <c r="B789" s="5"/>
      <c r="C789" s="5"/>
      <c r="D789" s="5"/>
      <c r="E789" s="5"/>
      <c r="F789" s="5"/>
    </row>
    <row r="790" ht="15.75" customHeight="1">
      <c r="A790" s="5"/>
      <c r="B790" s="5"/>
      <c r="C790" s="5"/>
      <c r="D790" s="5"/>
      <c r="E790" s="5"/>
      <c r="F790" s="5"/>
    </row>
    <row r="791" ht="15.75" customHeight="1">
      <c r="A791" s="5"/>
      <c r="B791" s="5"/>
      <c r="C791" s="5"/>
      <c r="D791" s="5"/>
      <c r="E791" s="5"/>
      <c r="F791" s="5"/>
    </row>
    <row r="792" ht="15.75" customHeight="1">
      <c r="A792" s="5"/>
      <c r="B792" s="5"/>
      <c r="C792" s="5"/>
      <c r="D792" s="5"/>
      <c r="E792" s="5"/>
      <c r="F792" s="5"/>
    </row>
    <row r="793" ht="15.75" customHeight="1">
      <c r="A793" s="5"/>
      <c r="B793" s="5"/>
      <c r="C793" s="5"/>
      <c r="D793" s="5"/>
      <c r="E793" s="5"/>
      <c r="F793" s="5"/>
    </row>
    <row r="794" ht="15.75" customHeight="1">
      <c r="A794" s="5"/>
      <c r="B794" s="5"/>
      <c r="C794" s="5"/>
      <c r="D794" s="5"/>
      <c r="E794" s="5"/>
      <c r="F794" s="5"/>
    </row>
    <row r="795" ht="15.75" customHeight="1">
      <c r="A795" s="5"/>
      <c r="B795" s="5"/>
      <c r="C795" s="5"/>
      <c r="D795" s="5"/>
      <c r="E795" s="5"/>
      <c r="F795" s="5"/>
    </row>
    <row r="796" ht="15.75" customHeight="1">
      <c r="A796" s="5"/>
      <c r="B796" s="5"/>
      <c r="C796" s="5"/>
      <c r="D796" s="5"/>
      <c r="E796" s="5"/>
      <c r="F796" s="5"/>
    </row>
    <row r="797" ht="15.75" customHeight="1">
      <c r="A797" s="5"/>
      <c r="B797" s="5"/>
      <c r="C797" s="5"/>
      <c r="D797" s="5"/>
      <c r="E797" s="5"/>
      <c r="F797" s="5"/>
    </row>
    <row r="798" ht="15.75" customHeight="1">
      <c r="A798" s="5"/>
      <c r="B798" s="5"/>
      <c r="C798" s="5"/>
      <c r="D798" s="5"/>
      <c r="E798" s="5"/>
      <c r="F798" s="5"/>
    </row>
    <row r="799" ht="15.75" customHeight="1">
      <c r="A799" s="5"/>
      <c r="B799" s="5"/>
      <c r="C799" s="5"/>
      <c r="D799" s="5"/>
      <c r="E799" s="5"/>
      <c r="F799" s="5"/>
    </row>
    <row r="800" ht="15.75" customHeight="1">
      <c r="A800" s="5"/>
      <c r="B800" s="5"/>
      <c r="C800" s="5"/>
      <c r="D800" s="5"/>
      <c r="E800" s="5"/>
      <c r="F800" s="5"/>
    </row>
    <row r="801" ht="15.75" customHeight="1">
      <c r="A801" s="5"/>
      <c r="B801" s="5"/>
      <c r="C801" s="5"/>
      <c r="D801" s="5"/>
      <c r="E801" s="5"/>
      <c r="F801" s="5"/>
    </row>
    <row r="802" ht="15.75" customHeight="1">
      <c r="A802" s="5"/>
      <c r="B802" s="5"/>
      <c r="C802" s="5"/>
      <c r="D802" s="5"/>
      <c r="E802" s="5"/>
      <c r="F802" s="5"/>
    </row>
    <row r="803" ht="15.75" customHeight="1">
      <c r="A803" s="5"/>
      <c r="B803" s="5"/>
      <c r="C803" s="5"/>
      <c r="D803" s="5"/>
      <c r="E803" s="5"/>
      <c r="F803" s="5"/>
    </row>
    <row r="804" ht="15.75" customHeight="1">
      <c r="A804" s="5"/>
      <c r="B804" s="5"/>
      <c r="C804" s="5"/>
      <c r="D804" s="5"/>
      <c r="E804" s="5"/>
      <c r="F804" s="5"/>
    </row>
    <row r="805" ht="15.75" customHeight="1">
      <c r="A805" s="5"/>
      <c r="B805" s="5"/>
      <c r="C805" s="5"/>
      <c r="D805" s="5"/>
      <c r="E805" s="5"/>
      <c r="F805" s="5"/>
    </row>
    <row r="806" ht="15.75" customHeight="1">
      <c r="A806" s="5"/>
      <c r="B806" s="5"/>
      <c r="C806" s="5"/>
      <c r="D806" s="5"/>
      <c r="E806" s="5"/>
      <c r="F806" s="5"/>
    </row>
    <row r="807" ht="15.75" customHeight="1">
      <c r="A807" s="5"/>
      <c r="B807" s="5"/>
      <c r="C807" s="5"/>
      <c r="D807" s="5"/>
      <c r="E807" s="5"/>
      <c r="F807" s="5"/>
    </row>
    <row r="808" ht="15.75" customHeight="1">
      <c r="A808" s="5"/>
      <c r="B808" s="5"/>
      <c r="C808" s="5"/>
      <c r="D808" s="5"/>
      <c r="E808" s="5"/>
      <c r="F808" s="5"/>
    </row>
    <row r="809" ht="15.75" customHeight="1">
      <c r="A809" s="5"/>
      <c r="B809" s="5"/>
      <c r="C809" s="5"/>
      <c r="D809" s="5"/>
      <c r="E809" s="5"/>
      <c r="F809" s="5"/>
    </row>
    <row r="810" ht="15.75" customHeight="1">
      <c r="A810" s="5"/>
      <c r="B810" s="5"/>
      <c r="C810" s="5"/>
      <c r="D810" s="5"/>
      <c r="E810" s="5"/>
      <c r="F810" s="5"/>
    </row>
    <row r="811" ht="15.75" customHeight="1">
      <c r="A811" s="5"/>
      <c r="B811" s="5"/>
      <c r="C811" s="5"/>
      <c r="D811" s="5"/>
      <c r="E811" s="5"/>
      <c r="F811" s="5"/>
    </row>
    <row r="812" ht="15.75" customHeight="1">
      <c r="A812" s="5"/>
      <c r="B812" s="5"/>
      <c r="C812" s="5"/>
      <c r="D812" s="5"/>
      <c r="E812" s="5"/>
      <c r="F812" s="5"/>
    </row>
    <row r="813" ht="15.75" customHeight="1">
      <c r="A813" s="5"/>
      <c r="B813" s="5"/>
      <c r="C813" s="5"/>
      <c r="D813" s="5"/>
      <c r="E813" s="5"/>
      <c r="F813" s="5"/>
    </row>
    <row r="814" ht="15.75" customHeight="1">
      <c r="A814" s="5"/>
      <c r="B814" s="5"/>
      <c r="C814" s="5"/>
      <c r="D814" s="5"/>
      <c r="E814" s="5"/>
      <c r="F814" s="5"/>
    </row>
    <row r="815" ht="15.75" customHeight="1">
      <c r="A815" s="5"/>
      <c r="B815" s="5"/>
      <c r="C815" s="5"/>
      <c r="D815" s="5"/>
      <c r="E815" s="5"/>
      <c r="F815" s="5"/>
    </row>
    <row r="816" ht="15.75" customHeight="1">
      <c r="A816" s="5"/>
      <c r="B816" s="5"/>
      <c r="C816" s="5"/>
      <c r="D816" s="5"/>
      <c r="E816" s="5"/>
      <c r="F816" s="5"/>
    </row>
    <row r="817" ht="15.75" customHeight="1">
      <c r="A817" s="5"/>
      <c r="B817" s="5"/>
      <c r="C817" s="5"/>
      <c r="D817" s="5"/>
      <c r="E817" s="5"/>
      <c r="F817" s="5"/>
    </row>
    <row r="818" ht="15.75" customHeight="1">
      <c r="A818" s="5"/>
      <c r="B818" s="5"/>
      <c r="C818" s="5"/>
      <c r="D818" s="5"/>
      <c r="E818" s="5"/>
      <c r="F818" s="5"/>
    </row>
    <row r="819" ht="15.75" customHeight="1">
      <c r="A819" s="5"/>
      <c r="B819" s="5"/>
      <c r="C819" s="5"/>
      <c r="D819" s="5"/>
      <c r="E819" s="5"/>
      <c r="F819" s="5"/>
    </row>
    <row r="820" ht="15.75" customHeight="1">
      <c r="A820" s="5"/>
      <c r="B820" s="5"/>
      <c r="C820" s="5"/>
      <c r="D820" s="5"/>
      <c r="E820" s="5"/>
      <c r="F820" s="5"/>
    </row>
    <row r="821" ht="15.75" customHeight="1">
      <c r="A821" s="5"/>
      <c r="B821" s="5"/>
      <c r="C821" s="5"/>
      <c r="D821" s="5"/>
      <c r="E821" s="5"/>
      <c r="F821" s="5"/>
    </row>
    <row r="822" ht="15.75" customHeight="1">
      <c r="A822" s="5"/>
      <c r="B822" s="5"/>
      <c r="C822" s="5"/>
      <c r="D822" s="5"/>
      <c r="E822" s="5"/>
      <c r="F822" s="5"/>
    </row>
    <row r="823" ht="15.75" customHeight="1">
      <c r="A823" s="5"/>
      <c r="B823" s="5"/>
      <c r="C823" s="5"/>
      <c r="D823" s="5"/>
      <c r="E823" s="5"/>
      <c r="F823" s="5"/>
    </row>
    <row r="824" ht="15.75" customHeight="1">
      <c r="A824" s="5"/>
      <c r="B824" s="5"/>
      <c r="C824" s="5"/>
      <c r="D824" s="5"/>
      <c r="E824" s="5"/>
      <c r="F824" s="5"/>
    </row>
    <row r="825" ht="15.75" customHeight="1">
      <c r="A825" s="5"/>
      <c r="B825" s="5"/>
      <c r="C825" s="5"/>
      <c r="D825" s="5"/>
      <c r="E825" s="5"/>
      <c r="F825" s="5"/>
    </row>
    <row r="826" ht="15.75" customHeight="1">
      <c r="A826" s="5"/>
      <c r="B826" s="5"/>
      <c r="C826" s="5"/>
      <c r="D826" s="5"/>
      <c r="E826" s="5"/>
      <c r="F826" s="5"/>
    </row>
    <row r="827" ht="15.75" customHeight="1">
      <c r="A827" s="5"/>
      <c r="B827" s="5"/>
      <c r="C827" s="5"/>
      <c r="D827" s="5"/>
      <c r="E827" s="5"/>
      <c r="F827" s="5"/>
    </row>
    <row r="828" ht="15.75" customHeight="1">
      <c r="A828" s="5"/>
      <c r="B828" s="5"/>
      <c r="C828" s="5"/>
      <c r="D828" s="5"/>
      <c r="E828" s="5"/>
      <c r="F828" s="5"/>
    </row>
    <row r="829" ht="15.75" customHeight="1">
      <c r="A829" s="5"/>
      <c r="B829" s="5"/>
      <c r="C829" s="5"/>
      <c r="D829" s="5"/>
      <c r="E829" s="5"/>
      <c r="F829" s="5"/>
    </row>
    <row r="830" ht="15.75" customHeight="1">
      <c r="A830" s="5"/>
      <c r="B830" s="5"/>
      <c r="C830" s="5"/>
      <c r="D830" s="5"/>
      <c r="E830" s="5"/>
      <c r="F830" s="5"/>
    </row>
    <row r="831" ht="15.75" customHeight="1">
      <c r="A831" s="5"/>
      <c r="B831" s="5"/>
      <c r="C831" s="5"/>
      <c r="D831" s="5"/>
      <c r="E831" s="5"/>
      <c r="F831" s="5"/>
    </row>
    <row r="832" ht="15.75" customHeight="1">
      <c r="A832" s="5"/>
      <c r="B832" s="5"/>
      <c r="C832" s="5"/>
      <c r="D832" s="5"/>
      <c r="E832" s="5"/>
      <c r="F832" s="5"/>
    </row>
    <row r="833" ht="15.75" customHeight="1">
      <c r="A833" s="5"/>
      <c r="B833" s="5"/>
      <c r="C833" s="5"/>
      <c r="D833" s="5"/>
      <c r="E833" s="5"/>
      <c r="F833" s="5"/>
    </row>
    <row r="834" ht="15.75" customHeight="1">
      <c r="A834" s="5"/>
      <c r="B834" s="5"/>
      <c r="C834" s="5"/>
      <c r="D834" s="5"/>
      <c r="E834" s="5"/>
      <c r="F834" s="5"/>
    </row>
    <row r="835" ht="15.75" customHeight="1">
      <c r="A835" s="5"/>
      <c r="B835" s="5"/>
      <c r="C835" s="5"/>
      <c r="D835" s="5"/>
      <c r="E835" s="5"/>
      <c r="F835" s="5"/>
    </row>
    <row r="836" ht="15.75" customHeight="1">
      <c r="A836" s="5"/>
      <c r="B836" s="5"/>
      <c r="C836" s="5"/>
      <c r="D836" s="5"/>
      <c r="E836" s="5"/>
      <c r="F836" s="5"/>
    </row>
    <row r="837" ht="15.75" customHeight="1">
      <c r="A837" s="5"/>
      <c r="B837" s="5"/>
      <c r="C837" s="5"/>
      <c r="D837" s="5"/>
      <c r="E837" s="5"/>
      <c r="F837" s="5"/>
    </row>
    <row r="838" ht="15.75" customHeight="1">
      <c r="A838" s="5"/>
      <c r="B838" s="5"/>
      <c r="C838" s="5"/>
      <c r="D838" s="5"/>
      <c r="E838" s="5"/>
      <c r="F838" s="5"/>
    </row>
    <row r="839" ht="15.75" customHeight="1">
      <c r="A839" s="5"/>
      <c r="B839" s="5"/>
      <c r="C839" s="5"/>
      <c r="D839" s="5"/>
      <c r="E839" s="5"/>
      <c r="F839" s="5"/>
    </row>
    <row r="840" ht="15.75" customHeight="1">
      <c r="A840" s="5"/>
      <c r="B840" s="5"/>
      <c r="C840" s="5"/>
      <c r="D840" s="5"/>
      <c r="E840" s="5"/>
      <c r="F840" s="5"/>
    </row>
    <row r="841" ht="15.75" customHeight="1">
      <c r="A841" s="5"/>
      <c r="B841" s="5"/>
      <c r="C841" s="5"/>
      <c r="D841" s="5"/>
      <c r="E841" s="5"/>
      <c r="F841" s="5"/>
    </row>
    <row r="842" ht="15.75" customHeight="1">
      <c r="A842" s="5"/>
      <c r="B842" s="5"/>
      <c r="C842" s="5"/>
      <c r="D842" s="5"/>
      <c r="E842" s="5"/>
      <c r="F842" s="5"/>
    </row>
    <row r="843" ht="15.75" customHeight="1">
      <c r="A843" s="5"/>
      <c r="B843" s="5"/>
      <c r="C843" s="5"/>
      <c r="D843" s="5"/>
      <c r="E843" s="5"/>
      <c r="F843" s="5"/>
    </row>
    <row r="844" ht="15.75" customHeight="1">
      <c r="A844" s="5"/>
      <c r="B844" s="5"/>
      <c r="C844" s="5"/>
      <c r="D844" s="5"/>
      <c r="E844" s="5"/>
      <c r="F844" s="5"/>
    </row>
    <row r="845" ht="15.75" customHeight="1">
      <c r="A845" s="5"/>
      <c r="B845" s="5"/>
      <c r="C845" s="5"/>
      <c r="D845" s="5"/>
      <c r="E845" s="5"/>
      <c r="F845" s="5"/>
    </row>
    <row r="846" ht="15.75" customHeight="1">
      <c r="A846" s="5"/>
      <c r="B846" s="5"/>
      <c r="C846" s="5"/>
      <c r="D846" s="5"/>
      <c r="E846" s="5"/>
      <c r="F846" s="5"/>
    </row>
    <row r="847" ht="15.75" customHeight="1">
      <c r="A847" s="5"/>
      <c r="B847" s="5"/>
      <c r="C847" s="5"/>
      <c r="D847" s="5"/>
      <c r="E847" s="5"/>
      <c r="F847" s="5"/>
    </row>
    <row r="848" ht="15.75" customHeight="1">
      <c r="A848" s="5"/>
      <c r="B848" s="5"/>
      <c r="C848" s="5"/>
      <c r="D848" s="5"/>
      <c r="E848" s="5"/>
      <c r="F848" s="5"/>
    </row>
    <row r="849" ht="15.75" customHeight="1">
      <c r="A849" s="5"/>
      <c r="B849" s="5"/>
      <c r="C849" s="5"/>
      <c r="D849" s="5"/>
      <c r="E849" s="5"/>
      <c r="F849" s="5"/>
    </row>
    <row r="850" ht="15.75" customHeight="1">
      <c r="A850" s="5"/>
      <c r="B850" s="5"/>
      <c r="C850" s="5"/>
      <c r="D850" s="5"/>
      <c r="E850" s="5"/>
      <c r="F850" s="5"/>
    </row>
    <row r="851" ht="15.75" customHeight="1">
      <c r="A851" s="5"/>
      <c r="B851" s="5"/>
      <c r="C851" s="5"/>
      <c r="D851" s="5"/>
      <c r="E851" s="5"/>
      <c r="F851" s="5"/>
    </row>
    <row r="852" ht="15.75" customHeight="1">
      <c r="A852" s="5"/>
      <c r="B852" s="5"/>
      <c r="C852" s="5"/>
      <c r="D852" s="5"/>
      <c r="E852" s="5"/>
      <c r="F852" s="5"/>
    </row>
    <row r="853" ht="15.75" customHeight="1">
      <c r="A853" s="5"/>
      <c r="B853" s="5"/>
      <c r="C853" s="5"/>
      <c r="D853" s="5"/>
      <c r="E853" s="5"/>
      <c r="F853" s="5"/>
    </row>
    <row r="854" ht="15.75" customHeight="1">
      <c r="A854" s="5"/>
      <c r="B854" s="5"/>
      <c r="C854" s="5"/>
      <c r="D854" s="5"/>
      <c r="E854" s="5"/>
      <c r="F854" s="5"/>
    </row>
    <row r="855" ht="15.75" customHeight="1">
      <c r="A855" s="5"/>
      <c r="B855" s="5"/>
      <c r="C855" s="5"/>
      <c r="D855" s="5"/>
      <c r="E855" s="5"/>
      <c r="F855" s="5"/>
    </row>
    <row r="856" ht="15.75" customHeight="1">
      <c r="A856" s="5"/>
      <c r="B856" s="5"/>
      <c r="C856" s="5"/>
      <c r="D856" s="5"/>
      <c r="E856" s="5"/>
      <c r="F856" s="5"/>
    </row>
    <row r="857" ht="15.75" customHeight="1">
      <c r="A857" s="5"/>
      <c r="B857" s="5"/>
      <c r="C857" s="5"/>
      <c r="D857" s="5"/>
      <c r="E857" s="5"/>
      <c r="F857" s="5"/>
    </row>
    <row r="858" ht="15.75" customHeight="1">
      <c r="A858" s="5"/>
      <c r="B858" s="5"/>
      <c r="C858" s="5"/>
      <c r="D858" s="5"/>
      <c r="E858" s="5"/>
      <c r="F858" s="5"/>
    </row>
    <row r="859" ht="15.75" customHeight="1">
      <c r="A859" s="5"/>
      <c r="B859" s="5"/>
      <c r="C859" s="5"/>
      <c r="D859" s="5"/>
      <c r="E859" s="5"/>
      <c r="F859" s="5"/>
    </row>
    <row r="860" ht="15.75" customHeight="1">
      <c r="A860" s="5"/>
      <c r="B860" s="5"/>
      <c r="C860" s="5"/>
      <c r="D860" s="5"/>
      <c r="E860" s="5"/>
      <c r="F860" s="5"/>
    </row>
    <row r="861" ht="15.75" customHeight="1">
      <c r="A861" s="5"/>
      <c r="B861" s="5"/>
      <c r="C861" s="5"/>
      <c r="D861" s="5"/>
      <c r="E861" s="5"/>
      <c r="F861" s="5"/>
    </row>
    <row r="862" ht="15.75" customHeight="1">
      <c r="A862" s="5"/>
      <c r="B862" s="5"/>
      <c r="C862" s="5"/>
      <c r="D862" s="5"/>
      <c r="E862" s="5"/>
      <c r="F862" s="5"/>
    </row>
    <row r="863" ht="15.75" customHeight="1">
      <c r="A863" s="5"/>
      <c r="B863" s="5"/>
      <c r="C863" s="5"/>
      <c r="D863" s="5"/>
      <c r="E863" s="5"/>
      <c r="F863" s="5"/>
    </row>
    <row r="864" ht="15.75" customHeight="1">
      <c r="A864" s="5"/>
      <c r="B864" s="5"/>
      <c r="C864" s="5"/>
      <c r="D864" s="5"/>
      <c r="E864" s="5"/>
      <c r="F864" s="5"/>
    </row>
    <row r="865" ht="15.75" customHeight="1">
      <c r="A865" s="5"/>
      <c r="B865" s="5"/>
      <c r="C865" s="5"/>
      <c r="D865" s="5"/>
      <c r="E865" s="5"/>
      <c r="F865" s="5"/>
    </row>
    <row r="866" ht="15.75" customHeight="1">
      <c r="A866" s="5"/>
      <c r="B866" s="5"/>
      <c r="C866" s="5"/>
      <c r="D866" s="5"/>
      <c r="E866" s="5"/>
      <c r="F866" s="5"/>
    </row>
    <row r="867" ht="15.75" customHeight="1">
      <c r="A867" s="5"/>
      <c r="B867" s="5"/>
      <c r="C867" s="5"/>
      <c r="D867" s="5"/>
      <c r="E867" s="5"/>
      <c r="F867" s="5"/>
    </row>
    <row r="868" ht="15.75" customHeight="1">
      <c r="A868" s="5"/>
      <c r="B868" s="5"/>
      <c r="C868" s="5"/>
      <c r="D868" s="5"/>
      <c r="E868" s="5"/>
      <c r="F868" s="5"/>
    </row>
    <row r="869" ht="15.75" customHeight="1">
      <c r="A869" s="5"/>
      <c r="B869" s="5"/>
      <c r="C869" s="5"/>
      <c r="D869" s="5"/>
      <c r="E869" s="5"/>
      <c r="F869" s="5"/>
    </row>
    <row r="870" ht="15.75" customHeight="1">
      <c r="A870" s="5"/>
      <c r="B870" s="5"/>
      <c r="C870" s="5"/>
      <c r="D870" s="5"/>
      <c r="E870" s="5"/>
      <c r="F870" s="5"/>
    </row>
    <row r="871" ht="15.75" customHeight="1">
      <c r="A871" s="5"/>
      <c r="B871" s="5"/>
      <c r="C871" s="5"/>
      <c r="D871" s="5"/>
      <c r="E871" s="5"/>
      <c r="F871" s="5"/>
    </row>
    <row r="872" ht="15.75" customHeight="1">
      <c r="A872" s="5"/>
      <c r="B872" s="5"/>
      <c r="C872" s="5"/>
      <c r="D872" s="5"/>
      <c r="E872" s="5"/>
      <c r="F872" s="5"/>
    </row>
    <row r="873" ht="15.75" customHeight="1">
      <c r="A873" s="5"/>
      <c r="B873" s="5"/>
      <c r="C873" s="5"/>
      <c r="D873" s="5"/>
      <c r="E873" s="5"/>
      <c r="F873" s="5"/>
    </row>
    <row r="874" ht="15.75" customHeight="1">
      <c r="A874" s="5"/>
      <c r="B874" s="5"/>
      <c r="C874" s="5"/>
      <c r="D874" s="5"/>
      <c r="E874" s="5"/>
      <c r="F874" s="5"/>
    </row>
    <row r="875" ht="15.75" customHeight="1">
      <c r="A875" s="5"/>
      <c r="B875" s="5"/>
      <c r="C875" s="5"/>
      <c r="D875" s="5"/>
      <c r="E875" s="5"/>
      <c r="F875" s="5"/>
    </row>
    <row r="876" ht="15.75" customHeight="1">
      <c r="A876" s="5"/>
      <c r="B876" s="5"/>
      <c r="C876" s="5"/>
      <c r="D876" s="5"/>
      <c r="E876" s="5"/>
      <c r="F876" s="5"/>
    </row>
    <row r="877" ht="15.75" customHeight="1">
      <c r="A877" s="5"/>
      <c r="B877" s="5"/>
      <c r="C877" s="5"/>
      <c r="D877" s="5"/>
      <c r="E877" s="5"/>
      <c r="F877" s="5"/>
    </row>
    <row r="878" ht="15.75" customHeight="1">
      <c r="A878" s="5"/>
      <c r="B878" s="5"/>
      <c r="C878" s="5"/>
      <c r="D878" s="5"/>
      <c r="E878" s="5"/>
      <c r="F878" s="5"/>
    </row>
    <row r="879" ht="15.75" customHeight="1">
      <c r="A879" s="5"/>
      <c r="B879" s="5"/>
      <c r="C879" s="5"/>
      <c r="D879" s="5"/>
      <c r="E879" s="5"/>
      <c r="F879" s="5"/>
    </row>
    <row r="880" ht="15.75" customHeight="1">
      <c r="A880" s="5"/>
      <c r="B880" s="5"/>
      <c r="C880" s="5"/>
      <c r="D880" s="5"/>
      <c r="E880" s="5"/>
      <c r="F880" s="5"/>
    </row>
    <row r="881" ht="15.75" customHeight="1">
      <c r="A881" s="5"/>
      <c r="B881" s="5"/>
      <c r="C881" s="5"/>
      <c r="D881" s="5"/>
      <c r="E881" s="5"/>
      <c r="F881" s="5"/>
    </row>
    <row r="882" ht="15.75" customHeight="1">
      <c r="A882" s="5"/>
      <c r="B882" s="5"/>
      <c r="C882" s="5"/>
      <c r="D882" s="5"/>
      <c r="E882" s="5"/>
      <c r="F882" s="5"/>
    </row>
    <row r="883" ht="15.75" customHeight="1">
      <c r="A883" s="5"/>
      <c r="B883" s="5"/>
      <c r="C883" s="5"/>
      <c r="D883" s="5"/>
      <c r="E883" s="5"/>
      <c r="F883" s="5"/>
    </row>
    <row r="884" ht="15.75" customHeight="1">
      <c r="A884" s="5"/>
      <c r="B884" s="5"/>
      <c r="C884" s="5"/>
      <c r="D884" s="5"/>
      <c r="E884" s="5"/>
      <c r="F884" s="5"/>
    </row>
    <row r="885" ht="15.75" customHeight="1">
      <c r="A885" s="5"/>
      <c r="B885" s="5"/>
      <c r="C885" s="5"/>
      <c r="D885" s="5"/>
      <c r="E885" s="5"/>
      <c r="F885" s="5"/>
    </row>
    <row r="886" ht="15.75" customHeight="1">
      <c r="A886" s="5"/>
      <c r="B886" s="5"/>
      <c r="C886" s="5"/>
      <c r="D886" s="5"/>
      <c r="E886" s="5"/>
      <c r="F886" s="5"/>
    </row>
    <row r="887" ht="15.75" customHeight="1">
      <c r="A887" s="5"/>
      <c r="B887" s="5"/>
      <c r="C887" s="5"/>
      <c r="D887" s="5"/>
      <c r="E887" s="5"/>
      <c r="F887" s="5"/>
    </row>
    <row r="888" ht="15.75" customHeight="1">
      <c r="A888" s="5"/>
      <c r="B888" s="5"/>
      <c r="C888" s="5"/>
      <c r="D888" s="5"/>
      <c r="E888" s="5"/>
      <c r="F888" s="5"/>
    </row>
    <row r="889" ht="15.75" customHeight="1">
      <c r="A889" s="5"/>
      <c r="B889" s="5"/>
      <c r="C889" s="5"/>
      <c r="D889" s="5"/>
      <c r="E889" s="5"/>
      <c r="F889" s="5"/>
    </row>
    <row r="890" ht="15.75" customHeight="1">
      <c r="A890" s="5"/>
      <c r="B890" s="5"/>
      <c r="C890" s="5"/>
      <c r="D890" s="5"/>
      <c r="E890" s="5"/>
      <c r="F890" s="5"/>
    </row>
    <row r="891" ht="15.75" customHeight="1">
      <c r="A891" s="5"/>
      <c r="B891" s="5"/>
      <c r="C891" s="5"/>
      <c r="D891" s="5"/>
      <c r="E891" s="5"/>
      <c r="F891" s="5"/>
    </row>
    <row r="892" ht="15.75" customHeight="1">
      <c r="A892" s="5"/>
      <c r="B892" s="5"/>
      <c r="C892" s="5"/>
      <c r="D892" s="5"/>
      <c r="E892" s="5"/>
      <c r="F892" s="5"/>
    </row>
    <row r="893" ht="15.75" customHeight="1">
      <c r="A893" s="5"/>
      <c r="B893" s="5"/>
      <c r="C893" s="5"/>
      <c r="D893" s="5"/>
      <c r="E893" s="5"/>
      <c r="F893" s="5"/>
    </row>
    <row r="894" ht="15.75" customHeight="1">
      <c r="A894" s="5"/>
      <c r="B894" s="5"/>
      <c r="C894" s="5"/>
      <c r="D894" s="5"/>
      <c r="E894" s="5"/>
      <c r="F894" s="5"/>
    </row>
    <row r="895" ht="15.75" customHeight="1">
      <c r="A895" s="5"/>
      <c r="B895" s="5"/>
      <c r="C895" s="5"/>
      <c r="D895" s="5"/>
      <c r="E895" s="5"/>
      <c r="F895" s="5"/>
    </row>
    <row r="896" ht="15.75" customHeight="1">
      <c r="A896" s="5"/>
      <c r="B896" s="5"/>
      <c r="C896" s="5"/>
      <c r="D896" s="5"/>
      <c r="E896" s="5"/>
      <c r="F896" s="5"/>
    </row>
    <row r="897" ht="15.75" customHeight="1">
      <c r="A897" s="5"/>
      <c r="B897" s="5"/>
      <c r="C897" s="5"/>
      <c r="D897" s="5"/>
      <c r="E897" s="5"/>
      <c r="F897" s="5"/>
    </row>
    <row r="898" ht="15.75" customHeight="1">
      <c r="A898" s="5"/>
      <c r="B898" s="5"/>
      <c r="C898" s="5"/>
      <c r="D898" s="5"/>
      <c r="E898" s="5"/>
      <c r="F898" s="5"/>
    </row>
    <row r="899" ht="15.75" customHeight="1">
      <c r="A899" s="5"/>
      <c r="B899" s="5"/>
      <c r="C899" s="5"/>
      <c r="D899" s="5"/>
      <c r="E899" s="5"/>
      <c r="F899" s="5"/>
    </row>
    <row r="900" ht="15.75" customHeight="1">
      <c r="A900" s="5"/>
      <c r="B900" s="5"/>
      <c r="C900" s="5"/>
      <c r="D900" s="5"/>
      <c r="E900" s="5"/>
      <c r="F900" s="5"/>
    </row>
    <row r="901" ht="15.75" customHeight="1">
      <c r="A901" s="5"/>
      <c r="B901" s="5"/>
      <c r="C901" s="5"/>
      <c r="D901" s="5"/>
      <c r="E901" s="5"/>
      <c r="F901" s="5"/>
    </row>
    <row r="902" ht="15.75" customHeight="1">
      <c r="A902" s="5"/>
      <c r="B902" s="5"/>
      <c r="C902" s="5"/>
      <c r="D902" s="5"/>
      <c r="E902" s="5"/>
      <c r="F902" s="5"/>
    </row>
    <row r="903" ht="15.75" customHeight="1">
      <c r="A903" s="5"/>
      <c r="B903" s="5"/>
      <c r="C903" s="5"/>
      <c r="D903" s="5"/>
      <c r="E903" s="5"/>
      <c r="F903" s="5"/>
    </row>
    <row r="904" ht="15.75" customHeight="1">
      <c r="A904" s="5"/>
      <c r="B904" s="5"/>
      <c r="C904" s="5"/>
      <c r="D904" s="5"/>
      <c r="E904" s="5"/>
      <c r="F904" s="5"/>
    </row>
    <row r="905" ht="15.75" customHeight="1">
      <c r="A905" s="5"/>
      <c r="B905" s="5"/>
      <c r="C905" s="5"/>
      <c r="D905" s="5"/>
      <c r="E905" s="5"/>
      <c r="F905" s="5"/>
    </row>
    <row r="906" ht="15.75" customHeight="1">
      <c r="A906" s="5"/>
      <c r="B906" s="5"/>
      <c r="C906" s="5"/>
      <c r="D906" s="5"/>
      <c r="E906" s="5"/>
      <c r="F906" s="5"/>
    </row>
    <row r="907" ht="15.75" customHeight="1">
      <c r="A907" s="5"/>
      <c r="B907" s="5"/>
      <c r="C907" s="5"/>
      <c r="D907" s="5"/>
      <c r="E907" s="5"/>
      <c r="F907" s="5"/>
    </row>
    <row r="908" ht="15.75" customHeight="1">
      <c r="A908" s="5"/>
      <c r="B908" s="5"/>
      <c r="C908" s="5"/>
      <c r="D908" s="5"/>
      <c r="E908" s="5"/>
      <c r="F908" s="5"/>
    </row>
    <row r="909" ht="15.75" customHeight="1">
      <c r="A909" s="5"/>
      <c r="B909" s="5"/>
      <c r="C909" s="5"/>
      <c r="D909" s="5"/>
      <c r="E909" s="5"/>
      <c r="F909" s="5"/>
    </row>
    <row r="910" ht="15.75" customHeight="1">
      <c r="A910" s="5"/>
      <c r="B910" s="5"/>
      <c r="C910" s="5"/>
      <c r="D910" s="5"/>
      <c r="E910" s="5"/>
      <c r="F910" s="5"/>
    </row>
    <row r="911" ht="15.75" customHeight="1">
      <c r="A911" s="5"/>
      <c r="B911" s="5"/>
      <c r="C911" s="5"/>
      <c r="D911" s="5"/>
      <c r="E911" s="5"/>
      <c r="F911" s="5"/>
    </row>
    <row r="912" ht="15.75" customHeight="1">
      <c r="A912" s="5"/>
      <c r="B912" s="5"/>
      <c r="C912" s="5"/>
      <c r="D912" s="5"/>
      <c r="E912" s="5"/>
      <c r="F912" s="5"/>
    </row>
    <row r="913" ht="15.75" customHeight="1">
      <c r="A913" s="5"/>
      <c r="B913" s="5"/>
      <c r="C913" s="5"/>
      <c r="D913" s="5"/>
      <c r="E913" s="5"/>
      <c r="F913" s="5"/>
    </row>
    <row r="914" ht="15.75" customHeight="1">
      <c r="A914" s="5"/>
      <c r="B914" s="5"/>
      <c r="C914" s="5"/>
      <c r="D914" s="5"/>
      <c r="E914" s="5"/>
      <c r="F914" s="5"/>
    </row>
    <row r="915" ht="15.75" customHeight="1">
      <c r="A915" s="5"/>
      <c r="B915" s="5"/>
      <c r="C915" s="5"/>
      <c r="D915" s="5"/>
      <c r="E915" s="5"/>
      <c r="F915" s="5"/>
    </row>
    <row r="916" ht="15.75" customHeight="1">
      <c r="A916" s="5"/>
      <c r="B916" s="5"/>
      <c r="C916" s="5"/>
      <c r="D916" s="5"/>
      <c r="E916" s="5"/>
      <c r="F916" s="5"/>
    </row>
    <row r="917" ht="15.75" customHeight="1">
      <c r="A917" s="5"/>
      <c r="B917" s="5"/>
      <c r="C917" s="5"/>
      <c r="D917" s="5"/>
      <c r="E917" s="5"/>
      <c r="F917" s="5"/>
    </row>
    <row r="918" ht="15.75" customHeight="1">
      <c r="A918" s="5"/>
      <c r="B918" s="5"/>
      <c r="C918" s="5"/>
      <c r="D918" s="5"/>
      <c r="E918" s="5"/>
      <c r="F918" s="5"/>
    </row>
    <row r="919" ht="15.75" customHeight="1">
      <c r="A919" s="5"/>
      <c r="B919" s="5"/>
      <c r="C919" s="5"/>
      <c r="D919" s="5"/>
      <c r="E919" s="5"/>
      <c r="F919" s="5"/>
    </row>
    <row r="920" ht="15.75" customHeight="1">
      <c r="A920" s="5"/>
      <c r="B920" s="5"/>
      <c r="C920" s="5"/>
      <c r="D920" s="5"/>
      <c r="E920" s="5"/>
      <c r="F920" s="5"/>
    </row>
    <row r="921" ht="15.75" customHeight="1">
      <c r="A921" s="5"/>
      <c r="B921" s="5"/>
      <c r="C921" s="5"/>
      <c r="D921" s="5"/>
      <c r="E921" s="5"/>
      <c r="F921" s="5"/>
    </row>
    <row r="922" ht="15.75" customHeight="1">
      <c r="A922" s="5"/>
      <c r="B922" s="5"/>
      <c r="C922" s="5"/>
      <c r="D922" s="5"/>
      <c r="E922" s="5"/>
      <c r="F922" s="5"/>
    </row>
    <row r="923" ht="15.75" customHeight="1">
      <c r="A923" s="5"/>
      <c r="B923" s="5"/>
      <c r="C923" s="5"/>
      <c r="D923" s="5"/>
      <c r="E923" s="5"/>
      <c r="F923" s="5"/>
    </row>
    <row r="924" ht="15.75" customHeight="1">
      <c r="A924" s="5"/>
      <c r="B924" s="5"/>
      <c r="C924" s="5"/>
      <c r="D924" s="5"/>
      <c r="E924" s="5"/>
      <c r="F924" s="5"/>
    </row>
    <row r="925" ht="15.75" customHeight="1">
      <c r="A925" s="5"/>
      <c r="B925" s="5"/>
      <c r="C925" s="5"/>
      <c r="D925" s="5"/>
      <c r="E925" s="5"/>
      <c r="F925" s="5"/>
    </row>
    <row r="926" ht="15.75" customHeight="1">
      <c r="A926" s="5"/>
      <c r="B926" s="5"/>
      <c r="C926" s="5"/>
      <c r="D926" s="5"/>
      <c r="E926" s="5"/>
      <c r="F926" s="5"/>
    </row>
    <row r="927" ht="15.75" customHeight="1">
      <c r="A927" s="5"/>
      <c r="B927" s="5"/>
      <c r="C927" s="5"/>
      <c r="D927" s="5"/>
      <c r="E927" s="5"/>
      <c r="F927" s="5"/>
    </row>
    <row r="928" ht="15.75" customHeight="1">
      <c r="A928" s="5"/>
      <c r="B928" s="5"/>
      <c r="C928" s="5"/>
      <c r="D928" s="5"/>
      <c r="E928" s="5"/>
      <c r="F928" s="5"/>
    </row>
    <row r="929" ht="15.75" customHeight="1">
      <c r="A929" s="5"/>
      <c r="B929" s="5"/>
      <c r="C929" s="5"/>
      <c r="D929" s="5"/>
      <c r="E929" s="5"/>
      <c r="F929" s="5"/>
    </row>
    <row r="930" ht="15.75" customHeight="1">
      <c r="A930" s="5"/>
      <c r="B930" s="5"/>
      <c r="C930" s="5"/>
      <c r="D930" s="5"/>
      <c r="E930" s="5"/>
      <c r="F930" s="5"/>
    </row>
    <row r="931" ht="15.75" customHeight="1">
      <c r="A931" s="5"/>
      <c r="B931" s="5"/>
      <c r="C931" s="5"/>
      <c r="D931" s="5"/>
      <c r="E931" s="5"/>
      <c r="F931" s="5"/>
    </row>
    <row r="932" ht="15.75" customHeight="1">
      <c r="A932" s="5"/>
      <c r="B932" s="5"/>
      <c r="C932" s="5"/>
      <c r="D932" s="5"/>
      <c r="E932" s="5"/>
      <c r="F932" s="5"/>
    </row>
    <row r="933" ht="15.75" customHeight="1">
      <c r="A933" s="5"/>
      <c r="B933" s="5"/>
      <c r="C933" s="5"/>
      <c r="D933" s="5"/>
      <c r="E933" s="5"/>
      <c r="F933" s="5"/>
    </row>
    <row r="934" ht="15.75" customHeight="1">
      <c r="A934" s="5"/>
      <c r="B934" s="5"/>
      <c r="C934" s="5"/>
      <c r="D934" s="5"/>
      <c r="E934" s="5"/>
      <c r="F934" s="5"/>
    </row>
    <row r="935" ht="15.75" customHeight="1">
      <c r="A935" s="5"/>
      <c r="B935" s="5"/>
      <c r="C935" s="5"/>
      <c r="D935" s="5"/>
      <c r="E935" s="5"/>
      <c r="F935" s="5"/>
    </row>
    <row r="936" ht="15.75" customHeight="1">
      <c r="A936" s="5"/>
      <c r="B936" s="5"/>
      <c r="C936" s="5"/>
      <c r="D936" s="5"/>
      <c r="E936" s="5"/>
      <c r="F936" s="5"/>
    </row>
    <row r="937" ht="15.75" customHeight="1">
      <c r="A937" s="5"/>
      <c r="B937" s="5"/>
      <c r="C937" s="5"/>
      <c r="D937" s="5"/>
      <c r="E937" s="5"/>
      <c r="F937" s="5"/>
    </row>
    <row r="938" ht="15.75" customHeight="1">
      <c r="A938" s="5"/>
      <c r="B938" s="5"/>
      <c r="C938" s="5"/>
      <c r="D938" s="5"/>
      <c r="E938" s="5"/>
      <c r="F938" s="5"/>
    </row>
    <row r="939" ht="15.75" customHeight="1">
      <c r="A939" s="5"/>
      <c r="B939" s="5"/>
      <c r="C939" s="5"/>
      <c r="D939" s="5"/>
      <c r="E939" s="5"/>
      <c r="F939" s="5"/>
    </row>
    <row r="940" ht="15.75" customHeight="1">
      <c r="A940" s="5"/>
      <c r="B940" s="5"/>
      <c r="C940" s="5"/>
      <c r="D940" s="5"/>
      <c r="E940" s="5"/>
      <c r="F940" s="5"/>
    </row>
    <row r="941" ht="15.75" customHeight="1">
      <c r="A941" s="5"/>
      <c r="B941" s="5"/>
      <c r="C941" s="5"/>
      <c r="D941" s="5"/>
      <c r="E941" s="5"/>
      <c r="F941" s="5"/>
    </row>
    <row r="942" ht="15.75" customHeight="1">
      <c r="A942" s="5"/>
      <c r="B942" s="5"/>
      <c r="C942" s="5"/>
      <c r="D942" s="5"/>
      <c r="E942" s="5"/>
      <c r="F942" s="5"/>
    </row>
    <row r="943" ht="15.75" customHeight="1">
      <c r="A943" s="5"/>
      <c r="B943" s="5"/>
      <c r="C943" s="5"/>
      <c r="D943" s="5"/>
      <c r="E943" s="5"/>
      <c r="F943" s="5"/>
    </row>
    <row r="944" ht="15.75" customHeight="1">
      <c r="A944" s="5"/>
      <c r="B944" s="5"/>
      <c r="C944" s="5"/>
      <c r="D944" s="5"/>
      <c r="E944" s="5"/>
      <c r="F944" s="5"/>
    </row>
    <row r="945" ht="15.75" customHeight="1">
      <c r="A945" s="5"/>
      <c r="B945" s="5"/>
      <c r="C945" s="5"/>
      <c r="D945" s="5"/>
      <c r="E945" s="5"/>
      <c r="F945" s="5"/>
    </row>
    <row r="946" ht="15.75" customHeight="1">
      <c r="A946" s="5"/>
      <c r="B946" s="5"/>
      <c r="C946" s="5"/>
      <c r="D946" s="5"/>
      <c r="E946" s="5"/>
      <c r="F946" s="5"/>
    </row>
    <row r="947" ht="15.75" customHeight="1">
      <c r="A947" s="5"/>
      <c r="B947" s="5"/>
      <c r="C947" s="5"/>
      <c r="D947" s="5"/>
      <c r="E947" s="5"/>
      <c r="F947" s="5"/>
    </row>
    <row r="948" ht="15.75" customHeight="1">
      <c r="A948" s="5"/>
      <c r="B948" s="5"/>
      <c r="C948" s="5"/>
      <c r="D948" s="5"/>
      <c r="E948" s="5"/>
      <c r="F948" s="5"/>
    </row>
    <row r="949" ht="15.75" customHeight="1">
      <c r="A949" s="5"/>
      <c r="B949" s="5"/>
      <c r="C949" s="5"/>
      <c r="D949" s="5"/>
      <c r="E949" s="5"/>
      <c r="F949" s="5"/>
    </row>
    <row r="950" ht="15.75" customHeight="1">
      <c r="A950" s="5"/>
      <c r="B950" s="5"/>
      <c r="C950" s="5"/>
      <c r="D950" s="5"/>
      <c r="E950" s="5"/>
      <c r="F950" s="5"/>
    </row>
    <row r="951" ht="15.75" customHeight="1">
      <c r="A951" s="5"/>
      <c r="B951" s="5"/>
      <c r="C951" s="5"/>
      <c r="D951" s="5"/>
      <c r="E951" s="5"/>
      <c r="F951" s="5"/>
    </row>
    <row r="952" ht="15.75" customHeight="1">
      <c r="A952" s="5"/>
      <c r="B952" s="5"/>
      <c r="C952" s="5"/>
      <c r="D952" s="5"/>
      <c r="E952" s="5"/>
      <c r="F952" s="5"/>
    </row>
    <row r="953" ht="15.75" customHeight="1">
      <c r="A953" s="5"/>
      <c r="B953" s="5"/>
      <c r="C953" s="5"/>
      <c r="D953" s="5"/>
      <c r="E953" s="5"/>
      <c r="F953" s="5"/>
    </row>
    <row r="954" ht="15.75" customHeight="1">
      <c r="A954" s="5"/>
      <c r="B954" s="5"/>
      <c r="C954" s="5"/>
      <c r="D954" s="5"/>
      <c r="E954" s="5"/>
      <c r="F954" s="5"/>
    </row>
    <row r="955" ht="15.75" customHeight="1">
      <c r="A955" s="5"/>
      <c r="B955" s="5"/>
      <c r="C955" s="5"/>
      <c r="D955" s="5"/>
      <c r="E955" s="5"/>
      <c r="F955" s="5"/>
    </row>
    <row r="956" ht="15.75" customHeight="1">
      <c r="A956" s="5"/>
      <c r="B956" s="5"/>
      <c r="C956" s="5"/>
      <c r="D956" s="5"/>
      <c r="E956" s="5"/>
      <c r="F956" s="5"/>
    </row>
    <row r="957" ht="15.75" customHeight="1">
      <c r="A957" s="5"/>
      <c r="B957" s="5"/>
      <c r="C957" s="5"/>
      <c r="D957" s="5"/>
      <c r="E957" s="5"/>
      <c r="F957" s="5"/>
    </row>
    <row r="958" ht="15.75" customHeight="1">
      <c r="A958" s="5"/>
      <c r="B958" s="5"/>
      <c r="C958" s="5"/>
      <c r="D958" s="5"/>
      <c r="E958" s="5"/>
      <c r="F958" s="5"/>
    </row>
    <row r="959" ht="15.75" customHeight="1">
      <c r="A959" s="5"/>
      <c r="B959" s="5"/>
      <c r="C959" s="5"/>
      <c r="D959" s="5"/>
      <c r="E959" s="5"/>
      <c r="F959" s="5"/>
    </row>
    <row r="960" ht="15.75" customHeight="1">
      <c r="A960" s="5"/>
      <c r="B960" s="5"/>
      <c r="C960" s="5"/>
      <c r="D960" s="5"/>
      <c r="E960" s="5"/>
      <c r="F960" s="5"/>
    </row>
    <row r="961" ht="15.75" customHeight="1">
      <c r="A961" s="5"/>
      <c r="B961" s="5"/>
      <c r="C961" s="5"/>
      <c r="D961" s="5"/>
      <c r="E961" s="5"/>
      <c r="F961" s="5"/>
    </row>
    <row r="962" ht="15.75" customHeight="1">
      <c r="A962" s="5"/>
      <c r="B962" s="5"/>
      <c r="C962" s="5"/>
      <c r="D962" s="5"/>
      <c r="E962" s="5"/>
      <c r="F962" s="5"/>
    </row>
    <row r="963" ht="15.75" customHeight="1">
      <c r="A963" s="5"/>
      <c r="B963" s="5"/>
      <c r="C963" s="5"/>
      <c r="D963" s="5"/>
      <c r="E963" s="5"/>
      <c r="F963" s="5"/>
    </row>
    <row r="964" ht="15.75" customHeight="1">
      <c r="A964" s="5"/>
      <c r="B964" s="5"/>
      <c r="C964" s="5"/>
      <c r="D964" s="5"/>
      <c r="E964" s="5"/>
      <c r="F964" s="5"/>
    </row>
    <row r="965" ht="15.75" customHeight="1">
      <c r="A965" s="5"/>
      <c r="B965" s="5"/>
      <c r="C965" s="5"/>
      <c r="D965" s="5"/>
      <c r="E965" s="5"/>
      <c r="F965" s="5"/>
    </row>
    <row r="966" ht="15.75" customHeight="1">
      <c r="A966" s="5"/>
      <c r="B966" s="5"/>
      <c r="C966" s="5"/>
      <c r="D966" s="5"/>
      <c r="E966" s="5"/>
      <c r="F966" s="5"/>
    </row>
    <row r="967" ht="15.75" customHeight="1">
      <c r="A967" s="5"/>
      <c r="B967" s="5"/>
      <c r="C967" s="5"/>
      <c r="D967" s="5"/>
      <c r="E967" s="5"/>
      <c r="F967" s="5"/>
    </row>
    <row r="968" ht="15.75" customHeight="1">
      <c r="A968" s="5"/>
      <c r="B968" s="5"/>
      <c r="C968" s="5"/>
      <c r="D968" s="5"/>
      <c r="E968" s="5"/>
      <c r="F968" s="5"/>
    </row>
    <row r="969" ht="15.75" customHeight="1">
      <c r="A969" s="5"/>
      <c r="B969" s="5"/>
      <c r="C969" s="5"/>
      <c r="D969" s="5"/>
      <c r="E969" s="5"/>
      <c r="F969" s="5"/>
    </row>
    <row r="970" ht="15.75" customHeight="1">
      <c r="A970" s="5"/>
      <c r="B970" s="5"/>
      <c r="C970" s="5"/>
      <c r="D970" s="5"/>
      <c r="E970" s="5"/>
      <c r="F970" s="5"/>
    </row>
    <row r="971" ht="15.75" customHeight="1">
      <c r="A971" s="5"/>
      <c r="B971" s="5"/>
      <c r="C971" s="5"/>
      <c r="D971" s="5"/>
      <c r="E971" s="5"/>
      <c r="F971" s="5"/>
    </row>
    <row r="972" ht="15.75" customHeight="1">
      <c r="A972" s="5"/>
      <c r="B972" s="5"/>
      <c r="C972" s="5"/>
      <c r="D972" s="5"/>
      <c r="E972" s="5"/>
      <c r="F972" s="5"/>
    </row>
    <row r="973" ht="15.75" customHeight="1">
      <c r="A973" s="5"/>
      <c r="B973" s="5"/>
      <c r="C973" s="5"/>
      <c r="D973" s="5"/>
      <c r="E973" s="5"/>
      <c r="F973" s="5"/>
    </row>
    <row r="974" ht="15.75" customHeight="1">
      <c r="A974" s="5"/>
      <c r="B974" s="5"/>
      <c r="C974" s="5"/>
      <c r="D974" s="5"/>
      <c r="E974" s="5"/>
      <c r="F974" s="5"/>
    </row>
    <row r="975" ht="15.75" customHeight="1">
      <c r="A975" s="5"/>
      <c r="B975" s="5"/>
      <c r="C975" s="5"/>
      <c r="D975" s="5"/>
      <c r="E975" s="5"/>
      <c r="F975" s="5"/>
    </row>
    <row r="976" ht="15.75" customHeight="1">
      <c r="A976" s="5"/>
      <c r="B976" s="5"/>
      <c r="C976" s="5"/>
      <c r="D976" s="5"/>
      <c r="E976" s="5"/>
      <c r="F976" s="5"/>
    </row>
    <row r="977" ht="15.75" customHeight="1">
      <c r="A977" s="5"/>
      <c r="B977" s="5"/>
      <c r="C977" s="5"/>
      <c r="D977" s="5"/>
      <c r="E977" s="5"/>
      <c r="F977" s="5"/>
    </row>
    <row r="978" ht="15.75" customHeight="1">
      <c r="A978" s="5"/>
      <c r="B978" s="5"/>
      <c r="C978" s="5"/>
      <c r="D978" s="5"/>
      <c r="E978" s="5"/>
      <c r="F978" s="5"/>
    </row>
    <row r="979" ht="15.75" customHeight="1">
      <c r="A979" s="5"/>
      <c r="B979" s="5"/>
      <c r="C979" s="5"/>
      <c r="D979" s="5"/>
      <c r="E979" s="5"/>
      <c r="F979" s="5"/>
    </row>
    <row r="980" ht="15.75" customHeight="1">
      <c r="A980" s="5"/>
      <c r="B980" s="5"/>
      <c r="C980" s="5"/>
      <c r="D980" s="5"/>
      <c r="E980" s="5"/>
      <c r="F980" s="5"/>
    </row>
    <row r="981" ht="15.75" customHeight="1">
      <c r="A981" s="5"/>
      <c r="B981" s="5"/>
      <c r="C981" s="5"/>
      <c r="D981" s="5"/>
      <c r="E981" s="5"/>
      <c r="F981" s="5"/>
    </row>
    <row r="982" ht="15.75" customHeight="1">
      <c r="A982" s="5"/>
      <c r="B982" s="5"/>
      <c r="C982" s="5"/>
      <c r="D982" s="5"/>
      <c r="E982" s="5"/>
      <c r="F982" s="5"/>
    </row>
    <row r="983" ht="15.75" customHeight="1">
      <c r="A983" s="5"/>
      <c r="B983" s="5"/>
      <c r="C983" s="5"/>
      <c r="D983" s="5"/>
      <c r="E983" s="5"/>
      <c r="F983" s="5"/>
    </row>
    <row r="984" ht="15.75" customHeight="1">
      <c r="A984" s="5"/>
      <c r="B984" s="5"/>
      <c r="C984" s="5"/>
      <c r="D984" s="5"/>
      <c r="E984" s="5"/>
      <c r="F984" s="5"/>
    </row>
    <row r="985" ht="15.75" customHeight="1">
      <c r="A985" s="5"/>
      <c r="B985" s="5"/>
      <c r="C985" s="5"/>
      <c r="D985" s="5"/>
      <c r="E985" s="5"/>
      <c r="F985" s="5"/>
    </row>
    <row r="986" ht="15.75" customHeight="1">
      <c r="A986" s="5"/>
      <c r="B986" s="5"/>
      <c r="C986" s="5"/>
      <c r="D986" s="5"/>
      <c r="E986" s="5"/>
      <c r="F986" s="5"/>
    </row>
    <row r="987" ht="15.75" customHeight="1">
      <c r="A987" s="5"/>
      <c r="B987" s="5"/>
      <c r="C987" s="5"/>
      <c r="D987" s="5"/>
      <c r="E987" s="5"/>
      <c r="F987" s="5"/>
    </row>
    <row r="988" ht="15.75" customHeight="1">
      <c r="A988" s="5"/>
      <c r="B988" s="5"/>
      <c r="C988" s="5"/>
      <c r="D988" s="5"/>
      <c r="E988" s="5"/>
      <c r="F988" s="5"/>
    </row>
    <row r="989" ht="15.75" customHeight="1">
      <c r="A989" s="5"/>
      <c r="B989" s="5"/>
      <c r="C989" s="5"/>
      <c r="D989" s="5"/>
      <c r="E989" s="5"/>
      <c r="F989" s="5"/>
    </row>
    <row r="990" ht="15.75" customHeight="1">
      <c r="A990" s="5"/>
      <c r="B990" s="5"/>
      <c r="C990" s="5"/>
      <c r="D990" s="5"/>
      <c r="E990" s="5"/>
      <c r="F990" s="5"/>
    </row>
    <row r="991" ht="15.75" customHeight="1">
      <c r="A991" s="5"/>
      <c r="B991" s="5"/>
      <c r="C991" s="5"/>
      <c r="D991" s="5"/>
      <c r="E991" s="5"/>
      <c r="F991" s="5"/>
    </row>
    <row r="992" ht="15.75" customHeight="1">
      <c r="A992" s="5"/>
      <c r="B992" s="5"/>
      <c r="C992" s="5"/>
      <c r="D992" s="5"/>
      <c r="E992" s="5"/>
      <c r="F992" s="5"/>
    </row>
    <row r="993" ht="15.75" customHeight="1">
      <c r="A993" s="5"/>
      <c r="B993" s="5"/>
      <c r="C993" s="5"/>
      <c r="D993" s="5"/>
      <c r="E993" s="5"/>
      <c r="F993" s="5"/>
    </row>
    <row r="994" ht="15.75" customHeight="1">
      <c r="A994" s="5"/>
      <c r="B994" s="5"/>
      <c r="C994" s="5"/>
      <c r="D994" s="5"/>
      <c r="E994" s="5"/>
      <c r="F994" s="5"/>
    </row>
    <row r="995" ht="15.75" customHeight="1">
      <c r="A995" s="5"/>
      <c r="B995" s="5"/>
      <c r="C995" s="5"/>
      <c r="D995" s="5"/>
      <c r="E995" s="5"/>
      <c r="F995" s="5"/>
    </row>
    <row r="996" ht="15.75" customHeight="1">
      <c r="A996" s="5"/>
      <c r="B996" s="5"/>
      <c r="C996" s="5"/>
      <c r="D996" s="5"/>
      <c r="E996" s="5"/>
      <c r="F996" s="5"/>
    </row>
    <row r="997" ht="15.75" customHeight="1">
      <c r="A997" s="5"/>
      <c r="B997" s="5"/>
      <c r="C997" s="5"/>
      <c r="D997" s="5"/>
      <c r="E997" s="5"/>
      <c r="F997" s="5"/>
    </row>
    <row r="998" ht="15.75" customHeight="1">
      <c r="A998" s="5"/>
      <c r="B998" s="5"/>
      <c r="C998" s="5"/>
      <c r="D998" s="5"/>
      <c r="E998" s="5"/>
      <c r="F998" s="5"/>
    </row>
    <row r="999" ht="15.75" customHeight="1">
      <c r="A999" s="5"/>
      <c r="B999" s="5"/>
      <c r="C999" s="5"/>
      <c r="D999" s="5"/>
      <c r="E999" s="5"/>
      <c r="F999" s="5"/>
    </row>
    <row r="1000" ht="15.75" customHeight="1">
      <c r="A1000" s="5"/>
      <c r="B1000" s="5"/>
      <c r="C1000" s="5"/>
      <c r="D1000" s="5"/>
      <c r="E1000" s="5"/>
      <c r="F1000" s="5"/>
    </row>
  </sheetData>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3.38"/>
    <col customWidth="1" min="2" max="2" width="7.75"/>
    <col customWidth="1" min="3" max="3" width="12.63"/>
    <col customWidth="1" min="4" max="4" width="24.88"/>
    <col customWidth="1" min="5" max="6" width="12.63"/>
  </cols>
  <sheetData>
    <row r="1" ht="15.75" customHeight="1">
      <c r="A1" s="67" t="s">
        <v>776</v>
      </c>
      <c r="B1" s="67" t="s">
        <v>777</v>
      </c>
      <c r="C1" s="68" t="s">
        <v>778</v>
      </c>
      <c r="D1" s="67" t="s">
        <v>555</v>
      </c>
      <c r="E1" s="68" t="s">
        <v>779</v>
      </c>
      <c r="F1" s="67"/>
      <c r="G1" s="67"/>
      <c r="H1" s="67"/>
      <c r="I1" s="67"/>
      <c r="J1" s="67"/>
      <c r="K1" s="67"/>
      <c r="L1" s="67"/>
      <c r="M1" s="67"/>
      <c r="N1" s="67"/>
      <c r="O1" s="67"/>
      <c r="P1" s="67"/>
      <c r="Q1" s="67"/>
      <c r="R1" s="67"/>
      <c r="S1" s="67"/>
      <c r="T1" s="67"/>
      <c r="U1" s="67"/>
      <c r="V1" s="67"/>
      <c r="W1" s="67"/>
      <c r="X1" s="67"/>
      <c r="Y1" s="5"/>
      <c r="Z1" s="5"/>
    </row>
    <row r="2" ht="27.75" customHeight="1">
      <c r="A2" s="69" t="s">
        <v>219</v>
      </c>
      <c r="B2" s="69" t="s">
        <v>780</v>
      </c>
      <c r="C2" s="70">
        <v>0.75</v>
      </c>
      <c r="D2" s="69" t="s">
        <v>168</v>
      </c>
      <c r="E2" s="70">
        <v>0.75</v>
      </c>
      <c r="F2" s="69"/>
      <c r="G2" s="69"/>
      <c r="H2" s="69"/>
      <c r="I2" s="69"/>
      <c r="J2" s="69"/>
      <c r="K2" s="69"/>
      <c r="L2" s="69"/>
      <c r="M2" s="69"/>
      <c r="N2" s="69"/>
      <c r="O2" s="69"/>
      <c r="P2" s="69"/>
      <c r="Q2" s="69"/>
      <c r="R2" s="69"/>
      <c r="S2" s="69"/>
      <c r="T2" s="69"/>
      <c r="U2" s="69"/>
      <c r="V2" s="69"/>
      <c r="W2" s="69"/>
      <c r="X2" s="69"/>
      <c r="Y2" s="5"/>
      <c r="Z2" s="5"/>
    </row>
    <row r="3" ht="26.25" customHeight="1">
      <c r="A3" s="69" t="s">
        <v>219</v>
      </c>
      <c r="B3" s="69" t="s">
        <v>780</v>
      </c>
      <c r="C3" s="70">
        <v>0.75</v>
      </c>
      <c r="D3" s="69" t="s">
        <v>117</v>
      </c>
      <c r="E3" s="70">
        <v>0.8</v>
      </c>
      <c r="F3" s="69"/>
      <c r="G3" s="69"/>
      <c r="H3" s="69"/>
      <c r="I3" s="69"/>
      <c r="J3" s="69"/>
      <c r="K3" s="69"/>
      <c r="L3" s="69"/>
      <c r="M3" s="69"/>
      <c r="N3" s="69"/>
      <c r="O3" s="69"/>
      <c r="P3" s="69"/>
      <c r="Q3" s="69"/>
      <c r="R3" s="69"/>
      <c r="S3" s="69"/>
      <c r="T3" s="69"/>
      <c r="U3" s="69"/>
      <c r="V3" s="69"/>
      <c r="W3" s="69"/>
      <c r="X3" s="69"/>
      <c r="Y3" s="5"/>
      <c r="Z3" s="5"/>
    </row>
    <row r="4" ht="26.25" customHeight="1">
      <c r="A4" s="69" t="s">
        <v>219</v>
      </c>
      <c r="B4" s="69" t="s">
        <v>780</v>
      </c>
      <c r="C4" s="70">
        <v>0.75</v>
      </c>
      <c r="D4" s="69" t="s">
        <v>107</v>
      </c>
      <c r="E4" s="70">
        <v>0.9</v>
      </c>
      <c r="F4" s="69"/>
      <c r="G4" s="69"/>
      <c r="H4" s="69"/>
      <c r="I4" s="69"/>
      <c r="J4" s="69"/>
      <c r="K4" s="69"/>
      <c r="L4" s="69"/>
      <c r="M4" s="69"/>
      <c r="N4" s="69"/>
      <c r="O4" s="69"/>
      <c r="P4" s="69"/>
      <c r="Q4" s="69"/>
      <c r="R4" s="69"/>
      <c r="S4" s="69"/>
      <c r="T4" s="69"/>
      <c r="U4" s="69"/>
      <c r="V4" s="69"/>
      <c r="W4" s="69"/>
      <c r="X4" s="69"/>
      <c r="Y4" s="5"/>
      <c r="Z4" s="5"/>
    </row>
    <row r="5" ht="26.25" customHeight="1">
      <c r="A5" s="69" t="s">
        <v>219</v>
      </c>
      <c r="B5" s="69" t="s">
        <v>780</v>
      </c>
      <c r="C5" s="70">
        <v>0.75</v>
      </c>
      <c r="D5" s="69" t="s">
        <v>136</v>
      </c>
      <c r="E5" s="70">
        <v>0.9</v>
      </c>
      <c r="F5" s="69"/>
      <c r="G5" s="69"/>
      <c r="H5" s="69"/>
      <c r="I5" s="69"/>
      <c r="J5" s="69"/>
      <c r="K5" s="69"/>
      <c r="L5" s="69"/>
      <c r="M5" s="69"/>
      <c r="N5" s="69"/>
      <c r="O5" s="69"/>
      <c r="P5" s="69"/>
      <c r="Q5" s="69"/>
      <c r="R5" s="69"/>
      <c r="S5" s="69"/>
      <c r="T5" s="69"/>
      <c r="U5" s="69"/>
      <c r="V5" s="69"/>
      <c r="W5" s="69"/>
      <c r="X5" s="69"/>
      <c r="Y5" s="5"/>
      <c r="Z5" s="5"/>
    </row>
    <row r="6" ht="15.75" customHeight="1">
      <c r="A6" s="69" t="s">
        <v>110</v>
      </c>
      <c r="B6" s="69" t="s">
        <v>780</v>
      </c>
      <c r="C6" s="70">
        <v>0.6</v>
      </c>
      <c r="D6" s="69" t="s">
        <v>136</v>
      </c>
      <c r="E6" s="70">
        <v>0.8</v>
      </c>
      <c r="F6" s="69"/>
      <c r="G6" s="69"/>
      <c r="H6" s="69"/>
      <c r="I6" s="69"/>
      <c r="J6" s="69"/>
      <c r="K6" s="69"/>
      <c r="L6" s="69"/>
      <c r="M6" s="69"/>
      <c r="N6" s="69"/>
      <c r="O6" s="69"/>
      <c r="P6" s="69"/>
      <c r="Q6" s="69"/>
      <c r="R6" s="69"/>
      <c r="S6" s="69"/>
      <c r="T6" s="69"/>
      <c r="U6" s="69"/>
      <c r="V6" s="69"/>
      <c r="W6" s="69"/>
      <c r="X6" s="69"/>
      <c r="Y6" s="5"/>
      <c r="Z6" s="5"/>
    </row>
    <row r="7" ht="15.75" customHeight="1">
      <c r="A7" s="69" t="s">
        <v>110</v>
      </c>
      <c r="B7" s="69" t="s">
        <v>780</v>
      </c>
      <c r="C7" s="70">
        <v>0.6</v>
      </c>
      <c r="D7" s="69" t="s">
        <v>149</v>
      </c>
      <c r="E7" s="70">
        <v>0.8</v>
      </c>
      <c r="F7" s="69"/>
      <c r="G7" s="69"/>
      <c r="H7" s="69"/>
      <c r="I7" s="69"/>
      <c r="J7" s="69"/>
      <c r="K7" s="69"/>
      <c r="L7" s="69"/>
      <c r="M7" s="69"/>
      <c r="N7" s="69"/>
      <c r="O7" s="69"/>
      <c r="P7" s="69"/>
      <c r="Q7" s="69"/>
      <c r="R7" s="69"/>
      <c r="S7" s="69"/>
      <c r="T7" s="69"/>
      <c r="U7" s="69"/>
      <c r="V7" s="69"/>
      <c r="W7" s="69"/>
      <c r="X7" s="69"/>
      <c r="Y7" s="5"/>
      <c r="Z7" s="5"/>
    </row>
    <row r="8" ht="15.75" customHeight="1">
      <c r="A8" s="69" t="s">
        <v>110</v>
      </c>
      <c r="B8" s="69" t="s">
        <v>780</v>
      </c>
      <c r="C8" s="70">
        <v>0.6</v>
      </c>
      <c r="D8" s="69" t="s">
        <v>143</v>
      </c>
      <c r="E8" s="70">
        <v>0.9</v>
      </c>
      <c r="F8" s="69"/>
      <c r="G8" s="69"/>
      <c r="H8" s="69"/>
      <c r="I8" s="69"/>
      <c r="J8" s="69"/>
      <c r="K8" s="69"/>
      <c r="L8" s="69"/>
      <c r="M8" s="69"/>
      <c r="N8" s="69"/>
      <c r="O8" s="69"/>
      <c r="P8" s="69"/>
      <c r="Q8" s="69"/>
      <c r="R8" s="69"/>
      <c r="S8" s="69"/>
      <c r="T8" s="69"/>
      <c r="U8" s="69"/>
      <c r="V8" s="69"/>
      <c r="W8" s="69"/>
      <c r="X8" s="69"/>
      <c r="Y8" s="5"/>
      <c r="Z8" s="5"/>
    </row>
    <row r="9" ht="15.75" customHeight="1">
      <c r="A9" s="69" t="s">
        <v>110</v>
      </c>
      <c r="B9" s="69" t="s">
        <v>780</v>
      </c>
      <c r="C9" s="70">
        <v>0.6</v>
      </c>
      <c r="D9" s="69" t="s">
        <v>168</v>
      </c>
      <c r="E9" s="70">
        <v>0.85</v>
      </c>
      <c r="F9" s="69"/>
      <c r="G9" s="69"/>
      <c r="H9" s="69"/>
      <c r="I9" s="69"/>
      <c r="J9" s="69"/>
      <c r="K9" s="69"/>
      <c r="L9" s="69"/>
      <c r="M9" s="69"/>
      <c r="N9" s="69"/>
      <c r="O9" s="69"/>
      <c r="P9" s="69"/>
      <c r="Q9" s="69"/>
      <c r="R9" s="69"/>
      <c r="S9" s="69"/>
      <c r="T9" s="69"/>
      <c r="U9" s="69"/>
      <c r="V9" s="69"/>
      <c r="W9" s="69"/>
      <c r="X9" s="69"/>
      <c r="Y9" s="5"/>
      <c r="Z9" s="5"/>
    </row>
    <row r="10" ht="15.75" customHeight="1">
      <c r="A10" s="69" t="s">
        <v>222</v>
      </c>
      <c r="B10" s="69" t="s">
        <v>781</v>
      </c>
      <c r="C10" s="70">
        <v>0.3</v>
      </c>
      <c r="D10" s="69" t="s">
        <v>107</v>
      </c>
      <c r="E10" s="70">
        <v>0.9</v>
      </c>
      <c r="F10" s="69"/>
      <c r="G10" s="69"/>
      <c r="H10" s="69"/>
      <c r="I10" s="69"/>
      <c r="J10" s="69"/>
      <c r="K10" s="69"/>
      <c r="L10" s="69"/>
      <c r="M10" s="69"/>
      <c r="N10" s="69"/>
      <c r="O10" s="69"/>
      <c r="P10" s="69"/>
      <c r="Q10" s="69"/>
      <c r="R10" s="69"/>
      <c r="S10" s="69"/>
      <c r="T10" s="69"/>
      <c r="U10" s="69"/>
      <c r="V10" s="69"/>
      <c r="W10" s="69"/>
      <c r="X10" s="69"/>
      <c r="Y10" s="5"/>
      <c r="Z10" s="5"/>
    </row>
    <row r="11" ht="15.75" customHeight="1">
      <c r="A11" s="69" t="s">
        <v>222</v>
      </c>
      <c r="B11" s="69" t="s">
        <v>781</v>
      </c>
      <c r="C11" s="70">
        <v>0.3</v>
      </c>
      <c r="D11" s="69" t="s">
        <v>136</v>
      </c>
      <c r="E11" s="70">
        <v>0.9</v>
      </c>
      <c r="F11" s="69"/>
      <c r="G11" s="69"/>
      <c r="H11" s="69"/>
      <c r="I11" s="69"/>
      <c r="J11" s="69"/>
      <c r="K11" s="69"/>
      <c r="L11" s="69"/>
      <c r="M11" s="69"/>
      <c r="N11" s="69"/>
      <c r="O11" s="69"/>
      <c r="P11" s="69"/>
      <c r="Q11" s="69"/>
      <c r="R11" s="69"/>
      <c r="S11" s="69"/>
      <c r="T11" s="69"/>
      <c r="U11" s="69"/>
      <c r="V11" s="69"/>
      <c r="W11" s="69"/>
      <c r="X11" s="69"/>
      <c r="Y11" s="5"/>
      <c r="Z11" s="5"/>
    </row>
    <row r="12" ht="15.75" customHeight="1">
      <c r="A12" s="69" t="s">
        <v>222</v>
      </c>
      <c r="B12" s="69" t="s">
        <v>781</v>
      </c>
      <c r="C12" s="70">
        <v>0.3</v>
      </c>
      <c r="D12" s="69" t="s">
        <v>117</v>
      </c>
      <c r="E12" s="70">
        <v>0.9</v>
      </c>
      <c r="F12" s="69"/>
      <c r="G12" s="69"/>
      <c r="H12" s="69"/>
      <c r="I12" s="69"/>
      <c r="J12" s="69"/>
      <c r="K12" s="69"/>
      <c r="L12" s="69"/>
      <c r="M12" s="69"/>
      <c r="N12" s="69"/>
      <c r="O12" s="69"/>
      <c r="P12" s="69"/>
      <c r="Q12" s="69"/>
      <c r="R12" s="69"/>
      <c r="S12" s="69"/>
      <c r="T12" s="69"/>
      <c r="U12" s="69"/>
      <c r="V12" s="69"/>
      <c r="W12" s="69"/>
      <c r="X12" s="69"/>
      <c r="Y12" s="5"/>
      <c r="Z12" s="5"/>
    </row>
    <row r="13" ht="15.75" customHeight="1">
      <c r="A13" s="69" t="s">
        <v>225</v>
      </c>
      <c r="B13" s="69" t="s">
        <v>780</v>
      </c>
      <c r="C13" s="70">
        <v>0.6</v>
      </c>
      <c r="D13" s="69" t="s">
        <v>136</v>
      </c>
      <c r="E13" s="70">
        <v>0.85</v>
      </c>
      <c r="F13" s="69"/>
      <c r="G13" s="69"/>
      <c r="H13" s="69"/>
      <c r="I13" s="69"/>
      <c r="J13" s="69"/>
      <c r="K13" s="69"/>
      <c r="L13" s="69"/>
      <c r="M13" s="69"/>
      <c r="N13" s="69"/>
      <c r="O13" s="69"/>
      <c r="P13" s="69"/>
      <c r="Q13" s="69"/>
      <c r="R13" s="69"/>
      <c r="S13" s="69"/>
      <c r="T13" s="69"/>
      <c r="U13" s="69"/>
      <c r="V13" s="69"/>
      <c r="W13" s="69"/>
      <c r="X13" s="69"/>
      <c r="Y13" s="5"/>
      <c r="Z13" s="5"/>
    </row>
    <row r="14" ht="15.75" customHeight="1">
      <c r="A14" s="69" t="s">
        <v>225</v>
      </c>
      <c r="B14" s="69" t="s">
        <v>780</v>
      </c>
      <c r="C14" s="70">
        <v>0.6</v>
      </c>
      <c r="D14" s="69" t="s">
        <v>107</v>
      </c>
      <c r="E14" s="70">
        <v>0.9</v>
      </c>
      <c r="F14" s="69"/>
      <c r="G14" s="69"/>
      <c r="H14" s="69"/>
      <c r="I14" s="69"/>
      <c r="J14" s="69"/>
      <c r="K14" s="69"/>
      <c r="L14" s="69"/>
      <c r="M14" s="69"/>
      <c r="N14" s="69"/>
      <c r="O14" s="69"/>
      <c r="P14" s="69"/>
      <c r="Q14" s="69"/>
      <c r="R14" s="69"/>
      <c r="S14" s="69"/>
      <c r="T14" s="69"/>
      <c r="U14" s="69"/>
      <c r="V14" s="69"/>
      <c r="W14" s="69"/>
      <c r="X14" s="69"/>
      <c r="Y14" s="5"/>
      <c r="Z14" s="5"/>
    </row>
    <row r="15" ht="15.75" customHeight="1">
      <c r="A15" s="69" t="s">
        <v>225</v>
      </c>
      <c r="B15" s="69" t="s">
        <v>780</v>
      </c>
      <c r="C15" s="70">
        <v>0.6</v>
      </c>
      <c r="D15" s="69" t="s">
        <v>168</v>
      </c>
      <c r="E15" s="70">
        <v>0.9</v>
      </c>
      <c r="F15" s="69"/>
      <c r="G15" s="69"/>
      <c r="H15" s="69"/>
      <c r="I15" s="69"/>
      <c r="J15" s="69"/>
      <c r="K15" s="69"/>
      <c r="L15" s="69"/>
      <c r="M15" s="69"/>
      <c r="N15" s="69"/>
      <c r="O15" s="69"/>
      <c r="P15" s="69"/>
      <c r="Q15" s="69"/>
      <c r="R15" s="69"/>
      <c r="S15" s="69"/>
      <c r="T15" s="69"/>
      <c r="U15" s="69"/>
      <c r="V15" s="69"/>
      <c r="W15" s="69"/>
      <c r="X15" s="69"/>
      <c r="Y15" s="5"/>
      <c r="Z15" s="5"/>
    </row>
    <row r="16" ht="15.75" customHeight="1">
      <c r="A16" s="69" t="s">
        <v>216</v>
      </c>
      <c r="B16" s="69" t="s">
        <v>780</v>
      </c>
      <c r="C16" s="70">
        <v>0.75</v>
      </c>
      <c r="D16" s="69" t="s">
        <v>120</v>
      </c>
      <c r="E16" s="70">
        <v>0.95</v>
      </c>
      <c r="F16" s="69"/>
      <c r="G16" s="69"/>
      <c r="H16" s="69"/>
      <c r="I16" s="69"/>
      <c r="J16" s="69"/>
      <c r="K16" s="69"/>
      <c r="L16" s="69"/>
      <c r="M16" s="69"/>
      <c r="N16" s="69"/>
      <c r="O16" s="69"/>
      <c r="P16" s="69"/>
      <c r="Q16" s="69"/>
      <c r="R16" s="69"/>
      <c r="S16" s="69"/>
      <c r="T16" s="69"/>
      <c r="U16" s="69"/>
      <c r="V16" s="69"/>
      <c r="W16" s="69"/>
      <c r="X16" s="69"/>
      <c r="Y16" s="5"/>
      <c r="Z16" s="5"/>
    </row>
    <row r="17" ht="15.75" customHeight="1">
      <c r="A17" s="69" t="s">
        <v>201</v>
      </c>
      <c r="B17" s="69" t="s">
        <v>780</v>
      </c>
      <c r="C17" s="70">
        <v>0.75</v>
      </c>
      <c r="D17" s="69" t="s">
        <v>149</v>
      </c>
      <c r="E17" s="70">
        <v>0.95</v>
      </c>
      <c r="F17" s="69"/>
      <c r="G17" s="69"/>
      <c r="H17" s="69"/>
      <c r="I17" s="69"/>
      <c r="J17" s="69"/>
      <c r="K17" s="69"/>
      <c r="L17" s="69"/>
      <c r="M17" s="69"/>
      <c r="N17" s="69"/>
      <c r="O17" s="69"/>
      <c r="P17" s="69"/>
      <c r="Q17" s="69"/>
      <c r="R17" s="69"/>
      <c r="S17" s="69"/>
      <c r="T17" s="69"/>
      <c r="U17" s="69"/>
      <c r="V17" s="69"/>
      <c r="W17" s="69"/>
      <c r="X17" s="69"/>
      <c r="Y17" s="5"/>
      <c r="Z17" s="5"/>
    </row>
    <row r="18" ht="15.75" customHeight="1">
      <c r="A18" s="69" t="s">
        <v>201</v>
      </c>
      <c r="B18" s="69" t="s">
        <v>780</v>
      </c>
      <c r="C18" s="70">
        <v>0.75</v>
      </c>
      <c r="D18" s="69" t="s">
        <v>136</v>
      </c>
      <c r="E18" s="70">
        <v>0.95</v>
      </c>
      <c r="F18" s="69"/>
      <c r="G18" s="69"/>
      <c r="H18" s="69"/>
      <c r="I18" s="69"/>
      <c r="J18" s="69"/>
      <c r="K18" s="69"/>
      <c r="L18" s="69"/>
      <c r="M18" s="69"/>
      <c r="N18" s="69"/>
      <c r="O18" s="69"/>
      <c r="P18" s="69"/>
      <c r="Q18" s="69"/>
      <c r="R18" s="69"/>
      <c r="S18" s="69"/>
      <c r="T18" s="69"/>
      <c r="U18" s="69"/>
      <c r="V18" s="69"/>
      <c r="W18" s="69"/>
      <c r="X18" s="69"/>
      <c r="Y18" s="5"/>
      <c r="Z18" s="5"/>
    </row>
    <row r="19" ht="15.75" customHeight="1">
      <c r="A19" s="5" t="s">
        <v>228</v>
      </c>
      <c r="B19" s="69" t="s">
        <v>780</v>
      </c>
      <c r="C19" s="70">
        <v>0.6</v>
      </c>
      <c r="D19" s="69" t="s">
        <v>117</v>
      </c>
      <c r="E19" s="71">
        <v>0.9</v>
      </c>
      <c r="F19" s="5"/>
      <c r="G19" s="5"/>
      <c r="H19" s="5"/>
      <c r="I19" s="5"/>
      <c r="J19" s="5"/>
      <c r="K19" s="5"/>
      <c r="L19" s="5"/>
      <c r="M19" s="5"/>
      <c r="N19" s="5"/>
      <c r="O19" s="5"/>
      <c r="P19" s="5"/>
      <c r="Q19" s="5"/>
      <c r="R19" s="5"/>
      <c r="S19" s="5"/>
      <c r="T19" s="5"/>
      <c r="U19" s="5"/>
      <c r="V19" s="5"/>
      <c r="W19" s="5"/>
      <c r="X19" s="5"/>
      <c r="Y19" s="5"/>
      <c r="Z19" s="5"/>
    </row>
    <row r="20" ht="15.75" customHeight="1">
      <c r="A20" s="5" t="s">
        <v>228</v>
      </c>
      <c r="B20" s="69" t="s">
        <v>780</v>
      </c>
      <c r="C20" s="70">
        <v>0.6</v>
      </c>
      <c r="D20" s="69" t="s">
        <v>136</v>
      </c>
      <c r="E20" s="71">
        <v>0.9</v>
      </c>
      <c r="F20" s="5"/>
      <c r="G20" s="5"/>
      <c r="H20" s="5"/>
      <c r="I20" s="5"/>
      <c r="J20" s="5"/>
      <c r="K20" s="5"/>
      <c r="L20" s="5"/>
      <c r="M20" s="5"/>
      <c r="N20" s="5"/>
      <c r="O20" s="5"/>
      <c r="P20" s="5"/>
      <c r="Q20" s="5"/>
      <c r="R20" s="5"/>
      <c r="S20" s="5"/>
      <c r="T20" s="5"/>
      <c r="U20" s="5"/>
      <c r="V20" s="5"/>
      <c r="W20" s="5"/>
      <c r="X20" s="5"/>
      <c r="Y20" s="5"/>
      <c r="Z20" s="5"/>
    </row>
    <row r="21" ht="15.75" customHeight="1">
      <c r="A21" s="5"/>
      <c r="B21" s="5"/>
      <c r="D21" s="5"/>
    </row>
    <row r="22" ht="15.75" customHeight="1">
      <c r="A22" s="5"/>
      <c r="B22" s="5"/>
      <c r="D22" s="5"/>
    </row>
    <row r="23" ht="15.75" customHeight="1">
      <c r="A23" s="5"/>
      <c r="B23" s="5"/>
      <c r="D23" s="5"/>
    </row>
    <row r="24" ht="15.75" customHeight="1">
      <c r="A24" s="5"/>
      <c r="B24" s="5"/>
      <c r="D24" s="5"/>
    </row>
    <row r="25" ht="15.75" customHeight="1">
      <c r="A25" s="5"/>
      <c r="B25" s="5"/>
      <c r="D25" s="5"/>
    </row>
    <row r="26" ht="15.75" customHeight="1">
      <c r="A26" s="5"/>
      <c r="B26" s="5"/>
      <c r="D26" s="5"/>
    </row>
    <row r="27" ht="15.75" customHeight="1">
      <c r="A27" s="5"/>
      <c r="B27" s="5"/>
      <c r="D27" s="5"/>
    </row>
    <row r="28" ht="15.75" customHeight="1">
      <c r="A28" s="5"/>
      <c r="B28" s="5"/>
      <c r="D28" s="5"/>
    </row>
    <row r="29" ht="15.75" customHeight="1">
      <c r="A29" s="5"/>
      <c r="B29" s="5"/>
      <c r="D29" s="5"/>
    </row>
    <row r="30" ht="15.75" customHeight="1">
      <c r="A30" s="5"/>
      <c r="B30" s="5"/>
      <c r="D30" s="5"/>
    </row>
    <row r="31" ht="15.75" customHeight="1">
      <c r="A31" s="5"/>
      <c r="B31" s="5"/>
      <c r="D31" s="5"/>
    </row>
    <row r="32" ht="15.75" customHeight="1">
      <c r="A32" s="5"/>
      <c r="B32" s="5"/>
      <c r="D32" s="5"/>
    </row>
    <row r="33" ht="15.75" customHeight="1">
      <c r="A33" s="5"/>
      <c r="B33" s="5"/>
      <c r="D33" s="5"/>
    </row>
    <row r="34" ht="15.75" customHeight="1">
      <c r="A34" s="5"/>
      <c r="B34" s="5"/>
      <c r="D34" s="5"/>
    </row>
    <row r="35" ht="15.75" customHeight="1">
      <c r="A35" s="5"/>
      <c r="B35" s="5"/>
      <c r="D35" s="5"/>
    </row>
    <row r="36" ht="15.75" customHeight="1">
      <c r="A36" s="5"/>
      <c r="B36" s="5"/>
      <c r="D36" s="5"/>
    </row>
    <row r="37" ht="15.75" customHeight="1">
      <c r="A37" s="5"/>
      <c r="B37" s="5"/>
      <c r="D37" s="5"/>
    </row>
    <row r="38" ht="15.75" customHeight="1">
      <c r="A38" s="5"/>
      <c r="B38" s="5"/>
      <c r="D38" s="5"/>
    </row>
    <row r="39" ht="15.75" customHeight="1">
      <c r="A39" s="5"/>
      <c r="B39" s="5"/>
      <c r="D39" s="5"/>
    </row>
    <row r="40" ht="15.75" customHeight="1">
      <c r="A40" s="5"/>
      <c r="B40" s="5"/>
      <c r="D40" s="5"/>
    </row>
    <row r="41" ht="15.75" customHeight="1">
      <c r="A41" s="5"/>
      <c r="B41" s="5"/>
      <c r="D41" s="5"/>
    </row>
    <row r="42" ht="15.75" customHeight="1">
      <c r="A42" s="5"/>
      <c r="B42" s="5"/>
      <c r="D42" s="5"/>
    </row>
    <row r="43" ht="15.75" customHeight="1">
      <c r="A43" s="5"/>
      <c r="B43" s="5"/>
      <c r="D43" s="5"/>
    </row>
    <row r="44" ht="15.75" customHeight="1">
      <c r="A44" s="5"/>
      <c r="B44" s="5"/>
      <c r="D44" s="5"/>
    </row>
    <row r="45" ht="15.75" customHeight="1">
      <c r="A45" s="5"/>
      <c r="B45" s="5"/>
      <c r="D45" s="5"/>
    </row>
    <row r="46" ht="15.75" customHeight="1">
      <c r="A46" s="5"/>
      <c r="B46" s="5"/>
      <c r="D46" s="5"/>
    </row>
    <row r="47" ht="15.75" customHeight="1">
      <c r="A47" s="5"/>
      <c r="B47" s="5"/>
      <c r="D47" s="5"/>
    </row>
    <row r="48" ht="15.75" customHeight="1">
      <c r="A48" s="5"/>
      <c r="B48" s="5"/>
      <c r="D48" s="5"/>
    </row>
    <row r="49" ht="15.75" customHeight="1">
      <c r="A49" s="5"/>
      <c r="B49" s="5"/>
      <c r="D49" s="5"/>
    </row>
    <row r="50" ht="15.75" customHeight="1">
      <c r="A50" s="5"/>
      <c r="B50" s="5"/>
      <c r="D50" s="5"/>
    </row>
    <row r="51" ht="15.75" customHeight="1">
      <c r="A51" s="5"/>
      <c r="B51" s="5"/>
      <c r="D51" s="5"/>
    </row>
    <row r="52" ht="15.75" customHeight="1">
      <c r="A52" s="5"/>
      <c r="B52" s="5"/>
      <c r="D52" s="5"/>
    </row>
    <row r="53" ht="15.75" customHeight="1">
      <c r="A53" s="5"/>
      <c r="B53" s="5"/>
      <c r="D53" s="5"/>
    </row>
    <row r="54" ht="15.75" customHeight="1">
      <c r="A54" s="5"/>
      <c r="B54" s="5"/>
      <c r="D54" s="5"/>
    </row>
    <row r="55" ht="15.75" customHeight="1">
      <c r="A55" s="5"/>
      <c r="B55" s="5"/>
      <c r="D55" s="5"/>
    </row>
    <row r="56" ht="15.75" customHeight="1">
      <c r="A56" s="5"/>
      <c r="B56" s="5"/>
      <c r="D56" s="5"/>
    </row>
    <row r="57" ht="15.75" customHeight="1">
      <c r="A57" s="5"/>
      <c r="B57" s="5"/>
      <c r="D57" s="5"/>
    </row>
    <row r="58" ht="15.75" customHeight="1">
      <c r="A58" s="5"/>
      <c r="B58" s="5"/>
      <c r="D58" s="5"/>
    </row>
    <row r="59" ht="15.75" customHeight="1">
      <c r="A59" s="5"/>
      <c r="B59" s="5"/>
      <c r="D59" s="5"/>
    </row>
    <row r="60" ht="15.75" customHeight="1">
      <c r="A60" s="5"/>
      <c r="B60" s="5"/>
      <c r="D60" s="5"/>
    </row>
    <row r="61" ht="15.75" customHeight="1">
      <c r="A61" s="5"/>
      <c r="B61" s="5"/>
      <c r="D61" s="5"/>
    </row>
    <row r="62" ht="15.75" customHeight="1">
      <c r="A62" s="5"/>
      <c r="B62" s="5"/>
      <c r="D62" s="5"/>
    </row>
    <row r="63" ht="15.75" customHeight="1">
      <c r="A63" s="5"/>
      <c r="B63" s="5"/>
      <c r="D63" s="5"/>
    </row>
    <row r="64" ht="15.75" customHeight="1">
      <c r="A64" s="5"/>
      <c r="B64" s="5"/>
      <c r="D64" s="5"/>
    </row>
    <row r="65" ht="15.75" customHeight="1">
      <c r="A65" s="5"/>
      <c r="B65" s="5"/>
      <c r="D65" s="5"/>
    </row>
    <row r="66" ht="15.75" customHeight="1">
      <c r="A66" s="5"/>
      <c r="B66" s="5"/>
      <c r="D66" s="5"/>
    </row>
    <row r="67" ht="15.75" customHeight="1">
      <c r="A67" s="5"/>
      <c r="B67" s="5"/>
      <c r="D67" s="5"/>
    </row>
    <row r="68" ht="15.75" customHeight="1">
      <c r="A68" s="5"/>
      <c r="B68" s="5"/>
      <c r="D68" s="5"/>
    </row>
    <row r="69" ht="15.75" customHeight="1">
      <c r="A69" s="5"/>
      <c r="B69" s="5"/>
      <c r="D69" s="5"/>
    </row>
    <row r="70" ht="15.75" customHeight="1">
      <c r="A70" s="5"/>
      <c r="B70" s="5"/>
      <c r="D70" s="5"/>
    </row>
    <row r="71" ht="15.75" customHeight="1">
      <c r="A71" s="5"/>
      <c r="B71" s="5"/>
      <c r="D71" s="5"/>
    </row>
    <row r="72" ht="15.75" customHeight="1">
      <c r="A72" s="5"/>
      <c r="B72" s="5"/>
      <c r="D72" s="5"/>
    </row>
    <row r="73" ht="15.75" customHeight="1">
      <c r="A73" s="5"/>
      <c r="B73" s="5"/>
      <c r="D73" s="5"/>
    </row>
    <row r="74" ht="15.75" customHeight="1">
      <c r="A74" s="5"/>
      <c r="B74" s="5"/>
      <c r="D74" s="5"/>
    </row>
    <row r="75" ht="15.75" customHeight="1">
      <c r="A75" s="5"/>
      <c r="B75" s="5"/>
      <c r="D75" s="5"/>
    </row>
    <row r="76" ht="15.75" customHeight="1">
      <c r="A76" s="5"/>
      <c r="B76" s="5"/>
      <c r="D76" s="5"/>
    </row>
    <row r="77" ht="15.75" customHeight="1">
      <c r="A77" s="5"/>
      <c r="B77" s="5"/>
      <c r="D77" s="5"/>
    </row>
    <row r="78" ht="15.75" customHeight="1">
      <c r="A78" s="5"/>
      <c r="B78" s="5"/>
      <c r="D78" s="5"/>
    </row>
    <row r="79" ht="15.75" customHeight="1">
      <c r="A79" s="5"/>
      <c r="B79" s="5"/>
      <c r="D79" s="5"/>
    </row>
    <row r="80" ht="15.75" customHeight="1">
      <c r="A80" s="5"/>
      <c r="B80" s="5"/>
      <c r="D80" s="5"/>
    </row>
    <row r="81" ht="15.75" customHeight="1">
      <c r="A81" s="5"/>
      <c r="B81" s="5"/>
      <c r="D81" s="5"/>
    </row>
    <row r="82" ht="15.75" customHeight="1">
      <c r="A82" s="5"/>
      <c r="B82" s="5"/>
      <c r="D82" s="5"/>
    </row>
    <row r="83" ht="15.75" customHeight="1">
      <c r="A83" s="5"/>
      <c r="B83" s="5"/>
      <c r="D83" s="5"/>
    </row>
    <row r="84" ht="15.75" customHeight="1">
      <c r="A84" s="5"/>
      <c r="B84" s="5"/>
      <c r="D84" s="5"/>
    </row>
    <row r="85" ht="15.75" customHeight="1">
      <c r="A85" s="5"/>
      <c r="B85" s="5"/>
      <c r="D85" s="5"/>
    </row>
    <row r="86" ht="15.75" customHeight="1">
      <c r="A86" s="5"/>
      <c r="B86" s="5"/>
      <c r="D86" s="5"/>
    </row>
    <row r="87" ht="15.75" customHeight="1">
      <c r="A87" s="5"/>
      <c r="B87" s="5"/>
      <c r="D87" s="5"/>
    </row>
    <row r="88" ht="15.75" customHeight="1">
      <c r="A88" s="5"/>
      <c r="B88" s="5"/>
      <c r="D88" s="5"/>
    </row>
    <row r="89" ht="15.75" customHeight="1">
      <c r="A89" s="5"/>
      <c r="B89" s="5"/>
      <c r="D89" s="5"/>
    </row>
    <row r="90" ht="15.75" customHeight="1">
      <c r="A90" s="5"/>
      <c r="B90" s="5"/>
      <c r="D90" s="5"/>
    </row>
    <row r="91" ht="15.75" customHeight="1">
      <c r="A91" s="5"/>
      <c r="B91" s="5"/>
      <c r="D91" s="5"/>
    </row>
    <row r="92" ht="15.75" customHeight="1">
      <c r="A92" s="5"/>
      <c r="B92" s="5"/>
      <c r="D92" s="5"/>
    </row>
    <row r="93" ht="15.75" customHeight="1">
      <c r="A93" s="5"/>
      <c r="B93" s="5"/>
      <c r="D93" s="5"/>
    </row>
    <row r="94" ht="15.75" customHeight="1">
      <c r="A94" s="5"/>
      <c r="B94" s="5"/>
      <c r="D94" s="5"/>
    </row>
    <row r="95" ht="15.75" customHeight="1">
      <c r="A95" s="5"/>
      <c r="B95" s="5"/>
      <c r="D95" s="5"/>
    </row>
    <row r="96" ht="15.75" customHeight="1">
      <c r="A96" s="5"/>
      <c r="B96" s="5"/>
      <c r="D96" s="5"/>
    </row>
    <row r="97" ht="15.75" customHeight="1">
      <c r="A97" s="5"/>
      <c r="B97" s="5"/>
      <c r="D97" s="5"/>
    </row>
    <row r="98" ht="15.75" customHeight="1">
      <c r="A98" s="5"/>
      <c r="B98" s="5"/>
      <c r="D98" s="5"/>
    </row>
    <row r="99" ht="15.75" customHeight="1">
      <c r="A99" s="5"/>
      <c r="B99" s="5"/>
      <c r="D99" s="5"/>
    </row>
    <row r="100" ht="15.75" customHeight="1">
      <c r="A100" s="5"/>
      <c r="B100" s="5"/>
      <c r="D100" s="5"/>
    </row>
    <row r="101" ht="15.75" customHeight="1">
      <c r="A101" s="5"/>
      <c r="B101" s="5"/>
      <c r="D101" s="5"/>
    </row>
    <row r="102" ht="15.75" customHeight="1">
      <c r="A102" s="5"/>
      <c r="B102" s="5"/>
      <c r="D102" s="5"/>
    </row>
    <row r="103" ht="15.75" customHeight="1">
      <c r="A103" s="5"/>
      <c r="B103" s="5"/>
      <c r="D103" s="5"/>
    </row>
    <row r="104" ht="15.75" customHeight="1">
      <c r="A104" s="5"/>
      <c r="B104" s="5"/>
      <c r="D104" s="5"/>
    </row>
    <row r="105" ht="15.75" customHeight="1">
      <c r="A105" s="5"/>
      <c r="B105" s="5"/>
      <c r="D105" s="5"/>
    </row>
    <row r="106" ht="15.75" customHeight="1">
      <c r="A106" s="5"/>
      <c r="B106" s="5"/>
      <c r="D106" s="5"/>
    </row>
    <row r="107" ht="15.75" customHeight="1">
      <c r="A107" s="5"/>
      <c r="B107" s="5"/>
      <c r="D107" s="5"/>
    </row>
    <row r="108" ht="15.75" customHeight="1">
      <c r="A108" s="5"/>
      <c r="B108" s="5"/>
      <c r="D108" s="5"/>
    </row>
    <row r="109" ht="15.75" customHeight="1">
      <c r="A109" s="5"/>
      <c r="B109" s="5"/>
      <c r="D109" s="5"/>
    </row>
    <row r="110" ht="15.75" customHeight="1">
      <c r="A110" s="5"/>
      <c r="B110" s="5"/>
      <c r="D110" s="5"/>
    </row>
    <row r="111" ht="15.75" customHeight="1">
      <c r="A111" s="5"/>
      <c r="B111" s="5"/>
      <c r="D111" s="5"/>
    </row>
    <row r="112" ht="15.75" customHeight="1">
      <c r="A112" s="5"/>
      <c r="B112" s="5"/>
      <c r="D112" s="5"/>
    </row>
    <row r="113" ht="15.75" customHeight="1">
      <c r="A113" s="5"/>
      <c r="B113" s="5"/>
      <c r="D113" s="5"/>
    </row>
    <row r="114" ht="15.75" customHeight="1">
      <c r="A114" s="5"/>
      <c r="B114" s="5"/>
      <c r="D114" s="5"/>
    </row>
    <row r="115" ht="15.75" customHeight="1">
      <c r="A115" s="5"/>
      <c r="B115" s="5"/>
      <c r="D115" s="5"/>
    </row>
    <row r="116" ht="15.75" customHeight="1">
      <c r="A116" s="5"/>
      <c r="B116" s="5"/>
      <c r="D116" s="5"/>
    </row>
    <row r="117" ht="15.75" customHeight="1">
      <c r="A117" s="5"/>
      <c r="B117" s="5"/>
      <c r="D117" s="5"/>
    </row>
    <row r="118" ht="15.75" customHeight="1">
      <c r="A118" s="5"/>
      <c r="B118" s="5"/>
      <c r="D118" s="5"/>
    </row>
    <row r="119" ht="15.75" customHeight="1">
      <c r="A119" s="5"/>
      <c r="B119" s="5"/>
      <c r="D119" s="5"/>
    </row>
    <row r="120" ht="15.75" customHeight="1">
      <c r="A120" s="5"/>
      <c r="B120" s="5"/>
      <c r="D120" s="5"/>
    </row>
    <row r="121" ht="15.75" customHeight="1">
      <c r="A121" s="5"/>
      <c r="B121" s="5"/>
      <c r="D121" s="5"/>
    </row>
    <row r="122" ht="15.75" customHeight="1">
      <c r="A122" s="5"/>
      <c r="B122" s="5"/>
      <c r="D122" s="5"/>
    </row>
    <row r="123" ht="15.75" customHeight="1">
      <c r="A123" s="5"/>
      <c r="B123" s="5"/>
      <c r="D123" s="5"/>
    </row>
    <row r="124" ht="15.75" customHeight="1">
      <c r="A124" s="5"/>
      <c r="B124" s="5"/>
      <c r="D124" s="5"/>
    </row>
    <row r="125" ht="15.75" customHeight="1">
      <c r="A125" s="5"/>
      <c r="B125" s="5"/>
      <c r="D125" s="5"/>
    </row>
    <row r="126" ht="15.75" customHeight="1">
      <c r="A126" s="5"/>
      <c r="B126" s="5"/>
      <c r="D126" s="5"/>
    </row>
    <row r="127" ht="15.75" customHeight="1">
      <c r="A127" s="5"/>
      <c r="B127" s="5"/>
      <c r="D127" s="5"/>
    </row>
    <row r="128" ht="15.75" customHeight="1">
      <c r="A128" s="5"/>
      <c r="B128" s="5"/>
      <c r="D128" s="5"/>
    </row>
    <row r="129" ht="15.75" customHeight="1">
      <c r="A129" s="5"/>
      <c r="B129" s="5"/>
      <c r="D129" s="5"/>
    </row>
    <row r="130" ht="15.75" customHeight="1">
      <c r="A130" s="5"/>
      <c r="B130" s="5"/>
      <c r="D130" s="5"/>
    </row>
    <row r="131" ht="15.75" customHeight="1">
      <c r="A131" s="5"/>
      <c r="B131" s="5"/>
      <c r="D131" s="5"/>
    </row>
    <row r="132" ht="15.75" customHeight="1">
      <c r="A132" s="5"/>
      <c r="B132" s="5"/>
      <c r="D132" s="5"/>
    </row>
    <row r="133" ht="15.75" customHeight="1">
      <c r="A133" s="5"/>
      <c r="B133" s="5"/>
      <c r="D133" s="5"/>
    </row>
    <row r="134" ht="15.75" customHeight="1">
      <c r="A134" s="5"/>
      <c r="B134" s="5"/>
      <c r="D134" s="5"/>
    </row>
    <row r="135" ht="15.75" customHeight="1">
      <c r="A135" s="5"/>
      <c r="B135" s="5"/>
      <c r="D135" s="5"/>
    </row>
    <row r="136" ht="15.75" customHeight="1">
      <c r="A136" s="5"/>
      <c r="B136" s="5"/>
      <c r="D136" s="5"/>
    </row>
    <row r="137" ht="15.75" customHeight="1">
      <c r="A137" s="5"/>
      <c r="B137" s="5"/>
      <c r="D137" s="5"/>
    </row>
    <row r="138" ht="15.75" customHeight="1">
      <c r="A138" s="5"/>
      <c r="B138" s="5"/>
      <c r="D138" s="5"/>
    </row>
    <row r="139" ht="15.75" customHeight="1">
      <c r="A139" s="5"/>
      <c r="B139" s="5"/>
      <c r="D139" s="5"/>
    </row>
    <row r="140" ht="15.75" customHeight="1">
      <c r="A140" s="5"/>
      <c r="B140" s="5"/>
      <c r="D140" s="5"/>
    </row>
    <row r="141" ht="15.75" customHeight="1">
      <c r="A141" s="5"/>
      <c r="B141" s="5"/>
      <c r="D141" s="5"/>
    </row>
    <row r="142" ht="15.75" customHeight="1">
      <c r="A142" s="5"/>
      <c r="B142" s="5"/>
      <c r="D142" s="5"/>
    </row>
    <row r="143" ht="15.75" customHeight="1">
      <c r="A143" s="5"/>
      <c r="B143" s="5"/>
      <c r="D143" s="5"/>
    </row>
    <row r="144" ht="15.75" customHeight="1">
      <c r="A144" s="5"/>
      <c r="B144" s="5"/>
      <c r="D144" s="5"/>
    </row>
    <row r="145" ht="15.75" customHeight="1">
      <c r="A145" s="5"/>
      <c r="B145" s="5"/>
      <c r="D145" s="5"/>
    </row>
    <row r="146" ht="15.75" customHeight="1">
      <c r="A146" s="5"/>
      <c r="B146" s="5"/>
      <c r="D146" s="5"/>
    </row>
    <row r="147" ht="15.75" customHeight="1">
      <c r="A147" s="5"/>
      <c r="B147" s="5"/>
      <c r="D147" s="5"/>
    </row>
    <row r="148" ht="15.75" customHeight="1">
      <c r="A148" s="5"/>
      <c r="B148" s="5"/>
      <c r="D148" s="5"/>
    </row>
    <row r="149" ht="15.75" customHeight="1">
      <c r="A149" s="5"/>
      <c r="B149" s="5"/>
      <c r="D149" s="5"/>
    </row>
    <row r="150" ht="15.75" customHeight="1">
      <c r="A150" s="5"/>
      <c r="B150" s="5"/>
      <c r="D150" s="5"/>
    </row>
    <row r="151" ht="15.75" customHeight="1">
      <c r="A151" s="5"/>
      <c r="B151" s="5"/>
      <c r="D151" s="5"/>
    </row>
    <row r="152" ht="15.75" customHeight="1">
      <c r="A152" s="5"/>
      <c r="B152" s="5"/>
      <c r="D152" s="5"/>
    </row>
    <row r="153" ht="15.75" customHeight="1">
      <c r="A153" s="5"/>
      <c r="B153" s="5"/>
      <c r="D153" s="5"/>
    </row>
    <row r="154" ht="15.75" customHeight="1">
      <c r="A154" s="5"/>
      <c r="B154" s="5"/>
      <c r="D154" s="5"/>
    </row>
    <row r="155" ht="15.75" customHeight="1">
      <c r="A155" s="5"/>
      <c r="B155" s="5"/>
      <c r="D155" s="5"/>
    </row>
    <row r="156" ht="15.75" customHeight="1">
      <c r="A156" s="5"/>
      <c r="B156" s="5"/>
      <c r="D156" s="5"/>
    </row>
    <row r="157" ht="15.75" customHeight="1">
      <c r="A157" s="5"/>
      <c r="B157" s="5"/>
      <c r="D157" s="5"/>
    </row>
    <row r="158" ht="15.75" customHeight="1">
      <c r="A158" s="5"/>
      <c r="B158" s="5"/>
      <c r="D158" s="5"/>
    </row>
    <row r="159" ht="15.75" customHeight="1">
      <c r="A159" s="5"/>
      <c r="B159" s="5"/>
      <c r="D159" s="5"/>
    </row>
    <row r="160" ht="15.75" customHeight="1">
      <c r="A160" s="5"/>
      <c r="B160" s="5"/>
      <c r="D160" s="5"/>
    </row>
    <row r="161" ht="15.75" customHeight="1">
      <c r="A161" s="5"/>
      <c r="B161" s="5"/>
      <c r="D161" s="5"/>
    </row>
    <row r="162" ht="15.75" customHeight="1">
      <c r="A162" s="5"/>
      <c r="B162" s="5"/>
      <c r="D162" s="5"/>
    </row>
    <row r="163" ht="15.75" customHeight="1">
      <c r="A163" s="5"/>
      <c r="B163" s="5"/>
      <c r="D163" s="5"/>
    </row>
    <row r="164" ht="15.75" customHeight="1">
      <c r="A164" s="5"/>
      <c r="B164" s="5"/>
      <c r="D164" s="5"/>
    </row>
    <row r="165" ht="15.75" customHeight="1">
      <c r="A165" s="5"/>
      <c r="B165" s="5"/>
      <c r="D165" s="5"/>
    </row>
    <row r="166" ht="15.75" customHeight="1">
      <c r="A166" s="5"/>
      <c r="B166" s="5"/>
      <c r="D166" s="5"/>
    </row>
    <row r="167" ht="15.75" customHeight="1">
      <c r="A167" s="5"/>
      <c r="B167" s="5"/>
      <c r="D167" s="5"/>
    </row>
    <row r="168" ht="15.75" customHeight="1">
      <c r="A168" s="5"/>
      <c r="B168" s="5"/>
      <c r="D168" s="5"/>
    </row>
    <row r="169" ht="15.75" customHeight="1">
      <c r="A169" s="5"/>
      <c r="B169" s="5"/>
      <c r="D169" s="5"/>
    </row>
    <row r="170" ht="15.75" customHeight="1">
      <c r="A170" s="5"/>
      <c r="B170" s="5"/>
      <c r="D170" s="5"/>
    </row>
    <row r="171" ht="15.75" customHeight="1">
      <c r="A171" s="5"/>
      <c r="B171" s="5"/>
      <c r="D171" s="5"/>
    </row>
    <row r="172" ht="15.75" customHeight="1">
      <c r="A172" s="5"/>
      <c r="B172" s="5"/>
      <c r="D172" s="5"/>
    </row>
    <row r="173" ht="15.75" customHeight="1">
      <c r="A173" s="5"/>
      <c r="B173" s="5"/>
      <c r="D173" s="5"/>
    </row>
    <row r="174" ht="15.75" customHeight="1">
      <c r="A174" s="5"/>
      <c r="B174" s="5"/>
      <c r="D174" s="5"/>
    </row>
    <row r="175" ht="15.75" customHeight="1">
      <c r="A175" s="5"/>
      <c r="B175" s="5"/>
      <c r="D175" s="5"/>
    </row>
    <row r="176" ht="15.75" customHeight="1">
      <c r="A176" s="5"/>
      <c r="B176" s="5"/>
      <c r="D176" s="5"/>
    </row>
    <row r="177" ht="15.75" customHeight="1">
      <c r="A177" s="5"/>
      <c r="B177" s="5"/>
      <c r="D177" s="5"/>
    </row>
    <row r="178" ht="15.75" customHeight="1">
      <c r="A178" s="5"/>
      <c r="B178" s="5"/>
      <c r="D178" s="5"/>
    </row>
    <row r="179" ht="15.75" customHeight="1">
      <c r="A179" s="5"/>
      <c r="B179" s="5"/>
      <c r="D179" s="5"/>
    </row>
    <row r="180" ht="15.75" customHeight="1">
      <c r="A180" s="5"/>
      <c r="B180" s="5"/>
      <c r="D180" s="5"/>
    </row>
    <row r="181" ht="15.75" customHeight="1">
      <c r="A181" s="5"/>
      <c r="B181" s="5"/>
      <c r="D181" s="5"/>
    </row>
    <row r="182" ht="15.75" customHeight="1">
      <c r="A182" s="5"/>
      <c r="B182" s="5"/>
      <c r="D182" s="5"/>
    </row>
    <row r="183" ht="15.75" customHeight="1">
      <c r="A183" s="5"/>
      <c r="B183" s="5"/>
      <c r="D183" s="5"/>
    </row>
    <row r="184" ht="15.75" customHeight="1">
      <c r="A184" s="5"/>
      <c r="B184" s="5"/>
      <c r="D184" s="5"/>
    </row>
    <row r="185" ht="15.75" customHeight="1">
      <c r="A185" s="5"/>
      <c r="B185" s="5"/>
      <c r="D185" s="5"/>
    </row>
    <row r="186" ht="15.75" customHeight="1">
      <c r="A186" s="5"/>
      <c r="B186" s="5"/>
      <c r="D186" s="5"/>
    </row>
    <row r="187" ht="15.75" customHeight="1">
      <c r="A187" s="5"/>
      <c r="B187" s="5"/>
      <c r="D187" s="5"/>
    </row>
    <row r="188" ht="15.75" customHeight="1">
      <c r="A188" s="5"/>
      <c r="B188" s="5"/>
      <c r="D188" s="5"/>
    </row>
    <row r="189" ht="15.75" customHeight="1">
      <c r="A189" s="5"/>
      <c r="B189" s="5"/>
      <c r="D189" s="5"/>
    </row>
    <row r="190" ht="15.75" customHeight="1">
      <c r="A190" s="5"/>
      <c r="B190" s="5"/>
      <c r="D190" s="5"/>
    </row>
    <row r="191" ht="15.75" customHeight="1">
      <c r="A191" s="5"/>
      <c r="B191" s="5"/>
      <c r="D191" s="5"/>
    </row>
    <row r="192" ht="15.75" customHeight="1">
      <c r="A192" s="5"/>
      <c r="B192" s="5"/>
      <c r="D192" s="5"/>
    </row>
    <row r="193" ht="15.75" customHeight="1">
      <c r="A193" s="5"/>
      <c r="B193" s="5"/>
      <c r="D193" s="5"/>
    </row>
    <row r="194" ht="15.75" customHeight="1">
      <c r="A194" s="5"/>
      <c r="B194" s="5"/>
      <c r="D194" s="5"/>
    </row>
    <row r="195" ht="15.75" customHeight="1">
      <c r="A195" s="5"/>
      <c r="B195" s="5"/>
      <c r="D195" s="5"/>
    </row>
    <row r="196" ht="15.75" customHeight="1">
      <c r="A196" s="5"/>
      <c r="B196" s="5"/>
      <c r="D196" s="5"/>
    </row>
    <row r="197" ht="15.75" customHeight="1">
      <c r="A197" s="5"/>
      <c r="B197" s="5"/>
      <c r="D197" s="5"/>
    </row>
    <row r="198" ht="15.75" customHeight="1">
      <c r="A198" s="5"/>
      <c r="B198" s="5"/>
      <c r="D198" s="5"/>
    </row>
    <row r="199" ht="15.75" customHeight="1">
      <c r="A199" s="5"/>
      <c r="B199" s="5"/>
      <c r="D199" s="5"/>
    </row>
    <row r="200" ht="15.75" customHeight="1">
      <c r="A200" s="5"/>
      <c r="B200" s="5"/>
      <c r="D200" s="5"/>
    </row>
    <row r="201" ht="15.75" customHeight="1">
      <c r="A201" s="5"/>
      <c r="B201" s="5"/>
      <c r="D201" s="5"/>
    </row>
    <row r="202" ht="15.75" customHeight="1">
      <c r="A202" s="5"/>
      <c r="B202" s="5"/>
      <c r="D202" s="5"/>
    </row>
    <row r="203" ht="15.75" customHeight="1">
      <c r="A203" s="5"/>
      <c r="B203" s="5"/>
      <c r="D203" s="5"/>
    </row>
    <row r="204" ht="15.75" customHeight="1">
      <c r="A204" s="5"/>
      <c r="B204" s="5"/>
      <c r="D204" s="5"/>
    </row>
    <row r="205" ht="15.75" customHeight="1">
      <c r="A205" s="5"/>
      <c r="B205" s="5"/>
      <c r="D205" s="5"/>
    </row>
    <row r="206" ht="15.75" customHeight="1">
      <c r="A206" s="5"/>
      <c r="B206" s="5"/>
      <c r="D206" s="5"/>
    </row>
    <row r="207" ht="15.75" customHeight="1">
      <c r="A207" s="5"/>
      <c r="B207" s="5"/>
      <c r="D207" s="5"/>
    </row>
    <row r="208" ht="15.75" customHeight="1">
      <c r="A208" s="5"/>
      <c r="B208" s="5"/>
      <c r="D208" s="5"/>
    </row>
    <row r="209" ht="15.75" customHeight="1">
      <c r="A209" s="5"/>
      <c r="B209" s="5"/>
      <c r="D209" s="5"/>
    </row>
    <row r="210" ht="15.75" customHeight="1">
      <c r="A210" s="5"/>
      <c r="B210" s="5"/>
      <c r="D210" s="5"/>
    </row>
    <row r="211" ht="15.75" customHeight="1">
      <c r="A211" s="5"/>
      <c r="B211" s="5"/>
      <c r="D211" s="5"/>
    </row>
    <row r="212" ht="15.75" customHeight="1">
      <c r="A212" s="5"/>
      <c r="B212" s="5"/>
      <c r="D212" s="5"/>
    </row>
    <row r="213" ht="15.75" customHeight="1">
      <c r="A213" s="5"/>
      <c r="B213" s="5"/>
      <c r="D213" s="5"/>
    </row>
    <row r="214" ht="15.75" customHeight="1">
      <c r="A214" s="5"/>
      <c r="B214" s="5"/>
      <c r="D214" s="5"/>
    </row>
    <row r="215" ht="15.75" customHeight="1">
      <c r="A215" s="5"/>
      <c r="B215" s="5"/>
      <c r="D215" s="5"/>
    </row>
    <row r="216" ht="15.75" customHeight="1">
      <c r="A216" s="5"/>
      <c r="B216" s="5"/>
      <c r="D216" s="5"/>
    </row>
    <row r="217" ht="15.75" customHeight="1">
      <c r="A217" s="5"/>
      <c r="B217" s="5"/>
      <c r="D217" s="5"/>
    </row>
    <row r="218" ht="15.75" customHeight="1">
      <c r="A218" s="5"/>
      <c r="B218" s="5"/>
      <c r="D218" s="5"/>
    </row>
    <row r="219" ht="15.75" customHeight="1">
      <c r="A219" s="5"/>
      <c r="B219" s="5"/>
      <c r="D219" s="5"/>
    </row>
    <row r="220" ht="15.75" customHeight="1">
      <c r="A220" s="5"/>
      <c r="B220" s="5"/>
      <c r="D220" s="5"/>
    </row>
    <row r="221" ht="15.75" customHeight="1">
      <c r="A221" s="5"/>
      <c r="B221" s="5"/>
      <c r="D221" s="5"/>
    </row>
    <row r="222" ht="15.75" customHeight="1">
      <c r="A222" s="5"/>
      <c r="B222" s="5"/>
      <c r="D222" s="5"/>
    </row>
    <row r="223" ht="15.75" customHeight="1">
      <c r="A223" s="5"/>
      <c r="B223" s="5"/>
      <c r="D223" s="5"/>
    </row>
    <row r="224" ht="15.75" customHeight="1">
      <c r="A224" s="5"/>
      <c r="B224" s="5"/>
      <c r="D224" s="5"/>
    </row>
    <row r="225" ht="15.75" customHeight="1">
      <c r="A225" s="5"/>
      <c r="B225" s="5"/>
      <c r="D225" s="5"/>
    </row>
    <row r="226" ht="15.75" customHeight="1">
      <c r="A226" s="5"/>
      <c r="B226" s="5"/>
      <c r="D226" s="5"/>
    </row>
    <row r="227" ht="15.75" customHeight="1">
      <c r="A227" s="5"/>
      <c r="B227" s="5"/>
      <c r="D227" s="5"/>
    </row>
    <row r="228" ht="15.75" customHeight="1">
      <c r="A228" s="5"/>
      <c r="B228" s="5"/>
      <c r="D228" s="5"/>
    </row>
    <row r="229" ht="15.75" customHeight="1">
      <c r="A229" s="5"/>
      <c r="B229" s="5"/>
      <c r="D229" s="5"/>
    </row>
    <row r="230" ht="15.75" customHeight="1">
      <c r="A230" s="5"/>
      <c r="B230" s="5"/>
      <c r="D230" s="5"/>
    </row>
    <row r="231" ht="15.75" customHeight="1">
      <c r="A231" s="5"/>
      <c r="B231" s="5"/>
      <c r="D231" s="5"/>
    </row>
    <row r="232" ht="15.75" customHeight="1">
      <c r="A232" s="5"/>
      <c r="B232" s="5"/>
      <c r="D232" s="5"/>
    </row>
    <row r="233" ht="15.75" customHeight="1">
      <c r="A233" s="5"/>
      <c r="B233" s="5"/>
      <c r="D233" s="5"/>
    </row>
    <row r="234" ht="15.75" customHeight="1">
      <c r="A234" s="5"/>
      <c r="B234" s="5"/>
      <c r="D234" s="5"/>
    </row>
    <row r="235" ht="15.75" customHeight="1">
      <c r="A235" s="5"/>
      <c r="B235" s="5"/>
      <c r="D235" s="5"/>
    </row>
    <row r="236" ht="15.75" customHeight="1">
      <c r="A236" s="5"/>
      <c r="B236" s="5"/>
      <c r="D236" s="5"/>
    </row>
    <row r="237" ht="15.75" customHeight="1">
      <c r="A237" s="5"/>
      <c r="B237" s="5"/>
      <c r="D237" s="5"/>
    </row>
    <row r="238" ht="15.75" customHeight="1">
      <c r="A238" s="5"/>
      <c r="B238" s="5"/>
      <c r="D238" s="5"/>
    </row>
    <row r="239" ht="15.75" customHeight="1">
      <c r="A239" s="5"/>
      <c r="B239" s="5"/>
      <c r="D239" s="5"/>
    </row>
    <row r="240" ht="15.75" customHeight="1">
      <c r="A240" s="5"/>
      <c r="B240" s="5"/>
      <c r="D240" s="5"/>
    </row>
    <row r="241" ht="15.75" customHeight="1">
      <c r="A241" s="5"/>
      <c r="B241" s="5"/>
      <c r="D241" s="5"/>
    </row>
    <row r="242" ht="15.75" customHeight="1">
      <c r="A242" s="5"/>
      <c r="B242" s="5"/>
      <c r="D242" s="5"/>
    </row>
    <row r="243" ht="15.75" customHeight="1">
      <c r="A243" s="5"/>
      <c r="B243" s="5"/>
      <c r="D243" s="5"/>
    </row>
    <row r="244" ht="15.75" customHeight="1">
      <c r="A244" s="5"/>
      <c r="B244" s="5"/>
      <c r="D244" s="5"/>
    </row>
    <row r="245" ht="15.75" customHeight="1">
      <c r="A245" s="5"/>
      <c r="B245" s="5"/>
      <c r="D245" s="5"/>
    </row>
    <row r="246" ht="15.75" customHeight="1">
      <c r="A246" s="5"/>
      <c r="B246" s="5"/>
      <c r="D246" s="5"/>
    </row>
    <row r="247" ht="15.75" customHeight="1">
      <c r="A247" s="5"/>
      <c r="B247" s="5"/>
      <c r="D247" s="5"/>
    </row>
    <row r="248" ht="15.75" customHeight="1">
      <c r="A248" s="5"/>
      <c r="B248" s="5"/>
      <c r="D248" s="5"/>
    </row>
    <row r="249" ht="15.75" customHeight="1">
      <c r="A249" s="5"/>
      <c r="B249" s="5"/>
      <c r="D249" s="5"/>
    </row>
    <row r="250" ht="15.75" customHeight="1">
      <c r="A250" s="5"/>
      <c r="B250" s="5"/>
      <c r="D250" s="5"/>
    </row>
    <row r="251" ht="15.75" customHeight="1">
      <c r="A251" s="5"/>
      <c r="B251" s="5"/>
      <c r="D251" s="5"/>
    </row>
    <row r="252" ht="15.75" customHeight="1">
      <c r="A252" s="5"/>
      <c r="B252" s="5"/>
      <c r="D252" s="5"/>
    </row>
    <row r="253" ht="15.75" customHeight="1">
      <c r="A253" s="5"/>
      <c r="B253" s="5"/>
      <c r="D253" s="5"/>
    </row>
    <row r="254" ht="15.75" customHeight="1">
      <c r="A254" s="5"/>
      <c r="B254" s="5"/>
      <c r="D254" s="5"/>
    </row>
    <row r="255" ht="15.75" customHeight="1">
      <c r="A255" s="5"/>
      <c r="B255" s="5"/>
      <c r="D255" s="5"/>
    </row>
    <row r="256" ht="15.75" customHeight="1">
      <c r="A256" s="5"/>
      <c r="B256" s="5"/>
      <c r="D256" s="5"/>
    </row>
    <row r="257" ht="15.75" customHeight="1">
      <c r="A257" s="5"/>
      <c r="B257" s="5"/>
      <c r="D257" s="5"/>
    </row>
    <row r="258" ht="15.75" customHeight="1">
      <c r="A258" s="5"/>
      <c r="B258" s="5"/>
      <c r="D258" s="5"/>
    </row>
    <row r="259" ht="15.75" customHeight="1">
      <c r="A259" s="5"/>
      <c r="B259" s="5"/>
      <c r="D259" s="5"/>
    </row>
    <row r="260" ht="15.75" customHeight="1">
      <c r="A260" s="5"/>
      <c r="B260" s="5"/>
      <c r="D260" s="5"/>
    </row>
    <row r="261" ht="15.75" customHeight="1">
      <c r="A261" s="5"/>
      <c r="B261" s="5"/>
      <c r="D261" s="5"/>
    </row>
    <row r="262" ht="15.75" customHeight="1">
      <c r="A262" s="5"/>
      <c r="B262" s="5"/>
      <c r="D262" s="5"/>
    </row>
    <row r="263" ht="15.75" customHeight="1">
      <c r="A263" s="5"/>
      <c r="B263" s="5"/>
      <c r="D263" s="5"/>
    </row>
    <row r="264" ht="15.75" customHeight="1">
      <c r="A264" s="5"/>
      <c r="B264" s="5"/>
      <c r="D264" s="5"/>
    </row>
    <row r="265" ht="15.75" customHeight="1">
      <c r="A265" s="5"/>
      <c r="B265" s="5"/>
      <c r="D265" s="5"/>
    </row>
    <row r="266" ht="15.75" customHeight="1">
      <c r="A266" s="5"/>
      <c r="B266" s="5"/>
      <c r="D266" s="5"/>
    </row>
    <row r="267" ht="15.75" customHeight="1">
      <c r="A267" s="5"/>
      <c r="B267" s="5"/>
      <c r="D267" s="5"/>
    </row>
    <row r="268" ht="15.75" customHeight="1">
      <c r="A268" s="5"/>
      <c r="B268" s="5"/>
      <c r="D268" s="5"/>
    </row>
    <row r="269" ht="15.75" customHeight="1">
      <c r="A269" s="5"/>
      <c r="B269" s="5"/>
      <c r="D269" s="5"/>
    </row>
    <row r="270" ht="15.75" customHeight="1">
      <c r="A270" s="5"/>
      <c r="B270" s="5"/>
      <c r="D270" s="5"/>
    </row>
    <row r="271" ht="15.75" customHeight="1">
      <c r="A271" s="5"/>
      <c r="B271" s="5"/>
      <c r="D271" s="5"/>
    </row>
    <row r="272" ht="15.75" customHeight="1">
      <c r="A272" s="5"/>
      <c r="B272" s="5"/>
      <c r="D272" s="5"/>
    </row>
    <row r="273" ht="15.75" customHeight="1">
      <c r="A273" s="5"/>
      <c r="B273" s="5"/>
      <c r="D273" s="5"/>
    </row>
    <row r="274" ht="15.75" customHeight="1">
      <c r="A274" s="5"/>
      <c r="B274" s="5"/>
      <c r="D274" s="5"/>
    </row>
    <row r="275" ht="15.75" customHeight="1">
      <c r="A275" s="5"/>
      <c r="B275" s="5"/>
      <c r="D275" s="5"/>
    </row>
    <row r="276" ht="15.75" customHeight="1">
      <c r="A276" s="5"/>
      <c r="B276" s="5"/>
      <c r="D276" s="5"/>
    </row>
    <row r="277" ht="15.75" customHeight="1">
      <c r="A277" s="5"/>
      <c r="B277" s="5"/>
      <c r="D277" s="5"/>
    </row>
    <row r="278" ht="15.75" customHeight="1">
      <c r="A278" s="5"/>
      <c r="B278" s="5"/>
      <c r="D278" s="5"/>
    </row>
    <row r="279" ht="15.75" customHeight="1">
      <c r="A279" s="5"/>
      <c r="B279" s="5"/>
      <c r="D279" s="5"/>
    </row>
    <row r="280" ht="15.75" customHeight="1">
      <c r="A280" s="5"/>
      <c r="B280" s="5"/>
      <c r="D280" s="5"/>
    </row>
    <row r="281" ht="15.75" customHeight="1">
      <c r="A281" s="5"/>
      <c r="B281" s="5"/>
      <c r="D281" s="5"/>
    </row>
    <row r="282" ht="15.75" customHeight="1">
      <c r="A282" s="5"/>
      <c r="B282" s="5"/>
      <c r="D282" s="5"/>
    </row>
    <row r="283" ht="15.75" customHeight="1">
      <c r="A283" s="5"/>
      <c r="B283" s="5"/>
      <c r="D283" s="5"/>
    </row>
    <row r="284" ht="15.75" customHeight="1">
      <c r="A284" s="5"/>
      <c r="B284" s="5"/>
      <c r="D284" s="5"/>
    </row>
    <row r="285" ht="15.75" customHeight="1">
      <c r="A285" s="5"/>
      <c r="B285" s="5"/>
      <c r="D285" s="5"/>
    </row>
    <row r="286" ht="15.75" customHeight="1">
      <c r="A286" s="5"/>
      <c r="B286" s="5"/>
      <c r="D286" s="5"/>
    </row>
    <row r="287" ht="15.75" customHeight="1">
      <c r="A287" s="5"/>
      <c r="B287" s="5"/>
      <c r="D287" s="5"/>
    </row>
    <row r="288" ht="15.75" customHeight="1">
      <c r="A288" s="5"/>
      <c r="B288" s="5"/>
      <c r="D288" s="5"/>
    </row>
    <row r="289" ht="15.75" customHeight="1">
      <c r="A289" s="5"/>
      <c r="B289" s="5"/>
      <c r="D289" s="5"/>
    </row>
    <row r="290" ht="15.75" customHeight="1">
      <c r="A290" s="5"/>
      <c r="B290" s="5"/>
      <c r="D290" s="5"/>
    </row>
    <row r="291" ht="15.75" customHeight="1">
      <c r="A291" s="5"/>
      <c r="B291" s="5"/>
      <c r="D291" s="5"/>
    </row>
    <row r="292" ht="15.75" customHeight="1">
      <c r="A292" s="5"/>
      <c r="B292" s="5"/>
      <c r="D292" s="5"/>
    </row>
    <row r="293" ht="15.75" customHeight="1">
      <c r="A293" s="5"/>
      <c r="B293" s="5"/>
      <c r="D293" s="5"/>
    </row>
    <row r="294" ht="15.75" customHeight="1">
      <c r="A294" s="5"/>
      <c r="B294" s="5"/>
      <c r="D294" s="5"/>
    </row>
    <row r="295" ht="15.75" customHeight="1">
      <c r="A295" s="5"/>
      <c r="B295" s="5"/>
      <c r="D295" s="5"/>
    </row>
    <row r="296" ht="15.75" customHeight="1">
      <c r="A296" s="5"/>
      <c r="B296" s="5"/>
      <c r="D296" s="5"/>
    </row>
    <row r="297" ht="15.75" customHeight="1">
      <c r="A297" s="5"/>
      <c r="B297" s="5"/>
      <c r="D297" s="5"/>
    </row>
    <row r="298" ht="15.75" customHeight="1">
      <c r="A298" s="5"/>
      <c r="B298" s="5"/>
      <c r="D298" s="5"/>
    </row>
    <row r="299" ht="15.75" customHeight="1">
      <c r="A299" s="5"/>
      <c r="B299" s="5"/>
      <c r="D299" s="5"/>
    </row>
    <row r="300" ht="15.75" customHeight="1">
      <c r="A300" s="5"/>
      <c r="B300" s="5"/>
      <c r="D300" s="5"/>
    </row>
    <row r="301" ht="15.75" customHeight="1">
      <c r="A301" s="5"/>
      <c r="B301" s="5"/>
      <c r="D301" s="5"/>
    </row>
    <row r="302" ht="15.75" customHeight="1">
      <c r="A302" s="5"/>
      <c r="B302" s="5"/>
      <c r="D302" s="5"/>
    </row>
    <row r="303" ht="15.75" customHeight="1">
      <c r="A303" s="5"/>
      <c r="B303" s="5"/>
      <c r="D303" s="5"/>
    </row>
    <row r="304" ht="15.75" customHeight="1">
      <c r="A304" s="5"/>
      <c r="B304" s="5"/>
      <c r="D304" s="5"/>
    </row>
    <row r="305" ht="15.75" customHeight="1">
      <c r="A305" s="5"/>
      <c r="B305" s="5"/>
      <c r="D305" s="5"/>
    </row>
    <row r="306" ht="15.75" customHeight="1">
      <c r="A306" s="5"/>
      <c r="B306" s="5"/>
      <c r="D306" s="5"/>
    </row>
    <row r="307" ht="15.75" customHeight="1">
      <c r="A307" s="5"/>
      <c r="B307" s="5"/>
      <c r="D307" s="5"/>
    </row>
    <row r="308" ht="15.75" customHeight="1">
      <c r="A308" s="5"/>
      <c r="B308" s="5"/>
      <c r="D308" s="5"/>
    </row>
    <row r="309" ht="15.75" customHeight="1">
      <c r="A309" s="5"/>
      <c r="B309" s="5"/>
      <c r="D309" s="5"/>
    </row>
    <row r="310" ht="15.75" customHeight="1">
      <c r="A310" s="5"/>
      <c r="B310" s="5"/>
      <c r="D310" s="5"/>
    </row>
    <row r="311" ht="15.75" customHeight="1">
      <c r="A311" s="5"/>
      <c r="B311" s="5"/>
      <c r="D311" s="5"/>
    </row>
    <row r="312" ht="15.75" customHeight="1">
      <c r="A312" s="5"/>
      <c r="B312" s="5"/>
      <c r="D312" s="5"/>
    </row>
    <row r="313" ht="15.75" customHeight="1">
      <c r="A313" s="5"/>
      <c r="B313" s="5"/>
      <c r="D313" s="5"/>
    </row>
    <row r="314" ht="15.75" customHeight="1">
      <c r="A314" s="5"/>
      <c r="B314" s="5"/>
      <c r="D314" s="5"/>
    </row>
    <row r="315" ht="15.75" customHeight="1">
      <c r="A315" s="5"/>
      <c r="B315" s="5"/>
      <c r="D315" s="5"/>
    </row>
    <row r="316" ht="15.75" customHeight="1">
      <c r="A316" s="5"/>
      <c r="B316" s="5"/>
      <c r="D316" s="5"/>
    </row>
    <row r="317" ht="15.75" customHeight="1">
      <c r="A317" s="5"/>
      <c r="B317" s="5"/>
      <c r="D317" s="5"/>
    </row>
    <row r="318" ht="15.75" customHeight="1">
      <c r="A318" s="5"/>
      <c r="B318" s="5"/>
      <c r="D318" s="5"/>
    </row>
    <row r="319" ht="15.75" customHeight="1">
      <c r="A319" s="5"/>
      <c r="B319" s="5"/>
      <c r="D319" s="5"/>
    </row>
    <row r="320" ht="15.75" customHeight="1">
      <c r="A320" s="5"/>
      <c r="B320" s="5"/>
      <c r="D320" s="5"/>
    </row>
    <row r="321" ht="15.75" customHeight="1">
      <c r="A321" s="5"/>
      <c r="B321" s="5"/>
      <c r="D321" s="5"/>
    </row>
    <row r="322" ht="15.75" customHeight="1">
      <c r="A322" s="5"/>
      <c r="B322" s="5"/>
      <c r="D322" s="5"/>
    </row>
    <row r="323" ht="15.75" customHeight="1">
      <c r="A323" s="5"/>
      <c r="B323" s="5"/>
      <c r="D323" s="5"/>
    </row>
    <row r="324" ht="15.75" customHeight="1">
      <c r="A324" s="5"/>
      <c r="B324" s="5"/>
      <c r="D324" s="5"/>
    </row>
    <row r="325" ht="15.75" customHeight="1">
      <c r="A325" s="5"/>
      <c r="B325" s="5"/>
      <c r="D325" s="5"/>
    </row>
    <row r="326" ht="15.75" customHeight="1">
      <c r="A326" s="5"/>
      <c r="B326" s="5"/>
      <c r="D326" s="5"/>
    </row>
    <row r="327" ht="15.75" customHeight="1">
      <c r="A327" s="5"/>
      <c r="B327" s="5"/>
      <c r="D327" s="5"/>
    </row>
    <row r="328" ht="15.75" customHeight="1">
      <c r="A328" s="5"/>
      <c r="B328" s="5"/>
      <c r="D328" s="5"/>
    </row>
    <row r="329" ht="15.75" customHeight="1">
      <c r="A329" s="5"/>
      <c r="B329" s="5"/>
      <c r="D329" s="5"/>
    </row>
    <row r="330" ht="15.75" customHeight="1">
      <c r="A330" s="5"/>
      <c r="B330" s="5"/>
      <c r="D330" s="5"/>
    </row>
    <row r="331" ht="15.75" customHeight="1">
      <c r="A331" s="5"/>
      <c r="B331" s="5"/>
      <c r="D331" s="5"/>
    </row>
    <row r="332" ht="15.75" customHeight="1">
      <c r="A332" s="5"/>
      <c r="B332" s="5"/>
      <c r="D332" s="5"/>
    </row>
    <row r="333" ht="15.75" customHeight="1">
      <c r="A333" s="5"/>
      <c r="B333" s="5"/>
      <c r="D333" s="5"/>
    </row>
    <row r="334" ht="15.75" customHeight="1">
      <c r="A334" s="5"/>
      <c r="B334" s="5"/>
      <c r="D334" s="5"/>
    </row>
    <row r="335" ht="15.75" customHeight="1">
      <c r="A335" s="5"/>
      <c r="B335" s="5"/>
      <c r="D335" s="5"/>
    </row>
    <row r="336" ht="15.75" customHeight="1">
      <c r="A336" s="5"/>
      <c r="B336" s="5"/>
      <c r="D336" s="5"/>
    </row>
    <row r="337" ht="15.75" customHeight="1">
      <c r="A337" s="5"/>
      <c r="B337" s="5"/>
      <c r="D337" s="5"/>
    </row>
    <row r="338" ht="15.75" customHeight="1">
      <c r="A338" s="5"/>
      <c r="B338" s="5"/>
      <c r="D338" s="5"/>
    </row>
    <row r="339" ht="15.75" customHeight="1">
      <c r="A339" s="5"/>
      <c r="B339" s="5"/>
      <c r="D339" s="5"/>
    </row>
    <row r="340" ht="15.75" customHeight="1">
      <c r="A340" s="5"/>
      <c r="B340" s="5"/>
      <c r="D340" s="5"/>
    </row>
    <row r="341" ht="15.75" customHeight="1">
      <c r="A341" s="5"/>
      <c r="B341" s="5"/>
      <c r="D341" s="5"/>
    </row>
    <row r="342" ht="15.75" customHeight="1">
      <c r="A342" s="5"/>
      <c r="B342" s="5"/>
      <c r="D342" s="5"/>
    </row>
    <row r="343" ht="15.75" customHeight="1">
      <c r="A343" s="5"/>
      <c r="B343" s="5"/>
      <c r="D343" s="5"/>
    </row>
    <row r="344" ht="15.75" customHeight="1">
      <c r="A344" s="5"/>
      <c r="B344" s="5"/>
      <c r="D344" s="5"/>
    </row>
    <row r="345" ht="15.75" customHeight="1">
      <c r="A345" s="5"/>
      <c r="B345" s="5"/>
      <c r="D345" s="5"/>
    </row>
    <row r="346" ht="15.75" customHeight="1">
      <c r="A346" s="5"/>
      <c r="B346" s="5"/>
      <c r="D346" s="5"/>
    </row>
    <row r="347" ht="15.75" customHeight="1">
      <c r="A347" s="5"/>
      <c r="B347" s="5"/>
      <c r="D347" s="5"/>
    </row>
    <row r="348" ht="15.75" customHeight="1">
      <c r="A348" s="5"/>
      <c r="B348" s="5"/>
      <c r="D348" s="5"/>
    </row>
    <row r="349" ht="15.75" customHeight="1">
      <c r="A349" s="5"/>
      <c r="B349" s="5"/>
      <c r="D349" s="5"/>
    </row>
    <row r="350" ht="15.75" customHeight="1">
      <c r="A350" s="5"/>
      <c r="B350" s="5"/>
      <c r="D350" s="5"/>
    </row>
    <row r="351" ht="15.75" customHeight="1">
      <c r="A351" s="5"/>
      <c r="B351" s="5"/>
      <c r="D351" s="5"/>
    </row>
    <row r="352" ht="15.75" customHeight="1">
      <c r="A352" s="5"/>
      <c r="B352" s="5"/>
      <c r="D352" s="5"/>
    </row>
    <row r="353" ht="15.75" customHeight="1">
      <c r="A353" s="5"/>
      <c r="B353" s="5"/>
      <c r="D353" s="5"/>
    </row>
    <row r="354" ht="15.75" customHeight="1">
      <c r="A354" s="5"/>
      <c r="B354" s="5"/>
      <c r="D354" s="5"/>
    </row>
    <row r="355" ht="15.75" customHeight="1">
      <c r="A355" s="5"/>
      <c r="B355" s="5"/>
      <c r="D355" s="5"/>
    </row>
    <row r="356" ht="15.75" customHeight="1">
      <c r="A356" s="5"/>
      <c r="B356" s="5"/>
      <c r="D356" s="5"/>
    </row>
    <row r="357" ht="15.75" customHeight="1">
      <c r="A357" s="5"/>
      <c r="B357" s="5"/>
      <c r="D357" s="5"/>
    </row>
    <row r="358" ht="15.75" customHeight="1">
      <c r="A358" s="5"/>
      <c r="B358" s="5"/>
      <c r="D358" s="5"/>
    </row>
    <row r="359" ht="15.75" customHeight="1">
      <c r="A359" s="5"/>
      <c r="B359" s="5"/>
      <c r="D359" s="5"/>
    </row>
    <row r="360" ht="15.75" customHeight="1">
      <c r="A360" s="5"/>
      <c r="B360" s="5"/>
      <c r="D360" s="5"/>
    </row>
    <row r="361" ht="15.75" customHeight="1">
      <c r="A361" s="5"/>
      <c r="B361" s="5"/>
      <c r="D361" s="5"/>
    </row>
    <row r="362" ht="15.75" customHeight="1">
      <c r="A362" s="5"/>
      <c r="B362" s="5"/>
      <c r="D362" s="5"/>
    </row>
    <row r="363" ht="15.75" customHeight="1">
      <c r="A363" s="5"/>
      <c r="B363" s="5"/>
      <c r="D363" s="5"/>
    </row>
    <row r="364" ht="15.75" customHeight="1">
      <c r="A364" s="5"/>
      <c r="B364" s="5"/>
      <c r="D364" s="5"/>
    </row>
    <row r="365" ht="15.75" customHeight="1">
      <c r="A365" s="5"/>
      <c r="B365" s="5"/>
      <c r="D365" s="5"/>
    </row>
    <row r="366" ht="15.75" customHeight="1">
      <c r="A366" s="5"/>
      <c r="B366" s="5"/>
      <c r="D366" s="5"/>
    </row>
    <row r="367" ht="15.75" customHeight="1">
      <c r="A367" s="5"/>
      <c r="B367" s="5"/>
      <c r="D367" s="5"/>
    </row>
    <row r="368" ht="15.75" customHeight="1">
      <c r="A368" s="5"/>
      <c r="B368" s="5"/>
      <c r="D368" s="5"/>
    </row>
    <row r="369" ht="15.75" customHeight="1">
      <c r="A369" s="5"/>
      <c r="B369" s="5"/>
      <c r="D369" s="5"/>
    </row>
    <row r="370" ht="15.75" customHeight="1">
      <c r="A370" s="5"/>
      <c r="B370" s="5"/>
      <c r="D370" s="5"/>
    </row>
    <row r="371" ht="15.75" customHeight="1">
      <c r="A371" s="5"/>
      <c r="B371" s="5"/>
      <c r="D371" s="5"/>
    </row>
    <row r="372" ht="15.75" customHeight="1">
      <c r="A372" s="5"/>
      <c r="B372" s="5"/>
      <c r="D372" s="5"/>
    </row>
    <row r="373" ht="15.75" customHeight="1">
      <c r="A373" s="5"/>
      <c r="B373" s="5"/>
      <c r="D373" s="5"/>
    </row>
    <row r="374" ht="15.75" customHeight="1">
      <c r="A374" s="5"/>
      <c r="B374" s="5"/>
      <c r="D374" s="5"/>
    </row>
    <row r="375" ht="15.75" customHeight="1">
      <c r="A375" s="5"/>
      <c r="B375" s="5"/>
      <c r="D375" s="5"/>
    </row>
    <row r="376" ht="15.75" customHeight="1">
      <c r="A376" s="5"/>
      <c r="B376" s="5"/>
      <c r="D376" s="5"/>
    </row>
    <row r="377" ht="15.75" customHeight="1">
      <c r="A377" s="5"/>
      <c r="B377" s="5"/>
      <c r="D377" s="5"/>
    </row>
    <row r="378" ht="15.75" customHeight="1">
      <c r="A378" s="5"/>
      <c r="B378" s="5"/>
      <c r="D378" s="5"/>
    </row>
    <row r="379" ht="15.75" customHeight="1">
      <c r="A379" s="5"/>
      <c r="B379" s="5"/>
      <c r="D379" s="5"/>
    </row>
    <row r="380" ht="15.75" customHeight="1">
      <c r="A380" s="5"/>
      <c r="B380" s="5"/>
      <c r="D380" s="5"/>
    </row>
    <row r="381" ht="15.75" customHeight="1">
      <c r="A381" s="5"/>
      <c r="B381" s="5"/>
      <c r="D381" s="5"/>
    </row>
    <row r="382" ht="15.75" customHeight="1">
      <c r="A382" s="5"/>
      <c r="B382" s="5"/>
      <c r="D382" s="5"/>
    </row>
    <row r="383" ht="15.75" customHeight="1">
      <c r="A383" s="5"/>
      <c r="B383" s="5"/>
      <c r="D383" s="5"/>
    </row>
    <row r="384" ht="15.75" customHeight="1">
      <c r="A384" s="5"/>
      <c r="B384" s="5"/>
      <c r="D384" s="5"/>
    </row>
    <row r="385" ht="15.75" customHeight="1">
      <c r="A385" s="5"/>
      <c r="B385" s="5"/>
      <c r="D385" s="5"/>
    </row>
    <row r="386" ht="15.75" customHeight="1">
      <c r="A386" s="5"/>
      <c r="B386" s="5"/>
      <c r="D386" s="5"/>
    </row>
    <row r="387" ht="15.75" customHeight="1">
      <c r="A387" s="5"/>
      <c r="B387" s="5"/>
      <c r="D387" s="5"/>
    </row>
    <row r="388" ht="15.75" customHeight="1">
      <c r="A388" s="5"/>
      <c r="B388" s="5"/>
      <c r="D388" s="5"/>
    </row>
    <row r="389" ht="15.75" customHeight="1">
      <c r="A389" s="5"/>
      <c r="B389" s="5"/>
      <c r="D389" s="5"/>
    </row>
    <row r="390" ht="15.75" customHeight="1">
      <c r="A390" s="5"/>
      <c r="B390" s="5"/>
      <c r="D390" s="5"/>
    </row>
    <row r="391" ht="15.75" customHeight="1">
      <c r="A391" s="5"/>
      <c r="B391" s="5"/>
      <c r="D391" s="5"/>
    </row>
    <row r="392" ht="15.75" customHeight="1">
      <c r="A392" s="5"/>
      <c r="B392" s="5"/>
      <c r="D392" s="5"/>
    </row>
    <row r="393" ht="15.75" customHeight="1">
      <c r="A393" s="5"/>
      <c r="B393" s="5"/>
      <c r="D393" s="5"/>
    </row>
    <row r="394" ht="15.75" customHeight="1">
      <c r="A394" s="5"/>
      <c r="B394" s="5"/>
      <c r="D394" s="5"/>
    </row>
    <row r="395" ht="15.75" customHeight="1">
      <c r="A395" s="5"/>
      <c r="B395" s="5"/>
      <c r="D395" s="5"/>
    </row>
    <row r="396" ht="15.75" customHeight="1">
      <c r="A396" s="5"/>
      <c r="B396" s="5"/>
      <c r="D396" s="5"/>
    </row>
    <row r="397" ht="15.75" customHeight="1">
      <c r="A397" s="5"/>
      <c r="B397" s="5"/>
      <c r="D397" s="5"/>
    </row>
    <row r="398" ht="15.75" customHeight="1">
      <c r="A398" s="5"/>
      <c r="B398" s="5"/>
      <c r="D398" s="5"/>
    </row>
    <row r="399" ht="15.75" customHeight="1">
      <c r="A399" s="5"/>
      <c r="B399" s="5"/>
      <c r="D399" s="5"/>
    </row>
    <row r="400" ht="15.75" customHeight="1">
      <c r="A400" s="5"/>
      <c r="B400" s="5"/>
      <c r="D400" s="5"/>
    </row>
    <row r="401" ht="15.75" customHeight="1">
      <c r="A401" s="5"/>
      <c r="B401" s="5"/>
      <c r="D401" s="5"/>
    </row>
    <row r="402" ht="15.75" customHeight="1">
      <c r="A402" s="5"/>
      <c r="B402" s="5"/>
      <c r="D402" s="5"/>
    </row>
    <row r="403" ht="15.75" customHeight="1">
      <c r="A403" s="5"/>
      <c r="B403" s="5"/>
      <c r="D403" s="5"/>
    </row>
    <row r="404" ht="15.75" customHeight="1">
      <c r="A404" s="5"/>
      <c r="B404" s="5"/>
      <c r="D404" s="5"/>
    </row>
    <row r="405" ht="15.75" customHeight="1">
      <c r="A405" s="5"/>
      <c r="B405" s="5"/>
      <c r="D405" s="5"/>
    </row>
    <row r="406" ht="15.75" customHeight="1">
      <c r="A406" s="5"/>
      <c r="B406" s="5"/>
      <c r="D406" s="5"/>
    </row>
    <row r="407" ht="15.75" customHeight="1">
      <c r="A407" s="5"/>
      <c r="B407" s="5"/>
      <c r="D407" s="5"/>
    </row>
    <row r="408" ht="15.75" customHeight="1">
      <c r="A408" s="5"/>
      <c r="B408" s="5"/>
      <c r="D408" s="5"/>
    </row>
    <row r="409" ht="15.75" customHeight="1">
      <c r="A409" s="5"/>
      <c r="B409" s="5"/>
      <c r="D409" s="5"/>
    </row>
    <row r="410" ht="15.75" customHeight="1">
      <c r="A410" s="5"/>
      <c r="B410" s="5"/>
      <c r="D410" s="5"/>
    </row>
    <row r="411" ht="15.75" customHeight="1">
      <c r="A411" s="5"/>
      <c r="B411" s="5"/>
      <c r="D411" s="5"/>
    </row>
    <row r="412" ht="15.75" customHeight="1">
      <c r="A412" s="5"/>
      <c r="B412" s="5"/>
      <c r="D412" s="5"/>
    </row>
    <row r="413" ht="15.75" customHeight="1">
      <c r="A413" s="5"/>
      <c r="B413" s="5"/>
      <c r="D413" s="5"/>
    </row>
    <row r="414" ht="15.75" customHeight="1">
      <c r="A414" s="5"/>
      <c r="B414" s="5"/>
      <c r="D414" s="5"/>
    </row>
    <row r="415" ht="15.75" customHeight="1">
      <c r="A415" s="5"/>
      <c r="B415" s="5"/>
      <c r="D415" s="5"/>
    </row>
    <row r="416" ht="15.75" customHeight="1">
      <c r="A416" s="5"/>
      <c r="B416" s="5"/>
      <c r="D416" s="5"/>
    </row>
    <row r="417" ht="15.75" customHeight="1">
      <c r="A417" s="5"/>
      <c r="B417" s="5"/>
      <c r="D417" s="5"/>
    </row>
    <row r="418" ht="15.75" customHeight="1">
      <c r="A418" s="5"/>
      <c r="B418" s="5"/>
      <c r="D418" s="5"/>
    </row>
    <row r="419" ht="15.75" customHeight="1">
      <c r="A419" s="5"/>
      <c r="B419" s="5"/>
      <c r="D419" s="5"/>
    </row>
    <row r="420" ht="15.75" customHeight="1">
      <c r="A420" s="5"/>
      <c r="B420" s="5"/>
      <c r="D420" s="5"/>
    </row>
    <row r="421" ht="15.75" customHeight="1">
      <c r="A421" s="5"/>
      <c r="B421" s="5"/>
      <c r="D421" s="5"/>
    </row>
    <row r="422" ht="15.75" customHeight="1">
      <c r="A422" s="5"/>
      <c r="B422" s="5"/>
      <c r="D422" s="5"/>
    </row>
    <row r="423" ht="15.75" customHeight="1">
      <c r="A423" s="5"/>
      <c r="B423" s="5"/>
      <c r="D423" s="5"/>
    </row>
    <row r="424" ht="15.75" customHeight="1">
      <c r="A424" s="5"/>
      <c r="B424" s="5"/>
      <c r="D424" s="5"/>
    </row>
    <row r="425" ht="15.75" customHeight="1">
      <c r="A425" s="5"/>
      <c r="B425" s="5"/>
      <c r="D425" s="5"/>
    </row>
    <row r="426" ht="15.75" customHeight="1">
      <c r="A426" s="5"/>
      <c r="B426" s="5"/>
      <c r="D426" s="5"/>
    </row>
    <row r="427" ht="15.75" customHeight="1">
      <c r="A427" s="5"/>
      <c r="B427" s="5"/>
      <c r="D427" s="5"/>
    </row>
    <row r="428" ht="15.75" customHeight="1">
      <c r="A428" s="5"/>
      <c r="B428" s="5"/>
      <c r="D428" s="5"/>
    </row>
    <row r="429" ht="15.75" customHeight="1">
      <c r="A429" s="5"/>
      <c r="B429" s="5"/>
      <c r="D429" s="5"/>
    </row>
    <row r="430" ht="15.75" customHeight="1">
      <c r="A430" s="5"/>
      <c r="B430" s="5"/>
      <c r="D430" s="5"/>
    </row>
    <row r="431" ht="15.75" customHeight="1">
      <c r="A431" s="5"/>
      <c r="B431" s="5"/>
      <c r="D431" s="5"/>
    </row>
    <row r="432" ht="15.75" customHeight="1">
      <c r="A432" s="5"/>
      <c r="B432" s="5"/>
      <c r="D432" s="5"/>
    </row>
    <row r="433" ht="15.75" customHeight="1">
      <c r="A433" s="5"/>
      <c r="B433" s="5"/>
      <c r="D433" s="5"/>
    </row>
    <row r="434" ht="15.75" customHeight="1">
      <c r="A434" s="5"/>
      <c r="B434" s="5"/>
      <c r="D434" s="5"/>
    </row>
    <row r="435" ht="15.75" customHeight="1">
      <c r="A435" s="5"/>
      <c r="B435" s="5"/>
      <c r="D435" s="5"/>
    </row>
    <row r="436" ht="15.75" customHeight="1">
      <c r="A436" s="5"/>
      <c r="B436" s="5"/>
      <c r="D436" s="5"/>
    </row>
    <row r="437" ht="15.75" customHeight="1">
      <c r="A437" s="5"/>
      <c r="B437" s="5"/>
      <c r="D437" s="5"/>
    </row>
    <row r="438" ht="15.75" customHeight="1">
      <c r="A438" s="5"/>
      <c r="B438" s="5"/>
      <c r="D438" s="5"/>
    </row>
    <row r="439" ht="15.75" customHeight="1">
      <c r="A439" s="5"/>
      <c r="B439" s="5"/>
      <c r="D439" s="5"/>
    </row>
    <row r="440" ht="15.75" customHeight="1">
      <c r="A440" s="5"/>
      <c r="B440" s="5"/>
      <c r="D440" s="5"/>
    </row>
    <row r="441" ht="15.75" customHeight="1">
      <c r="A441" s="5"/>
      <c r="B441" s="5"/>
      <c r="D441" s="5"/>
    </row>
    <row r="442" ht="15.75" customHeight="1">
      <c r="A442" s="5"/>
      <c r="B442" s="5"/>
      <c r="D442" s="5"/>
    </row>
    <row r="443" ht="15.75" customHeight="1">
      <c r="A443" s="5"/>
      <c r="B443" s="5"/>
      <c r="D443" s="5"/>
    </row>
    <row r="444" ht="15.75" customHeight="1">
      <c r="A444" s="5"/>
      <c r="B444" s="5"/>
      <c r="D444" s="5"/>
    </row>
    <row r="445" ht="15.75" customHeight="1">
      <c r="A445" s="5"/>
      <c r="B445" s="5"/>
      <c r="D445" s="5"/>
    </row>
    <row r="446" ht="15.75" customHeight="1">
      <c r="A446" s="5"/>
      <c r="B446" s="5"/>
      <c r="D446" s="5"/>
    </row>
    <row r="447" ht="15.75" customHeight="1">
      <c r="A447" s="5"/>
      <c r="B447" s="5"/>
      <c r="D447" s="5"/>
    </row>
    <row r="448" ht="15.75" customHeight="1">
      <c r="A448" s="5"/>
      <c r="B448" s="5"/>
      <c r="D448" s="5"/>
    </row>
    <row r="449" ht="15.75" customHeight="1">
      <c r="A449" s="5"/>
      <c r="B449" s="5"/>
      <c r="D449" s="5"/>
    </row>
    <row r="450" ht="15.75" customHeight="1">
      <c r="A450" s="5"/>
      <c r="B450" s="5"/>
      <c r="D450" s="5"/>
    </row>
    <row r="451" ht="15.75" customHeight="1">
      <c r="A451" s="5"/>
      <c r="B451" s="5"/>
      <c r="D451" s="5"/>
    </row>
    <row r="452" ht="15.75" customHeight="1">
      <c r="A452" s="5"/>
      <c r="B452" s="5"/>
      <c r="D452" s="5"/>
    </row>
    <row r="453" ht="15.75" customHeight="1">
      <c r="A453" s="5"/>
      <c r="B453" s="5"/>
      <c r="D453" s="5"/>
    </row>
    <row r="454" ht="15.75" customHeight="1">
      <c r="A454" s="5"/>
      <c r="B454" s="5"/>
      <c r="D454" s="5"/>
    </row>
    <row r="455" ht="15.75" customHeight="1">
      <c r="A455" s="5"/>
      <c r="B455" s="5"/>
      <c r="D455" s="5"/>
    </row>
    <row r="456" ht="15.75" customHeight="1">
      <c r="A456" s="5"/>
      <c r="B456" s="5"/>
      <c r="D456" s="5"/>
    </row>
    <row r="457" ht="15.75" customHeight="1">
      <c r="A457" s="5"/>
      <c r="B457" s="5"/>
      <c r="D457" s="5"/>
    </row>
    <row r="458" ht="15.75" customHeight="1">
      <c r="A458" s="5"/>
      <c r="B458" s="5"/>
      <c r="D458" s="5"/>
    </row>
    <row r="459" ht="15.75" customHeight="1">
      <c r="A459" s="5"/>
      <c r="B459" s="5"/>
      <c r="D459" s="5"/>
    </row>
    <row r="460" ht="15.75" customHeight="1">
      <c r="A460" s="5"/>
      <c r="B460" s="5"/>
      <c r="D460" s="5"/>
    </row>
    <row r="461" ht="15.75" customHeight="1">
      <c r="A461" s="5"/>
      <c r="B461" s="5"/>
      <c r="D461" s="5"/>
    </row>
    <row r="462" ht="15.75" customHeight="1">
      <c r="A462" s="5"/>
      <c r="B462" s="5"/>
      <c r="D462" s="5"/>
    </row>
    <row r="463" ht="15.75" customHeight="1">
      <c r="A463" s="5"/>
      <c r="B463" s="5"/>
      <c r="D463" s="5"/>
    </row>
    <row r="464" ht="15.75" customHeight="1">
      <c r="A464" s="5"/>
      <c r="B464" s="5"/>
      <c r="D464" s="5"/>
    </row>
    <row r="465" ht="15.75" customHeight="1">
      <c r="A465" s="5"/>
      <c r="B465" s="5"/>
      <c r="D465" s="5"/>
    </row>
    <row r="466" ht="15.75" customHeight="1">
      <c r="A466" s="5"/>
      <c r="B466" s="5"/>
      <c r="D466" s="5"/>
    </row>
    <row r="467" ht="15.75" customHeight="1">
      <c r="A467" s="5"/>
      <c r="B467" s="5"/>
      <c r="D467" s="5"/>
    </row>
    <row r="468" ht="15.75" customHeight="1">
      <c r="A468" s="5"/>
      <c r="B468" s="5"/>
      <c r="D468" s="5"/>
    </row>
    <row r="469" ht="15.75" customHeight="1">
      <c r="A469" s="5"/>
      <c r="B469" s="5"/>
      <c r="D469" s="5"/>
    </row>
    <row r="470" ht="15.75" customHeight="1">
      <c r="A470" s="5"/>
      <c r="B470" s="5"/>
      <c r="D470" s="5"/>
    </row>
    <row r="471" ht="15.75" customHeight="1">
      <c r="A471" s="5"/>
      <c r="B471" s="5"/>
      <c r="D471" s="5"/>
    </row>
    <row r="472" ht="15.75" customHeight="1">
      <c r="A472" s="5"/>
      <c r="B472" s="5"/>
      <c r="D472" s="5"/>
    </row>
    <row r="473" ht="15.75" customHeight="1">
      <c r="A473" s="5"/>
      <c r="B473" s="5"/>
      <c r="D473" s="5"/>
    </row>
    <row r="474" ht="15.75" customHeight="1">
      <c r="A474" s="5"/>
      <c r="B474" s="5"/>
      <c r="D474" s="5"/>
    </row>
    <row r="475" ht="15.75" customHeight="1">
      <c r="A475" s="5"/>
      <c r="B475" s="5"/>
      <c r="D475" s="5"/>
    </row>
    <row r="476" ht="15.75" customHeight="1">
      <c r="A476" s="5"/>
      <c r="B476" s="5"/>
      <c r="D476" s="5"/>
    </row>
    <row r="477" ht="15.75" customHeight="1">
      <c r="A477" s="5"/>
      <c r="B477" s="5"/>
      <c r="D477" s="5"/>
    </row>
    <row r="478" ht="15.75" customHeight="1">
      <c r="A478" s="5"/>
      <c r="B478" s="5"/>
      <c r="D478" s="5"/>
    </row>
    <row r="479" ht="15.75" customHeight="1">
      <c r="A479" s="5"/>
      <c r="B479" s="5"/>
      <c r="D479" s="5"/>
    </row>
    <row r="480" ht="15.75" customHeight="1">
      <c r="A480" s="5"/>
      <c r="B480" s="5"/>
      <c r="D480" s="5"/>
    </row>
    <row r="481" ht="15.75" customHeight="1">
      <c r="A481" s="5"/>
      <c r="B481" s="5"/>
      <c r="D481" s="5"/>
    </row>
    <row r="482" ht="15.75" customHeight="1">
      <c r="A482" s="5"/>
      <c r="B482" s="5"/>
      <c r="D482" s="5"/>
    </row>
    <row r="483" ht="15.75" customHeight="1">
      <c r="A483" s="5"/>
      <c r="B483" s="5"/>
      <c r="D483" s="5"/>
    </row>
    <row r="484" ht="15.75" customHeight="1">
      <c r="A484" s="5"/>
      <c r="B484" s="5"/>
      <c r="D484" s="5"/>
    </row>
    <row r="485" ht="15.75" customHeight="1">
      <c r="A485" s="5"/>
      <c r="B485" s="5"/>
      <c r="D485" s="5"/>
    </row>
    <row r="486" ht="15.75" customHeight="1">
      <c r="A486" s="5"/>
      <c r="B486" s="5"/>
      <c r="D486" s="5"/>
    </row>
    <row r="487" ht="15.75" customHeight="1">
      <c r="A487" s="5"/>
      <c r="B487" s="5"/>
      <c r="D487" s="5"/>
    </row>
    <row r="488" ht="15.75" customHeight="1">
      <c r="A488" s="5"/>
      <c r="B488" s="5"/>
      <c r="D488" s="5"/>
    </row>
    <row r="489" ht="15.75" customHeight="1">
      <c r="A489" s="5"/>
      <c r="B489" s="5"/>
      <c r="D489" s="5"/>
    </row>
    <row r="490" ht="15.75" customHeight="1">
      <c r="A490" s="5"/>
      <c r="B490" s="5"/>
      <c r="D490" s="5"/>
    </row>
    <row r="491" ht="15.75" customHeight="1">
      <c r="A491" s="5"/>
      <c r="B491" s="5"/>
      <c r="D491" s="5"/>
    </row>
    <row r="492" ht="15.75" customHeight="1">
      <c r="A492" s="5"/>
      <c r="B492" s="5"/>
      <c r="D492" s="5"/>
    </row>
    <row r="493" ht="15.75" customHeight="1">
      <c r="A493" s="5"/>
      <c r="B493" s="5"/>
      <c r="D493" s="5"/>
    </row>
    <row r="494" ht="15.75" customHeight="1">
      <c r="A494" s="5"/>
      <c r="B494" s="5"/>
      <c r="D494" s="5"/>
    </row>
    <row r="495" ht="15.75" customHeight="1">
      <c r="A495" s="5"/>
      <c r="B495" s="5"/>
      <c r="D495" s="5"/>
    </row>
    <row r="496" ht="15.75" customHeight="1">
      <c r="A496" s="5"/>
      <c r="B496" s="5"/>
      <c r="D496" s="5"/>
    </row>
    <row r="497" ht="15.75" customHeight="1">
      <c r="A497" s="5"/>
      <c r="B497" s="5"/>
      <c r="D497" s="5"/>
    </row>
    <row r="498" ht="15.75" customHeight="1">
      <c r="A498" s="5"/>
      <c r="B498" s="5"/>
      <c r="D498" s="5"/>
    </row>
    <row r="499" ht="15.75" customHeight="1">
      <c r="A499" s="5"/>
      <c r="B499" s="5"/>
      <c r="D499" s="5"/>
    </row>
    <row r="500" ht="15.75" customHeight="1">
      <c r="A500" s="5"/>
      <c r="B500" s="5"/>
      <c r="D500" s="5"/>
    </row>
    <row r="501" ht="15.75" customHeight="1">
      <c r="A501" s="5"/>
      <c r="B501" s="5"/>
      <c r="D501" s="5"/>
    </row>
    <row r="502" ht="15.75" customHeight="1">
      <c r="A502" s="5"/>
      <c r="B502" s="5"/>
      <c r="D502" s="5"/>
    </row>
    <row r="503" ht="15.75" customHeight="1">
      <c r="A503" s="5"/>
      <c r="B503" s="5"/>
      <c r="D503" s="5"/>
    </row>
    <row r="504" ht="15.75" customHeight="1">
      <c r="A504" s="5"/>
      <c r="B504" s="5"/>
      <c r="D504" s="5"/>
    </row>
    <row r="505" ht="15.75" customHeight="1">
      <c r="A505" s="5"/>
      <c r="B505" s="5"/>
      <c r="D505" s="5"/>
    </row>
    <row r="506" ht="15.75" customHeight="1">
      <c r="A506" s="5"/>
      <c r="B506" s="5"/>
      <c r="D506" s="5"/>
    </row>
    <row r="507" ht="15.75" customHeight="1">
      <c r="A507" s="5"/>
      <c r="B507" s="5"/>
      <c r="D507" s="5"/>
    </row>
    <row r="508" ht="15.75" customHeight="1">
      <c r="A508" s="5"/>
      <c r="B508" s="5"/>
      <c r="D508" s="5"/>
    </row>
    <row r="509" ht="15.75" customHeight="1">
      <c r="A509" s="5"/>
      <c r="B509" s="5"/>
      <c r="D509" s="5"/>
    </row>
    <row r="510" ht="15.75" customHeight="1">
      <c r="A510" s="5"/>
      <c r="B510" s="5"/>
      <c r="D510" s="5"/>
    </row>
    <row r="511" ht="15.75" customHeight="1">
      <c r="A511" s="5"/>
      <c r="B511" s="5"/>
      <c r="D511" s="5"/>
    </row>
    <row r="512" ht="15.75" customHeight="1">
      <c r="A512" s="5"/>
      <c r="B512" s="5"/>
      <c r="D512" s="5"/>
    </row>
    <row r="513" ht="15.75" customHeight="1">
      <c r="A513" s="5"/>
      <c r="B513" s="5"/>
      <c r="D513" s="5"/>
    </row>
    <row r="514" ht="15.75" customHeight="1">
      <c r="A514" s="5"/>
      <c r="B514" s="5"/>
      <c r="D514" s="5"/>
    </row>
    <row r="515" ht="15.75" customHeight="1">
      <c r="A515" s="5"/>
      <c r="B515" s="5"/>
      <c r="D515" s="5"/>
    </row>
    <row r="516" ht="15.75" customHeight="1">
      <c r="A516" s="5"/>
      <c r="B516" s="5"/>
      <c r="D516" s="5"/>
    </row>
    <row r="517" ht="15.75" customHeight="1">
      <c r="A517" s="5"/>
      <c r="B517" s="5"/>
      <c r="D517" s="5"/>
    </row>
    <row r="518" ht="15.75" customHeight="1">
      <c r="A518" s="5"/>
      <c r="B518" s="5"/>
      <c r="D518" s="5"/>
    </row>
    <row r="519" ht="15.75" customHeight="1">
      <c r="A519" s="5"/>
      <c r="B519" s="5"/>
      <c r="D519" s="5"/>
    </row>
    <row r="520" ht="15.75" customHeight="1">
      <c r="A520" s="5"/>
      <c r="B520" s="5"/>
      <c r="D520" s="5"/>
    </row>
    <row r="521" ht="15.75" customHeight="1">
      <c r="A521" s="5"/>
      <c r="B521" s="5"/>
      <c r="D521" s="5"/>
    </row>
    <row r="522" ht="15.75" customHeight="1">
      <c r="A522" s="5"/>
      <c r="B522" s="5"/>
      <c r="D522" s="5"/>
    </row>
    <row r="523" ht="15.75" customHeight="1">
      <c r="A523" s="5"/>
      <c r="B523" s="5"/>
      <c r="D523" s="5"/>
    </row>
    <row r="524" ht="15.75" customHeight="1">
      <c r="A524" s="5"/>
      <c r="B524" s="5"/>
      <c r="D524" s="5"/>
    </row>
    <row r="525" ht="15.75" customHeight="1">
      <c r="A525" s="5"/>
      <c r="B525" s="5"/>
      <c r="D525" s="5"/>
    </row>
    <row r="526" ht="15.75" customHeight="1">
      <c r="A526" s="5"/>
      <c r="B526" s="5"/>
      <c r="D526" s="5"/>
    </row>
    <row r="527" ht="15.75" customHeight="1">
      <c r="A527" s="5"/>
      <c r="B527" s="5"/>
      <c r="D527" s="5"/>
    </row>
    <row r="528" ht="15.75" customHeight="1">
      <c r="A528" s="5"/>
      <c r="B528" s="5"/>
      <c r="D528" s="5"/>
    </row>
    <row r="529" ht="15.75" customHeight="1">
      <c r="A529" s="5"/>
      <c r="B529" s="5"/>
      <c r="D529" s="5"/>
    </row>
    <row r="530" ht="15.75" customHeight="1">
      <c r="A530" s="5"/>
      <c r="B530" s="5"/>
      <c r="D530" s="5"/>
    </row>
    <row r="531" ht="15.75" customHeight="1">
      <c r="A531" s="5"/>
      <c r="B531" s="5"/>
      <c r="D531" s="5"/>
    </row>
    <row r="532" ht="15.75" customHeight="1">
      <c r="A532" s="5"/>
      <c r="B532" s="5"/>
      <c r="D532" s="5"/>
    </row>
    <row r="533" ht="15.75" customHeight="1">
      <c r="A533" s="5"/>
      <c r="B533" s="5"/>
      <c r="D533" s="5"/>
    </row>
    <row r="534" ht="15.75" customHeight="1">
      <c r="A534" s="5"/>
      <c r="B534" s="5"/>
      <c r="D534" s="5"/>
    </row>
    <row r="535" ht="15.75" customHeight="1">
      <c r="A535" s="5"/>
      <c r="B535" s="5"/>
      <c r="D535" s="5"/>
    </row>
    <row r="536" ht="15.75" customHeight="1">
      <c r="A536" s="5"/>
      <c r="B536" s="5"/>
      <c r="D536" s="5"/>
    </row>
    <row r="537" ht="15.75" customHeight="1">
      <c r="A537" s="5"/>
      <c r="B537" s="5"/>
      <c r="D537" s="5"/>
    </row>
    <row r="538" ht="15.75" customHeight="1">
      <c r="A538" s="5"/>
      <c r="B538" s="5"/>
      <c r="D538" s="5"/>
    </row>
    <row r="539" ht="15.75" customHeight="1">
      <c r="A539" s="5"/>
      <c r="B539" s="5"/>
      <c r="D539" s="5"/>
    </row>
    <row r="540" ht="15.75" customHeight="1">
      <c r="A540" s="5"/>
      <c r="B540" s="5"/>
      <c r="D540" s="5"/>
    </row>
    <row r="541" ht="15.75" customHeight="1">
      <c r="A541" s="5"/>
      <c r="B541" s="5"/>
      <c r="D541" s="5"/>
    </row>
    <row r="542" ht="15.75" customHeight="1">
      <c r="A542" s="5"/>
      <c r="B542" s="5"/>
      <c r="D542" s="5"/>
    </row>
    <row r="543" ht="15.75" customHeight="1">
      <c r="A543" s="5"/>
      <c r="B543" s="5"/>
      <c r="D543" s="5"/>
    </row>
    <row r="544" ht="15.75" customHeight="1">
      <c r="A544" s="5"/>
      <c r="B544" s="5"/>
      <c r="D544" s="5"/>
    </row>
    <row r="545" ht="15.75" customHeight="1">
      <c r="A545" s="5"/>
      <c r="B545" s="5"/>
      <c r="D545" s="5"/>
    </row>
    <row r="546" ht="15.75" customHeight="1">
      <c r="A546" s="5"/>
      <c r="B546" s="5"/>
      <c r="D546" s="5"/>
    </row>
    <row r="547" ht="15.75" customHeight="1">
      <c r="A547" s="5"/>
      <c r="B547" s="5"/>
      <c r="D547" s="5"/>
    </row>
    <row r="548" ht="15.75" customHeight="1">
      <c r="A548" s="5"/>
      <c r="B548" s="5"/>
      <c r="D548" s="5"/>
    </row>
    <row r="549" ht="15.75" customHeight="1">
      <c r="A549" s="5"/>
      <c r="B549" s="5"/>
      <c r="D549" s="5"/>
    </row>
    <row r="550" ht="15.75" customHeight="1">
      <c r="A550" s="5"/>
      <c r="B550" s="5"/>
      <c r="D550" s="5"/>
    </row>
    <row r="551" ht="15.75" customHeight="1">
      <c r="A551" s="5"/>
      <c r="B551" s="5"/>
      <c r="D551" s="5"/>
    </row>
    <row r="552" ht="15.75" customHeight="1">
      <c r="A552" s="5"/>
      <c r="B552" s="5"/>
      <c r="D552" s="5"/>
    </row>
    <row r="553" ht="15.75" customHeight="1">
      <c r="A553" s="5"/>
      <c r="B553" s="5"/>
      <c r="D553" s="5"/>
    </row>
    <row r="554" ht="15.75" customHeight="1">
      <c r="A554" s="5"/>
      <c r="B554" s="5"/>
      <c r="D554" s="5"/>
    </row>
    <row r="555" ht="15.75" customHeight="1">
      <c r="A555" s="5"/>
      <c r="B555" s="5"/>
      <c r="D555" s="5"/>
    </row>
    <row r="556" ht="15.75" customHeight="1">
      <c r="A556" s="5"/>
      <c r="B556" s="5"/>
      <c r="D556" s="5"/>
    </row>
    <row r="557" ht="15.75" customHeight="1">
      <c r="A557" s="5"/>
      <c r="B557" s="5"/>
      <c r="D557" s="5"/>
    </row>
    <row r="558" ht="15.75" customHeight="1">
      <c r="A558" s="5"/>
      <c r="B558" s="5"/>
      <c r="D558" s="5"/>
    </row>
    <row r="559" ht="15.75" customHeight="1">
      <c r="A559" s="5"/>
      <c r="B559" s="5"/>
      <c r="D559" s="5"/>
    </row>
    <row r="560" ht="15.75" customHeight="1">
      <c r="A560" s="5"/>
      <c r="B560" s="5"/>
      <c r="D560" s="5"/>
    </row>
    <row r="561" ht="15.75" customHeight="1">
      <c r="A561" s="5"/>
      <c r="B561" s="5"/>
      <c r="D561" s="5"/>
    </row>
    <row r="562" ht="15.75" customHeight="1">
      <c r="A562" s="5"/>
      <c r="B562" s="5"/>
      <c r="D562" s="5"/>
    </row>
    <row r="563" ht="15.75" customHeight="1">
      <c r="A563" s="5"/>
      <c r="B563" s="5"/>
      <c r="D563" s="5"/>
    </row>
    <row r="564" ht="15.75" customHeight="1">
      <c r="A564" s="5"/>
      <c r="B564" s="5"/>
      <c r="D564" s="5"/>
    </row>
    <row r="565" ht="15.75" customHeight="1">
      <c r="A565" s="5"/>
      <c r="B565" s="5"/>
      <c r="D565" s="5"/>
    </row>
    <row r="566" ht="15.75" customHeight="1">
      <c r="A566" s="5"/>
      <c r="B566" s="5"/>
      <c r="D566" s="5"/>
    </row>
    <row r="567" ht="15.75" customHeight="1">
      <c r="A567" s="5"/>
      <c r="B567" s="5"/>
      <c r="D567" s="5"/>
    </row>
    <row r="568" ht="15.75" customHeight="1">
      <c r="A568" s="5"/>
      <c r="B568" s="5"/>
      <c r="D568" s="5"/>
    </row>
    <row r="569" ht="15.75" customHeight="1">
      <c r="A569" s="5"/>
      <c r="B569" s="5"/>
      <c r="D569" s="5"/>
    </row>
    <row r="570" ht="15.75" customHeight="1">
      <c r="A570" s="5"/>
      <c r="B570" s="5"/>
      <c r="D570" s="5"/>
    </row>
    <row r="571" ht="15.75" customHeight="1">
      <c r="A571" s="5"/>
      <c r="B571" s="5"/>
      <c r="D571" s="5"/>
    </row>
    <row r="572" ht="15.75" customHeight="1">
      <c r="A572" s="5"/>
      <c r="B572" s="5"/>
      <c r="D572" s="5"/>
    </row>
    <row r="573" ht="15.75" customHeight="1">
      <c r="A573" s="5"/>
      <c r="B573" s="5"/>
      <c r="D573" s="5"/>
    </row>
    <row r="574" ht="15.75" customHeight="1">
      <c r="A574" s="5"/>
      <c r="B574" s="5"/>
      <c r="D574" s="5"/>
    </row>
    <row r="575" ht="15.75" customHeight="1">
      <c r="A575" s="5"/>
      <c r="B575" s="5"/>
      <c r="D575" s="5"/>
    </row>
    <row r="576" ht="15.75" customHeight="1">
      <c r="A576" s="5"/>
      <c r="B576" s="5"/>
      <c r="D576" s="5"/>
    </row>
    <row r="577" ht="15.75" customHeight="1">
      <c r="A577" s="5"/>
      <c r="B577" s="5"/>
      <c r="D577" s="5"/>
    </row>
    <row r="578" ht="15.75" customHeight="1">
      <c r="A578" s="5"/>
      <c r="B578" s="5"/>
      <c r="D578" s="5"/>
    </row>
    <row r="579" ht="15.75" customHeight="1">
      <c r="A579" s="5"/>
      <c r="B579" s="5"/>
      <c r="D579" s="5"/>
    </row>
    <row r="580" ht="15.75" customHeight="1">
      <c r="A580" s="5"/>
      <c r="B580" s="5"/>
      <c r="D580" s="5"/>
    </row>
    <row r="581" ht="15.75" customHeight="1">
      <c r="A581" s="5"/>
      <c r="B581" s="5"/>
      <c r="D581" s="5"/>
    </row>
    <row r="582" ht="15.75" customHeight="1">
      <c r="A582" s="5"/>
      <c r="B582" s="5"/>
      <c r="D582" s="5"/>
    </row>
    <row r="583" ht="15.75" customHeight="1">
      <c r="A583" s="5"/>
      <c r="B583" s="5"/>
      <c r="D583" s="5"/>
    </row>
    <row r="584" ht="15.75" customHeight="1">
      <c r="A584" s="5"/>
      <c r="B584" s="5"/>
      <c r="D584" s="5"/>
    </row>
    <row r="585" ht="15.75" customHeight="1">
      <c r="A585" s="5"/>
      <c r="B585" s="5"/>
      <c r="D585" s="5"/>
    </row>
    <row r="586" ht="15.75" customHeight="1">
      <c r="A586" s="5"/>
      <c r="B586" s="5"/>
      <c r="D586" s="5"/>
    </row>
    <row r="587" ht="15.75" customHeight="1">
      <c r="A587" s="5"/>
      <c r="B587" s="5"/>
      <c r="D587" s="5"/>
    </row>
    <row r="588" ht="15.75" customHeight="1">
      <c r="A588" s="5"/>
      <c r="B588" s="5"/>
      <c r="D588" s="5"/>
    </row>
    <row r="589" ht="15.75" customHeight="1">
      <c r="A589" s="5"/>
      <c r="B589" s="5"/>
      <c r="D589" s="5"/>
    </row>
    <row r="590" ht="15.75" customHeight="1">
      <c r="A590" s="5"/>
      <c r="B590" s="5"/>
      <c r="D590" s="5"/>
    </row>
    <row r="591" ht="15.75" customHeight="1">
      <c r="A591" s="5"/>
      <c r="B591" s="5"/>
      <c r="D591" s="5"/>
    </row>
    <row r="592" ht="15.75" customHeight="1">
      <c r="A592" s="5"/>
      <c r="B592" s="5"/>
      <c r="D592" s="5"/>
    </row>
    <row r="593" ht="15.75" customHeight="1">
      <c r="A593" s="5"/>
      <c r="B593" s="5"/>
      <c r="D593" s="5"/>
    </row>
    <row r="594" ht="15.75" customHeight="1">
      <c r="A594" s="5"/>
      <c r="B594" s="5"/>
      <c r="D594" s="5"/>
    </row>
    <row r="595" ht="15.75" customHeight="1">
      <c r="A595" s="5"/>
      <c r="B595" s="5"/>
      <c r="D595" s="5"/>
    </row>
    <row r="596" ht="15.75" customHeight="1">
      <c r="A596" s="5"/>
      <c r="B596" s="5"/>
      <c r="D596" s="5"/>
    </row>
    <row r="597" ht="15.75" customHeight="1">
      <c r="A597" s="5"/>
      <c r="B597" s="5"/>
      <c r="D597" s="5"/>
    </row>
    <row r="598" ht="15.75" customHeight="1">
      <c r="A598" s="5"/>
      <c r="B598" s="5"/>
      <c r="D598" s="5"/>
    </row>
    <row r="599" ht="15.75" customHeight="1">
      <c r="A599" s="5"/>
      <c r="B599" s="5"/>
      <c r="D599" s="5"/>
    </row>
    <row r="600" ht="15.75" customHeight="1">
      <c r="A600" s="5"/>
      <c r="B600" s="5"/>
      <c r="D600" s="5"/>
    </row>
    <row r="601" ht="15.75" customHeight="1">
      <c r="A601" s="5"/>
      <c r="B601" s="5"/>
      <c r="D601" s="5"/>
    </row>
    <row r="602" ht="15.75" customHeight="1">
      <c r="A602" s="5"/>
      <c r="B602" s="5"/>
      <c r="D602" s="5"/>
    </row>
    <row r="603" ht="15.75" customHeight="1">
      <c r="A603" s="5"/>
      <c r="B603" s="5"/>
      <c r="D603" s="5"/>
    </row>
    <row r="604" ht="15.75" customHeight="1">
      <c r="A604" s="5"/>
      <c r="B604" s="5"/>
      <c r="D604" s="5"/>
    </row>
    <row r="605" ht="15.75" customHeight="1">
      <c r="A605" s="5"/>
      <c r="B605" s="5"/>
      <c r="D605" s="5"/>
    </row>
    <row r="606" ht="15.75" customHeight="1">
      <c r="A606" s="5"/>
      <c r="B606" s="5"/>
      <c r="D606" s="5"/>
    </row>
    <row r="607" ht="15.75" customHeight="1">
      <c r="A607" s="5"/>
      <c r="B607" s="5"/>
      <c r="D607" s="5"/>
    </row>
    <row r="608" ht="15.75" customHeight="1">
      <c r="A608" s="5"/>
      <c r="B608" s="5"/>
      <c r="D608" s="5"/>
    </row>
    <row r="609" ht="15.75" customHeight="1">
      <c r="A609" s="5"/>
      <c r="B609" s="5"/>
      <c r="D609" s="5"/>
    </row>
    <row r="610" ht="15.75" customHeight="1">
      <c r="A610" s="5"/>
      <c r="B610" s="5"/>
      <c r="D610" s="5"/>
    </row>
    <row r="611" ht="15.75" customHeight="1">
      <c r="A611" s="5"/>
      <c r="B611" s="5"/>
      <c r="D611" s="5"/>
    </row>
    <row r="612" ht="15.75" customHeight="1">
      <c r="A612" s="5"/>
      <c r="B612" s="5"/>
      <c r="D612" s="5"/>
    </row>
    <row r="613" ht="15.75" customHeight="1">
      <c r="A613" s="5"/>
      <c r="B613" s="5"/>
      <c r="D613" s="5"/>
    </row>
    <row r="614" ht="15.75" customHeight="1">
      <c r="A614" s="5"/>
      <c r="B614" s="5"/>
      <c r="D614" s="5"/>
    </row>
    <row r="615" ht="15.75" customHeight="1">
      <c r="A615" s="5"/>
      <c r="B615" s="5"/>
      <c r="D615" s="5"/>
    </row>
    <row r="616" ht="15.75" customHeight="1">
      <c r="A616" s="5"/>
      <c r="B616" s="5"/>
      <c r="D616" s="5"/>
    </row>
    <row r="617" ht="15.75" customHeight="1">
      <c r="A617" s="5"/>
      <c r="B617" s="5"/>
      <c r="D617" s="5"/>
    </row>
    <row r="618" ht="15.75" customHeight="1">
      <c r="A618" s="5"/>
      <c r="B618" s="5"/>
      <c r="D618" s="5"/>
    </row>
    <row r="619" ht="15.75" customHeight="1">
      <c r="A619" s="5"/>
      <c r="B619" s="5"/>
      <c r="D619" s="5"/>
    </row>
    <row r="620" ht="15.75" customHeight="1">
      <c r="A620" s="5"/>
      <c r="B620" s="5"/>
      <c r="D620" s="5"/>
    </row>
    <row r="621" ht="15.75" customHeight="1">
      <c r="A621" s="5"/>
      <c r="B621" s="5"/>
      <c r="D621" s="5"/>
    </row>
    <row r="622" ht="15.75" customHeight="1">
      <c r="A622" s="5"/>
      <c r="B622" s="5"/>
      <c r="D622" s="5"/>
    </row>
    <row r="623" ht="15.75" customHeight="1">
      <c r="A623" s="5"/>
      <c r="B623" s="5"/>
      <c r="D623" s="5"/>
    </row>
    <row r="624" ht="15.75" customHeight="1">
      <c r="A624" s="5"/>
      <c r="B624" s="5"/>
      <c r="D624" s="5"/>
    </row>
    <row r="625" ht="15.75" customHeight="1">
      <c r="A625" s="5"/>
      <c r="B625" s="5"/>
      <c r="D625" s="5"/>
    </row>
    <row r="626" ht="15.75" customHeight="1">
      <c r="A626" s="5"/>
      <c r="B626" s="5"/>
      <c r="D626" s="5"/>
    </row>
    <row r="627" ht="15.75" customHeight="1">
      <c r="A627" s="5"/>
      <c r="B627" s="5"/>
      <c r="D627" s="5"/>
    </row>
    <row r="628" ht="15.75" customHeight="1">
      <c r="A628" s="5"/>
      <c r="B628" s="5"/>
      <c r="D628" s="5"/>
    </row>
    <row r="629" ht="15.75" customHeight="1">
      <c r="A629" s="5"/>
      <c r="B629" s="5"/>
      <c r="D629" s="5"/>
    </row>
    <row r="630" ht="15.75" customHeight="1">
      <c r="A630" s="5"/>
      <c r="B630" s="5"/>
      <c r="D630" s="5"/>
    </row>
    <row r="631" ht="15.75" customHeight="1">
      <c r="A631" s="5"/>
      <c r="B631" s="5"/>
      <c r="D631" s="5"/>
    </row>
    <row r="632" ht="15.75" customHeight="1">
      <c r="A632" s="5"/>
      <c r="B632" s="5"/>
      <c r="D632" s="5"/>
    </row>
    <row r="633" ht="15.75" customHeight="1">
      <c r="A633" s="5"/>
      <c r="B633" s="5"/>
      <c r="D633" s="5"/>
    </row>
    <row r="634" ht="15.75" customHeight="1">
      <c r="A634" s="5"/>
      <c r="B634" s="5"/>
      <c r="D634" s="5"/>
    </row>
    <row r="635" ht="15.75" customHeight="1">
      <c r="A635" s="5"/>
      <c r="B635" s="5"/>
      <c r="D635" s="5"/>
    </row>
    <row r="636" ht="15.75" customHeight="1">
      <c r="A636" s="5"/>
      <c r="B636" s="5"/>
      <c r="D636" s="5"/>
    </row>
    <row r="637" ht="15.75" customHeight="1">
      <c r="A637" s="5"/>
      <c r="B637" s="5"/>
      <c r="D637" s="5"/>
    </row>
    <row r="638" ht="15.75" customHeight="1">
      <c r="A638" s="5"/>
      <c r="B638" s="5"/>
      <c r="D638" s="5"/>
    </row>
    <row r="639" ht="15.75" customHeight="1">
      <c r="A639" s="5"/>
      <c r="B639" s="5"/>
      <c r="D639" s="5"/>
    </row>
    <row r="640" ht="15.75" customHeight="1">
      <c r="A640" s="5"/>
      <c r="B640" s="5"/>
      <c r="D640" s="5"/>
    </row>
    <row r="641" ht="15.75" customHeight="1">
      <c r="A641" s="5"/>
      <c r="B641" s="5"/>
      <c r="D641" s="5"/>
    </row>
    <row r="642" ht="15.75" customHeight="1">
      <c r="A642" s="5"/>
      <c r="B642" s="5"/>
      <c r="D642" s="5"/>
    </row>
    <row r="643" ht="15.75" customHeight="1">
      <c r="A643" s="5"/>
      <c r="B643" s="5"/>
      <c r="D643" s="5"/>
    </row>
    <row r="644" ht="15.75" customHeight="1">
      <c r="A644" s="5"/>
      <c r="B644" s="5"/>
      <c r="D644" s="5"/>
    </row>
    <row r="645" ht="15.75" customHeight="1">
      <c r="A645" s="5"/>
      <c r="B645" s="5"/>
      <c r="D645" s="5"/>
    </row>
    <row r="646" ht="15.75" customHeight="1">
      <c r="A646" s="5"/>
      <c r="B646" s="5"/>
      <c r="D646" s="5"/>
    </row>
    <row r="647" ht="15.75" customHeight="1">
      <c r="A647" s="5"/>
      <c r="B647" s="5"/>
      <c r="D647" s="5"/>
    </row>
    <row r="648" ht="15.75" customHeight="1">
      <c r="A648" s="5"/>
      <c r="B648" s="5"/>
      <c r="D648" s="5"/>
    </row>
    <row r="649" ht="15.75" customHeight="1">
      <c r="A649" s="5"/>
      <c r="B649" s="5"/>
      <c r="D649" s="5"/>
    </row>
    <row r="650" ht="15.75" customHeight="1">
      <c r="A650" s="5"/>
      <c r="B650" s="5"/>
      <c r="D650" s="5"/>
    </row>
    <row r="651" ht="15.75" customHeight="1">
      <c r="A651" s="5"/>
      <c r="B651" s="5"/>
      <c r="D651" s="5"/>
    </row>
    <row r="652" ht="15.75" customHeight="1">
      <c r="A652" s="5"/>
      <c r="B652" s="5"/>
      <c r="D652" s="5"/>
    </row>
    <row r="653" ht="15.75" customHeight="1">
      <c r="A653" s="5"/>
      <c r="B653" s="5"/>
      <c r="D653" s="5"/>
    </row>
    <row r="654" ht="15.75" customHeight="1">
      <c r="A654" s="5"/>
      <c r="B654" s="5"/>
      <c r="D654" s="5"/>
    </row>
    <row r="655" ht="15.75" customHeight="1">
      <c r="A655" s="5"/>
      <c r="B655" s="5"/>
      <c r="D655" s="5"/>
    </row>
    <row r="656" ht="15.75" customHeight="1">
      <c r="A656" s="5"/>
      <c r="B656" s="5"/>
      <c r="D656" s="5"/>
    </row>
    <row r="657" ht="15.75" customHeight="1">
      <c r="A657" s="5"/>
      <c r="B657" s="5"/>
      <c r="D657" s="5"/>
    </row>
    <row r="658" ht="15.75" customHeight="1">
      <c r="A658" s="5"/>
      <c r="B658" s="5"/>
      <c r="D658" s="5"/>
    </row>
    <row r="659" ht="15.75" customHeight="1">
      <c r="A659" s="5"/>
      <c r="B659" s="5"/>
      <c r="D659" s="5"/>
    </row>
    <row r="660" ht="15.75" customHeight="1">
      <c r="A660" s="5"/>
      <c r="B660" s="5"/>
      <c r="D660" s="5"/>
    </row>
    <row r="661" ht="15.75" customHeight="1">
      <c r="A661" s="5"/>
      <c r="B661" s="5"/>
      <c r="D661" s="5"/>
    </row>
    <row r="662" ht="15.75" customHeight="1">
      <c r="A662" s="5"/>
      <c r="B662" s="5"/>
      <c r="D662" s="5"/>
    </row>
    <row r="663" ht="15.75" customHeight="1">
      <c r="A663" s="5"/>
      <c r="B663" s="5"/>
      <c r="D663" s="5"/>
    </row>
    <row r="664" ht="15.75" customHeight="1">
      <c r="A664" s="5"/>
      <c r="B664" s="5"/>
      <c r="D664" s="5"/>
    </row>
    <row r="665" ht="15.75" customHeight="1">
      <c r="A665" s="5"/>
      <c r="B665" s="5"/>
      <c r="D665" s="5"/>
    </row>
    <row r="666" ht="15.75" customHeight="1">
      <c r="A666" s="5"/>
      <c r="B666" s="5"/>
      <c r="D666" s="5"/>
    </row>
    <row r="667" ht="15.75" customHeight="1">
      <c r="A667" s="5"/>
      <c r="B667" s="5"/>
      <c r="D667" s="5"/>
    </row>
    <row r="668" ht="15.75" customHeight="1">
      <c r="A668" s="5"/>
      <c r="B668" s="5"/>
      <c r="D668" s="5"/>
    </row>
    <row r="669" ht="15.75" customHeight="1">
      <c r="A669" s="5"/>
      <c r="B669" s="5"/>
      <c r="D669" s="5"/>
    </row>
    <row r="670" ht="15.75" customHeight="1">
      <c r="A670" s="5"/>
      <c r="B670" s="5"/>
      <c r="D670" s="5"/>
    </row>
    <row r="671" ht="15.75" customHeight="1">
      <c r="A671" s="5"/>
      <c r="B671" s="5"/>
      <c r="D671" s="5"/>
    </row>
    <row r="672" ht="15.75" customHeight="1">
      <c r="A672" s="5"/>
      <c r="B672" s="5"/>
      <c r="D672" s="5"/>
    </row>
    <row r="673" ht="15.75" customHeight="1">
      <c r="A673" s="5"/>
      <c r="B673" s="5"/>
      <c r="D673" s="5"/>
    </row>
    <row r="674" ht="15.75" customHeight="1">
      <c r="A674" s="5"/>
      <c r="B674" s="5"/>
      <c r="D674" s="5"/>
    </row>
    <row r="675" ht="15.75" customHeight="1">
      <c r="A675" s="5"/>
      <c r="B675" s="5"/>
      <c r="D675" s="5"/>
    </row>
    <row r="676" ht="15.75" customHeight="1">
      <c r="A676" s="5"/>
      <c r="B676" s="5"/>
      <c r="D676" s="5"/>
    </row>
    <row r="677" ht="15.75" customHeight="1">
      <c r="A677" s="5"/>
      <c r="B677" s="5"/>
      <c r="D677" s="5"/>
    </row>
    <row r="678" ht="15.75" customHeight="1">
      <c r="A678" s="5"/>
      <c r="B678" s="5"/>
      <c r="D678" s="5"/>
    </row>
    <row r="679" ht="15.75" customHeight="1">
      <c r="A679" s="5"/>
      <c r="B679" s="5"/>
      <c r="D679" s="5"/>
    </row>
    <row r="680" ht="15.75" customHeight="1">
      <c r="A680" s="5"/>
      <c r="B680" s="5"/>
      <c r="D680" s="5"/>
    </row>
    <row r="681" ht="15.75" customHeight="1">
      <c r="A681" s="5"/>
      <c r="B681" s="5"/>
      <c r="D681" s="5"/>
    </row>
    <row r="682" ht="15.75" customHeight="1">
      <c r="A682" s="5"/>
      <c r="B682" s="5"/>
      <c r="D682" s="5"/>
    </row>
    <row r="683" ht="15.75" customHeight="1">
      <c r="A683" s="5"/>
      <c r="B683" s="5"/>
      <c r="D683" s="5"/>
    </row>
    <row r="684" ht="15.75" customHeight="1">
      <c r="A684" s="5"/>
      <c r="B684" s="5"/>
      <c r="D684" s="5"/>
    </row>
    <row r="685" ht="15.75" customHeight="1">
      <c r="A685" s="5"/>
      <c r="B685" s="5"/>
      <c r="D685" s="5"/>
    </row>
    <row r="686" ht="15.75" customHeight="1">
      <c r="A686" s="5"/>
      <c r="B686" s="5"/>
      <c r="D686" s="5"/>
    </row>
    <row r="687" ht="15.75" customHeight="1">
      <c r="A687" s="5"/>
      <c r="B687" s="5"/>
      <c r="D687" s="5"/>
    </row>
    <row r="688" ht="15.75" customHeight="1">
      <c r="A688" s="5"/>
      <c r="B688" s="5"/>
      <c r="D688" s="5"/>
    </row>
    <row r="689" ht="15.75" customHeight="1">
      <c r="A689" s="5"/>
      <c r="B689" s="5"/>
      <c r="D689" s="5"/>
    </row>
    <row r="690" ht="15.75" customHeight="1">
      <c r="A690" s="5"/>
      <c r="B690" s="5"/>
      <c r="D690" s="5"/>
    </row>
    <row r="691" ht="15.75" customHeight="1">
      <c r="A691" s="5"/>
      <c r="B691" s="5"/>
      <c r="D691" s="5"/>
    </row>
    <row r="692" ht="15.75" customHeight="1">
      <c r="A692" s="5"/>
      <c r="B692" s="5"/>
      <c r="D692" s="5"/>
    </row>
    <row r="693" ht="15.75" customHeight="1">
      <c r="A693" s="5"/>
      <c r="B693" s="5"/>
      <c r="D693" s="5"/>
    </row>
    <row r="694" ht="15.75" customHeight="1">
      <c r="A694" s="5"/>
      <c r="B694" s="5"/>
      <c r="D694" s="5"/>
    </row>
    <row r="695" ht="15.75" customHeight="1">
      <c r="A695" s="5"/>
      <c r="B695" s="5"/>
      <c r="D695" s="5"/>
    </row>
    <row r="696" ht="15.75" customHeight="1">
      <c r="A696" s="5"/>
      <c r="B696" s="5"/>
      <c r="D696" s="5"/>
    </row>
    <row r="697" ht="15.75" customHeight="1">
      <c r="A697" s="5"/>
      <c r="B697" s="5"/>
      <c r="D697" s="5"/>
    </row>
    <row r="698" ht="15.75" customHeight="1">
      <c r="A698" s="5"/>
      <c r="B698" s="5"/>
      <c r="D698" s="5"/>
    </row>
    <row r="699" ht="15.75" customHeight="1">
      <c r="A699" s="5"/>
      <c r="B699" s="5"/>
      <c r="D699" s="5"/>
    </row>
    <row r="700" ht="15.75" customHeight="1">
      <c r="A700" s="5"/>
      <c r="B700" s="5"/>
      <c r="D700" s="5"/>
    </row>
    <row r="701" ht="15.75" customHeight="1">
      <c r="A701" s="5"/>
      <c r="B701" s="5"/>
      <c r="D701" s="5"/>
    </row>
    <row r="702" ht="15.75" customHeight="1">
      <c r="A702" s="5"/>
      <c r="B702" s="5"/>
      <c r="D702" s="5"/>
    </row>
    <row r="703" ht="15.75" customHeight="1">
      <c r="A703" s="5"/>
      <c r="B703" s="5"/>
      <c r="D703" s="5"/>
    </row>
    <row r="704" ht="15.75" customHeight="1">
      <c r="A704" s="5"/>
      <c r="B704" s="5"/>
      <c r="D704" s="5"/>
    </row>
    <row r="705" ht="15.75" customHeight="1">
      <c r="A705" s="5"/>
      <c r="B705" s="5"/>
      <c r="D705" s="5"/>
    </row>
    <row r="706" ht="15.75" customHeight="1">
      <c r="A706" s="5"/>
      <c r="B706" s="5"/>
      <c r="D706" s="5"/>
    </row>
    <row r="707" ht="15.75" customHeight="1">
      <c r="A707" s="5"/>
      <c r="B707" s="5"/>
      <c r="D707" s="5"/>
    </row>
    <row r="708" ht="15.75" customHeight="1">
      <c r="A708" s="5"/>
      <c r="B708" s="5"/>
      <c r="D708" s="5"/>
    </row>
    <row r="709" ht="15.75" customHeight="1">
      <c r="A709" s="5"/>
      <c r="B709" s="5"/>
      <c r="D709" s="5"/>
    </row>
    <row r="710" ht="15.75" customHeight="1">
      <c r="A710" s="5"/>
      <c r="B710" s="5"/>
      <c r="D710" s="5"/>
    </row>
    <row r="711" ht="15.75" customHeight="1">
      <c r="A711" s="5"/>
      <c r="B711" s="5"/>
      <c r="D711" s="5"/>
    </row>
    <row r="712" ht="15.75" customHeight="1">
      <c r="A712" s="5"/>
      <c r="B712" s="5"/>
      <c r="D712" s="5"/>
    </row>
    <row r="713" ht="15.75" customHeight="1">
      <c r="A713" s="5"/>
      <c r="B713" s="5"/>
      <c r="D713" s="5"/>
    </row>
    <row r="714" ht="15.75" customHeight="1">
      <c r="A714" s="5"/>
      <c r="B714" s="5"/>
      <c r="D714" s="5"/>
    </row>
    <row r="715" ht="15.75" customHeight="1">
      <c r="A715" s="5"/>
      <c r="B715" s="5"/>
      <c r="D715" s="5"/>
    </row>
    <row r="716" ht="15.75" customHeight="1">
      <c r="A716" s="5"/>
      <c r="B716" s="5"/>
      <c r="D716" s="5"/>
    </row>
    <row r="717" ht="15.75" customHeight="1">
      <c r="A717" s="5"/>
      <c r="B717" s="5"/>
      <c r="D717" s="5"/>
    </row>
    <row r="718" ht="15.75" customHeight="1">
      <c r="A718" s="5"/>
      <c r="B718" s="5"/>
      <c r="D718" s="5"/>
    </row>
    <row r="719" ht="15.75" customHeight="1">
      <c r="A719" s="5"/>
      <c r="B719" s="5"/>
      <c r="D719" s="5"/>
    </row>
    <row r="720" ht="15.75" customHeight="1">
      <c r="A720" s="5"/>
      <c r="B720" s="5"/>
      <c r="D720" s="5"/>
    </row>
    <row r="721" ht="15.75" customHeight="1">
      <c r="A721" s="5"/>
      <c r="B721" s="5"/>
      <c r="D721" s="5"/>
    </row>
    <row r="722" ht="15.75" customHeight="1">
      <c r="A722" s="5"/>
      <c r="B722" s="5"/>
      <c r="D722" s="5"/>
    </row>
    <row r="723" ht="15.75" customHeight="1">
      <c r="A723" s="5"/>
      <c r="B723" s="5"/>
      <c r="D723" s="5"/>
    </row>
    <row r="724" ht="15.75" customHeight="1">
      <c r="A724" s="5"/>
      <c r="B724" s="5"/>
      <c r="D724" s="5"/>
    </row>
    <row r="725" ht="15.75" customHeight="1">
      <c r="A725" s="5"/>
      <c r="B725" s="5"/>
      <c r="D725" s="5"/>
    </row>
    <row r="726" ht="15.75" customHeight="1">
      <c r="A726" s="5"/>
      <c r="B726" s="5"/>
      <c r="D726" s="5"/>
    </row>
    <row r="727" ht="15.75" customHeight="1">
      <c r="A727" s="5"/>
      <c r="B727" s="5"/>
      <c r="D727" s="5"/>
    </row>
    <row r="728" ht="15.75" customHeight="1">
      <c r="A728" s="5"/>
      <c r="B728" s="5"/>
      <c r="D728" s="5"/>
    </row>
    <row r="729" ht="15.75" customHeight="1">
      <c r="A729" s="5"/>
      <c r="B729" s="5"/>
      <c r="D729" s="5"/>
    </row>
    <row r="730" ht="15.75" customHeight="1">
      <c r="A730" s="5"/>
      <c r="B730" s="5"/>
      <c r="D730" s="5"/>
    </row>
    <row r="731" ht="15.75" customHeight="1">
      <c r="A731" s="5"/>
      <c r="B731" s="5"/>
      <c r="D731" s="5"/>
    </row>
    <row r="732" ht="15.75" customHeight="1">
      <c r="A732" s="5"/>
      <c r="B732" s="5"/>
      <c r="D732" s="5"/>
    </row>
    <row r="733" ht="15.75" customHeight="1">
      <c r="A733" s="5"/>
      <c r="B733" s="5"/>
      <c r="D733" s="5"/>
    </row>
    <row r="734" ht="15.75" customHeight="1">
      <c r="A734" s="5"/>
      <c r="B734" s="5"/>
      <c r="D734" s="5"/>
    </row>
    <row r="735" ht="15.75" customHeight="1">
      <c r="A735" s="5"/>
      <c r="B735" s="5"/>
      <c r="D735" s="5"/>
    </row>
    <row r="736" ht="15.75" customHeight="1">
      <c r="A736" s="5"/>
      <c r="B736" s="5"/>
      <c r="D736" s="5"/>
    </row>
    <row r="737" ht="15.75" customHeight="1">
      <c r="A737" s="5"/>
      <c r="B737" s="5"/>
      <c r="D737" s="5"/>
    </row>
    <row r="738" ht="15.75" customHeight="1">
      <c r="A738" s="5"/>
      <c r="B738" s="5"/>
      <c r="D738" s="5"/>
    </row>
    <row r="739" ht="15.75" customHeight="1">
      <c r="A739" s="5"/>
      <c r="B739" s="5"/>
      <c r="D739" s="5"/>
    </row>
    <row r="740" ht="15.75" customHeight="1">
      <c r="A740" s="5"/>
      <c r="B740" s="5"/>
      <c r="D740" s="5"/>
    </row>
    <row r="741" ht="15.75" customHeight="1">
      <c r="A741" s="5"/>
      <c r="B741" s="5"/>
      <c r="D741" s="5"/>
    </row>
    <row r="742" ht="15.75" customHeight="1">
      <c r="A742" s="5"/>
      <c r="B742" s="5"/>
      <c r="D742" s="5"/>
    </row>
    <row r="743" ht="15.75" customHeight="1">
      <c r="A743" s="5"/>
      <c r="B743" s="5"/>
      <c r="D743" s="5"/>
    </row>
    <row r="744" ht="15.75" customHeight="1">
      <c r="A744" s="5"/>
      <c r="B744" s="5"/>
      <c r="D744" s="5"/>
    </row>
    <row r="745" ht="15.75" customHeight="1">
      <c r="A745" s="5"/>
      <c r="B745" s="5"/>
      <c r="D745" s="5"/>
    </row>
    <row r="746" ht="15.75" customHeight="1">
      <c r="A746" s="5"/>
      <c r="B746" s="5"/>
      <c r="D746" s="5"/>
    </row>
    <row r="747" ht="15.75" customHeight="1">
      <c r="A747" s="5"/>
      <c r="B747" s="5"/>
      <c r="D747" s="5"/>
    </row>
    <row r="748" ht="15.75" customHeight="1">
      <c r="A748" s="5"/>
      <c r="B748" s="5"/>
      <c r="D748" s="5"/>
    </row>
    <row r="749" ht="15.75" customHeight="1">
      <c r="A749" s="5"/>
      <c r="B749" s="5"/>
      <c r="D749" s="5"/>
    </row>
    <row r="750" ht="15.75" customHeight="1">
      <c r="A750" s="5"/>
      <c r="B750" s="5"/>
      <c r="D750" s="5"/>
    </row>
    <row r="751" ht="15.75" customHeight="1">
      <c r="A751" s="5"/>
      <c r="B751" s="5"/>
      <c r="D751" s="5"/>
    </row>
    <row r="752" ht="15.75" customHeight="1">
      <c r="A752" s="5"/>
      <c r="B752" s="5"/>
      <c r="D752" s="5"/>
    </row>
    <row r="753" ht="15.75" customHeight="1">
      <c r="A753" s="5"/>
      <c r="B753" s="5"/>
      <c r="D753" s="5"/>
    </row>
    <row r="754" ht="15.75" customHeight="1">
      <c r="A754" s="5"/>
      <c r="B754" s="5"/>
      <c r="D754" s="5"/>
    </row>
    <row r="755" ht="15.75" customHeight="1">
      <c r="A755" s="5"/>
      <c r="B755" s="5"/>
      <c r="D755" s="5"/>
    </row>
    <row r="756" ht="15.75" customHeight="1">
      <c r="A756" s="5"/>
      <c r="B756" s="5"/>
      <c r="D756" s="5"/>
    </row>
    <row r="757" ht="15.75" customHeight="1">
      <c r="A757" s="5"/>
      <c r="B757" s="5"/>
      <c r="D757" s="5"/>
    </row>
    <row r="758" ht="15.75" customHeight="1">
      <c r="A758" s="5"/>
      <c r="B758" s="5"/>
      <c r="D758" s="5"/>
    </row>
    <row r="759" ht="15.75" customHeight="1">
      <c r="A759" s="5"/>
      <c r="B759" s="5"/>
      <c r="D759" s="5"/>
    </row>
    <row r="760" ht="15.75" customHeight="1">
      <c r="A760" s="5"/>
      <c r="B760" s="5"/>
      <c r="D760" s="5"/>
    </row>
    <row r="761" ht="15.75" customHeight="1">
      <c r="A761" s="5"/>
      <c r="B761" s="5"/>
      <c r="D761" s="5"/>
    </row>
    <row r="762" ht="15.75" customHeight="1">
      <c r="A762" s="5"/>
      <c r="B762" s="5"/>
      <c r="D762" s="5"/>
    </row>
    <row r="763" ht="15.75" customHeight="1">
      <c r="A763" s="5"/>
      <c r="B763" s="5"/>
      <c r="D763" s="5"/>
    </row>
    <row r="764" ht="15.75" customHeight="1">
      <c r="A764" s="5"/>
      <c r="B764" s="5"/>
      <c r="D764" s="5"/>
    </row>
    <row r="765" ht="15.75" customHeight="1">
      <c r="A765" s="5"/>
      <c r="B765" s="5"/>
      <c r="D765" s="5"/>
    </row>
    <row r="766" ht="15.75" customHeight="1">
      <c r="A766" s="5"/>
      <c r="B766" s="5"/>
      <c r="D766" s="5"/>
    </row>
    <row r="767" ht="15.75" customHeight="1">
      <c r="A767" s="5"/>
      <c r="B767" s="5"/>
      <c r="D767" s="5"/>
    </row>
    <row r="768" ht="15.75" customHeight="1">
      <c r="A768" s="5"/>
      <c r="B768" s="5"/>
      <c r="D768" s="5"/>
    </row>
    <row r="769" ht="15.75" customHeight="1">
      <c r="A769" s="5"/>
      <c r="B769" s="5"/>
      <c r="D769" s="5"/>
    </row>
    <row r="770" ht="15.75" customHeight="1">
      <c r="A770" s="5"/>
      <c r="B770" s="5"/>
      <c r="D770" s="5"/>
    </row>
    <row r="771" ht="15.75" customHeight="1">
      <c r="A771" s="5"/>
      <c r="B771" s="5"/>
      <c r="D771" s="5"/>
    </row>
    <row r="772" ht="15.75" customHeight="1">
      <c r="A772" s="5"/>
      <c r="B772" s="5"/>
      <c r="D772" s="5"/>
    </row>
    <row r="773" ht="15.75" customHeight="1">
      <c r="A773" s="5"/>
      <c r="B773" s="5"/>
      <c r="D773" s="5"/>
    </row>
    <row r="774" ht="15.75" customHeight="1">
      <c r="A774" s="5"/>
      <c r="B774" s="5"/>
      <c r="D774" s="5"/>
    </row>
    <row r="775" ht="15.75" customHeight="1">
      <c r="A775" s="5"/>
      <c r="B775" s="5"/>
      <c r="D775" s="5"/>
    </row>
    <row r="776" ht="15.75" customHeight="1">
      <c r="A776" s="5"/>
      <c r="B776" s="5"/>
      <c r="D776" s="5"/>
    </row>
    <row r="777" ht="15.75" customHeight="1">
      <c r="A777" s="5"/>
      <c r="B777" s="5"/>
      <c r="D777" s="5"/>
    </row>
    <row r="778" ht="15.75" customHeight="1">
      <c r="A778" s="5"/>
      <c r="B778" s="5"/>
      <c r="D778" s="5"/>
    </row>
    <row r="779" ht="15.75" customHeight="1">
      <c r="A779" s="5"/>
      <c r="B779" s="5"/>
      <c r="D779" s="5"/>
    </row>
    <row r="780" ht="15.75" customHeight="1">
      <c r="A780" s="5"/>
      <c r="B780" s="5"/>
      <c r="D780" s="5"/>
    </row>
    <row r="781" ht="15.75" customHeight="1">
      <c r="A781" s="5"/>
      <c r="B781" s="5"/>
      <c r="D781" s="5"/>
    </row>
    <row r="782" ht="15.75" customHeight="1">
      <c r="A782" s="5"/>
      <c r="B782" s="5"/>
      <c r="D782" s="5"/>
    </row>
    <row r="783" ht="15.75" customHeight="1">
      <c r="A783" s="5"/>
      <c r="B783" s="5"/>
      <c r="D783" s="5"/>
    </row>
    <row r="784" ht="15.75" customHeight="1">
      <c r="A784" s="5"/>
      <c r="B784" s="5"/>
      <c r="D784" s="5"/>
    </row>
    <row r="785" ht="15.75" customHeight="1">
      <c r="A785" s="5"/>
      <c r="B785" s="5"/>
      <c r="D785" s="5"/>
    </row>
    <row r="786" ht="15.75" customHeight="1">
      <c r="A786" s="5"/>
      <c r="B786" s="5"/>
      <c r="D786" s="5"/>
    </row>
    <row r="787" ht="15.75" customHeight="1">
      <c r="A787" s="5"/>
      <c r="B787" s="5"/>
      <c r="D787" s="5"/>
    </row>
    <row r="788" ht="15.75" customHeight="1">
      <c r="A788" s="5"/>
      <c r="B788" s="5"/>
      <c r="D788" s="5"/>
    </row>
    <row r="789" ht="15.75" customHeight="1">
      <c r="A789" s="5"/>
      <c r="B789" s="5"/>
      <c r="D789" s="5"/>
    </row>
    <row r="790" ht="15.75" customHeight="1">
      <c r="A790" s="5"/>
      <c r="B790" s="5"/>
      <c r="D790" s="5"/>
    </row>
    <row r="791" ht="15.75" customHeight="1">
      <c r="A791" s="5"/>
      <c r="B791" s="5"/>
      <c r="D791" s="5"/>
    </row>
    <row r="792" ht="15.75" customHeight="1">
      <c r="A792" s="5"/>
      <c r="B792" s="5"/>
      <c r="D792" s="5"/>
    </row>
    <row r="793" ht="15.75" customHeight="1">
      <c r="A793" s="5"/>
      <c r="B793" s="5"/>
      <c r="D793" s="5"/>
    </row>
    <row r="794" ht="15.75" customHeight="1">
      <c r="A794" s="5"/>
      <c r="B794" s="5"/>
      <c r="D794" s="5"/>
    </row>
    <row r="795" ht="15.75" customHeight="1">
      <c r="A795" s="5"/>
      <c r="B795" s="5"/>
      <c r="D795" s="5"/>
    </row>
    <row r="796" ht="15.75" customHeight="1">
      <c r="A796" s="5"/>
      <c r="B796" s="5"/>
      <c r="D796" s="5"/>
    </row>
    <row r="797" ht="15.75" customHeight="1">
      <c r="A797" s="5"/>
      <c r="B797" s="5"/>
      <c r="D797" s="5"/>
    </row>
    <row r="798" ht="15.75" customHeight="1">
      <c r="A798" s="5"/>
      <c r="B798" s="5"/>
      <c r="D798" s="5"/>
    </row>
    <row r="799" ht="15.75" customHeight="1">
      <c r="A799" s="5"/>
      <c r="B799" s="5"/>
      <c r="D799" s="5"/>
    </row>
    <row r="800" ht="15.75" customHeight="1">
      <c r="A800" s="5"/>
      <c r="B800" s="5"/>
      <c r="D800" s="5"/>
    </row>
    <row r="801" ht="15.75" customHeight="1">
      <c r="A801" s="5"/>
      <c r="B801" s="5"/>
      <c r="D801" s="5"/>
    </row>
    <row r="802" ht="15.75" customHeight="1">
      <c r="A802" s="5"/>
      <c r="B802" s="5"/>
      <c r="D802" s="5"/>
    </row>
    <row r="803" ht="15.75" customHeight="1">
      <c r="A803" s="5"/>
      <c r="B803" s="5"/>
      <c r="D803" s="5"/>
    </row>
    <row r="804" ht="15.75" customHeight="1">
      <c r="A804" s="5"/>
      <c r="B804" s="5"/>
      <c r="D804" s="5"/>
    </row>
    <row r="805" ht="15.75" customHeight="1">
      <c r="A805" s="5"/>
      <c r="B805" s="5"/>
      <c r="D805" s="5"/>
    </row>
    <row r="806" ht="15.75" customHeight="1">
      <c r="A806" s="5"/>
      <c r="B806" s="5"/>
      <c r="D806" s="5"/>
    </row>
    <row r="807" ht="15.75" customHeight="1">
      <c r="A807" s="5"/>
      <c r="B807" s="5"/>
      <c r="D807" s="5"/>
    </row>
    <row r="808" ht="15.75" customHeight="1">
      <c r="A808" s="5"/>
      <c r="B808" s="5"/>
      <c r="D808" s="5"/>
    </row>
    <row r="809" ht="15.75" customHeight="1">
      <c r="A809" s="5"/>
      <c r="B809" s="5"/>
      <c r="D809" s="5"/>
    </row>
    <row r="810" ht="15.75" customHeight="1">
      <c r="A810" s="5"/>
      <c r="B810" s="5"/>
      <c r="D810" s="5"/>
    </row>
    <row r="811" ht="15.75" customHeight="1">
      <c r="A811" s="5"/>
      <c r="B811" s="5"/>
      <c r="D811" s="5"/>
    </row>
    <row r="812" ht="15.75" customHeight="1">
      <c r="A812" s="5"/>
      <c r="B812" s="5"/>
      <c r="D812" s="5"/>
    </row>
    <row r="813" ht="15.75" customHeight="1">
      <c r="A813" s="5"/>
      <c r="B813" s="5"/>
      <c r="D813" s="5"/>
    </row>
    <row r="814" ht="15.75" customHeight="1">
      <c r="A814" s="5"/>
      <c r="B814" s="5"/>
      <c r="D814" s="5"/>
    </row>
    <row r="815" ht="15.75" customHeight="1">
      <c r="A815" s="5"/>
      <c r="B815" s="5"/>
      <c r="D815" s="5"/>
    </row>
    <row r="816" ht="15.75" customHeight="1">
      <c r="A816" s="5"/>
      <c r="B816" s="5"/>
      <c r="D816" s="5"/>
    </row>
    <row r="817" ht="15.75" customHeight="1">
      <c r="A817" s="5"/>
      <c r="B817" s="5"/>
      <c r="D817" s="5"/>
    </row>
    <row r="818" ht="15.75" customHeight="1">
      <c r="A818" s="5"/>
      <c r="B818" s="5"/>
      <c r="D818" s="5"/>
    </row>
    <row r="819" ht="15.75" customHeight="1">
      <c r="A819" s="5"/>
      <c r="B819" s="5"/>
      <c r="D819" s="5"/>
    </row>
    <row r="820" ht="15.75" customHeight="1">
      <c r="A820" s="5"/>
      <c r="B820" s="5"/>
      <c r="D820" s="5"/>
    </row>
    <row r="821" ht="15.75" customHeight="1">
      <c r="A821" s="5"/>
      <c r="B821" s="5"/>
      <c r="D821" s="5"/>
    </row>
    <row r="822" ht="15.75" customHeight="1">
      <c r="A822" s="5"/>
      <c r="B822" s="5"/>
      <c r="D822" s="5"/>
    </row>
    <row r="823" ht="15.75" customHeight="1">
      <c r="A823" s="5"/>
      <c r="B823" s="5"/>
      <c r="D823" s="5"/>
    </row>
    <row r="824" ht="15.75" customHeight="1">
      <c r="A824" s="5"/>
      <c r="B824" s="5"/>
      <c r="D824" s="5"/>
    </row>
    <row r="825" ht="15.75" customHeight="1">
      <c r="A825" s="5"/>
      <c r="B825" s="5"/>
      <c r="D825" s="5"/>
    </row>
    <row r="826" ht="15.75" customHeight="1">
      <c r="A826" s="5"/>
      <c r="B826" s="5"/>
      <c r="D826" s="5"/>
    </row>
    <row r="827" ht="15.75" customHeight="1">
      <c r="A827" s="5"/>
      <c r="B827" s="5"/>
      <c r="D827" s="5"/>
    </row>
    <row r="828" ht="15.75" customHeight="1">
      <c r="A828" s="5"/>
      <c r="B828" s="5"/>
      <c r="D828" s="5"/>
    </row>
    <row r="829" ht="15.75" customHeight="1">
      <c r="A829" s="5"/>
      <c r="B829" s="5"/>
      <c r="D829" s="5"/>
    </row>
    <row r="830" ht="15.75" customHeight="1">
      <c r="A830" s="5"/>
      <c r="B830" s="5"/>
      <c r="D830" s="5"/>
    </row>
    <row r="831" ht="15.75" customHeight="1">
      <c r="A831" s="5"/>
      <c r="B831" s="5"/>
      <c r="D831" s="5"/>
    </row>
    <row r="832" ht="15.75" customHeight="1">
      <c r="A832" s="5"/>
      <c r="B832" s="5"/>
      <c r="D832" s="5"/>
    </row>
    <row r="833" ht="15.75" customHeight="1">
      <c r="A833" s="5"/>
      <c r="B833" s="5"/>
      <c r="D833" s="5"/>
    </row>
    <row r="834" ht="15.75" customHeight="1">
      <c r="A834" s="5"/>
      <c r="B834" s="5"/>
      <c r="D834" s="5"/>
    </row>
    <row r="835" ht="15.75" customHeight="1">
      <c r="A835" s="5"/>
      <c r="B835" s="5"/>
      <c r="D835" s="5"/>
    </row>
    <row r="836" ht="15.75" customHeight="1">
      <c r="A836" s="5"/>
      <c r="B836" s="5"/>
      <c r="D836" s="5"/>
    </row>
    <row r="837" ht="15.75" customHeight="1">
      <c r="A837" s="5"/>
      <c r="B837" s="5"/>
      <c r="D837" s="5"/>
    </row>
    <row r="838" ht="15.75" customHeight="1">
      <c r="A838" s="5"/>
      <c r="B838" s="5"/>
      <c r="D838" s="5"/>
    </row>
    <row r="839" ht="15.75" customHeight="1">
      <c r="A839" s="5"/>
      <c r="B839" s="5"/>
      <c r="D839" s="5"/>
    </row>
    <row r="840" ht="15.75" customHeight="1">
      <c r="A840" s="5"/>
      <c r="B840" s="5"/>
      <c r="D840" s="5"/>
    </row>
    <row r="841" ht="15.75" customHeight="1">
      <c r="A841" s="5"/>
      <c r="B841" s="5"/>
      <c r="D841" s="5"/>
    </row>
    <row r="842" ht="15.75" customHeight="1">
      <c r="A842" s="5"/>
      <c r="B842" s="5"/>
      <c r="D842" s="5"/>
    </row>
    <row r="843" ht="15.75" customHeight="1">
      <c r="A843" s="5"/>
      <c r="B843" s="5"/>
      <c r="D843" s="5"/>
    </row>
    <row r="844" ht="15.75" customHeight="1">
      <c r="A844" s="5"/>
      <c r="B844" s="5"/>
      <c r="D844" s="5"/>
    </row>
    <row r="845" ht="15.75" customHeight="1">
      <c r="A845" s="5"/>
      <c r="B845" s="5"/>
      <c r="D845" s="5"/>
    </row>
    <row r="846" ht="15.75" customHeight="1">
      <c r="A846" s="5"/>
      <c r="B846" s="5"/>
      <c r="D846" s="5"/>
    </row>
    <row r="847" ht="15.75" customHeight="1">
      <c r="A847" s="5"/>
      <c r="B847" s="5"/>
      <c r="D847" s="5"/>
    </row>
    <row r="848" ht="15.75" customHeight="1">
      <c r="A848" s="5"/>
      <c r="B848" s="5"/>
      <c r="D848" s="5"/>
    </row>
    <row r="849" ht="15.75" customHeight="1">
      <c r="A849" s="5"/>
      <c r="B849" s="5"/>
      <c r="D849" s="5"/>
    </row>
    <row r="850" ht="15.75" customHeight="1">
      <c r="A850" s="5"/>
      <c r="B850" s="5"/>
      <c r="D850" s="5"/>
    </row>
    <row r="851" ht="15.75" customHeight="1">
      <c r="A851" s="5"/>
      <c r="B851" s="5"/>
      <c r="D851" s="5"/>
    </row>
    <row r="852" ht="15.75" customHeight="1">
      <c r="A852" s="5"/>
      <c r="B852" s="5"/>
      <c r="D852" s="5"/>
    </row>
    <row r="853" ht="15.75" customHeight="1">
      <c r="A853" s="5"/>
      <c r="B853" s="5"/>
      <c r="D853" s="5"/>
    </row>
    <row r="854" ht="15.75" customHeight="1">
      <c r="A854" s="5"/>
      <c r="B854" s="5"/>
      <c r="D854" s="5"/>
    </row>
    <row r="855" ht="15.75" customHeight="1">
      <c r="A855" s="5"/>
      <c r="B855" s="5"/>
      <c r="D855" s="5"/>
    </row>
    <row r="856" ht="15.75" customHeight="1">
      <c r="A856" s="5"/>
      <c r="B856" s="5"/>
      <c r="D856" s="5"/>
    </row>
    <row r="857" ht="15.75" customHeight="1">
      <c r="A857" s="5"/>
      <c r="B857" s="5"/>
      <c r="D857" s="5"/>
    </row>
    <row r="858" ht="15.75" customHeight="1">
      <c r="A858" s="5"/>
      <c r="B858" s="5"/>
      <c r="D858" s="5"/>
    </row>
    <row r="859" ht="15.75" customHeight="1">
      <c r="A859" s="5"/>
      <c r="B859" s="5"/>
      <c r="D859" s="5"/>
    </row>
    <row r="860" ht="15.75" customHeight="1">
      <c r="A860" s="5"/>
      <c r="B860" s="5"/>
      <c r="D860" s="5"/>
    </row>
    <row r="861" ht="15.75" customHeight="1">
      <c r="A861" s="5"/>
      <c r="B861" s="5"/>
      <c r="D861" s="5"/>
    </row>
    <row r="862" ht="15.75" customHeight="1">
      <c r="A862" s="5"/>
      <c r="B862" s="5"/>
      <c r="D862" s="5"/>
    </row>
    <row r="863" ht="15.75" customHeight="1">
      <c r="A863" s="5"/>
      <c r="B863" s="5"/>
      <c r="D863" s="5"/>
    </row>
    <row r="864" ht="15.75" customHeight="1">
      <c r="A864" s="5"/>
      <c r="B864" s="5"/>
      <c r="D864" s="5"/>
    </row>
    <row r="865" ht="15.75" customHeight="1">
      <c r="A865" s="5"/>
      <c r="B865" s="5"/>
      <c r="D865" s="5"/>
    </row>
    <row r="866" ht="15.75" customHeight="1">
      <c r="A866" s="5"/>
      <c r="B866" s="5"/>
      <c r="D866" s="5"/>
    </row>
    <row r="867" ht="15.75" customHeight="1">
      <c r="A867" s="5"/>
      <c r="B867" s="5"/>
      <c r="D867" s="5"/>
    </row>
    <row r="868" ht="15.75" customHeight="1">
      <c r="A868" s="5"/>
      <c r="B868" s="5"/>
      <c r="D868" s="5"/>
    </row>
    <row r="869" ht="15.75" customHeight="1">
      <c r="A869" s="5"/>
      <c r="B869" s="5"/>
      <c r="D869" s="5"/>
    </row>
    <row r="870" ht="15.75" customHeight="1">
      <c r="A870" s="5"/>
      <c r="B870" s="5"/>
      <c r="D870" s="5"/>
    </row>
    <row r="871" ht="15.75" customHeight="1">
      <c r="A871" s="5"/>
      <c r="B871" s="5"/>
      <c r="D871" s="5"/>
    </row>
    <row r="872" ht="15.75" customHeight="1">
      <c r="A872" s="5"/>
      <c r="B872" s="5"/>
      <c r="D872" s="5"/>
    </row>
    <row r="873" ht="15.75" customHeight="1">
      <c r="A873" s="5"/>
      <c r="B873" s="5"/>
      <c r="D873" s="5"/>
    </row>
    <row r="874" ht="15.75" customHeight="1">
      <c r="A874" s="5"/>
      <c r="B874" s="5"/>
      <c r="D874" s="5"/>
    </row>
    <row r="875" ht="15.75" customHeight="1">
      <c r="A875" s="5"/>
      <c r="B875" s="5"/>
      <c r="D875" s="5"/>
    </row>
    <row r="876" ht="15.75" customHeight="1">
      <c r="A876" s="5"/>
      <c r="B876" s="5"/>
      <c r="D876" s="5"/>
    </row>
    <row r="877" ht="15.75" customHeight="1">
      <c r="A877" s="5"/>
      <c r="B877" s="5"/>
      <c r="D877" s="5"/>
    </row>
    <row r="878" ht="15.75" customHeight="1">
      <c r="A878" s="5"/>
      <c r="B878" s="5"/>
      <c r="D878" s="5"/>
    </row>
    <row r="879" ht="15.75" customHeight="1">
      <c r="A879" s="5"/>
      <c r="B879" s="5"/>
      <c r="D879" s="5"/>
    </row>
    <row r="880" ht="15.75" customHeight="1">
      <c r="A880" s="5"/>
      <c r="B880" s="5"/>
      <c r="D880" s="5"/>
    </row>
    <row r="881" ht="15.75" customHeight="1">
      <c r="A881" s="5"/>
      <c r="B881" s="5"/>
      <c r="D881" s="5"/>
    </row>
    <row r="882" ht="15.75" customHeight="1">
      <c r="A882" s="5"/>
      <c r="B882" s="5"/>
      <c r="D882" s="5"/>
    </row>
    <row r="883" ht="15.75" customHeight="1">
      <c r="A883" s="5"/>
      <c r="B883" s="5"/>
      <c r="D883" s="5"/>
    </row>
    <row r="884" ht="15.75" customHeight="1">
      <c r="A884" s="5"/>
      <c r="B884" s="5"/>
      <c r="D884" s="5"/>
    </row>
    <row r="885" ht="15.75" customHeight="1">
      <c r="A885" s="5"/>
      <c r="B885" s="5"/>
      <c r="D885" s="5"/>
    </row>
    <row r="886" ht="15.75" customHeight="1">
      <c r="A886" s="5"/>
      <c r="B886" s="5"/>
      <c r="D886" s="5"/>
    </row>
    <row r="887" ht="15.75" customHeight="1">
      <c r="A887" s="5"/>
      <c r="B887" s="5"/>
      <c r="D887" s="5"/>
    </row>
    <row r="888" ht="15.75" customHeight="1">
      <c r="A888" s="5"/>
      <c r="B888" s="5"/>
      <c r="D888" s="5"/>
    </row>
    <row r="889" ht="15.75" customHeight="1">
      <c r="A889" s="5"/>
      <c r="B889" s="5"/>
      <c r="D889" s="5"/>
    </row>
    <row r="890" ht="15.75" customHeight="1">
      <c r="A890" s="5"/>
      <c r="B890" s="5"/>
      <c r="D890" s="5"/>
    </row>
    <row r="891" ht="15.75" customHeight="1">
      <c r="A891" s="5"/>
      <c r="B891" s="5"/>
      <c r="D891" s="5"/>
    </row>
    <row r="892" ht="15.75" customHeight="1">
      <c r="A892" s="5"/>
      <c r="B892" s="5"/>
      <c r="D892" s="5"/>
    </row>
    <row r="893" ht="15.75" customHeight="1">
      <c r="A893" s="5"/>
      <c r="B893" s="5"/>
      <c r="D893" s="5"/>
    </row>
    <row r="894" ht="15.75" customHeight="1">
      <c r="A894" s="5"/>
      <c r="B894" s="5"/>
      <c r="D894" s="5"/>
    </row>
    <row r="895" ht="15.75" customHeight="1">
      <c r="A895" s="5"/>
      <c r="B895" s="5"/>
      <c r="D895" s="5"/>
    </row>
    <row r="896" ht="15.75" customHeight="1">
      <c r="A896" s="5"/>
      <c r="B896" s="5"/>
      <c r="D896" s="5"/>
    </row>
    <row r="897" ht="15.75" customHeight="1">
      <c r="A897" s="5"/>
      <c r="B897" s="5"/>
      <c r="D897" s="5"/>
    </row>
    <row r="898" ht="15.75" customHeight="1">
      <c r="A898" s="5"/>
      <c r="B898" s="5"/>
      <c r="D898" s="5"/>
    </row>
    <row r="899" ht="15.75" customHeight="1">
      <c r="A899" s="5"/>
      <c r="B899" s="5"/>
      <c r="D899" s="5"/>
    </row>
    <row r="900" ht="15.75" customHeight="1">
      <c r="A900" s="5"/>
      <c r="B900" s="5"/>
      <c r="D900" s="5"/>
    </row>
    <row r="901" ht="15.75" customHeight="1">
      <c r="A901" s="5"/>
      <c r="B901" s="5"/>
      <c r="D901" s="5"/>
    </row>
    <row r="902" ht="15.75" customHeight="1">
      <c r="A902" s="5"/>
      <c r="B902" s="5"/>
      <c r="D902" s="5"/>
    </row>
    <row r="903" ht="15.75" customHeight="1">
      <c r="A903" s="5"/>
      <c r="B903" s="5"/>
      <c r="D903" s="5"/>
    </row>
    <row r="904" ht="15.75" customHeight="1">
      <c r="A904" s="5"/>
      <c r="B904" s="5"/>
      <c r="D904" s="5"/>
    </row>
    <row r="905" ht="15.75" customHeight="1">
      <c r="A905" s="5"/>
      <c r="B905" s="5"/>
      <c r="D905" s="5"/>
    </row>
    <row r="906" ht="15.75" customHeight="1">
      <c r="A906" s="5"/>
      <c r="B906" s="5"/>
      <c r="D906" s="5"/>
    </row>
    <row r="907" ht="15.75" customHeight="1">
      <c r="A907" s="5"/>
      <c r="B907" s="5"/>
      <c r="D907" s="5"/>
    </row>
    <row r="908" ht="15.75" customHeight="1">
      <c r="A908" s="5"/>
      <c r="B908" s="5"/>
      <c r="D908" s="5"/>
    </row>
    <row r="909" ht="15.75" customHeight="1">
      <c r="A909" s="5"/>
      <c r="B909" s="5"/>
      <c r="D909" s="5"/>
    </row>
    <row r="910" ht="15.75" customHeight="1">
      <c r="A910" s="5"/>
      <c r="B910" s="5"/>
      <c r="D910" s="5"/>
    </row>
    <row r="911" ht="15.75" customHeight="1">
      <c r="A911" s="5"/>
      <c r="B911" s="5"/>
      <c r="D911" s="5"/>
    </row>
    <row r="912" ht="15.75" customHeight="1">
      <c r="A912" s="5"/>
      <c r="B912" s="5"/>
      <c r="D912" s="5"/>
    </row>
    <row r="913" ht="15.75" customHeight="1">
      <c r="A913" s="5"/>
      <c r="B913" s="5"/>
      <c r="D913" s="5"/>
    </row>
    <row r="914" ht="15.75" customHeight="1">
      <c r="A914" s="5"/>
      <c r="B914" s="5"/>
      <c r="D914" s="5"/>
    </row>
    <row r="915" ht="15.75" customHeight="1">
      <c r="A915" s="5"/>
      <c r="B915" s="5"/>
      <c r="D915" s="5"/>
    </row>
    <row r="916" ht="15.75" customHeight="1">
      <c r="A916" s="5"/>
      <c r="B916" s="5"/>
      <c r="D916" s="5"/>
    </row>
    <row r="917" ht="15.75" customHeight="1">
      <c r="A917" s="5"/>
      <c r="B917" s="5"/>
      <c r="D917" s="5"/>
    </row>
    <row r="918" ht="15.75" customHeight="1">
      <c r="A918" s="5"/>
      <c r="B918" s="5"/>
      <c r="D918" s="5"/>
    </row>
    <row r="919" ht="15.75" customHeight="1">
      <c r="A919" s="5"/>
      <c r="B919" s="5"/>
      <c r="D919" s="5"/>
    </row>
    <row r="920" ht="15.75" customHeight="1">
      <c r="A920" s="5"/>
      <c r="B920" s="5"/>
      <c r="D920" s="5"/>
    </row>
    <row r="921" ht="15.75" customHeight="1">
      <c r="A921" s="5"/>
      <c r="B921" s="5"/>
      <c r="D921" s="5"/>
    </row>
    <row r="922" ht="15.75" customHeight="1">
      <c r="A922" s="5"/>
      <c r="B922" s="5"/>
      <c r="D922" s="5"/>
    </row>
    <row r="923" ht="15.75" customHeight="1">
      <c r="A923" s="5"/>
      <c r="B923" s="5"/>
      <c r="D923" s="5"/>
    </row>
    <row r="924" ht="15.75" customHeight="1">
      <c r="A924" s="5"/>
      <c r="B924" s="5"/>
      <c r="D924" s="5"/>
    </row>
    <row r="925" ht="15.75" customHeight="1">
      <c r="A925" s="5"/>
      <c r="B925" s="5"/>
      <c r="D925" s="5"/>
    </row>
    <row r="926" ht="15.75" customHeight="1">
      <c r="A926" s="5"/>
      <c r="B926" s="5"/>
      <c r="D926" s="5"/>
    </row>
    <row r="927" ht="15.75" customHeight="1">
      <c r="A927" s="5"/>
      <c r="B927" s="5"/>
      <c r="D927" s="5"/>
    </row>
    <row r="928" ht="15.75" customHeight="1">
      <c r="A928" s="5"/>
      <c r="B928" s="5"/>
      <c r="D928" s="5"/>
    </row>
    <row r="929" ht="15.75" customHeight="1">
      <c r="A929" s="5"/>
      <c r="B929" s="5"/>
      <c r="D929" s="5"/>
    </row>
    <row r="930" ht="15.75" customHeight="1">
      <c r="A930" s="5"/>
      <c r="B930" s="5"/>
      <c r="D930" s="5"/>
    </row>
    <row r="931" ht="15.75" customHeight="1">
      <c r="A931" s="5"/>
      <c r="B931" s="5"/>
      <c r="D931" s="5"/>
    </row>
    <row r="932" ht="15.75" customHeight="1">
      <c r="A932" s="5"/>
      <c r="B932" s="5"/>
      <c r="D932" s="5"/>
    </row>
    <row r="933" ht="15.75" customHeight="1">
      <c r="A933" s="5"/>
      <c r="B933" s="5"/>
      <c r="D933" s="5"/>
    </row>
    <row r="934" ht="15.75" customHeight="1">
      <c r="A934" s="5"/>
      <c r="B934" s="5"/>
      <c r="D934" s="5"/>
    </row>
    <row r="935" ht="15.75" customHeight="1">
      <c r="A935" s="5"/>
      <c r="B935" s="5"/>
      <c r="D935" s="5"/>
    </row>
    <row r="936" ht="15.75" customHeight="1">
      <c r="A936" s="5"/>
      <c r="B936" s="5"/>
      <c r="D936" s="5"/>
    </row>
    <row r="937" ht="15.75" customHeight="1">
      <c r="A937" s="5"/>
      <c r="B937" s="5"/>
      <c r="D937" s="5"/>
    </row>
    <row r="938" ht="15.75" customHeight="1">
      <c r="A938" s="5"/>
      <c r="B938" s="5"/>
      <c r="D938" s="5"/>
    </row>
    <row r="939" ht="15.75" customHeight="1">
      <c r="A939" s="5"/>
      <c r="B939" s="5"/>
      <c r="D939" s="5"/>
    </row>
    <row r="940" ht="15.75" customHeight="1">
      <c r="A940" s="5"/>
      <c r="B940" s="5"/>
      <c r="D940" s="5"/>
    </row>
    <row r="941" ht="15.75" customHeight="1">
      <c r="A941" s="5"/>
      <c r="B941" s="5"/>
      <c r="D941" s="5"/>
    </row>
    <row r="942" ht="15.75" customHeight="1">
      <c r="A942" s="5"/>
      <c r="B942" s="5"/>
      <c r="D942" s="5"/>
    </row>
    <row r="943" ht="15.75" customHeight="1">
      <c r="A943" s="5"/>
      <c r="B943" s="5"/>
      <c r="D943" s="5"/>
    </row>
    <row r="944" ht="15.75" customHeight="1">
      <c r="A944" s="5"/>
      <c r="B944" s="5"/>
      <c r="D944" s="5"/>
    </row>
    <row r="945" ht="15.75" customHeight="1">
      <c r="A945" s="5"/>
      <c r="B945" s="5"/>
      <c r="D945" s="5"/>
    </row>
    <row r="946" ht="15.75" customHeight="1">
      <c r="A946" s="5"/>
      <c r="B946" s="5"/>
      <c r="D946" s="5"/>
    </row>
    <row r="947" ht="15.75" customHeight="1">
      <c r="A947" s="5"/>
      <c r="B947" s="5"/>
      <c r="D947" s="5"/>
    </row>
    <row r="948" ht="15.75" customHeight="1">
      <c r="A948" s="5"/>
      <c r="B948" s="5"/>
      <c r="D948" s="5"/>
    </row>
    <row r="949" ht="15.75" customHeight="1">
      <c r="A949" s="5"/>
      <c r="B949" s="5"/>
      <c r="D949" s="5"/>
    </row>
    <row r="950" ht="15.75" customHeight="1">
      <c r="A950" s="5"/>
      <c r="B950" s="5"/>
      <c r="D950" s="5"/>
    </row>
    <row r="951" ht="15.75" customHeight="1">
      <c r="A951" s="5"/>
      <c r="B951" s="5"/>
      <c r="D951" s="5"/>
    </row>
    <row r="952" ht="15.75" customHeight="1">
      <c r="A952" s="5"/>
      <c r="B952" s="5"/>
      <c r="D952" s="5"/>
    </row>
    <row r="953" ht="15.75" customHeight="1">
      <c r="A953" s="5"/>
      <c r="B953" s="5"/>
      <c r="D953" s="5"/>
    </row>
    <row r="954" ht="15.75" customHeight="1">
      <c r="A954" s="5"/>
      <c r="B954" s="5"/>
      <c r="D954" s="5"/>
    </row>
    <row r="955" ht="15.75" customHeight="1">
      <c r="A955" s="5"/>
      <c r="B955" s="5"/>
      <c r="D955" s="5"/>
    </row>
    <row r="956" ht="15.75" customHeight="1">
      <c r="A956" s="5"/>
      <c r="B956" s="5"/>
      <c r="D956" s="5"/>
    </row>
    <row r="957" ht="15.75" customHeight="1">
      <c r="A957" s="5"/>
      <c r="B957" s="5"/>
      <c r="D957" s="5"/>
    </row>
    <row r="958" ht="15.75" customHeight="1">
      <c r="A958" s="5"/>
      <c r="B958" s="5"/>
      <c r="D958" s="5"/>
    </row>
    <row r="959" ht="15.75" customHeight="1">
      <c r="A959" s="5"/>
      <c r="B959" s="5"/>
      <c r="D959" s="5"/>
    </row>
    <row r="960" ht="15.75" customHeight="1">
      <c r="A960" s="5"/>
      <c r="B960" s="5"/>
      <c r="D960" s="5"/>
    </row>
    <row r="961" ht="15.75" customHeight="1">
      <c r="A961" s="5"/>
      <c r="B961" s="5"/>
      <c r="D961" s="5"/>
    </row>
    <row r="962" ht="15.75" customHeight="1">
      <c r="A962" s="5"/>
      <c r="B962" s="5"/>
      <c r="D962" s="5"/>
    </row>
    <row r="963" ht="15.75" customHeight="1">
      <c r="A963" s="5"/>
      <c r="B963" s="5"/>
      <c r="D963" s="5"/>
    </row>
    <row r="964" ht="15.75" customHeight="1">
      <c r="A964" s="5"/>
      <c r="B964" s="5"/>
      <c r="D964" s="5"/>
    </row>
    <row r="965" ht="15.75" customHeight="1">
      <c r="A965" s="5"/>
      <c r="B965" s="5"/>
      <c r="D965" s="5"/>
    </row>
    <row r="966" ht="15.75" customHeight="1">
      <c r="A966" s="5"/>
      <c r="B966" s="5"/>
      <c r="D966" s="5"/>
    </row>
    <row r="967" ht="15.75" customHeight="1">
      <c r="A967" s="5"/>
      <c r="B967" s="5"/>
      <c r="D967" s="5"/>
    </row>
    <row r="968" ht="15.75" customHeight="1">
      <c r="A968" s="5"/>
      <c r="B968" s="5"/>
      <c r="D968" s="5"/>
    </row>
    <row r="969" ht="15.75" customHeight="1">
      <c r="A969" s="5"/>
      <c r="B969" s="5"/>
      <c r="D969" s="5"/>
    </row>
    <row r="970" ht="15.75" customHeight="1">
      <c r="A970" s="5"/>
      <c r="B970" s="5"/>
      <c r="D970" s="5"/>
    </row>
    <row r="971" ht="15.75" customHeight="1">
      <c r="A971" s="5"/>
      <c r="B971" s="5"/>
      <c r="D971" s="5"/>
    </row>
    <row r="972" ht="15.75" customHeight="1">
      <c r="A972" s="5"/>
      <c r="B972" s="5"/>
      <c r="D972" s="5"/>
    </row>
    <row r="973" ht="15.75" customHeight="1">
      <c r="A973" s="5"/>
      <c r="B973" s="5"/>
      <c r="D973" s="5"/>
    </row>
    <row r="974" ht="15.75" customHeight="1">
      <c r="A974" s="5"/>
      <c r="B974" s="5"/>
      <c r="D974" s="5"/>
    </row>
    <row r="975" ht="15.75" customHeight="1">
      <c r="A975" s="5"/>
      <c r="B975" s="5"/>
      <c r="D975" s="5"/>
    </row>
    <row r="976" ht="15.75" customHeight="1">
      <c r="A976" s="5"/>
      <c r="B976" s="5"/>
      <c r="D976" s="5"/>
    </row>
    <row r="977" ht="15.75" customHeight="1">
      <c r="A977" s="5"/>
      <c r="B977" s="5"/>
      <c r="D977" s="5"/>
    </row>
    <row r="978" ht="15.75" customHeight="1">
      <c r="A978" s="5"/>
      <c r="B978" s="5"/>
      <c r="D978" s="5"/>
    </row>
    <row r="979" ht="15.75" customHeight="1">
      <c r="A979" s="5"/>
      <c r="B979" s="5"/>
      <c r="D979" s="5"/>
    </row>
    <row r="980" ht="15.75" customHeight="1">
      <c r="A980" s="5"/>
      <c r="B980" s="5"/>
      <c r="D980" s="5"/>
    </row>
    <row r="981" ht="15.75" customHeight="1">
      <c r="A981" s="5"/>
      <c r="B981" s="5"/>
      <c r="D981" s="5"/>
    </row>
    <row r="982" ht="15.75" customHeight="1">
      <c r="A982" s="5"/>
      <c r="B982" s="5"/>
      <c r="D982" s="5"/>
    </row>
    <row r="983" ht="15.75" customHeight="1">
      <c r="A983" s="5"/>
      <c r="B983" s="5"/>
      <c r="D983" s="5"/>
    </row>
    <row r="984" ht="15.75" customHeight="1">
      <c r="A984" s="5"/>
      <c r="B984" s="5"/>
      <c r="D984" s="5"/>
    </row>
    <row r="985" ht="15.75" customHeight="1">
      <c r="A985" s="5"/>
      <c r="B985" s="5"/>
      <c r="D985" s="5"/>
    </row>
    <row r="986" ht="15.75" customHeight="1">
      <c r="A986" s="5"/>
      <c r="B986" s="5"/>
      <c r="D986" s="5"/>
    </row>
    <row r="987" ht="15.75" customHeight="1">
      <c r="A987" s="5"/>
      <c r="B987" s="5"/>
      <c r="D987" s="5"/>
    </row>
    <row r="988" ht="15.75" customHeight="1">
      <c r="A988" s="5"/>
      <c r="B988" s="5"/>
      <c r="D988" s="5"/>
    </row>
    <row r="989" ht="15.75" customHeight="1">
      <c r="A989" s="5"/>
      <c r="B989" s="5"/>
      <c r="D989" s="5"/>
    </row>
    <row r="990" ht="15.75" customHeight="1">
      <c r="A990" s="5"/>
      <c r="B990" s="5"/>
      <c r="D990" s="5"/>
    </row>
    <row r="991" ht="15.75" customHeight="1">
      <c r="A991" s="5"/>
      <c r="B991" s="5"/>
      <c r="D991" s="5"/>
    </row>
    <row r="992" ht="15.75" customHeight="1">
      <c r="A992" s="5"/>
      <c r="B992" s="5"/>
      <c r="D992" s="5"/>
    </row>
    <row r="993" ht="15.75" customHeight="1">
      <c r="A993" s="5"/>
      <c r="B993" s="5"/>
      <c r="D993" s="5"/>
    </row>
    <row r="994" ht="15.75" customHeight="1">
      <c r="A994" s="5"/>
      <c r="B994" s="5"/>
      <c r="D994" s="5"/>
    </row>
    <row r="995" ht="15.75" customHeight="1">
      <c r="A995" s="5"/>
      <c r="B995" s="5"/>
      <c r="D995" s="5"/>
    </row>
    <row r="996" ht="15.75" customHeight="1">
      <c r="A996" s="5"/>
      <c r="B996" s="5"/>
      <c r="D996" s="5"/>
    </row>
    <row r="997" ht="15.75" customHeight="1">
      <c r="A997" s="5"/>
      <c r="B997" s="5"/>
      <c r="D997" s="5"/>
    </row>
    <row r="998" ht="15.75" customHeight="1">
      <c r="A998" s="5"/>
      <c r="B998" s="5"/>
      <c r="D998" s="5"/>
    </row>
    <row r="999" ht="15.75" customHeight="1">
      <c r="A999" s="5"/>
      <c r="B999" s="5"/>
      <c r="D999" s="5"/>
    </row>
    <row r="1000" ht="15.75" customHeight="1">
      <c r="A1000" s="5"/>
      <c r="B1000" s="5"/>
      <c r="D1000" s="5"/>
    </row>
  </sheetData>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25"/>
    <col customWidth="1" min="2" max="2" width="19.25"/>
    <col customWidth="1" min="3" max="3" width="24.88"/>
    <col customWidth="1" min="4" max="4" width="7.75"/>
    <col customWidth="1" min="5" max="5" width="5.25"/>
    <col customWidth="1" min="6" max="6" width="20.5"/>
  </cols>
  <sheetData>
    <row r="1" ht="15.75" customHeight="1">
      <c r="A1" s="72" t="s">
        <v>583</v>
      </c>
      <c r="B1" s="35" t="s">
        <v>584</v>
      </c>
      <c r="C1" s="35" t="s">
        <v>555</v>
      </c>
      <c r="D1" s="35" t="s">
        <v>777</v>
      </c>
      <c r="E1" s="73" t="s">
        <v>340</v>
      </c>
      <c r="F1" s="74" t="s">
        <v>782</v>
      </c>
      <c r="G1" s="35"/>
      <c r="H1" s="35"/>
      <c r="I1" s="35"/>
      <c r="J1" s="35"/>
      <c r="K1" s="35"/>
      <c r="L1" s="35"/>
      <c r="M1" s="35"/>
      <c r="N1" s="35"/>
      <c r="O1" s="35"/>
      <c r="P1" s="35"/>
      <c r="Q1" s="35"/>
      <c r="R1" s="35"/>
      <c r="S1" s="35"/>
      <c r="T1" s="35"/>
      <c r="U1" s="35"/>
      <c r="V1" s="5"/>
      <c r="W1" s="5"/>
      <c r="X1" s="5"/>
      <c r="Y1" s="5"/>
      <c r="Z1" s="5"/>
    </row>
    <row r="2" ht="15.75" customHeight="1">
      <c r="A2" s="46" t="s">
        <v>590</v>
      </c>
      <c r="B2" s="14" t="s">
        <v>591</v>
      </c>
      <c r="C2" s="14" t="s">
        <v>196</v>
      </c>
      <c r="D2" s="14" t="s">
        <v>780</v>
      </c>
      <c r="E2" s="75">
        <v>0.65</v>
      </c>
      <c r="F2" s="76">
        <v>-1.8</v>
      </c>
      <c r="G2" s="5"/>
      <c r="H2" s="5"/>
      <c r="I2" s="5"/>
      <c r="J2" s="5"/>
      <c r="K2" s="5"/>
      <c r="L2" s="5"/>
      <c r="M2" s="5"/>
      <c r="N2" s="5"/>
      <c r="O2" s="5"/>
      <c r="P2" s="5"/>
      <c r="Q2" s="5"/>
      <c r="R2" s="5"/>
      <c r="S2" s="5"/>
      <c r="T2" s="5"/>
      <c r="U2" s="5"/>
      <c r="V2" s="5"/>
      <c r="W2" s="5"/>
      <c r="X2" s="5"/>
      <c r="Y2" s="5"/>
      <c r="Z2" s="5"/>
    </row>
    <row r="3" ht="15.75" customHeight="1">
      <c r="A3" s="46" t="s">
        <v>592</v>
      </c>
      <c r="B3" s="14" t="s">
        <v>593</v>
      </c>
      <c r="C3" s="14" t="s">
        <v>185</v>
      </c>
      <c r="D3" s="14" t="s">
        <v>780</v>
      </c>
      <c r="E3" s="75">
        <v>0.65</v>
      </c>
      <c r="F3" s="76">
        <v>-0.8</v>
      </c>
      <c r="G3" s="5"/>
      <c r="H3" s="5"/>
      <c r="I3" s="5"/>
      <c r="J3" s="5"/>
      <c r="K3" s="5"/>
      <c r="L3" s="5"/>
      <c r="M3" s="5"/>
      <c r="N3" s="5"/>
      <c r="O3" s="5"/>
      <c r="P3" s="5"/>
      <c r="Q3" s="5"/>
      <c r="R3" s="5"/>
      <c r="S3" s="5"/>
      <c r="T3" s="5"/>
      <c r="U3" s="5"/>
      <c r="V3" s="5"/>
      <c r="W3" s="5"/>
      <c r="X3" s="5"/>
      <c r="Y3" s="5"/>
      <c r="Z3" s="5"/>
    </row>
    <row r="4" ht="15.75" customHeight="1">
      <c r="A4" s="46" t="s">
        <v>594</v>
      </c>
      <c r="B4" s="14" t="s">
        <v>595</v>
      </c>
      <c r="C4" s="14" t="s">
        <v>149</v>
      </c>
      <c r="D4" s="14" t="s">
        <v>780</v>
      </c>
      <c r="E4" s="75">
        <v>0.6</v>
      </c>
      <c r="F4" s="76">
        <v>-1.0</v>
      </c>
      <c r="G4" s="5"/>
      <c r="H4" s="5"/>
      <c r="I4" s="5"/>
      <c r="J4" s="5"/>
      <c r="K4" s="5"/>
      <c r="L4" s="5"/>
      <c r="M4" s="5"/>
      <c r="N4" s="5"/>
      <c r="O4" s="5"/>
      <c r="P4" s="5"/>
      <c r="Q4" s="5"/>
      <c r="R4" s="5"/>
      <c r="S4" s="5"/>
      <c r="T4" s="5"/>
      <c r="U4" s="5"/>
      <c r="V4" s="5"/>
      <c r="W4" s="5"/>
      <c r="X4" s="5"/>
      <c r="Y4" s="5"/>
      <c r="Z4" s="5"/>
    </row>
    <row r="5" ht="15.75" customHeight="1">
      <c r="A5" s="46" t="s">
        <v>594</v>
      </c>
      <c r="B5" s="14" t="s">
        <v>595</v>
      </c>
      <c r="C5" s="14" t="s">
        <v>182</v>
      </c>
      <c r="D5" s="14" t="s">
        <v>780</v>
      </c>
      <c r="E5" s="75">
        <v>0.65</v>
      </c>
      <c r="F5" s="76">
        <v>-0.69</v>
      </c>
      <c r="G5" s="5"/>
      <c r="H5" s="5"/>
      <c r="I5" s="5"/>
      <c r="J5" s="5"/>
      <c r="K5" s="5"/>
      <c r="L5" s="5"/>
      <c r="M5" s="5"/>
      <c r="N5" s="5"/>
      <c r="O5" s="5"/>
      <c r="P5" s="5"/>
      <c r="Q5" s="5"/>
      <c r="R5" s="5"/>
      <c r="S5" s="5"/>
      <c r="T5" s="5"/>
      <c r="U5" s="5"/>
      <c r="V5" s="5"/>
      <c r="W5" s="5"/>
      <c r="X5" s="5"/>
      <c r="Y5" s="5"/>
      <c r="Z5" s="5"/>
    </row>
    <row r="6" ht="15.75" customHeight="1">
      <c r="A6" s="46" t="s">
        <v>596</v>
      </c>
      <c r="B6" s="14" t="s">
        <v>597</v>
      </c>
      <c r="C6" s="14" t="s">
        <v>179</v>
      </c>
      <c r="D6" s="14" t="s">
        <v>780</v>
      </c>
      <c r="E6" s="75">
        <v>0.5</v>
      </c>
      <c r="F6" s="76">
        <v>-1.41</v>
      </c>
      <c r="G6" s="5"/>
      <c r="H6" s="5"/>
      <c r="I6" s="5"/>
      <c r="J6" s="5"/>
      <c r="K6" s="5"/>
      <c r="L6" s="5"/>
      <c r="M6" s="5"/>
      <c r="N6" s="5"/>
      <c r="O6" s="5"/>
      <c r="P6" s="5"/>
      <c r="Q6" s="5"/>
      <c r="R6" s="5"/>
      <c r="S6" s="5"/>
      <c r="T6" s="5"/>
      <c r="U6" s="5"/>
      <c r="V6" s="5"/>
      <c r="W6" s="5"/>
      <c r="X6" s="5"/>
      <c r="Y6" s="5"/>
      <c r="Z6" s="5"/>
    </row>
    <row r="7" ht="15.75" customHeight="1">
      <c r="A7" s="46" t="s">
        <v>598</v>
      </c>
      <c r="B7" s="14" t="s">
        <v>599</v>
      </c>
      <c r="C7" s="14" t="s">
        <v>146</v>
      </c>
      <c r="D7" s="14" t="s">
        <v>780</v>
      </c>
      <c r="E7" s="75">
        <v>0.7</v>
      </c>
      <c r="F7" s="76">
        <v>-2.16</v>
      </c>
      <c r="G7" s="5"/>
      <c r="H7" s="5"/>
      <c r="I7" s="5"/>
      <c r="J7" s="5"/>
      <c r="K7" s="5"/>
      <c r="L7" s="5"/>
      <c r="M7" s="5"/>
      <c r="N7" s="5"/>
      <c r="O7" s="5"/>
      <c r="P7" s="5"/>
      <c r="Q7" s="5"/>
      <c r="R7" s="5"/>
      <c r="S7" s="5"/>
      <c r="T7" s="5"/>
      <c r="U7" s="5"/>
      <c r="V7" s="5"/>
      <c r="W7" s="5"/>
      <c r="X7" s="5"/>
      <c r="Y7" s="5"/>
      <c r="Z7" s="5"/>
    </row>
    <row r="8" ht="15.75" customHeight="1">
      <c r="A8" s="46" t="s">
        <v>600</v>
      </c>
      <c r="B8" s="14" t="s">
        <v>601</v>
      </c>
      <c r="C8" s="14" t="s">
        <v>120</v>
      </c>
      <c r="D8" s="14" t="s">
        <v>780</v>
      </c>
      <c r="E8" s="75">
        <v>0.55</v>
      </c>
      <c r="F8" s="76">
        <v>-2.2</v>
      </c>
      <c r="G8" s="5"/>
      <c r="H8" s="5"/>
      <c r="I8" s="5"/>
      <c r="J8" s="5"/>
      <c r="K8" s="5"/>
      <c r="L8" s="5"/>
      <c r="M8" s="5"/>
      <c r="N8" s="5"/>
      <c r="O8" s="5"/>
      <c r="P8" s="5"/>
      <c r="Q8" s="5"/>
      <c r="R8" s="5"/>
      <c r="S8" s="5"/>
      <c r="T8" s="5"/>
      <c r="U8" s="5"/>
      <c r="V8" s="5"/>
      <c r="W8" s="5"/>
      <c r="X8" s="5"/>
      <c r="Y8" s="5"/>
      <c r="Z8" s="5"/>
    </row>
    <row r="9" ht="15.75" customHeight="1">
      <c r="A9" s="46" t="s">
        <v>602</v>
      </c>
      <c r="B9" s="14" t="s">
        <v>603</v>
      </c>
      <c r="C9" s="14" t="s">
        <v>149</v>
      </c>
      <c r="D9" s="14" t="s">
        <v>780</v>
      </c>
      <c r="E9" s="75">
        <v>0.35</v>
      </c>
      <c r="F9" s="76">
        <v>-0.5</v>
      </c>
      <c r="G9" s="5"/>
      <c r="H9" s="5"/>
      <c r="I9" s="5"/>
      <c r="J9" s="5"/>
      <c r="K9" s="5"/>
      <c r="L9" s="5"/>
      <c r="M9" s="5"/>
      <c r="N9" s="5"/>
      <c r="O9" s="5"/>
      <c r="P9" s="5"/>
      <c r="Q9" s="5"/>
      <c r="R9" s="5"/>
      <c r="S9" s="5"/>
      <c r="T9" s="5"/>
      <c r="U9" s="5"/>
      <c r="V9" s="5"/>
      <c r="W9" s="5"/>
      <c r="X9" s="5"/>
      <c r="Y9" s="5"/>
      <c r="Z9" s="5"/>
    </row>
    <row r="10" ht="15.75" customHeight="1">
      <c r="A10" s="46" t="s">
        <v>602</v>
      </c>
      <c r="B10" s="14" t="s">
        <v>603</v>
      </c>
      <c r="C10" s="14" t="s">
        <v>171</v>
      </c>
      <c r="D10" s="14" t="s">
        <v>780</v>
      </c>
      <c r="E10" s="75">
        <v>0.55</v>
      </c>
      <c r="F10" s="76">
        <v>-1.5</v>
      </c>
      <c r="G10" s="5"/>
      <c r="H10" s="5"/>
      <c r="I10" s="5"/>
      <c r="J10" s="5"/>
      <c r="K10" s="5"/>
      <c r="L10" s="5"/>
      <c r="M10" s="5"/>
      <c r="N10" s="5"/>
      <c r="O10" s="5"/>
      <c r="P10" s="5"/>
      <c r="Q10" s="5"/>
      <c r="R10" s="5"/>
      <c r="S10" s="5"/>
      <c r="T10" s="5"/>
      <c r="U10" s="5"/>
      <c r="V10" s="5"/>
      <c r="W10" s="5"/>
      <c r="X10" s="5"/>
      <c r="Y10" s="5"/>
      <c r="Z10" s="5"/>
    </row>
    <row r="11" ht="15.75" customHeight="1">
      <c r="A11" s="46" t="s">
        <v>604</v>
      </c>
      <c r="B11" s="77" t="s">
        <v>605</v>
      </c>
      <c r="C11" s="14" t="s">
        <v>174</v>
      </c>
      <c r="D11" s="14" t="s">
        <v>780</v>
      </c>
      <c r="E11" s="75">
        <v>0.35</v>
      </c>
      <c r="F11" s="76">
        <v>-1.8</v>
      </c>
      <c r="G11" s="5"/>
      <c r="H11" s="5"/>
      <c r="I11" s="5"/>
      <c r="J11" s="5"/>
      <c r="K11" s="5"/>
      <c r="L11" s="5"/>
      <c r="M11" s="5"/>
      <c r="N11" s="5"/>
      <c r="O11" s="5"/>
      <c r="P11" s="5"/>
      <c r="Q11" s="5"/>
      <c r="R11" s="5"/>
      <c r="S11" s="5"/>
      <c r="T11" s="5"/>
      <c r="U11" s="5"/>
      <c r="V11" s="5"/>
      <c r="W11" s="5"/>
      <c r="X11" s="5"/>
      <c r="Y11" s="5"/>
      <c r="Z11" s="5"/>
    </row>
    <row r="12" ht="15.75" customHeight="1">
      <c r="A12" s="46" t="s">
        <v>606</v>
      </c>
      <c r="B12" s="14" t="s">
        <v>607</v>
      </c>
      <c r="C12" s="14" t="s">
        <v>190</v>
      </c>
      <c r="D12" s="14" t="s">
        <v>780</v>
      </c>
      <c r="E12" s="75">
        <v>0.55</v>
      </c>
      <c r="F12" s="76">
        <v>-1.5</v>
      </c>
      <c r="G12" s="5"/>
      <c r="H12" s="5"/>
      <c r="I12" s="5"/>
      <c r="J12" s="5"/>
      <c r="K12" s="5"/>
      <c r="L12" s="5"/>
      <c r="M12" s="5"/>
      <c r="N12" s="5"/>
      <c r="O12" s="5"/>
      <c r="P12" s="5"/>
      <c r="Q12" s="5"/>
      <c r="R12" s="5"/>
      <c r="S12" s="5"/>
      <c r="T12" s="5"/>
      <c r="U12" s="5"/>
      <c r="V12" s="5"/>
      <c r="W12" s="5"/>
      <c r="X12" s="5"/>
      <c r="Y12" s="5"/>
      <c r="Z12" s="5"/>
    </row>
    <row r="13" ht="15.75" customHeight="1">
      <c r="A13" s="46" t="s">
        <v>612</v>
      </c>
      <c r="B13" s="14" t="s">
        <v>613</v>
      </c>
      <c r="C13" s="14" t="s">
        <v>168</v>
      </c>
      <c r="D13" s="14" t="s">
        <v>780</v>
      </c>
      <c r="E13" s="75">
        <v>0.6</v>
      </c>
      <c r="F13" s="76">
        <v>-3.06</v>
      </c>
      <c r="G13" s="5"/>
      <c r="H13" s="5"/>
      <c r="I13" s="5"/>
      <c r="J13" s="5"/>
      <c r="K13" s="5"/>
      <c r="L13" s="5"/>
      <c r="M13" s="5"/>
      <c r="N13" s="5"/>
      <c r="O13" s="5"/>
      <c r="P13" s="5"/>
      <c r="Q13" s="5"/>
      <c r="R13" s="5"/>
      <c r="S13" s="5"/>
      <c r="T13" s="5"/>
      <c r="U13" s="5"/>
      <c r="V13" s="5"/>
      <c r="W13" s="5"/>
      <c r="X13" s="5"/>
      <c r="Y13" s="5"/>
      <c r="Z13" s="5"/>
    </row>
    <row r="14">
      <c r="A14" s="5"/>
      <c r="B14" s="5"/>
      <c r="C14" s="5"/>
      <c r="D14" s="5"/>
      <c r="E14" s="5"/>
      <c r="F14" s="5"/>
    </row>
    <row r="15">
      <c r="A15" s="5"/>
      <c r="B15" s="5"/>
      <c r="C15" s="5"/>
      <c r="D15" s="5"/>
      <c r="E15" s="5"/>
      <c r="F15" s="5"/>
    </row>
    <row r="16">
      <c r="A16" s="5"/>
      <c r="B16" s="5"/>
      <c r="C16" s="5"/>
      <c r="D16" s="5"/>
      <c r="E16" s="5"/>
      <c r="F16" s="5"/>
    </row>
    <row r="17">
      <c r="A17" s="5"/>
      <c r="B17" s="5"/>
      <c r="C17" s="5"/>
      <c r="D17" s="5"/>
      <c r="E17" s="5"/>
      <c r="F17" s="5"/>
    </row>
    <row r="18">
      <c r="A18" s="5"/>
      <c r="B18" s="5"/>
      <c r="C18" s="5"/>
      <c r="D18" s="5"/>
      <c r="E18" s="5"/>
      <c r="F18" s="5"/>
    </row>
    <row r="19">
      <c r="A19" s="5"/>
      <c r="B19" s="5"/>
      <c r="C19" s="5"/>
      <c r="D19" s="5"/>
      <c r="E19" s="5"/>
      <c r="F19" s="5"/>
    </row>
    <row r="20">
      <c r="A20" s="5"/>
      <c r="B20" s="5"/>
      <c r="C20" s="5"/>
      <c r="D20" s="5"/>
      <c r="E20" s="5"/>
      <c r="F20" s="5"/>
    </row>
    <row r="21" ht="15.75" customHeight="1">
      <c r="A21" s="5"/>
      <c r="B21" s="5"/>
      <c r="C21" s="5"/>
      <c r="D21" s="5"/>
      <c r="E21" s="5"/>
      <c r="F21" s="5"/>
    </row>
    <row r="22" ht="15.75" customHeight="1">
      <c r="A22" s="5"/>
      <c r="B22" s="5"/>
      <c r="C22" s="5"/>
      <c r="D22" s="5"/>
      <c r="E22" s="5"/>
      <c r="F22" s="5"/>
    </row>
    <row r="23" ht="15.75" customHeight="1">
      <c r="A23" s="5"/>
      <c r="B23" s="5"/>
      <c r="C23" s="5"/>
      <c r="D23" s="5"/>
      <c r="E23" s="5"/>
      <c r="F23" s="5"/>
    </row>
    <row r="24" ht="15.75" customHeight="1">
      <c r="A24" s="5"/>
      <c r="B24" s="5"/>
      <c r="C24" s="5"/>
      <c r="D24" s="5"/>
      <c r="E24" s="5"/>
      <c r="F24" s="5"/>
    </row>
    <row r="25" ht="15.75" customHeight="1">
      <c r="A25" s="5"/>
      <c r="B25" s="5"/>
      <c r="C25" s="5"/>
      <c r="D25" s="5"/>
      <c r="E25" s="5"/>
      <c r="F25" s="5"/>
    </row>
    <row r="26" ht="15.75" customHeight="1">
      <c r="A26" s="5"/>
      <c r="B26" s="5"/>
      <c r="C26" s="5"/>
      <c r="D26" s="5"/>
      <c r="E26" s="5"/>
      <c r="F26" s="5"/>
    </row>
    <row r="27" ht="15.75" customHeight="1">
      <c r="A27" s="5"/>
      <c r="B27" s="5"/>
      <c r="C27" s="5"/>
      <c r="D27" s="5"/>
      <c r="E27" s="5"/>
      <c r="F27" s="5"/>
    </row>
    <row r="28" ht="15.75" customHeight="1">
      <c r="A28" s="5"/>
      <c r="B28" s="5"/>
      <c r="C28" s="5"/>
      <c r="D28" s="5"/>
      <c r="E28" s="5"/>
      <c r="F28" s="5"/>
    </row>
    <row r="29" ht="15.75" customHeight="1">
      <c r="A29" s="5"/>
      <c r="B29" s="5"/>
      <c r="C29" s="5"/>
      <c r="D29" s="5"/>
      <c r="E29" s="5"/>
      <c r="F29" s="5"/>
    </row>
    <row r="30" ht="15.75" customHeight="1">
      <c r="A30" s="5"/>
      <c r="B30" s="5"/>
      <c r="C30" s="5"/>
      <c r="D30" s="5"/>
      <c r="E30" s="5"/>
      <c r="F30" s="5"/>
    </row>
    <row r="31" ht="15.75" customHeight="1">
      <c r="A31" s="5"/>
      <c r="B31" s="5"/>
      <c r="C31" s="5"/>
      <c r="D31" s="5"/>
      <c r="E31" s="5"/>
      <c r="F31" s="5"/>
    </row>
    <row r="32" ht="15.75" customHeight="1">
      <c r="A32" s="5"/>
      <c r="B32" s="5"/>
      <c r="C32" s="5"/>
      <c r="D32" s="5"/>
      <c r="E32" s="5"/>
      <c r="F32" s="5"/>
    </row>
    <row r="33" ht="15.75" customHeight="1">
      <c r="A33" s="5"/>
      <c r="B33" s="5"/>
      <c r="C33" s="5"/>
      <c r="D33" s="5"/>
      <c r="E33" s="5"/>
      <c r="F33" s="5"/>
    </row>
    <row r="34" ht="15.75" customHeight="1">
      <c r="A34" s="5"/>
      <c r="B34" s="5"/>
      <c r="C34" s="5"/>
      <c r="D34" s="5"/>
      <c r="E34" s="5"/>
      <c r="F34" s="5"/>
    </row>
    <row r="35" ht="15.75" customHeight="1">
      <c r="A35" s="5"/>
      <c r="B35" s="5"/>
      <c r="C35" s="5"/>
      <c r="D35" s="5"/>
      <c r="E35" s="5"/>
      <c r="F35" s="5"/>
    </row>
    <row r="36" ht="15.75" customHeight="1">
      <c r="A36" s="5"/>
      <c r="B36" s="5"/>
      <c r="C36" s="5"/>
      <c r="D36" s="5"/>
      <c r="E36" s="5"/>
      <c r="F36" s="5"/>
    </row>
    <row r="37" ht="15.75" customHeight="1">
      <c r="A37" s="5"/>
      <c r="B37" s="5"/>
      <c r="C37" s="5"/>
      <c r="D37" s="5"/>
      <c r="E37" s="5"/>
      <c r="F37" s="5"/>
    </row>
    <row r="38" ht="15.75" customHeight="1">
      <c r="A38" s="5"/>
      <c r="B38" s="5"/>
      <c r="C38" s="5"/>
      <c r="D38" s="5"/>
      <c r="E38" s="5"/>
      <c r="F38" s="5"/>
    </row>
    <row r="39" ht="15.75" customHeight="1">
      <c r="A39" s="5"/>
      <c r="B39" s="5"/>
      <c r="C39" s="5"/>
      <c r="D39" s="5"/>
      <c r="E39" s="5"/>
      <c r="F39" s="5"/>
    </row>
    <row r="40" ht="15.75" customHeight="1">
      <c r="A40" s="5"/>
      <c r="B40" s="5"/>
      <c r="C40" s="5"/>
      <c r="D40" s="5"/>
      <c r="E40" s="5"/>
      <c r="F40" s="5"/>
    </row>
    <row r="41" ht="15.75" customHeight="1">
      <c r="A41" s="5"/>
      <c r="B41" s="5"/>
      <c r="C41" s="5"/>
      <c r="D41" s="5"/>
      <c r="E41" s="5"/>
      <c r="F41" s="5"/>
    </row>
    <row r="42" ht="15.75" customHeight="1">
      <c r="A42" s="5"/>
      <c r="B42" s="5"/>
      <c r="C42" s="5"/>
      <c r="D42" s="5"/>
      <c r="E42" s="5"/>
      <c r="F42" s="5"/>
    </row>
    <row r="43" ht="15.75" customHeight="1">
      <c r="A43" s="5"/>
      <c r="B43" s="5"/>
      <c r="C43" s="5"/>
      <c r="D43" s="5"/>
      <c r="E43" s="5"/>
      <c r="F43" s="5"/>
    </row>
    <row r="44" ht="15.75" customHeight="1">
      <c r="A44" s="5"/>
      <c r="B44" s="5"/>
      <c r="C44" s="5"/>
      <c r="D44" s="5"/>
      <c r="E44" s="5"/>
      <c r="F44" s="5"/>
    </row>
    <row r="45" ht="15.75" customHeight="1">
      <c r="A45" s="5"/>
      <c r="B45" s="5"/>
      <c r="C45" s="5"/>
      <c r="D45" s="5"/>
      <c r="E45" s="5"/>
      <c r="F45" s="5"/>
    </row>
    <row r="46" ht="15.75" customHeight="1">
      <c r="A46" s="5"/>
      <c r="B46" s="5"/>
      <c r="C46" s="5"/>
      <c r="D46" s="5"/>
      <c r="E46" s="5"/>
      <c r="F46" s="5"/>
    </row>
    <row r="47" ht="15.75" customHeight="1">
      <c r="A47" s="5"/>
      <c r="B47" s="5"/>
      <c r="C47" s="5"/>
      <c r="D47" s="5"/>
      <c r="E47" s="5"/>
      <c r="F47" s="5"/>
    </row>
    <row r="48" ht="15.75" customHeight="1">
      <c r="A48" s="5"/>
      <c r="B48" s="5"/>
      <c r="C48" s="5"/>
      <c r="D48" s="5"/>
      <c r="E48" s="5"/>
      <c r="F48" s="5"/>
    </row>
    <row r="49" ht="15.75" customHeight="1">
      <c r="A49" s="5"/>
      <c r="B49" s="5"/>
      <c r="C49" s="5"/>
      <c r="D49" s="5"/>
      <c r="E49" s="5"/>
      <c r="F49" s="5"/>
    </row>
    <row r="50" ht="15.75" customHeight="1">
      <c r="A50" s="5"/>
      <c r="B50" s="5"/>
      <c r="C50" s="5"/>
      <c r="D50" s="5"/>
      <c r="E50" s="5"/>
      <c r="F50" s="5"/>
    </row>
    <row r="51" ht="15.75" customHeight="1">
      <c r="A51" s="5"/>
      <c r="B51" s="5"/>
      <c r="C51" s="5"/>
      <c r="D51" s="5"/>
      <c r="E51" s="5"/>
      <c r="F51" s="5"/>
    </row>
    <row r="52" ht="15.75" customHeight="1">
      <c r="A52" s="5"/>
      <c r="B52" s="5"/>
      <c r="C52" s="5"/>
      <c r="D52" s="5"/>
      <c r="E52" s="5"/>
      <c r="F52" s="5"/>
    </row>
    <row r="53" ht="15.75" customHeight="1">
      <c r="A53" s="5"/>
      <c r="B53" s="5"/>
      <c r="C53" s="5"/>
      <c r="D53" s="5"/>
      <c r="E53" s="5"/>
      <c r="F53" s="5"/>
    </row>
    <row r="54" ht="15.75" customHeight="1">
      <c r="A54" s="5"/>
      <c r="B54" s="5"/>
      <c r="C54" s="5"/>
      <c r="D54" s="5"/>
      <c r="E54" s="5"/>
      <c r="F54" s="5"/>
    </row>
    <row r="55" ht="15.75" customHeight="1">
      <c r="A55" s="5"/>
      <c r="B55" s="5"/>
      <c r="C55" s="5"/>
      <c r="D55" s="5"/>
      <c r="E55" s="5"/>
      <c r="F55" s="5"/>
    </row>
    <row r="56" ht="15.75" customHeight="1">
      <c r="A56" s="5"/>
      <c r="B56" s="5"/>
      <c r="C56" s="5"/>
      <c r="D56" s="5"/>
      <c r="E56" s="5"/>
      <c r="F56" s="5"/>
    </row>
    <row r="57" ht="15.75" customHeight="1">
      <c r="A57" s="5"/>
      <c r="B57" s="5"/>
      <c r="C57" s="5"/>
      <c r="D57" s="5"/>
      <c r="E57" s="5"/>
      <c r="F57" s="5"/>
    </row>
    <row r="58" ht="15.75" customHeight="1">
      <c r="A58" s="5"/>
      <c r="B58" s="5"/>
      <c r="C58" s="5"/>
      <c r="D58" s="5"/>
      <c r="E58" s="5"/>
      <c r="F58" s="5"/>
    </row>
    <row r="59" ht="15.75" customHeight="1">
      <c r="A59" s="5"/>
      <c r="B59" s="5"/>
      <c r="C59" s="5"/>
      <c r="D59" s="5"/>
      <c r="E59" s="5"/>
      <c r="F59" s="5"/>
    </row>
    <row r="60" ht="15.75" customHeight="1">
      <c r="A60" s="5"/>
      <c r="B60" s="5"/>
      <c r="C60" s="5"/>
      <c r="D60" s="5"/>
      <c r="E60" s="5"/>
      <c r="F60" s="5"/>
    </row>
    <row r="61" ht="15.75" customHeight="1">
      <c r="A61" s="5"/>
      <c r="B61" s="5"/>
      <c r="C61" s="5"/>
      <c r="D61" s="5"/>
      <c r="E61" s="5"/>
      <c r="F61" s="5"/>
    </row>
    <row r="62" ht="15.75" customHeight="1">
      <c r="A62" s="5"/>
      <c r="B62" s="5"/>
      <c r="C62" s="5"/>
      <c r="D62" s="5"/>
      <c r="E62" s="5"/>
      <c r="F62" s="5"/>
    </row>
    <row r="63" ht="15.75" customHeight="1">
      <c r="A63" s="5"/>
      <c r="B63" s="5"/>
      <c r="C63" s="5"/>
      <c r="D63" s="5"/>
      <c r="E63" s="5"/>
      <c r="F63" s="5"/>
    </row>
    <row r="64" ht="15.75" customHeight="1">
      <c r="A64" s="5"/>
      <c r="B64" s="5"/>
      <c r="C64" s="5"/>
      <c r="D64" s="5"/>
      <c r="E64" s="5"/>
      <c r="F64" s="5"/>
    </row>
    <row r="65" ht="15.75" customHeight="1">
      <c r="A65" s="5"/>
      <c r="B65" s="5"/>
      <c r="C65" s="5"/>
      <c r="D65" s="5"/>
      <c r="E65" s="5"/>
      <c r="F65" s="5"/>
    </row>
    <row r="66" ht="15.75" customHeight="1">
      <c r="A66" s="5"/>
      <c r="B66" s="5"/>
      <c r="C66" s="5"/>
      <c r="D66" s="5"/>
      <c r="E66" s="5"/>
      <c r="F66" s="5"/>
    </row>
    <row r="67" ht="15.75" customHeight="1">
      <c r="A67" s="5"/>
      <c r="B67" s="5"/>
      <c r="C67" s="5"/>
      <c r="D67" s="5"/>
      <c r="E67" s="5"/>
      <c r="F67" s="5"/>
    </row>
    <row r="68" ht="15.75" customHeight="1">
      <c r="A68" s="5"/>
      <c r="B68" s="5"/>
      <c r="C68" s="5"/>
      <c r="D68" s="5"/>
      <c r="E68" s="5"/>
      <c r="F68" s="5"/>
    </row>
    <row r="69" ht="15.75" customHeight="1">
      <c r="A69" s="5"/>
      <c r="B69" s="5"/>
      <c r="C69" s="5"/>
      <c r="D69" s="5"/>
      <c r="E69" s="5"/>
      <c r="F69" s="5"/>
    </row>
    <row r="70" ht="15.75" customHeight="1">
      <c r="A70" s="5"/>
      <c r="B70" s="5"/>
      <c r="C70" s="5"/>
      <c r="D70" s="5"/>
      <c r="E70" s="5"/>
      <c r="F70" s="5"/>
    </row>
    <row r="71" ht="15.75" customHeight="1">
      <c r="A71" s="5"/>
      <c r="B71" s="5"/>
      <c r="C71" s="5"/>
      <c r="D71" s="5"/>
      <c r="E71" s="5"/>
      <c r="F71" s="5"/>
    </row>
    <row r="72" ht="15.75" customHeight="1">
      <c r="A72" s="5"/>
      <c r="B72" s="5"/>
      <c r="C72" s="5"/>
      <c r="D72" s="5"/>
      <c r="E72" s="5"/>
      <c r="F72" s="5"/>
    </row>
    <row r="73" ht="15.75" customHeight="1">
      <c r="A73" s="5"/>
      <c r="B73" s="5"/>
      <c r="C73" s="5"/>
      <c r="D73" s="5"/>
      <c r="E73" s="5"/>
      <c r="F73" s="5"/>
    </row>
    <row r="74" ht="15.75" customHeight="1">
      <c r="A74" s="5"/>
      <c r="B74" s="5"/>
      <c r="C74" s="5"/>
      <c r="D74" s="5"/>
      <c r="E74" s="5"/>
      <c r="F74" s="5"/>
    </row>
    <row r="75" ht="15.75" customHeight="1">
      <c r="A75" s="5"/>
      <c r="B75" s="5"/>
      <c r="C75" s="5"/>
      <c r="D75" s="5"/>
      <c r="E75" s="5"/>
      <c r="F75" s="5"/>
    </row>
    <row r="76" ht="15.75" customHeight="1">
      <c r="A76" s="5"/>
      <c r="B76" s="5"/>
      <c r="C76" s="5"/>
      <c r="D76" s="5"/>
      <c r="E76" s="5"/>
      <c r="F76" s="5"/>
    </row>
    <row r="77" ht="15.75" customHeight="1">
      <c r="A77" s="5"/>
      <c r="B77" s="5"/>
      <c r="C77" s="5"/>
      <c r="D77" s="5"/>
      <c r="E77" s="5"/>
      <c r="F77" s="5"/>
    </row>
    <row r="78" ht="15.75" customHeight="1">
      <c r="A78" s="5"/>
      <c r="B78" s="5"/>
      <c r="C78" s="5"/>
      <c r="D78" s="5"/>
      <c r="E78" s="5"/>
      <c r="F78" s="5"/>
    </row>
    <row r="79" ht="15.75" customHeight="1">
      <c r="A79" s="5"/>
      <c r="B79" s="5"/>
      <c r="C79" s="5"/>
      <c r="D79" s="5"/>
      <c r="E79" s="5"/>
      <c r="F79" s="5"/>
    </row>
    <row r="80" ht="15.75" customHeight="1">
      <c r="A80" s="5"/>
      <c r="B80" s="5"/>
      <c r="C80" s="5"/>
      <c r="D80" s="5"/>
      <c r="E80" s="5"/>
      <c r="F80" s="5"/>
    </row>
    <row r="81" ht="15.75" customHeight="1">
      <c r="A81" s="5"/>
      <c r="B81" s="5"/>
      <c r="C81" s="5"/>
      <c r="D81" s="5"/>
      <c r="E81" s="5"/>
      <c r="F81" s="5"/>
    </row>
    <row r="82" ht="15.75" customHeight="1">
      <c r="A82" s="5"/>
      <c r="B82" s="5"/>
      <c r="C82" s="5"/>
      <c r="D82" s="5"/>
      <c r="E82" s="5"/>
      <c r="F82" s="5"/>
    </row>
    <row r="83" ht="15.75" customHeight="1">
      <c r="A83" s="5"/>
      <c r="B83" s="5"/>
      <c r="C83" s="5"/>
      <c r="D83" s="5"/>
      <c r="E83" s="5"/>
      <c r="F83" s="5"/>
    </row>
    <row r="84" ht="15.75" customHeight="1">
      <c r="A84" s="5"/>
      <c r="B84" s="5"/>
      <c r="C84" s="5"/>
      <c r="D84" s="5"/>
      <c r="E84" s="5"/>
      <c r="F84" s="5"/>
    </row>
    <row r="85" ht="15.75" customHeight="1">
      <c r="A85" s="5"/>
      <c r="B85" s="5"/>
      <c r="C85" s="5"/>
      <c r="D85" s="5"/>
      <c r="E85" s="5"/>
      <c r="F85" s="5"/>
    </row>
    <row r="86" ht="15.75" customHeight="1">
      <c r="A86" s="5"/>
      <c r="B86" s="5"/>
      <c r="C86" s="5"/>
      <c r="D86" s="5"/>
      <c r="E86" s="5"/>
      <c r="F86" s="5"/>
    </row>
    <row r="87" ht="15.75" customHeight="1">
      <c r="A87" s="5"/>
      <c r="B87" s="5"/>
      <c r="C87" s="5"/>
      <c r="D87" s="5"/>
      <c r="E87" s="5"/>
      <c r="F87" s="5"/>
    </row>
    <row r="88" ht="15.75" customHeight="1">
      <c r="A88" s="5"/>
      <c r="B88" s="5"/>
      <c r="C88" s="5"/>
      <c r="D88" s="5"/>
      <c r="E88" s="5"/>
      <c r="F88" s="5"/>
    </row>
    <row r="89" ht="15.75" customHeight="1">
      <c r="A89" s="5"/>
      <c r="B89" s="5"/>
      <c r="C89" s="5"/>
      <c r="D89" s="5"/>
      <c r="E89" s="5"/>
      <c r="F89" s="5"/>
    </row>
    <row r="90" ht="15.75" customHeight="1">
      <c r="A90" s="5"/>
      <c r="B90" s="5"/>
      <c r="C90" s="5"/>
      <c r="D90" s="5"/>
      <c r="E90" s="5"/>
      <c r="F90" s="5"/>
    </row>
    <row r="91" ht="15.75" customHeight="1">
      <c r="A91" s="5"/>
      <c r="B91" s="5"/>
      <c r="C91" s="5"/>
      <c r="D91" s="5"/>
      <c r="E91" s="5"/>
      <c r="F91" s="5"/>
    </row>
    <row r="92" ht="15.75" customHeight="1">
      <c r="A92" s="5"/>
      <c r="B92" s="5"/>
      <c r="C92" s="5"/>
      <c r="D92" s="5"/>
      <c r="E92" s="5"/>
      <c r="F92" s="5"/>
    </row>
    <row r="93" ht="15.75" customHeight="1">
      <c r="A93" s="5"/>
      <c r="B93" s="5"/>
      <c r="C93" s="5"/>
      <c r="D93" s="5"/>
      <c r="E93" s="5"/>
      <c r="F93" s="5"/>
    </row>
    <row r="94" ht="15.75" customHeight="1">
      <c r="A94" s="5"/>
      <c r="B94" s="5"/>
      <c r="C94" s="5"/>
      <c r="D94" s="5"/>
      <c r="E94" s="5"/>
      <c r="F94" s="5"/>
    </row>
    <row r="95" ht="15.75" customHeight="1">
      <c r="A95" s="5"/>
      <c r="B95" s="5"/>
      <c r="C95" s="5"/>
      <c r="D95" s="5"/>
      <c r="E95" s="5"/>
      <c r="F95" s="5"/>
    </row>
    <row r="96" ht="15.75" customHeight="1">
      <c r="A96" s="5"/>
      <c r="B96" s="5"/>
      <c r="C96" s="5"/>
      <c r="D96" s="5"/>
      <c r="E96" s="5"/>
      <c r="F96" s="5"/>
    </row>
    <row r="97" ht="15.75" customHeight="1">
      <c r="A97" s="5"/>
      <c r="B97" s="5"/>
      <c r="C97" s="5"/>
      <c r="D97" s="5"/>
      <c r="E97" s="5"/>
      <c r="F97" s="5"/>
    </row>
    <row r="98" ht="15.75" customHeight="1">
      <c r="A98" s="5"/>
      <c r="B98" s="5"/>
      <c r="C98" s="5"/>
      <c r="D98" s="5"/>
      <c r="E98" s="5"/>
      <c r="F98" s="5"/>
    </row>
    <row r="99" ht="15.75" customHeight="1">
      <c r="A99" s="5"/>
      <c r="B99" s="5"/>
      <c r="C99" s="5"/>
      <c r="D99" s="5"/>
      <c r="E99" s="5"/>
      <c r="F99" s="5"/>
    </row>
    <row r="100" ht="15.75" customHeight="1">
      <c r="A100" s="5"/>
      <c r="B100" s="5"/>
      <c r="C100" s="5"/>
      <c r="D100" s="5"/>
      <c r="E100" s="5"/>
      <c r="F100" s="5"/>
    </row>
    <row r="101" ht="15.75" customHeight="1">
      <c r="A101" s="5"/>
      <c r="B101" s="5"/>
      <c r="C101" s="5"/>
      <c r="D101" s="5"/>
      <c r="E101" s="5"/>
      <c r="F101" s="5"/>
    </row>
    <row r="102" ht="15.75" customHeight="1">
      <c r="A102" s="5"/>
      <c r="B102" s="5"/>
      <c r="C102" s="5"/>
      <c r="D102" s="5"/>
      <c r="E102" s="5"/>
      <c r="F102" s="5"/>
    </row>
    <row r="103" ht="15.75" customHeight="1">
      <c r="A103" s="5"/>
      <c r="B103" s="5"/>
      <c r="C103" s="5"/>
      <c r="D103" s="5"/>
      <c r="E103" s="5"/>
      <c r="F103" s="5"/>
    </row>
    <row r="104" ht="15.75" customHeight="1">
      <c r="A104" s="5"/>
      <c r="B104" s="5"/>
      <c r="C104" s="5"/>
      <c r="D104" s="5"/>
      <c r="E104" s="5"/>
      <c r="F104" s="5"/>
    </row>
    <row r="105" ht="15.75" customHeight="1">
      <c r="A105" s="5"/>
      <c r="B105" s="5"/>
      <c r="C105" s="5"/>
      <c r="D105" s="5"/>
      <c r="E105" s="5"/>
      <c r="F105" s="5"/>
    </row>
    <row r="106" ht="15.75" customHeight="1">
      <c r="A106" s="5"/>
      <c r="B106" s="5"/>
      <c r="C106" s="5"/>
      <c r="D106" s="5"/>
      <c r="E106" s="5"/>
      <c r="F106" s="5"/>
    </row>
    <row r="107" ht="15.75" customHeight="1">
      <c r="A107" s="5"/>
      <c r="B107" s="5"/>
      <c r="C107" s="5"/>
      <c r="D107" s="5"/>
      <c r="E107" s="5"/>
      <c r="F107" s="5"/>
    </row>
    <row r="108" ht="15.75" customHeight="1">
      <c r="A108" s="5"/>
      <c r="B108" s="5"/>
      <c r="C108" s="5"/>
      <c r="D108" s="5"/>
      <c r="E108" s="5"/>
      <c r="F108" s="5"/>
    </row>
    <row r="109" ht="15.75" customHeight="1">
      <c r="A109" s="5"/>
      <c r="B109" s="5"/>
      <c r="C109" s="5"/>
      <c r="D109" s="5"/>
      <c r="E109" s="5"/>
      <c r="F109" s="5"/>
    </row>
    <row r="110" ht="15.75" customHeight="1">
      <c r="A110" s="5"/>
      <c r="B110" s="5"/>
      <c r="C110" s="5"/>
      <c r="D110" s="5"/>
      <c r="E110" s="5"/>
      <c r="F110" s="5"/>
    </row>
    <row r="111" ht="15.75" customHeight="1">
      <c r="A111" s="5"/>
      <c r="B111" s="5"/>
      <c r="C111" s="5"/>
      <c r="D111" s="5"/>
      <c r="E111" s="5"/>
      <c r="F111" s="5"/>
    </row>
    <row r="112" ht="15.75" customHeight="1">
      <c r="A112" s="5"/>
      <c r="B112" s="5"/>
      <c r="C112" s="5"/>
      <c r="D112" s="5"/>
      <c r="E112" s="5"/>
      <c r="F112" s="5"/>
    </row>
    <row r="113" ht="15.75" customHeight="1">
      <c r="A113" s="5"/>
      <c r="B113" s="5"/>
      <c r="C113" s="5"/>
      <c r="D113" s="5"/>
      <c r="E113" s="5"/>
      <c r="F113" s="5"/>
    </row>
    <row r="114" ht="15.75" customHeight="1">
      <c r="A114" s="5"/>
      <c r="B114" s="5"/>
      <c r="C114" s="5"/>
      <c r="D114" s="5"/>
      <c r="E114" s="5"/>
      <c r="F114" s="5"/>
    </row>
    <row r="115" ht="15.75" customHeight="1">
      <c r="A115" s="5"/>
      <c r="B115" s="5"/>
      <c r="C115" s="5"/>
      <c r="D115" s="5"/>
      <c r="E115" s="5"/>
      <c r="F115" s="5"/>
    </row>
    <row r="116" ht="15.75" customHeight="1">
      <c r="A116" s="5"/>
      <c r="B116" s="5"/>
      <c r="C116" s="5"/>
      <c r="D116" s="5"/>
      <c r="E116" s="5"/>
      <c r="F116" s="5"/>
    </row>
    <row r="117" ht="15.75" customHeight="1">
      <c r="A117" s="5"/>
      <c r="B117" s="5"/>
      <c r="C117" s="5"/>
      <c r="D117" s="5"/>
      <c r="E117" s="5"/>
      <c r="F117" s="5"/>
    </row>
    <row r="118" ht="15.75" customHeight="1">
      <c r="A118" s="5"/>
      <c r="B118" s="5"/>
      <c r="C118" s="5"/>
      <c r="D118" s="5"/>
      <c r="E118" s="5"/>
      <c r="F118" s="5"/>
    </row>
    <row r="119" ht="15.75" customHeight="1">
      <c r="A119" s="5"/>
      <c r="B119" s="5"/>
      <c r="C119" s="5"/>
      <c r="D119" s="5"/>
      <c r="E119" s="5"/>
      <c r="F119" s="5"/>
    </row>
    <row r="120" ht="15.75" customHeight="1">
      <c r="A120" s="5"/>
      <c r="B120" s="5"/>
      <c r="C120" s="5"/>
      <c r="D120" s="5"/>
      <c r="E120" s="5"/>
      <c r="F120" s="5"/>
    </row>
    <row r="121" ht="15.75" customHeight="1">
      <c r="A121" s="5"/>
      <c r="B121" s="5"/>
      <c r="C121" s="5"/>
      <c r="D121" s="5"/>
      <c r="E121" s="5"/>
      <c r="F121" s="5"/>
    </row>
    <row r="122" ht="15.75" customHeight="1">
      <c r="A122" s="5"/>
      <c r="B122" s="5"/>
      <c r="C122" s="5"/>
      <c r="D122" s="5"/>
      <c r="E122" s="5"/>
      <c r="F122" s="5"/>
    </row>
    <row r="123" ht="15.75" customHeight="1">
      <c r="A123" s="5"/>
      <c r="B123" s="5"/>
      <c r="C123" s="5"/>
      <c r="D123" s="5"/>
      <c r="E123" s="5"/>
      <c r="F123" s="5"/>
    </row>
    <row r="124" ht="15.75" customHeight="1">
      <c r="A124" s="5"/>
      <c r="B124" s="5"/>
      <c r="C124" s="5"/>
      <c r="D124" s="5"/>
      <c r="E124" s="5"/>
      <c r="F124" s="5"/>
    </row>
    <row r="125" ht="15.75" customHeight="1">
      <c r="A125" s="5"/>
      <c r="B125" s="5"/>
      <c r="C125" s="5"/>
      <c r="D125" s="5"/>
      <c r="E125" s="5"/>
      <c r="F125" s="5"/>
    </row>
    <row r="126" ht="15.75" customHeight="1">
      <c r="A126" s="5"/>
      <c r="B126" s="5"/>
      <c r="C126" s="5"/>
      <c r="D126" s="5"/>
      <c r="E126" s="5"/>
      <c r="F126" s="5"/>
    </row>
    <row r="127" ht="15.75" customHeight="1">
      <c r="A127" s="5"/>
      <c r="B127" s="5"/>
      <c r="C127" s="5"/>
      <c r="D127" s="5"/>
      <c r="E127" s="5"/>
      <c r="F127" s="5"/>
    </row>
    <row r="128" ht="15.75" customHeight="1">
      <c r="A128" s="5"/>
      <c r="B128" s="5"/>
      <c r="C128" s="5"/>
      <c r="D128" s="5"/>
      <c r="E128" s="5"/>
      <c r="F128" s="5"/>
    </row>
    <row r="129" ht="15.75" customHeight="1">
      <c r="A129" s="5"/>
      <c r="B129" s="5"/>
      <c r="C129" s="5"/>
      <c r="D129" s="5"/>
      <c r="E129" s="5"/>
      <c r="F129" s="5"/>
    </row>
    <row r="130" ht="15.75" customHeight="1">
      <c r="A130" s="5"/>
      <c r="B130" s="5"/>
      <c r="C130" s="5"/>
      <c r="D130" s="5"/>
      <c r="E130" s="5"/>
      <c r="F130" s="5"/>
    </row>
    <row r="131" ht="15.75" customHeight="1">
      <c r="A131" s="5"/>
      <c r="B131" s="5"/>
      <c r="C131" s="5"/>
      <c r="D131" s="5"/>
      <c r="E131" s="5"/>
      <c r="F131" s="5"/>
    </row>
    <row r="132" ht="15.75" customHeight="1">
      <c r="A132" s="5"/>
      <c r="B132" s="5"/>
      <c r="C132" s="5"/>
      <c r="D132" s="5"/>
      <c r="E132" s="5"/>
      <c r="F132" s="5"/>
    </row>
    <row r="133" ht="15.75" customHeight="1">
      <c r="A133" s="5"/>
      <c r="B133" s="5"/>
      <c r="C133" s="5"/>
      <c r="D133" s="5"/>
      <c r="E133" s="5"/>
      <c r="F133" s="5"/>
    </row>
    <row r="134" ht="15.75" customHeight="1">
      <c r="A134" s="5"/>
      <c r="B134" s="5"/>
      <c r="C134" s="5"/>
      <c r="D134" s="5"/>
      <c r="E134" s="5"/>
      <c r="F134" s="5"/>
    </row>
    <row r="135" ht="15.75" customHeight="1">
      <c r="A135" s="5"/>
      <c r="B135" s="5"/>
      <c r="C135" s="5"/>
      <c r="D135" s="5"/>
      <c r="E135" s="5"/>
      <c r="F135" s="5"/>
    </row>
    <row r="136" ht="15.75" customHeight="1">
      <c r="A136" s="5"/>
      <c r="B136" s="5"/>
      <c r="C136" s="5"/>
      <c r="D136" s="5"/>
      <c r="E136" s="5"/>
      <c r="F136" s="5"/>
    </row>
    <row r="137" ht="15.75" customHeight="1">
      <c r="A137" s="5"/>
      <c r="B137" s="5"/>
      <c r="C137" s="5"/>
      <c r="D137" s="5"/>
      <c r="E137" s="5"/>
      <c r="F137" s="5"/>
    </row>
    <row r="138" ht="15.75" customHeight="1">
      <c r="A138" s="5"/>
      <c r="B138" s="5"/>
      <c r="C138" s="5"/>
      <c r="D138" s="5"/>
      <c r="E138" s="5"/>
      <c r="F138" s="5"/>
    </row>
    <row r="139" ht="15.75" customHeight="1">
      <c r="A139" s="5"/>
      <c r="B139" s="5"/>
      <c r="C139" s="5"/>
      <c r="D139" s="5"/>
      <c r="E139" s="5"/>
      <c r="F139" s="5"/>
    </row>
    <row r="140" ht="15.75" customHeight="1">
      <c r="A140" s="5"/>
      <c r="B140" s="5"/>
      <c r="C140" s="5"/>
      <c r="D140" s="5"/>
      <c r="E140" s="5"/>
      <c r="F140" s="5"/>
    </row>
    <row r="141" ht="15.75" customHeight="1">
      <c r="A141" s="5"/>
      <c r="B141" s="5"/>
      <c r="C141" s="5"/>
      <c r="D141" s="5"/>
      <c r="E141" s="5"/>
      <c r="F141" s="5"/>
    </row>
    <row r="142" ht="15.75" customHeight="1">
      <c r="A142" s="5"/>
      <c r="B142" s="5"/>
      <c r="C142" s="5"/>
      <c r="D142" s="5"/>
      <c r="E142" s="5"/>
      <c r="F142" s="5"/>
    </row>
    <row r="143" ht="15.75" customHeight="1">
      <c r="A143" s="5"/>
      <c r="B143" s="5"/>
      <c r="C143" s="5"/>
      <c r="D143" s="5"/>
      <c r="E143" s="5"/>
      <c r="F143" s="5"/>
    </row>
    <row r="144" ht="15.75" customHeight="1">
      <c r="A144" s="5"/>
      <c r="B144" s="5"/>
      <c r="C144" s="5"/>
      <c r="D144" s="5"/>
      <c r="E144" s="5"/>
      <c r="F144" s="5"/>
    </row>
    <row r="145" ht="15.75" customHeight="1">
      <c r="A145" s="5"/>
      <c r="B145" s="5"/>
      <c r="C145" s="5"/>
      <c r="D145" s="5"/>
      <c r="E145" s="5"/>
      <c r="F145" s="5"/>
    </row>
    <row r="146" ht="15.75" customHeight="1">
      <c r="A146" s="5"/>
      <c r="B146" s="5"/>
      <c r="C146" s="5"/>
      <c r="D146" s="5"/>
      <c r="E146" s="5"/>
      <c r="F146" s="5"/>
    </row>
    <row r="147" ht="15.75" customHeight="1">
      <c r="A147" s="5"/>
      <c r="B147" s="5"/>
      <c r="C147" s="5"/>
      <c r="D147" s="5"/>
      <c r="E147" s="5"/>
      <c r="F147" s="5"/>
    </row>
    <row r="148" ht="15.75" customHeight="1">
      <c r="A148" s="5"/>
      <c r="B148" s="5"/>
      <c r="C148" s="5"/>
      <c r="D148" s="5"/>
      <c r="E148" s="5"/>
      <c r="F148" s="5"/>
    </row>
    <row r="149" ht="15.75" customHeight="1">
      <c r="A149" s="5"/>
      <c r="B149" s="5"/>
      <c r="C149" s="5"/>
      <c r="D149" s="5"/>
      <c r="E149" s="5"/>
      <c r="F149" s="5"/>
    </row>
    <row r="150" ht="15.75" customHeight="1">
      <c r="A150" s="5"/>
      <c r="B150" s="5"/>
      <c r="C150" s="5"/>
      <c r="D150" s="5"/>
      <c r="E150" s="5"/>
      <c r="F150" s="5"/>
    </row>
    <row r="151" ht="15.75" customHeight="1">
      <c r="A151" s="5"/>
      <c r="B151" s="5"/>
      <c r="C151" s="5"/>
      <c r="D151" s="5"/>
      <c r="E151" s="5"/>
      <c r="F151" s="5"/>
    </row>
    <row r="152" ht="15.75" customHeight="1">
      <c r="A152" s="5"/>
      <c r="B152" s="5"/>
      <c r="C152" s="5"/>
      <c r="D152" s="5"/>
      <c r="E152" s="5"/>
      <c r="F152" s="5"/>
    </row>
    <row r="153" ht="15.75" customHeight="1">
      <c r="A153" s="5"/>
      <c r="B153" s="5"/>
      <c r="C153" s="5"/>
      <c r="D153" s="5"/>
      <c r="E153" s="5"/>
      <c r="F153" s="5"/>
    </row>
    <row r="154" ht="15.75" customHeight="1">
      <c r="A154" s="5"/>
      <c r="B154" s="5"/>
      <c r="C154" s="5"/>
      <c r="D154" s="5"/>
      <c r="E154" s="5"/>
      <c r="F154" s="5"/>
    </row>
    <row r="155" ht="15.75" customHeight="1">
      <c r="A155" s="5"/>
      <c r="B155" s="5"/>
      <c r="C155" s="5"/>
      <c r="D155" s="5"/>
      <c r="E155" s="5"/>
      <c r="F155" s="5"/>
    </row>
    <row r="156" ht="15.75" customHeight="1">
      <c r="A156" s="5"/>
      <c r="B156" s="5"/>
      <c r="C156" s="5"/>
      <c r="D156" s="5"/>
      <c r="E156" s="5"/>
      <c r="F156" s="5"/>
    </row>
    <row r="157" ht="15.75" customHeight="1">
      <c r="A157" s="5"/>
      <c r="B157" s="5"/>
      <c r="C157" s="5"/>
      <c r="D157" s="5"/>
      <c r="E157" s="5"/>
      <c r="F157" s="5"/>
    </row>
    <row r="158" ht="15.75" customHeight="1">
      <c r="A158" s="5"/>
      <c r="B158" s="5"/>
      <c r="C158" s="5"/>
      <c r="D158" s="5"/>
      <c r="E158" s="5"/>
      <c r="F158" s="5"/>
    </row>
    <row r="159" ht="15.75" customHeight="1">
      <c r="A159" s="5"/>
      <c r="B159" s="5"/>
      <c r="C159" s="5"/>
      <c r="D159" s="5"/>
      <c r="E159" s="5"/>
      <c r="F159" s="5"/>
    </row>
    <row r="160" ht="15.75" customHeight="1">
      <c r="A160" s="5"/>
      <c r="B160" s="5"/>
      <c r="C160" s="5"/>
      <c r="D160" s="5"/>
      <c r="E160" s="5"/>
      <c r="F160" s="5"/>
    </row>
    <row r="161" ht="15.75" customHeight="1">
      <c r="A161" s="5"/>
      <c r="B161" s="5"/>
      <c r="C161" s="5"/>
      <c r="D161" s="5"/>
      <c r="E161" s="5"/>
      <c r="F161" s="5"/>
    </row>
    <row r="162" ht="15.75" customHeight="1">
      <c r="A162" s="5"/>
      <c r="B162" s="5"/>
      <c r="C162" s="5"/>
      <c r="D162" s="5"/>
      <c r="E162" s="5"/>
      <c r="F162" s="5"/>
    </row>
    <row r="163" ht="15.75" customHeight="1">
      <c r="A163" s="5"/>
      <c r="B163" s="5"/>
      <c r="C163" s="5"/>
      <c r="D163" s="5"/>
      <c r="E163" s="5"/>
      <c r="F163" s="5"/>
    </row>
    <row r="164" ht="15.75" customHeight="1">
      <c r="A164" s="5"/>
      <c r="B164" s="5"/>
      <c r="C164" s="5"/>
      <c r="D164" s="5"/>
      <c r="E164" s="5"/>
      <c r="F164" s="5"/>
    </row>
    <row r="165" ht="15.75" customHeight="1">
      <c r="A165" s="5"/>
      <c r="B165" s="5"/>
      <c r="C165" s="5"/>
      <c r="D165" s="5"/>
      <c r="E165" s="5"/>
      <c r="F165" s="5"/>
    </row>
    <row r="166" ht="15.75" customHeight="1">
      <c r="A166" s="5"/>
      <c r="B166" s="5"/>
      <c r="C166" s="5"/>
      <c r="D166" s="5"/>
      <c r="E166" s="5"/>
      <c r="F166" s="5"/>
    </row>
    <row r="167" ht="15.75" customHeight="1">
      <c r="A167" s="5"/>
      <c r="B167" s="5"/>
      <c r="C167" s="5"/>
      <c r="D167" s="5"/>
      <c r="E167" s="5"/>
      <c r="F167" s="5"/>
    </row>
    <row r="168" ht="15.75" customHeight="1">
      <c r="A168" s="5"/>
      <c r="B168" s="5"/>
      <c r="C168" s="5"/>
      <c r="D168" s="5"/>
      <c r="E168" s="5"/>
      <c r="F168" s="5"/>
    </row>
    <row r="169" ht="15.75" customHeight="1">
      <c r="A169" s="5"/>
      <c r="B169" s="5"/>
      <c r="C169" s="5"/>
      <c r="D169" s="5"/>
      <c r="E169" s="5"/>
      <c r="F169" s="5"/>
    </row>
    <row r="170" ht="15.75" customHeight="1">
      <c r="A170" s="5"/>
      <c r="B170" s="5"/>
      <c r="C170" s="5"/>
      <c r="D170" s="5"/>
      <c r="E170" s="5"/>
      <c r="F170" s="5"/>
    </row>
    <row r="171" ht="15.75" customHeight="1">
      <c r="A171" s="5"/>
      <c r="B171" s="5"/>
      <c r="C171" s="5"/>
      <c r="D171" s="5"/>
      <c r="E171" s="5"/>
      <c r="F171" s="5"/>
    </row>
    <row r="172" ht="15.75" customHeight="1">
      <c r="A172" s="5"/>
      <c r="B172" s="5"/>
      <c r="C172" s="5"/>
      <c r="D172" s="5"/>
      <c r="E172" s="5"/>
      <c r="F172" s="5"/>
    </row>
    <row r="173" ht="15.75" customHeight="1">
      <c r="A173" s="5"/>
      <c r="B173" s="5"/>
      <c r="C173" s="5"/>
      <c r="D173" s="5"/>
      <c r="E173" s="5"/>
      <c r="F173" s="5"/>
    </row>
    <row r="174" ht="15.75" customHeight="1">
      <c r="A174" s="5"/>
      <c r="B174" s="5"/>
      <c r="C174" s="5"/>
      <c r="D174" s="5"/>
      <c r="E174" s="5"/>
      <c r="F174" s="5"/>
    </row>
    <row r="175" ht="15.75" customHeight="1">
      <c r="A175" s="5"/>
      <c r="B175" s="5"/>
      <c r="C175" s="5"/>
      <c r="D175" s="5"/>
      <c r="E175" s="5"/>
      <c r="F175" s="5"/>
    </row>
    <row r="176" ht="15.75" customHeight="1">
      <c r="A176" s="5"/>
      <c r="B176" s="5"/>
      <c r="C176" s="5"/>
      <c r="D176" s="5"/>
      <c r="E176" s="5"/>
      <c r="F176" s="5"/>
    </row>
    <row r="177" ht="15.75" customHeight="1">
      <c r="A177" s="5"/>
      <c r="B177" s="5"/>
      <c r="C177" s="5"/>
      <c r="D177" s="5"/>
      <c r="E177" s="5"/>
      <c r="F177" s="5"/>
    </row>
    <row r="178" ht="15.75" customHeight="1">
      <c r="A178" s="5"/>
      <c r="B178" s="5"/>
      <c r="C178" s="5"/>
      <c r="D178" s="5"/>
      <c r="E178" s="5"/>
      <c r="F178" s="5"/>
    </row>
    <row r="179" ht="15.75" customHeight="1">
      <c r="A179" s="5"/>
      <c r="B179" s="5"/>
      <c r="C179" s="5"/>
      <c r="D179" s="5"/>
      <c r="E179" s="5"/>
      <c r="F179" s="5"/>
    </row>
    <row r="180" ht="15.75" customHeight="1">
      <c r="A180" s="5"/>
      <c r="B180" s="5"/>
      <c r="C180" s="5"/>
      <c r="D180" s="5"/>
      <c r="E180" s="5"/>
      <c r="F180" s="5"/>
    </row>
    <row r="181" ht="15.75" customHeight="1">
      <c r="A181" s="5"/>
      <c r="B181" s="5"/>
      <c r="C181" s="5"/>
      <c r="D181" s="5"/>
      <c r="E181" s="5"/>
      <c r="F181" s="5"/>
    </row>
    <row r="182" ht="15.75" customHeight="1">
      <c r="A182" s="5"/>
      <c r="B182" s="5"/>
      <c r="C182" s="5"/>
      <c r="D182" s="5"/>
      <c r="E182" s="5"/>
      <c r="F182" s="5"/>
    </row>
    <row r="183" ht="15.75" customHeight="1">
      <c r="A183" s="5"/>
      <c r="B183" s="5"/>
      <c r="C183" s="5"/>
      <c r="D183" s="5"/>
      <c r="E183" s="5"/>
      <c r="F183" s="5"/>
    </row>
    <row r="184" ht="15.75" customHeight="1">
      <c r="A184" s="5"/>
      <c r="B184" s="5"/>
      <c r="C184" s="5"/>
      <c r="D184" s="5"/>
      <c r="E184" s="5"/>
      <c r="F184" s="5"/>
    </row>
    <row r="185" ht="15.75" customHeight="1">
      <c r="A185" s="5"/>
      <c r="B185" s="5"/>
      <c r="C185" s="5"/>
      <c r="D185" s="5"/>
      <c r="E185" s="5"/>
      <c r="F185" s="5"/>
    </row>
    <row r="186" ht="15.75" customHeight="1">
      <c r="A186" s="5"/>
      <c r="B186" s="5"/>
      <c r="C186" s="5"/>
      <c r="D186" s="5"/>
      <c r="E186" s="5"/>
      <c r="F186" s="5"/>
    </row>
    <row r="187" ht="15.75" customHeight="1">
      <c r="A187" s="5"/>
      <c r="B187" s="5"/>
      <c r="C187" s="5"/>
      <c r="D187" s="5"/>
      <c r="E187" s="5"/>
      <c r="F187" s="5"/>
    </row>
    <row r="188" ht="15.75" customHeight="1">
      <c r="A188" s="5"/>
      <c r="B188" s="5"/>
      <c r="C188" s="5"/>
      <c r="D188" s="5"/>
      <c r="E188" s="5"/>
      <c r="F188" s="5"/>
    </row>
    <row r="189" ht="15.75" customHeight="1">
      <c r="A189" s="5"/>
      <c r="B189" s="5"/>
      <c r="C189" s="5"/>
      <c r="D189" s="5"/>
      <c r="E189" s="5"/>
      <c r="F189" s="5"/>
    </row>
    <row r="190" ht="15.75" customHeight="1">
      <c r="A190" s="5"/>
      <c r="B190" s="5"/>
      <c r="C190" s="5"/>
      <c r="D190" s="5"/>
      <c r="E190" s="5"/>
      <c r="F190" s="5"/>
    </row>
    <row r="191" ht="15.75" customHeight="1">
      <c r="A191" s="5"/>
      <c r="B191" s="5"/>
      <c r="C191" s="5"/>
      <c r="D191" s="5"/>
      <c r="E191" s="5"/>
      <c r="F191" s="5"/>
    </row>
    <row r="192" ht="15.75" customHeight="1">
      <c r="A192" s="5"/>
      <c r="B192" s="5"/>
      <c r="C192" s="5"/>
      <c r="D192" s="5"/>
      <c r="E192" s="5"/>
      <c r="F192" s="5"/>
    </row>
    <row r="193" ht="15.75" customHeight="1">
      <c r="A193" s="5"/>
      <c r="B193" s="5"/>
      <c r="C193" s="5"/>
      <c r="D193" s="5"/>
      <c r="E193" s="5"/>
      <c r="F193" s="5"/>
    </row>
    <row r="194" ht="15.75" customHeight="1">
      <c r="A194" s="5"/>
      <c r="B194" s="5"/>
      <c r="C194" s="5"/>
      <c r="D194" s="5"/>
      <c r="E194" s="5"/>
      <c r="F194" s="5"/>
    </row>
    <row r="195" ht="15.75" customHeight="1">
      <c r="A195" s="5"/>
      <c r="B195" s="5"/>
      <c r="C195" s="5"/>
      <c r="D195" s="5"/>
      <c r="E195" s="5"/>
      <c r="F195" s="5"/>
    </row>
    <row r="196" ht="15.75" customHeight="1">
      <c r="A196" s="5"/>
      <c r="B196" s="5"/>
      <c r="C196" s="5"/>
      <c r="D196" s="5"/>
      <c r="E196" s="5"/>
      <c r="F196" s="5"/>
    </row>
    <row r="197" ht="15.75" customHeight="1">
      <c r="A197" s="5"/>
      <c r="B197" s="5"/>
      <c r="C197" s="5"/>
      <c r="D197" s="5"/>
      <c r="E197" s="5"/>
      <c r="F197" s="5"/>
    </row>
    <row r="198" ht="15.75" customHeight="1">
      <c r="A198" s="5"/>
      <c r="B198" s="5"/>
      <c r="C198" s="5"/>
      <c r="D198" s="5"/>
      <c r="E198" s="5"/>
      <c r="F198" s="5"/>
    </row>
    <row r="199" ht="15.75" customHeight="1">
      <c r="A199" s="5"/>
      <c r="B199" s="5"/>
      <c r="C199" s="5"/>
      <c r="D199" s="5"/>
      <c r="E199" s="5"/>
      <c r="F199" s="5"/>
    </row>
    <row r="200" ht="15.75" customHeight="1">
      <c r="A200" s="5"/>
      <c r="B200" s="5"/>
      <c r="C200" s="5"/>
      <c r="D200" s="5"/>
      <c r="E200" s="5"/>
      <c r="F200" s="5"/>
    </row>
    <row r="201" ht="15.75" customHeight="1">
      <c r="A201" s="5"/>
      <c r="B201" s="5"/>
      <c r="C201" s="5"/>
      <c r="D201" s="5"/>
      <c r="E201" s="5"/>
      <c r="F201" s="5"/>
    </row>
    <row r="202" ht="15.75" customHeight="1">
      <c r="A202" s="5"/>
      <c r="B202" s="5"/>
      <c r="C202" s="5"/>
      <c r="D202" s="5"/>
      <c r="E202" s="5"/>
      <c r="F202" s="5"/>
    </row>
    <row r="203" ht="15.75" customHeight="1">
      <c r="A203" s="5"/>
      <c r="B203" s="5"/>
      <c r="C203" s="5"/>
      <c r="D203" s="5"/>
      <c r="E203" s="5"/>
      <c r="F203" s="5"/>
    </row>
    <row r="204" ht="15.75" customHeight="1">
      <c r="A204" s="5"/>
      <c r="B204" s="5"/>
      <c r="C204" s="5"/>
      <c r="D204" s="5"/>
      <c r="E204" s="5"/>
      <c r="F204" s="5"/>
    </row>
    <row r="205" ht="15.75" customHeight="1">
      <c r="A205" s="5"/>
      <c r="B205" s="5"/>
      <c r="C205" s="5"/>
      <c r="D205" s="5"/>
      <c r="E205" s="5"/>
      <c r="F205" s="5"/>
    </row>
    <row r="206" ht="15.75" customHeight="1">
      <c r="A206" s="5"/>
      <c r="B206" s="5"/>
      <c r="C206" s="5"/>
      <c r="D206" s="5"/>
      <c r="E206" s="5"/>
      <c r="F206" s="5"/>
    </row>
    <row r="207" ht="15.75" customHeight="1">
      <c r="A207" s="5"/>
      <c r="B207" s="5"/>
      <c r="C207" s="5"/>
      <c r="D207" s="5"/>
      <c r="E207" s="5"/>
      <c r="F207" s="5"/>
    </row>
    <row r="208" ht="15.75" customHeight="1">
      <c r="A208" s="5"/>
      <c r="B208" s="5"/>
      <c r="C208" s="5"/>
      <c r="D208" s="5"/>
      <c r="E208" s="5"/>
      <c r="F208" s="5"/>
    </row>
    <row r="209" ht="15.75" customHeight="1">
      <c r="A209" s="5"/>
      <c r="B209" s="5"/>
      <c r="C209" s="5"/>
      <c r="D209" s="5"/>
      <c r="E209" s="5"/>
      <c r="F209" s="5"/>
    </row>
    <row r="210" ht="15.75" customHeight="1">
      <c r="A210" s="5"/>
      <c r="B210" s="5"/>
      <c r="C210" s="5"/>
      <c r="D210" s="5"/>
      <c r="E210" s="5"/>
      <c r="F210" s="5"/>
    </row>
    <row r="211" ht="15.75" customHeight="1">
      <c r="A211" s="5"/>
      <c r="B211" s="5"/>
      <c r="C211" s="5"/>
      <c r="D211" s="5"/>
      <c r="E211" s="5"/>
      <c r="F211" s="5"/>
    </row>
    <row r="212" ht="15.75" customHeight="1">
      <c r="A212" s="5"/>
      <c r="B212" s="5"/>
      <c r="C212" s="5"/>
      <c r="D212" s="5"/>
      <c r="E212" s="5"/>
      <c r="F212" s="5"/>
    </row>
    <row r="213" ht="15.75" customHeight="1">
      <c r="A213" s="5"/>
      <c r="B213" s="5"/>
      <c r="C213" s="5"/>
      <c r="D213" s="5"/>
      <c r="E213" s="5"/>
      <c r="F213" s="5"/>
    </row>
    <row r="214" ht="15.75" customHeight="1">
      <c r="A214" s="5"/>
      <c r="B214" s="5"/>
      <c r="C214" s="5"/>
      <c r="D214" s="5"/>
      <c r="E214" s="5"/>
      <c r="F214" s="5"/>
    </row>
    <row r="215" ht="15.75" customHeight="1">
      <c r="A215" s="5"/>
      <c r="B215" s="5"/>
      <c r="C215" s="5"/>
      <c r="D215" s="5"/>
      <c r="E215" s="5"/>
      <c r="F215" s="5"/>
    </row>
    <row r="216" ht="15.75" customHeight="1">
      <c r="A216" s="5"/>
      <c r="B216" s="5"/>
      <c r="C216" s="5"/>
      <c r="D216" s="5"/>
      <c r="E216" s="5"/>
      <c r="F216" s="5"/>
    </row>
    <row r="217" ht="15.75" customHeight="1">
      <c r="A217" s="5"/>
      <c r="B217" s="5"/>
      <c r="C217" s="5"/>
      <c r="D217" s="5"/>
      <c r="E217" s="5"/>
      <c r="F217" s="5"/>
    </row>
    <row r="218" ht="15.75" customHeight="1">
      <c r="A218" s="5"/>
      <c r="B218" s="5"/>
      <c r="C218" s="5"/>
      <c r="D218" s="5"/>
      <c r="E218" s="5"/>
      <c r="F218" s="5"/>
    </row>
    <row r="219" ht="15.75" customHeight="1">
      <c r="A219" s="5"/>
      <c r="B219" s="5"/>
      <c r="C219" s="5"/>
      <c r="D219" s="5"/>
      <c r="E219" s="5"/>
      <c r="F219" s="5"/>
    </row>
    <row r="220" ht="15.75" customHeight="1">
      <c r="A220" s="5"/>
      <c r="B220" s="5"/>
      <c r="C220" s="5"/>
      <c r="D220" s="5"/>
      <c r="E220" s="5"/>
      <c r="F220" s="5"/>
    </row>
    <row r="221" ht="15.75" customHeight="1">
      <c r="A221" s="5"/>
      <c r="B221" s="5"/>
      <c r="C221" s="5"/>
      <c r="D221" s="5"/>
      <c r="E221" s="5"/>
      <c r="F221" s="5"/>
    </row>
    <row r="222" ht="15.75" customHeight="1">
      <c r="A222" s="5"/>
      <c r="B222" s="5"/>
      <c r="C222" s="5"/>
      <c r="D222" s="5"/>
      <c r="E222" s="5"/>
      <c r="F222" s="5"/>
    </row>
    <row r="223" ht="15.75" customHeight="1">
      <c r="A223" s="5"/>
      <c r="B223" s="5"/>
      <c r="C223" s="5"/>
      <c r="D223" s="5"/>
      <c r="E223" s="5"/>
      <c r="F223" s="5"/>
    </row>
    <row r="224" ht="15.75" customHeight="1">
      <c r="A224" s="5"/>
      <c r="B224" s="5"/>
      <c r="C224" s="5"/>
      <c r="D224" s="5"/>
      <c r="E224" s="5"/>
      <c r="F224" s="5"/>
    </row>
    <row r="225" ht="15.75" customHeight="1">
      <c r="A225" s="5"/>
      <c r="B225" s="5"/>
      <c r="C225" s="5"/>
      <c r="D225" s="5"/>
      <c r="E225" s="5"/>
      <c r="F225" s="5"/>
    </row>
    <row r="226" ht="15.75" customHeight="1">
      <c r="A226" s="5"/>
      <c r="B226" s="5"/>
      <c r="C226" s="5"/>
      <c r="D226" s="5"/>
      <c r="E226" s="5"/>
      <c r="F226" s="5"/>
    </row>
    <row r="227" ht="15.75" customHeight="1">
      <c r="A227" s="5"/>
      <c r="B227" s="5"/>
      <c r="C227" s="5"/>
      <c r="D227" s="5"/>
      <c r="E227" s="5"/>
      <c r="F227" s="5"/>
    </row>
    <row r="228" ht="15.75" customHeight="1">
      <c r="A228" s="5"/>
      <c r="B228" s="5"/>
      <c r="C228" s="5"/>
      <c r="D228" s="5"/>
      <c r="E228" s="5"/>
      <c r="F228" s="5"/>
    </row>
    <row r="229" ht="15.75" customHeight="1">
      <c r="A229" s="5"/>
      <c r="B229" s="5"/>
      <c r="C229" s="5"/>
      <c r="D229" s="5"/>
      <c r="E229" s="5"/>
      <c r="F229" s="5"/>
    </row>
    <row r="230" ht="15.75" customHeight="1">
      <c r="A230" s="5"/>
      <c r="B230" s="5"/>
      <c r="C230" s="5"/>
      <c r="D230" s="5"/>
      <c r="E230" s="5"/>
      <c r="F230" s="5"/>
    </row>
    <row r="231" ht="15.75" customHeight="1">
      <c r="A231" s="5"/>
      <c r="B231" s="5"/>
      <c r="C231" s="5"/>
      <c r="D231" s="5"/>
      <c r="E231" s="5"/>
      <c r="F231" s="5"/>
    </row>
    <row r="232" ht="15.75" customHeight="1">
      <c r="A232" s="5"/>
      <c r="B232" s="5"/>
      <c r="C232" s="5"/>
      <c r="D232" s="5"/>
      <c r="E232" s="5"/>
      <c r="F232" s="5"/>
    </row>
    <row r="233" ht="15.75" customHeight="1">
      <c r="A233" s="5"/>
      <c r="B233" s="5"/>
      <c r="C233" s="5"/>
      <c r="D233" s="5"/>
      <c r="E233" s="5"/>
      <c r="F233" s="5"/>
    </row>
    <row r="234" ht="15.75" customHeight="1">
      <c r="A234" s="5"/>
      <c r="B234" s="5"/>
      <c r="C234" s="5"/>
      <c r="D234" s="5"/>
      <c r="E234" s="5"/>
      <c r="F234" s="5"/>
    </row>
    <row r="235" ht="15.75" customHeight="1">
      <c r="A235" s="5"/>
      <c r="B235" s="5"/>
      <c r="C235" s="5"/>
      <c r="D235" s="5"/>
      <c r="E235" s="5"/>
      <c r="F235" s="5"/>
    </row>
    <row r="236" ht="15.75" customHeight="1">
      <c r="A236" s="5"/>
      <c r="B236" s="5"/>
      <c r="C236" s="5"/>
      <c r="D236" s="5"/>
      <c r="E236" s="5"/>
      <c r="F236" s="5"/>
    </row>
    <row r="237" ht="15.75" customHeight="1">
      <c r="A237" s="5"/>
      <c r="B237" s="5"/>
      <c r="C237" s="5"/>
      <c r="D237" s="5"/>
      <c r="E237" s="5"/>
      <c r="F237" s="5"/>
    </row>
    <row r="238" ht="15.75" customHeight="1">
      <c r="A238" s="5"/>
      <c r="B238" s="5"/>
      <c r="C238" s="5"/>
      <c r="D238" s="5"/>
      <c r="E238" s="5"/>
      <c r="F238" s="5"/>
    </row>
    <row r="239" ht="15.75" customHeight="1">
      <c r="A239" s="5"/>
      <c r="B239" s="5"/>
      <c r="C239" s="5"/>
      <c r="D239" s="5"/>
      <c r="E239" s="5"/>
      <c r="F239" s="5"/>
    </row>
    <row r="240" ht="15.75" customHeight="1">
      <c r="A240" s="5"/>
      <c r="B240" s="5"/>
      <c r="C240" s="5"/>
      <c r="D240" s="5"/>
      <c r="E240" s="5"/>
      <c r="F240" s="5"/>
    </row>
    <row r="241" ht="15.75" customHeight="1">
      <c r="A241" s="5"/>
      <c r="B241" s="5"/>
      <c r="C241" s="5"/>
      <c r="D241" s="5"/>
      <c r="E241" s="5"/>
      <c r="F241" s="5"/>
    </row>
    <row r="242" ht="15.75" customHeight="1">
      <c r="A242" s="5"/>
      <c r="B242" s="5"/>
      <c r="C242" s="5"/>
      <c r="D242" s="5"/>
      <c r="E242" s="5"/>
      <c r="F242" s="5"/>
    </row>
    <row r="243" ht="15.75" customHeight="1">
      <c r="A243" s="5"/>
      <c r="B243" s="5"/>
      <c r="C243" s="5"/>
      <c r="D243" s="5"/>
      <c r="E243" s="5"/>
      <c r="F243" s="5"/>
    </row>
    <row r="244" ht="15.75" customHeight="1">
      <c r="A244" s="5"/>
      <c r="B244" s="5"/>
      <c r="C244" s="5"/>
      <c r="D244" s="5"/>
      <c r="E244" s="5"/>
      <c r="F244" s="5"/>
    </row>
    <row r="245" ht="15.75" customHeight="1">
      <c r="A245" s="5"/>
      <c r="B245" s="5"/>
      <c r="C245" s="5"/>
      <c r="D245" s="5"/>
      <c r="E245" s="5"/>
      <c r="F245" s="5"/>
    </row>
    <row r="246" ht="15.75" customHeight="1">
      <c r="A246" s="5"/>
      <c r="B246" s="5"/>
      <c r="C246" s="5"/>
      <c r="D246" s="5"/>
      <c r="E246" s="5"/>
      <c r="F246" s="5"/>
    </row>
    <row r="247" ht="15.75" customHeight="1">
      <c r="A247" s="5"/>
      <c r="B247" s="5"/>
      <c r="C247" s="5"/>
      <c r="D247" s="5"/>
      <c r="E247" s="5"/>
      <c r="F247" s="5"/>
    </row>
    <row r="248" ht="15.75" customHeight="1">
      <c r="A248" s="5"/>
      <c r="B248" s="5"/>
      <c r="C248" s="5"/>
      <c r="D248" s="5"/>
      <c r="E248" s="5"/>
      <c r="F248" s="5"/>
    </row>
    <row r="249" ht="15.75" customHeight="1">
      <c r="A249" s="5"/>
      <c r="B249" s="5"/>
      <c r="C249" s="5"/>
      <c r="D249" s="5"/>
      <c r="E249" s="5"/>
      <c r="F249" s="5"/>
    </row>
    <row r="250" ht="15.75" customHeight="1">
      <c r="A250" s="5"/>
      <c r="B250" s="5"/>
      <c r="C250" s="5"/>
      <c r="D250" s="5"/>
      <c r="E250" s="5"/>
      <c r="F250" s="5"/>
    </row>
    <row r="251" ht="15.75" customHeight="1">
      <c r="A251" s="5"/>
      <c r="B251" s="5"/>
      <c r="C251" s="5"/>
      <c r="D251" s="5"/>
      <c r="E251" s="5"/>
      <c r="F251" s="5"/>
    </row>
    <row r="252" ht="15.75" customHeight="1">
      <c r="A252" s="5"/>
      <c r="B252" s="5"/>
      <c r="C252" s="5"/>
      <c r="D252" s="5"/>
      <c r="E252" s="5"/>
      <c r="F252" s="5"/>
    </row>
    <row r="253" ht="15.75" customHeight="1">
      <c r="A253" s="5"/>
      <c r="B253" s="5"/>
      <c r="C253" s="5"/>
      <c r="D253" s="5"/>
      <c r="E253" s="5"/>
      <c r="F253" s="5"/>
    </row>
    <row r="254" ht="15.75" customHeight="1">
      <c r="A254" s="5"/>
      <c r="B254" s="5"/>
      <c r="C254" s="5"/>
      <c r="D254" s="5"/>
      <c r="E254" s="5"/>
      <c r="F254" s="5"/>
    </row>
    <row r="255" ht="15.75" customHeight="1">
      <c r="A255" s="5"/>
      <c r="B255" s="5"/>
      <c r="C255" s="5"/>
      <c r="D255" s="5"/>
      <c r="E255" s="5"/>
      <c r="F255" s="5"/>
    </row>
    <row r="256" ht="15.75" customHeight="1">
      <c r="A256" s="5"/>
      <c r="B256" s="5"/>
      <c r="C256" s="5"/>
      <c r="D256" s="5"/>
      <c r="E256" s="5"/>
      <c r="F256" s="5"/>
    </row>
    <row r="257" ht="15.75" customHeight="1">
      <c r="A257" s="5"/>
      <c r="B257" s="5"/>
      <c r="C257" s="5"/>
      <c r="D257" s="5"/>
      <c r="E257" s="5"/>
      <c r="F257" s="5"/>
    </row>
    <row r="258" ht="15.75" customHeight="1">
      <c r="A258" s="5"/>
      <c r="B258" s="5"/>
      <c r="C258" s="5"/>
      <c r="D258" s="5"/>
      <c r="E258" s="5"/>
      <c r="F258" s="5"/>
    </row>
    <row r="259" ht="15.75" customHeight="1">
      <c r="A259" s="5"/>
      <c r="B259" s="5"/>
      <c r="C259" s="5"/>
      <c r="D259" s="5"/>
      <c r="E259" s="5"/>
      <c r="F259" s="5"/>
    </row>
    <row r="260" ht="15.75" customHeight="1">
      <c r="A260" s="5"/>
      <c r="B260" s="5"/>
      <c r="C260" s="5"/>
      <c r="D260" s="5"/>
      <c r="E260" s="5"/>
      <c r="F260" s="5"/>
    </row>
    <row r="261" ht="15.75" customHeight="1">
      <c r="A261" s="5"/>
      <c r="B261" s="5"/>
      <c r="C261" s="5"/>
      <c r="D261" s="5"/>
      <c r="E261" s="5"/>
      <c r="F261" s="5"/>
    </row>
    <row r="262" ht="15.75" customHeight="1">
      <c r="A262" s="5"/>
      <c r="B262" s="5"/>
      <c r="C262" s="5"/>
      <c r="D262" s="5"/>
      <c r="E262" s="5"/>
      <c r="F262" s="5"/>
    </row>
    <row r="263" ht="15.75" customHeight="1">
      <c r="A263" s="5"/>
      <c r="B263" s="5"/>
      <c r="C263" s="5"/>
      <c r="D263" s="5"/>
      <c r="E263" s="5"/>
      <c r="F263" s="5"/>
    </row>
    <row r="264" ht="15.75" customHeight="1">
      <c r="A264" s="5"/>
      <c r="B264" s="5"/>
      <c r="C264" s="5"/>
      <c r="D264" s="5"/>
      <c r="E264" s="5"/>
      <c r="F264" s="5"/>
    </row>
    <row r="265" ht="15.75" customHeight="1">
      <c r="A265" s="5"/>
      <c r="B265" s="5"/>
      <c r="C265" s="5"/>
      <c r="D265" s="5"/>
      <c r="E265" s="5"/>
      <c r="F265" s="5"/>
    </row>
    <row r="266" ht="15.75" customHeight="1">
      <c r="A266" s="5"/>
      <c r="B266" s="5"/>
      <c r="C266" s="5"/>
      <c r="D266" s="5"/>
      <c r="E266" s="5"/>
      <c r="F266" s="5"/>
    </row>
    <row r="267" ht="15.75" customHeight="1">
      <c r="A267" s="5"/>
      <c r="B267" s="5"/>
      <c r="C267" s="5"/>
      <c r="D267" s="5"/>
      <c r="E267" s="5"/>
      <c r="F267" s="5"/>
    </row>
    <row r="268" ht="15.75" customHeight="1">
      <c r="A268" s="5"/>
      <c r="B268" s="5"/>
      <c r="C268" s="5"/>
      <c r="D268" s="5"/>
      <c r="E268" s="5"/>
      <c r="F268" s="5"/>
    </row>
    <row r="269" ht="15.75" customHeight="1">
      <c r="A269" s="5"/>
      <c r="B269" s="5"/>
      <c r="C269" s="5"/>
      <c r="D269" s="5"/>
      <c r="E269" s="5"/>
      <c r="F269" s="5"/>
    </row>
    <row r="270" ht="15.75" customHeight="1">
      <c r="A270" s="5"/>
      <c r="B270" s="5"/>
      <c r="C270" s="5"/>
      <c r="D270" s="5"/>
      <c r="E270" s="5"/>
      <c r="F270" s="5"/>
    </row>
    <row r="271" ht="15.75" customHeight="1">
      <c r="A271" s="5"/>
      <c r="B271" s="5"/>
      <c r="C271" s="5"/>
      <c r="D271" s="5"/>
      <c r="E271" s="5"/>
      <c r="F271" s="5"/>
    </row>
    <row r="272" ht="15.75" customHeight="1">
      <c r="A272" s="5"/>
      <c r="B272" s="5"/>
      <c r="C272" s="5"/>
      <c r="D272" s="5"/>
      <c r="E272" s="5"/>
      <c r="F272" s="5"/>
    </row>
    <row r="273" ht="15.75" customHeight="1">
      <c r="A273" s="5"/>
      <c r="B273" s="5"/>
      <c r="C273" s="5"/>
      <c r="D273" s="5"/>
      <c r="E273" s="5"/>
      <c r="F273" s="5"/>
    </row>
    <row r="274" ht="15.75" customHeight="1">
      <c r="A274" s="5"/>
      <c r="B274" s="5"/>
      <c r="C274" s="5"/>
      <c r="D274" s="5"/>
      <c r="E274" s="5"/>
      <c r="F274" s="5"/>
    </row>
    <row r="275" ht="15.75" customHeight="1">
      <c r="A275" s="5"/>
      <c r="B275" s="5"/>
      <c r="C275" s="5"/>
      <c r="D275" s="5"/>
      <c r="E275" s="5"/>
      <c r="F275" s="5"/>
    </row>
    <row r="276" ht="15.75" customHeight="1">
      <c r="A276" s="5"/>
      <c r="B276" s="5"/>
      <c r="C276" s="5"/>
      <c r="D276" s="5"/>
      <c r="E276" s="5"/>
      <c r="F276" s="5"/>
    </row>
    <row r="277" ht="15.75" customHeight="1">
      <c r="A277" s="5"/>
      <c r="B277" s="5"/>
      <c r="C277" s="5"/>
      <c r="D277" s="5"/>
      <c r="E277" s="5"/>
      <c r="F277" s="5"/>
    </row>
    <row r="278" ht="15.75" customHeight="1">
      <c r="A278" s="5"/>
      <c r="B278" s="5"/>
      <c r="C278" s="5"/>
      <c r="D278" s="5"/>
      <c r="E278" s="5"/>
      <c r="F278" s="5"/>
    </row>
    <row r="279" ht="15.75" customHeight="1">
      <c r="A279" s="5"/>
      <c r="B279" s="5"/>
      <c r="C279" s="5"/>
      <c r="D279" s="5"/>
      <c r="E279" s="5"/>
      <c r="F279" s="5"/>
    </row>
    <row r="280" ht="15.75" customHeight="1">
      <c r="A280" s="5"/>
      <c r="B280" s="5"/>
      <c r="C280" s="5"/>
      <c r="D280" s="5"/>
      <c r="E280" s="5"/>
      <c r="F280" s="5"/>
    </row>
    <row r="281" ht="15.75" customHeight="1">
      <c r="A281" s="5"/>
      <c r="B281" s="5"/>
      <c r="C281" s="5"/>
      <c r="D281" s="5"/>
      <c r="E281" s="5"/>
      <c r="F281" s="5"/>
    </row>
    <row r="282" ht="15.75" customHeight="1">
      <c r="A282" s="5"/>
      <c r="B282" s="5"/>
      <c r="C282" s="5"/>
      <c r="D282" s="5"/>
      <c r="E282" s="5"/>
      <c r="F282" s="5"/>
    </row>
    <row r="283" ht="15.75" customHeight="1">
      <c r="A283" s="5"/>
      <c r="B283" s="5"/>
      <c r="C283" s="5"/>
      <c r="D283" s="5"/>
      <c r="E283" s="5"/>
      <c r="F283" s="5"/>
    </row>
    <row r="284" ht="15.75" customHeight="1">
      <c r="A284" s="5"/>
      <c r="B284" s="5"/>
      <c r="C284" s="5"/>
      <c r="D284" s="5"/>
      <c r="E284" s="5"/>
      <c r="F284" s="5"/>
    </row>
    <row r="285" ht="15.75" customHeight="1">
      <c r="A285" s="5"/>
      <c r="B285" s="5"/>
      <c r="C285" s="5"/>
      <c r="D285" s="5"/>
      <c r="E285" s="5"/>
      <c r="F285" s="5"/>
    </row>
    <row r="286" ht="15.75" customHeight="1">
      <c r="A286" s="5"/>
      <c r="B286" s="5"/>
      <c r="C286" s="5"/>
      <c r="D286" s="5"/>
      <c r="E286" s="5"/>
      <c r="F286" s="5"/>
    </row>
    <row r="287" ht="15.75" customHeight="1">
      <c r="A287" s="5"/>
      <c r="B287" s="5"/>
      <c r="C287" s="5"/>
      <c r="D287" s="5"/>
      <c r="E287" s="5"/>
      <c r="F287" s="5"/>
    </row>
    <row r="288" ht="15.75" customHeight="1">
      <c r="A288" s="5"/>
      <c r="B288" s="5"/>
      <c r="C288" s="5"/>
      <c r="D288" s="5"/>
      <c r="E288" s="5"/>
      <c r="F288" s="5"/>
    </row>
    <row r="289" ht="15.75" customHeight="1">
      <c r="A289" s="5"/>
      <c r="B289" s="5"/>
      <c r="C289" s="5"/>
      <c r="D289" s="5"/>
      <c r="E289" s="5"/>
      <c r="F289" s="5"/>
    </row>
    <row r="290" ht="15.75" customHeight="1">
      <c r="A290" s="5"/>
      <c r="B290" s="5"/>
      <c r="C290" s="5"/>
      <c r="D290" s="5"/>
      <c r="E290" s="5"/>
      <c r="F290" s="5"/>
    </row>
    <row r="291" ht="15.75" customHeight="1">
      <c r="A291" s="5"/>
      <c r="B291" s="5"/>
      <c r="C291" s="5"/>
      <c r="D291" s="5"/>
      <c r="E291" s="5"/>
      <c r="F291" s="5"/>
    </row>
    <row r="292" ht="15.75" customHeight="1">
      <c r="A292" s="5"/>
      <c r="B292" s="5"/>
      <c r="C292" s="5"/>
      <c r="D292" s="5"/>
      <c r="E292" s="5"/>
      <c r="F292" s="5"/>
    </row>
    <row r="293" ht="15.75" customHeight="1">
      <c r="A293" s="5"/>
      <c r="B293" s="5"/>
      <c r="C293" s="5"/>
      <c r="D293" s="5"/>
      <c r="E293" s="5"/>
      <c r="F293" s="5"/>
    </row>
    <row r="294" ht="15.75" customHeight="1">
      <c r="A294" s="5"/>
      <c r="B294" s="5"/>
      <c r="C294" s="5"/>
      <c r="D294" s="5"/>
      <c r="E294" s="5"/>
      <c r="F294" s="5"/>
    </row>
    <row r="295" ht="15.75" customHeight="1">
      <c r="A295" s="5"/>
      <c r="B295" s="5"/>
      <c r="C295" s="5"/>
      <c r="D295" s="5"/>
      <c r="E295" s="5"/>
      <c r="F295" s="5"/>
    </row>
    <row r="296" ht="15.75" customHeight="1">
      <c r="A296" s="5"/>
      <c r="B296" s="5"/>
      <c r="C296" s="5"/>
      <c r="D296" s="5"/>
      <c r="E296" s="5"/>
      <c r="F296" s="5"/>
    </row>
    <row r="297" ht="15.75" customHeight="1">
      <c r="A297" s="5"/>
      <c r="B297" s="5"/>
      <c r="C297" s="5"/>
      <c r="D297" s="5"/>
      <c r="E297" s="5"/>
      <c r="F297" s="5"/>
    </row>
    <row r="298" ht="15.75" customHeight="1">
      <c r="A298" s="5"/>
      <c r="B298" s="5"/>
      <c r="C298" s="5"/>
      <c r="D298" s="5"/>
      <c r="E298" s="5"/>
      <c r="F298" s="5"/>
    </row>
    <row r="299" ht="15.75" customHeight="1">
      <c r="A299" s="5"/>
      <c r="B299" s="5"/>
      <c r="C299" s="5"/>
      <c r="D299" s="5"/>
      <c r="E299" s="5"/>
      <c r="F299" s="5"/>
    </row>
    <row r="300" ht="15.75" customHeight="1">
      <c r="A300" s="5"/>
      <c r="B300" s="5"/>
      <c r="C300" s="5"/>
      <c r="D300" s="5"/>
      <c r="E300" s="5"/>
      <c r="F300" s="5"/>
    </row>
    <row r="301" ht="15.75" customHeight="1">
      <c r="A301" s="5"/>
      <c r="B301" s="5"/>
      <c r="C301" s="5"/>
      <c r="D301" s="5"/>
      <c r="E301" s="5"/>
      <c r="F301" s="5"/>
    </row>
    <row r="302" ht="15.75" customHeight="1">
      <c r="A302" s="5"/>
      <c r="B302" s="5"/>
      <c r="C302" s="5"/>
      <c r="D302" s="5"/>
      <c r="E302" s="5"/>
      <c r="F302" s="5"/>
    </row>
    <row r="303" ht="15.75" customHeight="1">
      <c r="A303" s="5"/>
      <c r="B303" s="5"/>
      <c r="C303" s="5"/>
      <c r="D303" s="5"/>
      <c r="E303" s="5"/>
      <c r="F303" s="5"/>
    </row>
    <row r="304" ht="15.75" customHeight="1">
      <c r="A304" s="5"/>
      <c r="B304" s="5"/>
      <c r="C304" s="5"/>
      <c r="D304" s="5"/>
      <c r="E304" s="5"/>
      <c r="F304" s="5"/>
    </row>
    <row r="305" ht="15.75" customHeight="1">
      <c r="A305" s="5"/>
      <c r="B305" s="5"/>
      <c r="C305" s="5"/>
      <c r="D305" s="5"/>
      <c r="E305" s="5"/>
      <c r="F305" s="5"/>
    </row>
    <row r="306" ht="15.75" customHeight="1">
      <c r="A306" s="5"/>
      <c r="B306" s="5"/>
      <c r="C306" s="5"/>
      <c r="D306" s="5"/>
      <c r="E306" s="5"/>
      <c r="F306" s="5"/>
    </row>
    <row r="307" ht="15.75" customHeight="1">
      <c r="A307" s="5"/>
      <c r="B307" s="5"/>
      <c r="C307" s="5"/>
      <c r="D307" s="5"/>
      <c r="E307" s="5"/>
      <c r="F307" s="5"/>
    </row>
    <row r="308" ht="15.75" customHeight="1">
      <c r="A308" s="5"/>
      <c r="B308" s="5"/>
      <c r="C308" s="5"/>
      <c r="D308" s="5"/>
      <c r="E308" s="5"/>
      <c r="F308" s="5"/>
    </row>
    <row r="309" ht="15.75" customHeight="1">
      <c r="A309" s="5"/>
      <c r="B309" s="5"/>
      <c r="C309" s="5"/>
      <c r="D309" s="5"/>
      <c r="E309" s="5"/>
      <c r="F309" s="5"/>
    </row>
    <row r="310" ht="15.75" customHeight="1">
      <c r="A310" s="5"/>
      <c r="B310" s="5"/>
      <c r="C310" s="5"/>
      <c r="D310" s="5"/>
      <c r="E310" s="5"/>
      <c r="F310" s="5"/>
    </row>
    <row r="311" ht="15.75" customHeight="1">
      <c r="A311" s="5"/>
      <c r="B311" s="5"/>
      <c r="C311" s="5"/>
      <c r="D311" s="5"/>
      <c r="E311" s="5"/>
      <c r="F311" s="5"/>
    </row>
    <row r="312" ht="15.75" customHeight="1">
      <c r="A312" s="5"/>
      <c r="B312" s="5"/>
      <c r="C312" s="5"/>
      <c r="D312" s="5"/>
      <c r="E312" s="5"/>
      <c r="F312" s="5"/>
    </row>
    <row r="313" ht="15.75" customHeight="1">
      <c r="A313" s="5"/>
      <c r="B313" s="5"/>
      <c r="C313" s="5"/>
      <c r="D313" s="5"/>
      <c r="E313" s="5"/>
      <c r="F313" s="5"/>
    </row>
    <row r="314" ht="15.75" customHeight="1">
      <c r="A314" s="5"/>
      <c r="B314" s="5"/>
      <c r="C314" s="5"/>
      <c r="D314" s="5"/>
      <c r="E314" s="5"/>
      <c r="F314" s="5"/>
    </row>
    <row r="315" ht="15.75" customHeight="1">
      <c r="A315" s="5"/>
      <c r="B315" s="5"/>
      <c r="C315" s="5"/>
      <c r="D315" s="5"/>
      <c r="E315" s="5"/>
      <c r="F315" s="5"/>
    </row>
    <row r="316" ht="15.75" customHeight="1">
      <c r="A316" s="5"/>
      <c r="B316" s="5"/>
      <c r="C316" s="5"/>
      <c r="D316" s="5"/>
      <c r="E316" s="5"/>
      <c r="F316" s="5"/>
    </row>
    <row r="317" ht="15.75" customHeight="1">
      <c r="A317" s="5"/>
      <c r="B317" s="5"/>
      <c r="C317" s="5"/>
      <c r="D317" s="5"/>
      <c r="E317" s="5"/>
      <c r="F317" s="5"/>
    </row>
    <row r="318" ht="15.75" customHeight="1">
      <c r="A318" s="5"/>
      <c r="B318" s="5"/>
      <c r="C318" s="5"/>
      <c r="D318" s="5"/>
      <c r="E318" s="5"/>
      <c r="F318" s="5"/>
    </row>
    <row r="319" ht="15.75" customHeight="1">
      <c r="A319" s="5"/>
      <c r="B319" s="5"/>
      <c r="C319" s="5"/>
      <c r="D319" s="5"/>
      <c r="E319" s="5"/>
      <c r="F319" s="5"/>
    </row>
    <row r="320" ht="15.75" customHeight="1">
      <c r="A320" s="5"/>
      <c r="B320" s="5"/>
      <c r="C320" s="5"/>
      <c r="D320" s="5"/>
      <c r="E320" s="5"/>
      <c r="F320" s="5"/>
    </row>
    <row r="321" ht="15.75" customHeight="1">
      <c r="A321" s="5"/>
      <c r="B321" s="5"/>
      <c r="C321" s="5"/>
      <c r="D321" s="5"/>
      <c r="E321" s="5"/>
      <c r="F321" s="5"/>
    </row>
    <row r="322" ht="15.75" customHeight="1">
      <c r="A322" s="5"/>
      <c r="B322" s="5"/>
      <c r="C322" s="5"/>
      <c r="D322" s="5"/>
      <c r="E322" s="5"/>
      <c r="F322" s="5"/>
    </row>
    <row r="323" ht="15.75" customHeight="1">
      <c r="A323" s="5"/>
      <c r="B323" s="5"/>
      <c r="C323" s="5"/>
      <c r="D323" s="5"/>
      <c r="E323" s="5"/>
      <c r="F323" s="5"/>
    </row>
    <row r="324" ht="15.75" customHeight="1">
      <c r="A324" s="5"/>
      <c r="B324" s="5"/>
      <c r="C324" s="5"/>
      <c r="D324" s="5"/>
      <c r="E324" s="5"/>
      <c r="F324" s="5"/>
    </row>
    <row r="325" ht="15.75" customHeight="1">
      <c r="A325" s="5"/>
      <c r="B325" s="5"/>
      <c r="C325" s="5"/>
      <c r="D325" s="5"/>
      <c r="E325" s="5"/>
      <c r="F325" s="5"/>
    </row>
    <row r="326" ht="15.75" customHeight="1">
      <c r="A326" s="5"/>
      <c r="B326" s="5"/>
      <c r="C326" s="5"/>
      <c r="D326" s="5"/>
      <c r="E326" s="5"/>
      <c r="F326" s="5"/>
    </row>
    <row r="327" ht="15.75" customHeight="1">
      <c r="A327" s="5"/>
      <c r="B327" s="5"/>
      <c r="C327" s="5"/>
      <c r="D327" s="5"/>
      <c r="E327" s="5"/>
      <c r="F327" s="5"/>
    </row>
    <row r="328" ht="15.75" customHeight="1">
      <c r="A328" s="5"/>
      <c r="B328" s="5"/>
      <c r="C328" s="5"/>
      <c r="D328" s="5"/>
      <c r="E328" s="5"/>
      <c r="F328" s="5"/>
    </row>
    <row r="329" ht="15.75" customHeight="1">
      <c r="A329" s="5"/>
      <c r="B329" s="5"/>
      <c r="C329" s="5"/>
      <c r="D329" s="5"/>
      <c r="E329" s="5"/>
      <c r="F329" s="5"/>
    </row>
    <row r="330" ht="15.75" customHeight="1">
      <c r="A330" s="5"/>
      <c r="B330" s="5"/>
      <c r="C330" s="5"/>
      <c r="D330" s="5"/>
      <c r="E330" s="5"/>
      <c r="F330" s="5"/>
    </row>
    <row r="331" ht="15.75" customHeight="1">
      <c r="A331" s="5"/>
      <c r="B331" s="5"/>
      <c r="C331" s="5"/>
      <c r="D331" s="5"/>
      <c r="E331" s="5"/>
      <c r="F331" s="5"/>
    </row>
    <row r="332" ht="15.75" customHeight="1">
      <c r="A332" s="5"/>
      <c r="B332" s="5"/>
      <c r="C332" s="5"/>
      <c r="D332" s="5"/>
      <c r="E332" s="5"/>
      <c r="F332" s="5"/>
    </row>
    <row r="333" ht="15.75" customHeight="1">
      <c r="A333" s="5"/>
      <c r="B333" s="5"/>
      <c r="C333" s="5"/>
      <c r="D333" s="5"/>
      <c r="E333" s="5"/>
      <c r="F333" s="5"/>
    </row>
    <row r="334" ht="15.75" customHeight="1">
      <c r="A334" s="5"/>
      <c r="B334" s="5"/>
      <c r="C334" s="5"/>
      <c r="D334" s="5"/>
      <c r="E334" s="5"/>
      <c r="F334" s="5"/>
    </row>
    <row r="335" ht="15.75" customHeight="1">
      <c r="A335" s="5"/>
      <c r="B335" s="5"/>
      <c r="C335" s="5"/>
      <c r="D335" s="5"/>
      <c r="E335" s="5"/>
      <c r="F335" s="5"/>
    </row>
    <row r="336" ht="15.75" customHeight="1">
      <c r="A336" s="5"/>
      <c r="B336" s="5"/>
      <c r="C336" s="5"/>
      <c r="D336" s="5"/>
      <c r="E336" s="5"/>
      <c r="F336" s="5"/>
    </row>
    <row r="337" ht="15.75" customHeight="1">
      <c r="A337" s="5"/>
      <c r="B337" s="5"/>
      <c r="C337" s="5"/>
      <c r="D337" s="5"/>
      <c r="E337" s="5"/>
      <c r="F337" s="5"/>
    </row>
    <row r="338" ht="15.75" customHeight="1">
      <c r="A338" s="5"/>
      <c r="B338" s="5"/>
      <c r="C338" s="5"/>
      <c r="D338" s="5"/>
      <c r="E338" s="5"/>
      <c r="F338" s="5"/>
    </row>
    <row r="339" ht="15.75" customHeight="1">
      <c r="A339" s="5"/>
      <c r="B339" s="5"/>
      <c r="C339" s="5"/>
      <c r="D339" s="5"/>
      <c r="E339" s="5"/>
      <c r="F339" s="5"/>
    </row>
    <row r="340" ht="15.75" customHeight="1">
      <c r="A340" s="5"/>
      <c r="B340" s="5"/>
      <c r="C340" s="5"/>
      <c r="D340" s="5"/>
      <c r="E340" s="5"/>
      <c r="F340" s="5"/>
    </row>
    <row r="341" ht="15.75" customHeight="1">
      <c r="A341" s="5"/>
      <c r="B341" s="5"/>
      <c r="C341" s="5"/>
      <c r="D341" s="5"/>
      <c r="E341" s="5"/>
      <c r="F341" s="5"/>
    </row>
    <row r="342" ht="15.75" customHeight="1">
      <c r="A342" s="5"/>
      <c r="B342" s="5"/>
      <c r="C342" s="5"/>
      <c r="D342" s="5"/>
      <c r="E342" s="5"/>
      <c r="F342" s="5"/>
    </row>
    <row r="343" ht="15.75" customHeight="1">
      <c r="A343" s="5"/>
      <c r="B343" s="5"/>
      <c r="C343" s="5"/>
      <c r="D343" s="5"/>
      <c r="E343" s="5"/>
      <c r="F343" s="5"/>
    </row>
    <row r="344" ht="15.75" customHeight="1">
      <c r="A344" s="5"/>
      <c r="B344" s="5"/>
      <c r="C344" s="5"/>
      <c r="D344" s="5"/>
      <c r="E344" s="5"/>
      <c r="F344" s="5"/>
    </row>
    <row r="345" ht="15.75" customHeight="1">
      <c r="A345" s="5"/>
      <c r="B345" s="5"/>
      <c r="C345" s="5"/>
      <c r="D345" s="5"/>
      <c r="E345" s="5"/>
      <c r="F345" s="5"/>
    </row>
    <row r="346" ht="15.75" customHeight="1">
      <c r="A346" s="5"/>
      <c r="B346" s="5"/>
      <c r="C346" s="5"/>
      <c r="D346" s="5"/>
      <c r="E346" s="5"/>
      <c r="F346" s="5"/>
    </row>
    <row r="347" ht="15.75" customHeight="1">
      <c r="A347" s="5"/>
      <c r="B347" s="5"/>
      <c r="C347" s="5"/>
      <c r="D347" s="5"/>
      <c r="E347" s="5"/>
      <c r="F347" s="5"/>
    </row>
    <row r="348" ht="15.75" customHeight="1">
      <c r="A348" s="5"/>
      <c r="B348" s="5"/>
      <c r="C348" s="5"/>
      <c r="D348" s="5"/>
      <c r="E348" s="5"/>
      <c r="F348" s="5"/>
    </row>
    <row r="349" ht="15.75" customHeight="1">
      <c r="A349" s="5"/>
      <c r="B349" s="5"/>
      <c r="C349" s="5"/>
      <c r="D349" s="5"/>
      <c r="E349" s="5"/>
      <c r="F349" s="5"/>
    </row>
    <row r="350" ht="15.75" customHeight="1">
      <c r="A350" s="5"/>
      <c r="B350" s="5"/>
      <c r="C350" s="5"/>
      <c r="D350" s="5"/>
      <c r="E350" s="5"/>
      <c r="F350" s="5"/>
    </row>
    <row r="351" ht="15.75" customHeight="1">
      <c r="A351" s="5"/>
      <c r="B351" s="5"/>
      <c r="C351" s="5"/>
      <c r="D351" s="5"/>
      <c r="E351" s="5"/>
      <c r="F351" s="5"/>
    </row>
    <row r="352" ht="15.75" customHeight="1">
      <c r="A352" s="5"/>
      <c r="B352" s="5"/>
      <c r="C352" s="5"/>
      <c r="D352" s="5"/>
      <c r="E352" s="5"/>
      <c r="F352" s="5"/>
    </row>
    <row r="353" ht="15.75" customHeight="1">
      <c r="A353" s="5"/>
      <c r="B353" s="5"/>
      <c r="C353" s="5"/>
      <c r="D353" s="5"/>
      <c r="E353" s="5"/>
      <c r="F353" s="5"/>
    </row>
    <row r="354" ht="15.75" customHeight="1">
      <c r="A354" s="5"/>
      <c r="B354" s="5"/>
      <c r="C354" s="5"/>
      <c r="D354" s="5"/>
      <c r="E354" s="5"/>
      <c r="F354" s="5"/>
    </row>
    <row r="355" ht="15.75" customHeight="1">
      <c r="A355" s="5"/>
      <c r="B355" s="5"/>
      <c r="C355" s="5"/>
      <c r="D355" s="5"/>
      <c r="E355" s="5"/>
      <c r="F355" s="5"/>
    </row>
    <row r="356" ht="15.75" customHeight="1">
      <c r="A356" s="5"/>
      <c r="B356" s="5"/>
      <c r="C356" s="5"/>
      <c r="D356" s="5"/>
      <c r="E356" s="5"/>
      <c r="F356" s="5"/>
    </row>
    <row r="357" ht="15.75" customHeight="1">
      <c r="A357" s="5"/>
      <c r="B357" s="5"/>
      <c r="C357" s="5"/>
      <c r="D357" s="5"/>
      <c r="E357" s="5"/>
      <c r="F357" s="5"/>
    </row>
    <row r="358" ht="15.75" customHeight="1">
      <c r="A358" s="5"/>
      <c r="B358" s="5"/>
      <c r="C358" s="5"/>
      <c r="D358" s="5"/>
      <c r="E358" s="5"/>
      <c r="F358" s="5"/>
    </row>
    <row r="359" ht="15.75" customHeight="1">
      <c r="A359" s="5"/>
      <c r="B359" s="5"/>
      <c r="C359" s="5"/>
      <c r="D359" s="5"/>
      <c r="E359" s="5"/>
      <c r="F359" s="5"/>
    </row>
    <row r="360" ht="15.75" customHeight="1">
      <c r="A360" s="5"/>
      <c r="B360" s="5"/>
      <c r="C360" s="5"/>
      <c r="D360" s="5"/>
      <c r="E360" s="5"/>
      <c r="F360" s="5"/>
    </row>
    <row r="361" ht="15.75" customHeight="1">
      <c r="A361" s="5"/>
      <c r="B361" s="5"/>
      <c r="C361" s="5"/>
      <c r="D361" s="5"/>
      <c r="E361" s="5"/>
      <c r="F361" s="5"/>
    </row>
    <row r="362" ht="15.75" customHeight="1">
      <c r="A362" s="5"/>
      <c r="B362" s="5"/>
      <c r="C362" s="5"/>
      <c r="D362" s="5"/>
      <c r="E362" s="5"/>
      <c r="F362" s="5"/>
    </row>
    <row r="363" ht="15.75" customHeight="1">
      <c r="A363" s="5"/>
      <c r="B363" s="5"/>
      <c r="C363" s="5"/>
      <c r="D363" s="5"/>
      <c r="E363" s="5"/>
      <c r="F363" s="5"/>
    </row>
    <row r="364" ht="15.75" customHeight="1">
      <c r="A364" s="5"/>
      <c r="B364" s="5"/>
      <c r="C364" s="5"/>
      <c r="D364" s="5"/>
      <c r="E364" s="5"/>
      <c r="F364" s="5"/>
    </row>
    <row r="365" ht="15.75" customHeight="1">
      <c r="A365" s="5"/>
      <c r="B365" s="5"/>
      <c r="C365" s="5"/>
      <c r="D365" s="5"/>
      <c r="E365" s="5"/>
      <c r="F365" s="5"/>
    </row>
    <row r="366" ht="15.75" customHeight="1">
      <c r="A366" s="5"/>
      <c r="B366" s="5"/>
      <c r="C366" s="5"/>
      <c r="D366" s="5"/>
      <c r="E366" s="5"/>
      <c r="F366" s="5"/>
    </row>
    <row r="367" ht="15.75" customHeight="1">
      <c r="A367" s="5"/>
      <c r="B367" s="5"/>
      <c r="C367" s="5"/>
      <c r="D367" s="5"/>
      <c r="E367" s="5"/>
      <c r="F367" s="5"/>
    </row>
    <row r="368" ht="15.75" customHeight="1">
      <c r="A368" s="5"/>
      <c r="B368" s="5"/>
      <c r="C368" s="5"/>
      <c r="D368" s="5"/>
      <c r="E368" s="5"/>
      <c r="F368" s="5"/>
    </row>
    <row r="369" ht="15.75" customHeight="1">
      <c r="A369" s="5"/>
      <c r="B369" s="5"/>
      <c r="C369" s="5"/>
      <c r="D369" s="5"/>
      <c r="E369" s="5"/>
      <c r="F369" s="5"/>
    </row>
    <row r="370" ht="15.75" customHeight="1">
      <c r="A370" s="5"/>
      <c r="B370" s="5"/>
      <c r="C370" s="5"/>
      <c r="D370" s="5"/>
      <c r="E370" s="5"/>
      <c r="F370" s="5"/>
    </row>
    <row r="371" ht="15.75" customHeight="1">
      <c r="A371" s="5"/>
      <c r="B371" s="5"/>
      <c r="C371" s="5"/>
      <c r="D371" s="5"/>
      <c r="E371" s="5"/>
      <c r="F371" s="5"/>
    </row>
    <row r="372" ht="15.75" customHeight="1">
      <c r="A372" s="5"/>
      <c r="B372" s="5"/>
      <c r="C372" s="5"/>
      <c r="D372" s="5"/>
      <c r="E372" s="5"/>
      <c r="F372" s="5"/>
    </row>
    <row r="373" ht="15.75" customHeight="1">
      <c r="A373" s="5"/>
      <c r="B373" s="5"/>
      <c r="C373" s="5"/>
      <c r="D373" s="5"/>
      <c r="E373" s="5"/>
      <c r="F373" s="5"/>
    </row>
    <row r="374" ht="15.75" customHeight="1">
      <c r="A374" s="5"/>
      <c r="B374" s="5"/>
      <c r="C374" s="5"/>
      <c r="D374" s="5"/>
      <c r="E374" s="5"/>
      <c r="F374" s="5"/>
    </row>
    <row r="375" ht="15.75" customHeight="1">
      <c r="A375" s="5"/>
      <c r="B375" s="5"/>
      <c r="C375" s="5"/>
      <c r="D375" s="5"/>
      <c r="E375" s="5"/>
      <c r="F375" s="5"/>
    </row>
    <row r="376" ht="15.75" customHeight="1">
      <c r="A376" s="5"/>
      <c r="B376" s="5"/>
      <c r="C376" s="5"/>
      <c r="D376" s="5"/>
      <c r="E376" s="5"/>
      <c r="F376" s="5"/>
    </row>
    <row r="377" ht="15.75" customHeight="1">
      <c r="A377" s="5"/>
      <c r="B377" s="5"/>
      <c r="C377" s="5"/>
      <c r="D377" s="5"/>
      <c r="E377" s="5"/>
      <c r="F377" s="5"/>
    </row>
    <row r="378" ht="15.75" customHeight="1">
      <c r="A378" s="5"/>
      <c r="B378" s="5"/>
      <c r="C378" s="5"/>
      <c r="D378" s="5"/>
      <c r="E378" s="5"/>
      <c r="F378" s="5"/>
    </row>
    <row r="379" ht="15.75" customHeight="1">
      <c r="A379" s="5"/>
      <c r="B379" s="5"/>
      <c r="C379" s="5"/>
      <c r="D379" s="5"/>
      <c r="E379" s="5"/>
      <c r="F379" s="5"/>
    </row>
    <row r="380" ht="15.75" customHeight="1">
      <c r="A380" s="5"/>
      <c r="B380" s="5"/>
      <c r="C380" s="5"/>
      <c r="D380" s="5"/>
      <c r="E380" s="5"/>
      <c r="F380" s="5"/>
    </row>
    <row r="381" ht="15.75" customHeight="1">
      <c r="A381" s="5"/>
      <c r="B381" s="5"/>
      <c r="C381" s="5"/>
      <c r="D381" s="5"/>
      <c r="E381" s="5"/>
      <c r="F381" s="5"/>
    </row>
    <row r="382" ht="15.75" customHeight="1">
      <c r="A382" s="5"/>
      <c r="B382" s="5"/>
      <c r="C382" s="5"/>
      <c r="D382" s="5"/>
      <c r="E382" s="5"/>
      <c r="F382" s="5"/>
    </row>
    <row r="383" ht="15.75" customHeight="1">
      <c r="A383" s="5"/>
      <c r="B383" s="5"/>
      <c r="C383" s="5"/>
      <c r="D383" s="5"/>
      <c r="E383" s="5"/>
      <c r="F383" s="5"/>
    </row>
    <row r="384" ht="15.75" customHeight="1">
      <c r="A384" s="5"/>
      <c r="B384" s="5"/>
      <c r="C384" s="5"/>
      <c r="D384" s="5"/>
      <c r="E384" s="5"/>
      <c r="F384" s="5"/>
    </row>
    <row r="385" ht="15.75" customHeight="1">
      <c r="A385" s="5"/>
      <c r="B385" s="5"/>
      <c r="C385" s="5"/>
      <c r="D385" s="5"/>
      <c r="E385" s="5"/>
      <c r="F385" s="5"/>
    </row>
    <row r="386" ht="15.75" customHeight="1">
      <c r="A386" s="5"/>
      <c r="B386" s="5"/>
      <c r="C386" s="5"/>
      <c r="D386" s="5"/>
      <c r="E386" s="5"/>
      <c r="F386" s="5"/>
    </row>
    <row r="387" ht="15.75" customHeight="1">
      <c r="A387" s="5"/>
      <c r="B387" s="5"/>
      <c r="C387" s="5"/>
      <c r="D387" s="5"/>
      <c r="E387" s="5"/>
      <c r="F387" s="5"/>
    </row>
    <row r="388" ht="15.75" customHeight="1">
      <c r="A388" s="5"/>
      <c r="B388" s="5"/>
      <c r="C388" s="5"/>
      <c r="D388" s="5"/>
      <c r="E388" s="5"/>
      <c r="F388" s="5"/>
    </row>
    <row r="389" ht="15.75" customHeight="1">
      <c r="A389" s="5"/>
      <c r="B389" s="5"/>
      <c r="C389" s="5"/>
      <c r="D389" s="5"/>
      <c r="E389" s="5"/>
      <c r="F389" s="5"/>
    </row>
    <row r="390" ht="15.75" customHeight="1">
      <c r="A390" s="5"/>
      <c r="B390" s="5"/>
      <c r="C390" s="5"/>
      <c r="D390" s="5"/>
      <c r="E390" s="5"/>
      <c r="F390" s="5"/>
    </row>
    <row r="391" ht="15.75" customHeight="1">
      <c r="A391" s="5"/>
      <c r="B391" s="5"/>
      <c r="C391" s="5"/>
      <c r="D391" s="5"/>
      <c r="E391" s="5"/>
      <c r="F391" s="5"/>
    </row>
    <row r="392" ht="15.75" customHeight="1">
      <c r="A392" s="5"/>
      <c r="B392" s="5"/>
      <c r="C392" s="5"/>
      <c r="D392" s="5"/>
      <c r="E392" s="5"/>
      <c r="F392" s="5"/>
    </row>
    <row r="393" ht="15.75" customHeight="1">
      <c r="A393" s="5"/>
      <c r="B393" s="5"/>
      <c r="C393" s="5"/>
      <c r="D393" s="5"/>
      <c r="E393" s="5"/>
      <c r="F393" s="5"/>
    </row>
    <row r="394" ht="15.75" customHeight="1">
      <c r="A394" s="5"/>
      <c r="B394" s="5"/>
      <c r="C394" s="5"/>
      <c r="D394" s="5"/>
      <c r="E394" s="5"/>
      <c r="F394" s="5"/>
    </row>
    <row r="395" ht="15.75" customHeight="1">
      <c r="A395" s="5"/>
      <c r="B395" s="5"/>
      <c r="C395" s="5"/>
      <c r="D395" s="5"/>
      <c r="E395" s="5"/>
      <c r="F395" s="5"/>
    </row>
    <row r="396" ht="15.75" customHeight="1">
      <c r="A396" s="5"/>
      <c r="B396" s="5"/>
      <c r="C396" s="5"/>
      <c r="D396" s="5"/>
      <c r="E396" s="5"/>
      <c r="F396" s="5"/>
    </row>
    <row r="397" ht="15.75" customHeight="1">
      <c r="A397" s="5"/>
      <c r="B397" s="5"/>
      <c r="C397" s="5"/>
      <c r="D397" s="5"/>
      <c r="E397" s="5"/>
      <c r="F397" s="5"/>
    </row>
    <row r="398" ht="15.75" customHeight="1">
      <c r="A398" s="5"/>
      <c r="B398" s="5"/>
      <c r="C398" s="5"/>
      <c r="D398" s="5"/>
      <c r="E398" s="5"/>
      <c r="F398" s="5"/>
    </row>
    <row r="399" ht="15.75" customHeight="1">
      <c r="A399" s="5"/>
      <c r="B399" s="5"/>
      <c r="C399" s="5"/>
      <c r="D399" s="5"/>
      <c r="E399" s="5"/>
      <c r="F399" s="5"/>
    </row>
    <row r="400" ht="15.75" customHeight="1">
      <c r="A400" s="5"/>
      <c r="B400" s="5"/>
      <c r="C400" s="5"/>
      <c r="D400" s="5"/>
      <c r="E400" s="5"/>
      <c r="F400" s="5"/>
    </row>
    <row r="401" ht="15.75" customHeight="1">
      <c r="A401" s="5"/>
      <c r="B401" s="5"/>
      <c r="C401" s="5"/>
      <c r="D401" s="5"/>
      <c r="E401" s="5"/>
      <c r="F401" s="5"/>
    </row>
    <row r="402" ht="15.75" customHeight="1">
      <c r="A402" s="5"/>
      <c r="B402" s="5"/>
      <c r="C402" s="5"/>
      <c r="D402" s="5"/>
      <c r="E402" s="5"/>
      <c r="F402" s="5"/>
    </row>
    <row r="403" ht="15.75" customHeight="1">
      <c r="A403" s="5"/>
      <c r="B403" s="5"/>
      <c r="C403" s="5"/>
      <c r="D403" s="5"/>
      <c r="E403" s="5"/>
      <c r="F403" s="5"/>
    </row>
    <row r="404" ht="15.75" customHeight="1">
      <c r="A404" s="5"/>
      <c r="B404" s="5"/>
      <c r="C404" s="5"/>
      <c r="D404" s="5"/>
      <c r="E404" s="5"/>
      <c r="F404" s="5"/>
    </row>
    <row r="405" ht="15.75" customHeight="1">
      <c r="A405" s="5"/>
      <c r="B405" s="5"/>
      <c r="C405" s="5"/>
      <c r="D405" s="5"/>
      <c r="E405" s="5"/>
      <c r="F405" s="5"/>
    </row>
    <row r="406" ht="15.75" customHeight="1">
      <c r="A406" s="5"/>
      <c r="B406" s="5"/>
      <c r="C406" s="5"/>
      <c r="D406" s="5"/>
      <c r="E406" s="5"/>
      <c r="F406" s="5"/>
    </row>
    <row r="407" ht="15.75" customHeight="1">
      <c r="A407" s="5"/>
      <c r="B407" s="5"/>
      <c r="C407" s="5"/>
      <c r="D407" s="5"/>
      <c r="E407" s="5"/>
      <c r="F407" s="5"/>
    </row>
    <row r="408" ht="15.75" customHeight="1">
      <c r="A408" s="5"/>
      <c r="B408" s="5"/>
      <c r="C408" s="5"/>
      <c r="D408" s="5"/>
      <c r="E408" s="5"/>
      <c r="F408" s="5"/>
    </row>
    <row r="409" ht="15.75" customHeight="1">
      <c r="A409" s="5"/>
      <c r="B409" s="5"/>
      <c r="C409" s="5"/>
      <c r="D409" s="5"/>
      <c r="E409" s="5"/>
      <c r="F409" s="5"/>
    </row>
    <row r="410" ht="15.75" customHeight="1">
      <c r="A410" s="5"/>
      <c r="B410" s="5"/>
      <c r="C410" s="5"/>
      <c r="D410" s="5"/>
      <c r="E410" s="5"/>
      <c r="F410" s="5"/>
    </row>
    <row r="411" ht="15.75" customHeight="1">
      <c r="A411" s="5"/>
      <c r="B411" s="5"/>
      <c r="C411" s="5"/>
      <c r="D411" s="5"/>
      <c r="E411" s="5"/>
      <c r="F411" s="5"/>
    </row>
    <row r="412" ht="15.75" customHeight="1">
      <c r="A412" s="5"/>
      <c r="B412" s="5"/>
      <c r="C412" s="5"/>
      <c r="D412" s="5"/>
      <c r="E412" s="5"/>
      <c r="F412" s="5"/>
    </row>
    <row r="413" ht="15.75" customHeight="1">
      <c r="A413" s="5"/>
      <c r="B413" s="5"/>
      <c r="C413" s="5"/>
      <c r="D413" s="5"/>
      <c r="E413" s="5"/>
      <c r="F413" s="5"/>
    </row>
    <row r="414" ht="15.75" customHeight="1">
      <c r="A414" s="5"/>
      <c r="B414" s="5"/>
      <c r="C414" s="5"/>
      <c r="D414" s="5"/>
      <c r="E414" s="5"/>
      <c r="F414" s="5"/>
    </row>
    <row r="415" ht="15.75" customHeight="1">
      <c r="A415" s="5"/>
      <c r="B415" s="5"/>
      <c r="C415" s="5"/>
      <c r="D415" s="5"/>
      <c r="E415" s="5"/>
      <c r="F415" s="5"/>
    </row>
    <row r="416" ht="15.75" customHeight="1">
      <c r="A416" s="5"/>
      <c r="B416" s="5"/>
      <c r="C416" s="5"/>
      <c r="D416" s="5"/>
      <c r="E416" s="5"/>
      <c r="F416" s="5"/>
    </row>
    <row r="417" ht="15.75" customHeight="1">
      <c r="A417" s="5"/>
      <c r="B417" s="5"/>
      <c r="C417" s="5"/>
      <c r="D417" s="5"/>
      <c r="E417" s="5"/>
      <c r="F417" s="5"/>
    </row>
    <row r="418" ht="15.75" customHeight="1">
      <c r="A418" s="5"/>
      <c r="B418" s="5"/>
      <c r="C418" s="5"/>
      <c r="D418" s="5"/>
      <c r="E418" s="5"/>
      <c r="F418" s="5"/>
    </row>
    <row r="419" ht="15.75" customHeight="1">
      <c r="A419" s="5"/>
      <c r="B419" s="5"/>
      <c r="C419" s="5"/>
      <c r="D419" s="5"/>
      <c r="E419" s="5"/>
      <c r="F419" s="5"/>
    </row>
    <row r="420" ht="15.75" customHeight="1">
      <c r="A420" s="5"/>
      <c r="B420" s="5"/>
      <c r="C420" s="5"/>
      <c r="D420" s="5"/>
      <c r="E420" s="5"/>
      <c r="F420" s="5"/>
    </row>
    <row r="421" ht="15.75" customHeight="1">
      <c r="A421" s="5"/>
      <c r="B421" s="5"/>
      <c r="C421" s="5"/>
      <c r="D421" s="5"/>
      <c r="E421" s="5"/>
      <c r="F421" s="5"/>
    </row>
    <row r="422" ht="15.75" customHeight="1">
      <c r="A422" s="5"/>
      <c r="B422" s="5"/>
      <c r="C422" s="5"/>
      <c r="D422" s="5"/>
      <c r="E422" s="5"/>
      <c r="F422" s="5"/>
    </row>
    <row r="423" ht="15.75" customHeight="1">
      <c r="A423" s="5"/>
      <c r="B423" s="5"/>
      <c r="C423" s="5"/>
      <c r="D423" s="5"/>
      <c r="E423" s="5"/>
      <c r="F423" s="5"/>
    </row>
    <row r="424" ht="15.75" customHeight="1">
      <c r="A424" s="5"/>
      <c r="B424" s="5"/>
      <c r="C424" s="5"/>
      <c r="D424" s="5"/>
      <c r="E424" s="5"/>
      <c r="F424" s="5"/>
    </row>
    <row r="425" ht="15.75" customHeight="1">
      <c r="A425" s="5"/>
      <c r="B425" s="5"/>
      <c r="C425" s="5"/>
      <c r="D425" s="5"/>
      <c r="E425" s="5"/>
      <c r="F425" s="5"/>
    </row>
    <row r="426" ht="15.75" customHeight="1">
      <c r="A426" s="5"/>
      <c r="B426" s="5"/>
      <c r="C426" s="5"/>
      <c r="D426" s="5"/>
      <c r="E426" s="5"/>
      <c r="F426" s="5"/>
    </row>
    <row r="427" ht="15.75" customHeight="1">
      <c r="A427" s="5"/>
      <c r="B427" s="5"/>
      <c r="C427" s="5"/>
      <c r="D427" s="5"/>
      <c r="E427" s="5"/>
      <c r="F427" s="5"/>
    </row>
    <row r="428" ht="15.75" customHeight="1">
      <c r="A428" s="5"/>
      <c r="B428" s="5"/>
      <c r="C428" s="5"/>
      <c r="D428" s="5"/>
      <c r="E428" s="5"/>
      <c r="F428" s="5"/>
    </row>
    <row r="429" ht="15.75" customHeight="1">
      <c r="A429" s="5"/>
      <c r="B429" s="5"/>
      <c r="C429" s="5"/>
      <c r="D429" s="5"/>
      <c r="E429" s="5"/>
      <c r="F429" s="5"/>
    </row>
    <row r="430" ht="15.75" customHeight="1">
      <c r="A430" s="5"/>
      <c r="B430" s="5"/>
      <c r="C430" s="5"/>
      <c r="D430" s="5"/>
      <c r="E430" s="5"/>
      <c r="F430" s="5"/>
    </row>
    <row r="431" ht="15.75" customHeight="1">
      <c r="A431" s="5"/>
      <c r="B431" s="5"/>
      <c r="C431" s="5"/>
      <c r="D431" s="5"/>
      <c r="E431" s="5"/>
      <c r="F431" s="5"/>
    </row>
    <row r="432" ht="15.75" customHeight="1">
      <c r="A432" s="5"/>
      <c r="B432" s="5"/>
      <c r="C432" s="5"/>
      <c r="D432" s="5"/>
      <c r="E432" s="5"/>
      <c r="F432" s="5"/>
    </row>
    <row r="433" ht="15.75" customHeight="1">
      <c r="A433" s="5"/>
      <c r="B433" s="5"/>
      <c r="C433" s="5"/>
      <c r="D433" s="5"/>
      <c r="E433" s="5"/>
      <c r="F433" s="5"/>
    </row>
    <row r="434" ht="15.75" customHeight="1">
      <c r="A434" s="5"/>
      <c r="B434" s="5"/>
      <c r="C434" s="5"/>
      <c r="D434" s="5"/>
      <c r="E434" s="5"/>
      <c r="F434" s="5"/>
    </row>
    <row r="435" ht="15.75" customHeight="1">
      <c r="A435" s="5"/>
      <c r="B435" s="5"/>
      <c r="C435" s="5"/>
      <c r="D435" s="5"/>
      <c r="E435" s="5"/>
      <c r="F435" s="5"/>
    </row>
    <row r="436" ht="15.75" customHeight="1">
      <c r="A436" s="5"/>
      <c r="B436" s="5"/>
      <c r="C436" s="5"/>
      <c r="D436" s="5"/>
      <c r="E436" s="5"/>
      <c r="F436" s="5"/>
    </row>
    <row r="437" ht="15.75" customHeight="1">
      <c r="A437" s="5"/>
      <c r="B437" s="5"/>
      <c r="C437" s="5"/>
      <c r="D437" s="5"/>
      <c r="E437" s="5"/>
      <c r="F437" s="5"/>
    </row>
    <row r="438" ht="15.75" customHeight="1">
      <c r="A438" s="5"/>
      <c r="B438" s="5"/>
      <c r="C438" s="5"/>
      <c r="D438" s="5"/>
      <c r="E438" s="5"/>
      <c r="F438" s="5"/>
    </row>
    <row r="439" ht="15.75" customHeight="1">
      <c r="A439" s="5"/>
      <c r="B439" s="5"/>
      <c r="C439" s="5"/>
      <c r="D439" s="5"/>
      <c r="E439" s="5"/>
      <c r="F439" s="5"/>
    </row>
    <row r="440" ht="15.75" customHeight="1">
      <c r="A440" s="5"/>
      <c r="B440" s="5"/>
      <c r="C440" s="5"/>
      <c r="D440" s="5"/>
      <c r="E440" s="5"/>
      <c r="F440" s="5"/>
    </row>
    <row r="441" ht="15.75" customHeight="1">
      <c r="A441" s="5"/>
      <c r="B441" s="5"/>
      <c r="C441" s="5"/>
      <c r="D441" s="5"/>
      <c r="E441" s="5"/>
      <c r="F441" s="5"/>
    </row>
    <row r="442" ht="15.75" customHeight="1">
      <c r="A442" s="5"/>
      <c r="B442" s="5"/>
      <c r="C442" s="5"/>
      <c r="D442" s="5"/>
      <c r="E442" s="5"/>
      <c r="F442" s="5"/>
    </row>
    <row r="443" ht="15.75" customHeight="1">
      <c r="A443" s="5"/>
      <c r="B443" s="5"/>
      <c r="C443" s="5"/>
      <c r="D443" s="5"/>
      <c r="E443" s="5"/>
      <c r="F443" s="5"/>
    </row>
    <row r="444" ht="15.75" customHeight="1">
      <c r="A444" s="5"/>
      <c r="B444" s="5"/>
      <c r="C444" s="5"/>
      <c r="D444" s="5"/>
      <c r="E444" s="5"/>
      <c r="F444" s="5"/>
    </row>
    <row r="445" ht="15.75" customHeight="1">
      <c r="A445" s="5"/>
      <c r="B445" s="5"/>
      <c r="C445" s="5"/>
      <c r="D445" s="5"/>
      <c r="E445" s="5"/>
      <c r="F445" s="5"/>
    </row>
    <row r="446" ht="15.75" customHeight="1">
      <c r="A446" s="5"/>
      <c r="B446" s="5"/>
      <c r="C446" s="5"/>
      <c r="D446" s="5"/>
      <c r="E446" s="5"/>
      <c r="F446" s="5"/>
    </row>
    <row r="447" ht="15.75" customHeight="1">
      <c r="A447" s="5"/>
      <c r="B447" s="5"/>
      <c r="C447" s="5"/>
      <c r="D447" s="5"/>
      <c r="E447" s="5"/>
      <c r="F447" s="5"/>
    </row>
    <row r="448" ht="15.75" customHeight="1">
      <c r="A448" s="5"/>
      <c r="B448" s="5"/>
      <c r="C448" s="5"/>
      <c r="D448" s="5"/>
      <c r="E448" s="5"/>
      <c r="F448" s="5"/>
    </row>
    <row r="449" ht="15.75" customHeight="1">
      <c r="A449" s="5"/>
      <c r="B449" s="5"/>
      <c r="C449" s="5"/>
      <c r="D449" s="5"/>
      <c r="E449" s="5"/>
      <c r="F449" s="5"/>
    </row>
    <row r="450" ht="15.75" customHeight="1">
      <c r="A450" s="5"/>
      <c r="B450" s="5"/>
      <c r="C450" s="5"/>
      <c r="D450" s="5"/>
      <c r="E450" s="5"/>
      <c r="F450" s="5"/>
    </row>
    <row r="451" ht="15.75" customHeight="1">
      <c r="A451" s="5"/>
      <c r="B451" s="5"/>
      <c r="C451" s="5"/>
      <c r="D451" s="5"/>
      <c r="E451" s="5"/>
      <c r="F451" s="5"/>
    </row>
    <row r="452" ht="15.75" customHeight="1">
      <c r="A452" s="5"/>
      <c r="B452" s="5"/>
      <c r="C452" s="5"/>
      <c r="D452" s="5"/>
      <c r="E452" s="5"/>
      <c r="F452" s="5"/>
    </row>
    <row r="453" ht="15.75" customHeight="1">
      <c r="A453" s="5"/>
      <c r="B453" s="5"/>
      <c r="C453" s="5"/>
      <c r="D453" s="5"/>
      <c r="E453" s="5"/>
      <c r="F453" s="5"/>
    </row>
    <row r="454" ht="15.75" customHeight="1">
      <c r="A454" s="5"/>
      <c r="B454" s="5"/>
      <c r="C454" s="5"/>
      <c r="D454" s="5"/>
      <c r="E454" s="5"/>
      <c r="F454" s="5"/>
    </row>
    <row r="455" ht="15.75" customHeight="1">
      <c r="A455" s="5"/>
      <c r="B455" s="5"/>
      <c r="C455" s="5"/>
      <c r="D455" s="5"/>
      <c r="E455" s="5"/>
      <c r="F455" s="5"/>
    </row>
    <row r="456" ht="15.75" customHeight="1">
      <c r="A456" s="5"/>
      <c r="B456" s="5"/>
      <c r="C456" s="5"/>
      <c r="D456" s="5"/>
      <c r="E456" s="5"/>
      <c r="F456" s="5"/>
    </row>
    <row r="457" ht="15.75" customHeight="1">
      <c r="A457" s="5"/>
      <c r="B457" s="5"/>
      <c r="C457" s="5"/>
      <c r="D457" s="5"/>
      <c r="E457" s="5"/>
      <c r="F457" s="5"/>
    </row>
    <row r="458" ht="15.75" customHeight="1">
      <c r="A458" s="5"/>
      <c r="B458" s="5"/>
      <c r="C458" s="5"/>
      <c r="D458" s="5"/>
      <c r="E458" s="5"/>
      <c r="F458" s="5"/>
    </row>
    <row r="459" ht="15.75" customHeight="1">
      <c r="A459" s="5"/>
      <c r="B459" s="5"/>
      <c r="C459" s="5"/>
      <c r="D459" s="5"/>
      <c r="E459" s="5"/>
      <c r="F459" s="5"/>
    </row>
    <row r="460" ht="15.75" customHeight="1">
      <c r="A460" s="5"/>
      <c r="B460" s="5"/>
      <c r="C460" s="5"/>
      <c r="D460" s="5"/>
      <c r="E460" s="5"/>
      <c r="F460" s="5"/>
    </row>
    <row r="461" ht="15.75" customHeight="1">
      <c r="A461" s="5"/>
      <c r="B461" s="5"/>
      <c r="C461" s="5"/>
      <c r="D461" s="5"/>
      <c r="E461" s="5"/>
      <c r="F461" s="5"/>
    </row>
    <row r="462" ht="15.75" customHeight="1">
      <c r="A462" s="5"/>
      <c r="B462" s="5"/>
      <c r="C462" s="5"/>
      <c r="D462" s="5"/>
      <c r="E462" s="5"/>
      <c r="F462" s="5"/>
    </row>
    <row r="463" ht="15.75" customHeight="1">
      <c r="A463" s="5"/>
      <c r="B463" s="5"/>
      <c r="C463" s="5"/>
      <c r="D463" s="5"/>
      <c r="E463" s="5"/>
      <c r="F463" s="5"/>
    </row>
    <row r="464" ht="15.75" customHeight="1">
      <c r="A464" s="5"/>
      <c r="B464" s="5"/>
      <c r="C464" s="5"/>
      <c r="D464" s="5"/>
      <c r="E464" s="5"/>
      <c r="F464" s="5"/>
    </row>
    <row r="465" ht="15.75" customHeight="1">
      <c r="A465" s="5"/>
      <c r="B465" s="5"/>
      <c r="C465" s="5"/>
      <c r="D465" s="5"/>
      <c r="E465" s="5"/>
      <c r="F465" s="5"/>
    </row>
    <row r="466" ht="15.75" customHeight="1">
      <c r="A466" s="5"/>
      <c r="B466" s="5"/>
      <c r="C466" s="5"/>
      <c r="D466" s="5"/>
      <c r="E466" s="5"/>
      <c r="F466" s="5"/>
    </row>
    <row r="467" ht="15.75" customHeight="1">
      <c r="A467" s="5"/>
      <c r="B467" s="5"/>
      <c r="C467" s="5"/>
      <c r="D467" s="5"/>
      <c r="E467" s="5"/>
      <c r="F467" s="5"/>
    </row>
    <row r="468" ht="15.75" customHeight="1">
      <c r="A468" s="5"/>
      <c r="B468" s="5"/>
      <c r="C468" s="5"/>
      <c r="D468" s="5"/>
      <c r="E468" s="5"/>
      <c r="F468" s="5"/>
    </row>
    <row r="469" ht="15.75" customHeight="1">
      <c r="A469" s="5"/>
      <c r="B469" s="5"/>
      <c r="C469" s="5"/>
      <c r="D469" s="5"/>
      <c r="E469" s="5"/>
      <c r="F469" s="5"/>
    </row>
    <row r="470" ht="15.75" customHeight="1">
      <c r="A470" s="5"/>
      <c r="B470" s="5"/>
      <c r="C470" s="5"/>
      <c r="D470" s="5"/>
      <c r="E470" s="5"/>
      <c r="F470" s="5"/>
    </row>
    <row r="471" ht="15.75" customHeight="1">
      <c r="A471" s="5"/>
      <c r="B471" s="5"/>
      <c r="C471" s="5"/>
      <c r="D471" s="5"/>
      <c r="E471" s="5"/>
      <c r="F471" s="5"/>
    </row>
    <row r="472" ht="15.75" customHeight="1">
      <c r="A472" s="5"/>
      <c r="B472" s="5"/>
      <c r="C472" s="5"/>
      <c r="D472" s="5"/>
      <c r="E472" s="5"/>
      <c r="F472" s="5"/>
    </row>
    <row r="473" ht="15.75" customHeight="1">
      <c r="A473" s="5"/>
      <c r="B473" s="5"/>
      <c r="C473" s="5"/>
      <c r="D473" s="5"/>
      <c r="E473" s="5"/>
      <c r="F473" s="5"/>
    </row>
    <row r="474" ht="15.75" customHeight="1">
      <c r="A474" s="5"/>
      <c r="B474" s="5"/>
      <c r="C474" s="5"/>
      <c r="D474" s="5"/>
      <c r="E474" s="5"/>
      <c r="F474" s="5"/>
    </row>
    <row r="475" ht="15.75" customHeight="1">
      <c r="A475" s="5"/>
      <c r="B475" s="5"/>
      <c r="C475" s="5"/>
      <c r="D475" s="5"/>
      <c r="E475" s="5"/>
      <c r="F475" s="5"/>
    </row>
    <row r="476" ht="15.75" customHeight="1">
      <c r="A476" s="5"/>
      <c r="B476" s="5"/>
      <c r="C476" s="5"/>
      <c r="D476" s="5"/>
      <c r="E476" s="5"/>
      <c r="F476" s="5"/>
    </row>
    <row r="477" ht="15.75" customHeight="1">
      <c r="A477" s="5"/>
      <c r="B477" s="5"/>
      <c r="C477" s="5"/>
      <c r="D477" s="5"/>
      <c r="E477" s="5"/>
      <c r="F477" s="5"/>
    </row>
    <row r="478" ht="15.75" customHeight="1">
      <c r="A478" s="5"/>
      <c r="B478" s="5"/>
      <c r="C478" s="5"/>
      <c r="D478" s="5"/>
      <c r="E478" s="5"/>
      <c r="F478" s="5"/>
    </row>
    <row r="479" ht="15.75" customHeight="1">
      <c r="A479" s="5"/>
      <c r="B479" s="5"/>
      <c r="C479" s="5"/>
      <c r="D479" s="5"/>
      <c r="E479" s="5"/>
      <c r="F479" s="5"/>
    </row>
    <row r="480" ht="15.75" customHeight="1">
      <c r="A480" s="5"/>
      <c r="B480" s="5"/>
      <c r="C480" s="5"/>
      <c r="D480" s="5"/>
      <c r="E480" s="5"/>
      <c r="F480" s="5"/>
    </row>
    <row r="481" ht="15.75" customHeight="1">
      <c r="A481" s="5"/>
      <c r="B481" s="5"/>
      <c r="C481" s="5"/>
      <c r="D481" s="5"/>
      <c r="E481" s="5"/>
      <c r="F481" s="5"/>
    </row>
    <row r="482" ht="15.75" customHeight="1">
      <c r="A482" s="5"/>
      <c r="B482" s="5"/>
      <c r="C482" s="5"/>
      <c r="D482" s="5"/>
      <c r="E482" s="5"/>
      <c r="F482" s="5"/>
    </row>
    <row r="483" ht="15.75" customHeight="1">
      <c r="A483" s="5"/>
      <c r="B483" s="5"/>
      <c r="C483" s="5"/>
      <c r="D483" s="5"/>
      <c r="E483" s="5"/>
      <c r="F483" s="5"/>
    </row>
    <row r="484" ht="15.75" customHeight="1">
      <c r="A484" s="5"/>
      <c r="B484" s="5"/>
      <c r="C484" s="5"/>
      <c r="D484" s="5"/>
      <c r="E484" s="5"/>
      <c r="F484" s="5"/>
    </row>
    <row r="485" ht="15.75" customHeight="1">
      <c r="A485" s="5"/>
      <c r="B485" s="5"/>
      <c r="C485" s="5"/>
      <c r="D485" s="5"/>
      <c r="E485" s="5"/>
      <c r="F485" s="5"/>
    </row>
    <row r="486" ht="15.75" customHeight="1">
      <c r="A486" s="5"/>
      <c r="B486" s="5"/>
      <c r="C486" s="5"/>
      <c r="D486" s="5"/>
      <c r="E486" s="5"/>
      <c r="F486" s="5"/>
    </row>
    <row r="487" ht="15.75" customHeight="1">
      <c r="A487" s="5"/>
      <c r="B487" s="5"/>
      <c r="C487" s="5"/>
      <c r="D487" s="5"/>
      <c r="E487" s="5"/>
      <c r="F487" s="5"/>
    </row>
    <row r="488" ht="15.75" customHeight="1">
      <c r="A488" s="5"/>
      <c r="B488" s="5"/>
      <c r="C488" s="5"/>
      <c r="D488" s="5"/>
      <c r="E488" s="5"/>
      <c r="F488" s="5"/>
    </row>
    <row r="489" ht="15.75" customHeight="1">
      <c r="A489" s="5"/>
      <c r="B489" s="5"/>
      <c r="C489" s="5"/>
      <c r="D489" s="5"/>
      <c r="E489" s="5"/>
      <c r="F489" s="5"/>
    </row>
    <row r="490" ht="15.75" customHeight="1">
      <c r="A490" s="5"/>
      <c r="B490" s="5"/>
      <c r="C490" s="5"/>
      <c r="D490" s="5"/>
      <c r="E490" s="5"/>
      <c r="F490" s="5"/>
    </row>
    <row r="491" ht="15.75" customHeight="1">
      <c r="A491" s="5"/>
      <c r="B491" s="5"/>
      <c r="C491" s="5"/>
      <c r="D491" s="5"/>
      <c r="E491" s="5"/>
      <c r="F491" s="5"/>
    </row>
    <row r="492" ht="15.75" customHeight="1">
      <c r="A492" s="5"/>
      <c r="B492" s="5"/>
      <c r="C492" s="5"/>
      <c r="D492" s="5"/>
      <c r="E492" s="5"/>
      <c r="F492" s="5"/>
    </row>
    <row r="493" ht="15.75" customHeight="1">
      <c r="A493" s="5"/>
      <c r="B493" s="5"/>
      <c r="C493" s="5"/>
      <c r="D493" s="5"/>
      <c r="E493" s="5"/>
      <c r="F493" s="5"/>
    </row>
    <row r="494" ht="15.75" customHeight="1">
      <c r="A494" s="5"/>
      <c r="B494" s="5"/>
      <c r="C494" s="5"/>
      <c r="D494" s="5"/>
      <c r="E494" s="5"/>
      <c r="F494" s="5"/>
    </row>
    <row r="495" ht="15.75" customHeight="1">
      <c r="A495" s="5"/>
      <c r="B495" s="5"/>
      <c r="C495" s="5"/>
      <c r="D495" s="5"/>
      <c r="E495" s="5"/>
      <c r="F495" s="5"/>
    </row>
    <row r="496" ht="15.75" customHeight="1">
      <c r="A496" s="5"/>
      <c r="B496" s="5"/>
      <c r="C496" s="5"/>
      <c r="D496" s="5"/>
      <c r="E496" s="5"/>
      <c r="F496" s="5"/>
    </row>
    <row r="497" ht="15.75" customHeight="1">
      <c r="A497" s="5"/>
      <c r="B497" s="5"/>
      <c r="C497" s="5"/>
      <c r="D497" s="5"/>
      <c r="E497" s="5"/>
      <c r="F497" s="5"/>
    </row>
    <row r="498" ht="15.75" customHeight="1">
      <c r="A498" s="5"/>
      <c r="B498" s="5"/>
      <c r="C498" s="5"/>
      <c r="D498" s="5"/>
      <c r="E498" s="5"/>
      <c r="F498" s="5"/>
    </row>
    <row r="499" ht="15.75" customHeight="1">
      <c r="A499" s="5"/>
      <c r="B499" s="5"/>
      <c r="C499" s="5"/>
      <c r="D499" s="5"/>
      <c r="E499" s="5"/>
      <c r="F499" s="5"/>
    </row>
    <row r="500" ht="15.75" customHeight="1">
      <c r="A500" s="5"/>
      <c r="B500" s="5"/>
      <c r="C500" s="5"/>
      <c r="D500" s="5"/>
      <c r="E500" s="5"/>
      <c r="F500" s="5"/>
    </row>
    <row r="501" ht="15.75" customHeight="1">
      <c r="A501" s="5"/>
      <c r="B501" s="5"/>
      <c r="C501" s="5"/>
      <c r="D501" s="5"/>
      <c r="E501" s="5"/>
      <c r="F501" s="5"/>
    </row>
    <row r="502" ht="15.75" customHeight="1">
      <c r="A502" s="5"/>
      <c r="B502" s="5"/>
      <c r="C502" s="5"/>
      <c r="D502" s="5"/>
      <c r="E502" s="5"/>
      <c r="F502" s="5"/>
    </row>
    <row r="503" ht="15.75" customHeight="1">
      <c r="A503" s="5"/>
      <c r="B503" s="5"/>
      <c r="C503" s="5"/>
      <c r="D503" s="5"/>
      <c r="E503" s="5"/>
      <c r="F503" s="5"/>
    </row>
    <row r="504" ht="15.75" customHeight="1">
      <c r="A504" s="5"/>
      <c r="B504" s="5"/>
      <c r="C504" s="5"/>
      <c r="D504" s="5"/>
      <c r="E504" s="5"/>
      <c r="F504" s="5"/>
    </row>
    <row r="505" ht="15.75" customHeight="1">
      <c r="A505" s="5"/>
      <c r="B505" s="5"/>
      <c r="C505" s="5"/>
      <c r="D505" s="5"/>
      <c r="E505" s="5"/>
      <c r="F505" s="5"/>
    </row>
    <row r="506" ht="15.75" customHeight="1">
      <c r="A506" s="5"/>
      <c r="B506" s="5"/>
      <c r="C506" s="5"/>
      <c r="D506" s="5"/>
      <c r="E506" s="5"/>
      <c r="F506" s="5"/>
    </row>
    <row r="507" ht="15.75" customHeight="1">
      <c r="A507" s="5"/>
      <c r="B507" s="5"/>
      <c r="C507" s="5"/>
      <c r="D507" s="5"/>
      <c r="E507" s="5"/>
      <c r="F507" s="5"/>
    </row>
    <row r="508" ht="15.75" customHeight="1">
      <c r="A508" s="5"/>
      <c r="B508" s="5"/>
      <c r="C508" s="5"/>
      <c r="D508" s="5"/>
      <c r="E508" s="5"/>
      <c r="F508" s="5"/>
    </row>
    <row r="509" ht="15.75" customHeight="1">
      <c r="A509" s="5"/>
      <c r="B509" s="5"/>
      <c r="C509" s="5"/>
      <c r="D509" s="5"/>
      <c r="E509" s="5"/>
      <c r="F509" s="5"/>
    </row>
    <row r="510" ht="15.75" customHeight="1">
      <c r="A510" s="5"/>
      <c r="B510" s="5"/>
      <c r="C510" s="5"/>
      <c r="D510" s="5"/>
      <c r="E510" s="5"/>
      <c r="F510" s="5"/>
    </row>
    <row r="511" ht="15.75" customHeight="1">
      <c r="A511" s="5"/>
      <c r="B511" s="5"/>
      <c r="C511" s="5"/>
      <c r="D511" s="5"/>
      <c r="E511" s="5"/>
      <c r="F511" s="5"/>
    </row>
    <row r="512" ht="15.75" customHeight="1">
      <c r="A512" s="5"/>
      <c r="B512" s="5"/>
      <c r="C512" s="5"/>
      <c r="D512" s="5"/>
      <c r="E512" s="5"/>
      <c r="F512" s="5"/>
    </row>
    <row r="513" ht="15.75" customHeight="1">
      <c r="A513" s="5"/>
      <c r="B513" s="5"/>
      <c r="C513" s="5"/>
      <c r="D513" s="5"/>
      <c r="E513" s="5"/>
      <c r="F513" s="5"/>
    </row>
    <row r="514" ht="15.75" customHeight="1">
      <c r="A514" s="5"/>
      <c r="B514" s="5"/>
      <c r="C514" s="5"/>
      <c r="D514" s="5"/>
      <c r="E514" s="5"/>
      <c r="F514" s="5"/>
    </row>
    <row r="515" ht="15.75" customHeight="1">
      <c r="A515" s="5"/>
      <c r="B515" s="5"/>
      <c r="C515" s="5"/>
      <c r="D515" s="5"/>
      <c r="E515" s="5"/>
      <c r="F515" s="5"/>
    </row>
    <row r="516" ht="15.75" customHeight="1">
      <c r="A516" s="5"/>
      <c r="B516" s="5"/>
      <c r="C516" s="5"/>
      <c r="D516" s="5"/>
      <c r="E516" s="5"/>
      <c r="F516" s="5"/>
    </row>
    <row r="517" ht="15.75" customHeight="1">
      <c r="A517" s="5"/>
      <c r="B517" s="5"/>
      <c r="C517" s="5"/>
      <c r="D517" s="5"/>
      <c r="E517" s="5"/>
      <c r="F517" s="5"/>
    </row>
    <row r="518" ht="15.75" customHeight="1">
      <c r="A518" s="5"/>
      <c r="B518" s="5"/>
      <c r="C518" s="5"/>
      <c r="D518" s="5"/>
      <c r="E518" s="5"/>
      <c r="F518" s="5"/>
    </row>
    <row r="519" ht="15.75" customHeight="1">
      <c r="A519" s="5"/>
      <c r="B519" s="5"/>
      <c r="C519" s="5"/>
      <c r="D519" s="5"/>
      <c r="E519" s="5"/>
      <c r="F519" s="5"/>
    </row>
    <row r="520" ht="15.75" customHeight="1">
      <c r="A520" s="5"/>
      <c r="B520" s="5"/>
      <c r="C520" s="5"/>
      <c r="D520" s="5"/>
      <c r="E520" s="5"/>
      <c r="F520" s="5"/>
    </row>
    <row r="521" ht="15.75" customHeight="1">
      <c r="A521" s="5"/>
      <c r="B521" s="5"/>
      <c r="C521" s="5"/>
      <c r="D521" s="5"/>
      <c r="E521" s="5"/>
      <c r="F521" s="5"/>
    </row>
    <row r="522" ht="15.75" customHeight="1">
      <c r="A522" s="5"/>
      <c r="B522" s="5"/>
      <c r="C522" s="5"/>
      <c r="D522" s="5"/>
      <c r="E522" s="5"/>
      <c r="F522" s="5"/>
    </row>
    <row r="523" ht="15.75" customHeight="1">
      <c r="A523" s="5"/>
      <c r="B523" s="5"/>
      <c r="C523" s="5"/>
      <c r="D523" s="5"/>
      <c r="E523" s="5"/>
      <c r="F523" s="5"/>
    </row>
    <row r="524" ht="15.75" customHeight="1">
      <c r="A524" s="5"/>
      <c r="B524" s="5"/>
      <c r="C524" s="5"/>
      <c r="D524" s="5"/>
      <c r="E524" s="5"/>
      <c r="F524" s="5"/>
    </row>
    <row r="525" ht="15.75" customHeight="1">
      <c r="A525" s="5"/>
      <c r="B525" s="5"/>
      <c r="C525" s="5"/>
      <c r="D525" s="5"/>
      <c r="E525" s="5"/>
      <c r="F525" s="5"/>
    </row>
    <row r="526" ht="15.75" customHeight="1">
      <c r="A526" s="5"/>
      <c r="B526" s="5"/>
      <c r="C526" s="5"/>
      <c r="D526" s="5"/>
      <c r="E526" s="5"/>
      <c r="F526" s="5"/>
    </row>
    <row r="527" ht="15.75" customHeight="1">
      <c r="A527" s="5"/>
      <c r="B527" s="5"/>
      <c r="C527" s="5"/>
      <c r="D527" s="5"/>
      <c r="E527" s="5"/>
      <c r="F527" s="5"/>
    </row>
    <row r="528" ht="15.75" customHeight="1">
      <c r="A528" s="5"/>
      <c r="B528" s="5"/>
      <c r="C528" s="5"/>
      <c r="D528" s="5"/>
      <c r="E528" s="5"/>
      <c r="F528" s="5"/>
    </row>
    <row r="529" ht="15.75" customHeight="1">
      <c r="A529" s="5"/>
      <c r="B529" s="5"/>
      <c r="C529" s="5"/>
      <c r="D529" s="5"/>
      <c r="E529" s="5"/>
      <c r="F529" s="5"/>
    </row>
    <row r="530" ht="15.75" customHeight="1">
      <c r="A530" s="5"/>
      <c r="B530" s="5"/>
      <c r="C530" s="5"/>
      <c r="D530" s="5"/>
      <c r="E530" s="5"/>
      <c r="F530" s="5"/>
    </row>
    <row r="531" ht="15.75" customHeight="1">
      <c r="A531" s="5"/>
      <c r="B531" s="5"/>
      <c r="C531" s="5"/>
      <c r="D531" s="5"/>
      <c r="E531" s="5"/>
      <c r="F531" s="5"/>
    </row>
    <row r="532" ht="15.75" customHeight="1">
      <c r="A532" s="5"/>
      <c r="B532" s="5"/>
      <c r="C532" s="5"/>
      <c r="D532" s="5"/>
      <c r="E532" s="5"/>
      <c r="F532" s="5"/>
    </row>
    <row r="533" ht="15.75" customHeight="1">
      <c r="A533" s="5"/>
      <c r="B533" s="5"/>
      <c r="C533" s="5"/>
      <c r="D533" s="5"/>
      <c r="E533" s="5"/>
      <c r="F533" s="5"/>
    </row>
    <row r="534" ht="15.75" customHeight="1">
      <c r="A534" s="5"/>
      <c r="B534" s="5"/>
      <c r="C534" s="5"/>
      <c r="D534" s="5"/>
      <c r="E534" s="5"/>
      <c r="F534" s="5"/>
    </row>
    <row r="535" ht="15.75" customHeight="1">
      <c r="A535" s="5"/>
      <c r="B535" s="5"/>
      <c r="C535" s="5"/>
      <c r="D535" s="5"/>
      <c r="E535" s="5"/>
      <c r="F535" s="5"/>
    </row>
    <row r="536" ht="15.75" customHeight="1">
      <c r="A536" s="5"/>
      <c r="B536" s="5"/>
      <c r="C536" s="5"/>
      <c r="D536" s="5"/>
      <c r="E536" s="5"/>
      <c r="F536" s="5"/>
    </row>
    <row r="537" ht="15.75" customHeight="1">
      <c r="A537" s="5"/>
      <c r="B537" s="5"/>
      <c r="C537" s="5"/>
      <c r="D537" s="5"/>
      <c r="E537" s="5"/>
      <c r="F537" s="5"/>
    </row>
    <row r="538" ht="15.75" customHeight="1">
      <c r="A538" s="5"/>
      <c r="B538" s="5"/>
      <c r="C538" s="5"/>
      <c r="D538" s="5"/>
      <c r="E538" s="5"/>
      <c r="F538" s="5"/>
    </row>
    <row r="539" ht="15.75" customHeight="1">
      <c r="A539" s="5"/>
      <c r="B539" s="5"/>
      <c r="C539" s="5"/>
      <c r="D539" s="5"/>
      <c r="E539" s="5"/>
      <c r="F539" s="5"/>
    </row>
    <row r="540" ht="15.75" customHeight="1">
      <c r="A540" s="5"/>
      <c r="B540" s="5"/>
      <c r="C540" s="5"/>
      <c r="D540" s="5"/>
      <c r="E540" s="5"/>
      <c r="F540" s="5"/>
    </row>
    <row r="541" ht="15.75" customHeight="1">
      <c r="A541" s="5"/>
      <c r="B541" s="5"/>
      <c r="C541" s="5"/>
      <c r="D541" s="5"/>
      <c r="E541" s="5"/>
      <c r="F541" s="5"/>
    </row>
    <row r="542" ht="15.75" customHeight="1">
      <c r="A542" s="5"/>
      <c r="B542" s="5"/>
      <c r="C542" s="5"/>
      <c r="D542" s="5"/>
      <c r="E542" s="5"/>
      <c r="F542" s="5"/>
    </row>
    <row r="543" ht="15.75" customHeight="1">
      <c r="A543" s="5"/>
      <c r="B543" s="5"/>
      <c r="C543" s="5"/>
      <c r="D543" s="5"/>
      <c r="E543" s="5"/>
      <c r="F543" s="5"/>
    </row>
    <row r="544" ht="15.75" customHeight="1">
      <c r="A544" s="5"/>
      <c r="B544" s="5"/>
      <c r="C544" s="5"/>
      <c r="D544" s="5"/>
      <c r="E544" s="5"/>
      <c r="F544" s="5"/>
    </row>
    <row r="545" ht="15.75" customHeight="1">
      <c r="A545" s="5"/>
      <c r="B545" s="5"/>
      <c r="C545" s="5"/>
      <c r="D545" s="5"/>
      <c r="E545" s="5"/>
      <c r="F545" s="5"/>
    </row>
    <row r="546" ht="15.75" customHeight="1">
      <c r="A546" s="5"/>
      <c r="B546" s="5"/>
      <c r="C546" s="5"/>
      <c r="D546" s="5"/>
      <c r="E546" s="5"/>
      <c r="F546" s="5"/>
    </row>
    <row r="547" ht="15.75" customHeight="1">
      <c r="A547" s="5"/>
      <c r="B547" s="5"/>
      <c r="C547" s="5"/>
      <c r="D547" s="5"/>
      <c r="E547" s="5"/>
      <c r="F547" s="5"/>
    </row>
    <row r="548" ht="15.75" customHeight="1">
      <c r="A548" s="5"/>
      <c r="B548" s="5"/>
      <c r="C548" s="5"/>
      <c r="D548" s="5"/>
      <c r="E548" s="5"/>
      <c r="F548" s="5"/>
    </row>
    <row r="549" ht="15.75" customHeight="1">
      <c r="A549" s="5"/>
      <c r="B549" s="5"/>
      <c r="C549" s="5"/>
      <c r="D549" s="5"/>
      <c r="E549" s="5"/>
      <c r="F549" s="5"/>
    </row>
    <row r="550" ht="15.75" customHeight="1">
      <c r="A550" s="5"/>
      <c r="B550" s="5"/>
      <c r="C550" s="5"/>
      <c r="D550" s="5"/>
      <c r="E550" s="5"/>
      <c r="F550" s="5"/>
    </row>
    <row r="551" ht="15.75" customHeight="1">
      <c r="A551" s="5"/>
      <c r="B551" s="5"/>
      <c r="C551" s="5"/>
      <c r="D551" s="5"/>
      <c r="E551" s="5"/>
      <c r="F551" s="5"/>
    </row>
    <row r="552" ht="15.75" customHeight="1">
      <c r="A552" s="5"/>
      <c r="B552" s="5"/>
      <c r="C552" s="5"/>
      <c r="D552" s="5"/>
      <c r="E552" s="5"/>
      <c r="F552" s="5"/>
    </row>
    <row r="553" ht="15.75" customHeight="1">
      <c r="A553" s="5"/>
      <c r="B553" s="5"/>
      <c r="C553" s="5"/>
      <c r="D553" s="5"/>
      <c r="E553" s="5"/>
      <c r="F553" s="5"/>
    </row>
    <row r="554" ht="15.75" customHeight="1">
      <c r="A554" s="5"/>
      <c r="B554" s="5"/>
      <c r="C554" s="5"/>
      <c r="D554" s="5"/>
      <c r="E554" s="5"/>
      <c r="F554" s="5"/>
    </row>
    <row r="555" ht="15.75" customHeight="1">
      <c r="A555" s="5"/>
      <c r="B555" s="5"/>
      <c r="C555" s="5"/>
      <c r="D555" s="5"/>
      <c r="E555" s="5"/>
      <c r="F555" s="5"/>
    </row>
    <row r="556" ht="15.75" customHeight="1">
      <c r="A556" s="5"/>
      <c r="B556" s="5"/>
      <c r="C556" s="5"/>
      <c r="D556" s="5"/>
      <c r="E556" s="5"/>
      <c r="F556" s="5"/>
    </row>
    <row r="557" ht="15.75" customHeight="1">
      <c r="A557" s="5"/>
      <c r="B557" s="5"/>
      <c r="C557" s="5"/>
      <c r="D557" s="5"/>
      <c r="E557" s="5"/>
      <c r="F557" s="5"/>
    </row>
    <row r="558" ht="15.75" customHeight="1">
      <c r="A558" s="5"/>
      <c r="B558" s="5"/>
      <c r="C558" s="5"/>
      <c r="D558" s="5"/>
      <c r="E558" s="5"/>
      <c r="F558" s="5"/>
    </row>
    <row r="559" ht="15.75" customHeight="1">
      <c r="A559" s="5"/>
      <c r="B559" s="5"/>
      <c r="C559" s="5"/>
      <c r="D559" s="5"/>
      <c r="E559" s="5"/>
      <c r="F559" s="5"/>
    </row>
    <row r="560" ht="15.75" customHeight="1">
      <c r="A560" s="5"/>
      <c r="B560" s="5"/>
      <c r="C560" s="5"/>
      <c r="D560" s="5"/>
      <c r="E560" s="5"/>
      <c r="F560" s="5"/>
    </row>
    <row r="561" ht="15.75" customHeight="1">
      <c r="A561" s="5"/>
      <c r="B561" s="5"/>
      <c r="C561" s="5"/>
      <c r="D561" s="5"/>
      <c r="E561" s="5"/>
      <c r="F561" s="5"/>
    </row>
    <row r="562" ht="15.75" customHeight="1">
      <c r="A562" s="5"/>
      <c r="B562" s="5"/>
      <c r="C562" s="5"/>
      <c r="D562" s="5"/>
      <c r="E562" s="5"/>
      <c r="F562" s="5"/>
    </row>
    <row r="563" ht="15.75" customHeight="1">
      <c r="A563" s="5"/>
      <c r="B563" s="5"/>
      <c r="C563" s="5"/>
      <c r="D563" s="5"/>
      <c r="E563" s="5"/>
      <c r="F563" s="5"/>
    </row>
    <row r="564" ht="15.75" customHeight="1">
      <c r="A564" s="5"/>
      <c r="B564" s="5"/>
      <c r="C564" s="5"/>
      <c r="D564" s="5"/>
      <c r="E564" s="5"/>
      <c r="F564" s="5"/>
    </row>
    <row r="565" ht="15.75" customHeight="1">
      <c r="A565" s="5"/>
      <c r="B565" s="5"/>
      <c r="C565" s="5"/>
      <c r="D565" s="5"/>
      <c r="E565" s="5"/>
      <c r="F565" s="5"/>
    </row>
    <row r="566" ht="15.75" customHeight="1">
      <c r="A566" s="5"/>
      <c r="B566" s="5"/>
      <c r="C566" s="5"/>
      <c r="D566" s="5"/>
      <c r="E566" s="5"/>
      <c r="F566" s="5"/>
    </row>
    <row r="567" ht="15.75" customHeight="1">
      <c r="A567" s="5"/>
      <c r="B567" s="5"/>
      <c r="C567" s="5"/>
      <c r="D567" s="5"/>
      <c r="E567" s="5"/>
      <c r="F567" s="5"/>
    </row>
    <row r="568" ht="15.75" customHeight="1">
      <c r="A568" s="5"/>
      <c r="B568" s="5"/>
      <c r="C568" s="5"/>
      <c r="D568" s="5"/>
      <c r="E568" s="5"/>
      <c r="F568" s="5"/>
    </row>
    <row r="569" ht="15.75" customHeight="1">
      <c r="A569" s="5"/>
      <c r="B569" s="5"/>
      <c r="C569" s="5"/>
      <c r="D569" s="5"/>
      <c r="E569" s="5"/>
      <c r="F569" s="5"/>
    </row>
    <row r="570" ht="15.75" customHeight="1">
      <c r="A570" s="5"/>
      <c r="B570" s="5"/>
      <c r="C570" s="5"/>
      <c r="D570" s="5"/>
      <c r="E570" s="5"/>
      <c r="F570" s="5"/>
    </row>
    <row r="571" ht="15.75" customHeight="1">
      <c r="A571" s="5"/>
      <c r="B571" s="5"/>
      <c r="C571" s="5"/>
      <c r="D571" s="5"/>
      <c r="E571" s="5"/>
      <c r="F571" s="5"/>
    </row>
    <row r="572" ht="15.75" customHeight="1">
      <c r="A572" s="5"/>
      <c r="B572" s="5"/>
      <c r="C572" s="5"/>
      <c r="D572" s="5"/>
      <c r="E572" s="5"/>
      <c r="F572" s="5"/>
    </row>
    <row r="573" ht="15.75" customHeight="1">
      <c r="A573" s="5"/>
      <c r="B573" s="5"/>
      <c r="C573" s="5"/>
      <c r="D573" s="5"/>
      <c r="E573" s="5"/>
      <c r="F573" s="5"/>
    </row>
    <row r="574" ht="15.75" customHeight="1">
      <c r="A574" s="5"/>
      <c r="B574" s="5"/>
      <c r="C574" s="5"/>
      <c r="D574" s="5"/>
      <c r="E574" s="5"/>
      <c r="F574" s="5"/>
    </row>
    <row r="575" ht="15.75" customHeight="1">
      <c r="A575" s="5"/>
      <c r="B575" s="5"/>
      <c r="C575" s="5"/>
      <c r="D575" s="5"/>
      <c r="E575" s="5"/>
      <c r="F575" s="5"/>
    </row>
    <row r="576" ht="15.75" customHeight="1">
      <c r="A576" s="5"/>
      <c r="B576" s="5"/>
      <c r="C576" s="5"/>
      <c r="D576" s="5"/>
      <c r="E576" s="5"/>
      <c r="F576" s="5"/>
    </row>
    <row r="577" ht="15.75" customHeight="1">
      <c r="A577" s="5"/>
      <c r="B577" s="5"/>
      <c r="C577" s="5"/>
      <c r="D577" s="5"/>
      <c r="E577" s="5"/>
      <c r="F577" s="5"/>
    </row>
    <row r="578" ht="15.75" customHeight="1">
      <c r="A578" s="5"/>
      <c r="B578" s="5"/>
      <c r="C578" s="5"/>
      <c r="D578" s="5"/>
      <c r="E578" s="5"/>
      <c r="F578" s="5"/>
    </row>
    <row r="579" ht="15.75" customHeight="1">
      <c r="A579" s="5"/>
      <c r="B579" s="5"/>
      <c r="C579" s="5"/>
      <c r="D579" s="5"/>
      <c r="E579" s="5"/>
      <c r="F579" s="5"/>
    </row>
    <row r="580" ht="15.75" customHeight="1">
      <c r="A580" s="5"/>
      <c r="B580" s="5"/>
      <c r="C580" s="5"/>
      <c r="D580" s="5"/>
      <c r="E580" s="5"/>
      <c r="F580" s="5"/>
    </row>
    <row r="581" ht="15.75" customHeight="1">
      <c r="A581" s="5"/>
      <c r="B581" s="5"/>
      <c r="C581" s="5"/>
      <c r="D581" s="5"/>
      <c r="E581" s="5"/>
      <c r="F581" s="5"/>
    </row>
    <row r="582" ht="15.75" customHeight="1">
      <c r="A582" s="5"/>
      <c r="B582" s="5"/>
      <c r="C582" s="5"/>
      <c r="D582" s="5"/>
      <c r="E582" s="5"/>
      <c r="F582" s="5"/>
    </row>
    <row r="583" ht="15.75" customHeight="1">
      <c r="A583" s="5"/>
      <c r="B583" s="5"/>
      <c r="C583" s="5"/>
      <c r="D583" s="5"/>
      <c r="E583" s="5"/>
      <c r="F583" s="5"/>
    </row>
    <row r="584" ht="15.75" customHeight="1">
      <c r="A584" s="5"/>
      <c r="B584" s="5"/>
      <c r="C584" s="5"/>
      <c r="D584" s="5"/>
      <c r="E584" s="5"/>
      <c r="F584" s="5"/>
    </row>
    <row r="585" ht="15.75" customHeight="1">
      <c r="A585" s="5"/>
      <c r="B585" s="5"/>
      <c r="C585" s="5"/>
      <c r="D585" s="5"/>
      <c r="E585" s="5"/>
      <c r="F585" s="5"/>
    </row>
    <row r="586" ht="15.75" customHeight="1">
      <c r="A586" s="5"/>
      <c r="B586" s="5"/>
      <c r="C586" s="5"/>
      <c r="D586" s="5"/>
      <c r="E586" s="5"/>
      <c r="F586" s="5"/>
    </row>
    <row r="587" ht="15.75" customHeight="1">
      <c r="A587" s="5"/>
      <c r="B587" s="5"/>
      <c r="C587" s="5"/>
      <c r="D587" s="5"/>
      <c r="E587" s="5"/>
      <c r="F587" s="5"/>
    </row>
    <row r="588" ht="15.75" customHeight="1">
      <c r="A588" s="5"/>
      <c r="B588" s="5"/>
      <c r="C588" s="5"/>
      <c r="D588" s="5"/>
      <c r="E588" s="5"/>
      <c r="F588" s="5"/>
    </row>
    <row r="589" ht="15.75" customHeight="1">
      <c r="A589" s="5"/>
      <c r="B589" s="5"/>
      <c r="C589" s="5"/>
      <c r="D589" s="5"/>
      <c r="E589" s="5"/>
      <c r="F589" s="5"/>
    </row>
    <row r="590" ht="15.75" customHeight="1">
      <c r="A590" s="5"/>
      <c r="B590" s="5"/>
      <c r="C590" s="5"/>
      <c r="D590" s="5"/>
      <c r="E590" s="5"/>
      <c r="F590" s="5"/>
    </row>
    <row r="591" ht="15.75" customHeight="1">
      <c r="A591" s="5"/>
      <c r="B591" s="5"/>
      <c r="C591" s="5"/>
      <c r="D591" s="5"/>
      <c r="E591" s="5"/>
      <c r="F591" s="5"/>
    </row>
    <row r="592" ht="15.75" customHeight="1">
      <c r="A592" s="5"/>
      <c r="B592" s="5"/>
      <c r="C592" s="5"/>
      <c r="D592" s="5"/>
      <c r="E592" s="5"/>
      <c r="F592" s="5"/>
    </row>
    <row r="593" ht="15.75" customHeight="1">
      <c r="A593" s="5"/>
      <c r="B593" s="5"/>
      <c r="C593" s="5"/>
      <c r="D593" s="5"/>
      <c r="E593" s="5"/>
      <c r="F593" s="5"/>
    </row>
    <row r="594" ht="15.75" customHeight="1">
      <c r="A594" s="5"/>
      <c r="B594" s="5"/>
      <c r="C594" s="5"/>
      <c r="D594" s="5"/>
      <c r="E594" s="5"/>
      <c r="F594" s="5"/>
    </row>
    <row r="595" ht="15.75" customHeight="1">
      <c r="A595" s="5"/>
      <c r="B595" s="5"/>
      <c r="C595" s="5"/>
      <c r="D595" s="5"/>
      <c r="E595" s="5"/>
      <c r="F595" s="5"/>
    </row>
    <row r="596" ht="15.75" customHeight="1">
      <c r="A596" s="5"/>
      <c r="B596" s="5"/>
      <c r="C596" s="5"/>
      <c r="D596" s="5"/>
      <c r="E596" s="5"/>
      <c r="F596" s="5"/>
    </row>
    <row r="597" ht="15.75" customHeight="1">
      <c r="A597" s="5"/>
      <c r="B597" s="5"/>
      <c r="C597" s="5"/>
      <c r="D597" s="5"/>
      <c r="E597" s="5"/>
      <c r="F597" s="5"/>
    </row>
    <row r="598" ht="15.75" customHeight="1">
      <c r="A598" s="5"/>
      <c r="B598" s="5"/>
      <c r="C598" s="5"/>
      <c r="D598" s="5"/>
      <c r="E598" s="5"/>
      <c r="F598" s="5"/>
    </row>
    <row r="599" ht="15.75" customHeight="1">
      <c r="A599" s="5"/>
      <c r="B599" s="5"/>
      <c r="C599" s="5"/>
      <c r="D599" s="5"/>
      <c r="E599" s="5"/>
      <c r="F599" s="5"/>
    </row>
    <row r="600" ht="15.75" customHeight="1">
      <c r="A600" s="5"/>
      <c r="B600" s="5"/>
      <c r="C600" s="5"/>
      <c r="D600" s="5"/>
      <c r="E600" s="5"/>
      <c r="F600" s="5"/>
    </row>
    <row r="601" ht="15.75" customHeight="1">
      <c r="A601" s="5"/>
      <c r="B601" s="5"/>
      <c r="C601" s="5"/>
      <c r="D601" s="5"/>
      <c r="E601" s="5"/>
      <c r="F601" s="5"/>
    </row>
    <row r="602" ht="15.75" customHeight="1">
      <c r="A602" s="5"/>
      <c r="B602" s="5"/>
      <c r="C602" s="5"/>
      <c r="D602" s="5"/>
      <c r="E602" s="5"/>
      <c r="F602" s="5"/>
    </row>
    <row r="603" ht="15.75" customHeight="1">
      <c r="A603" s="5"/>
      <c r="B603" s="5"/>
      <c r="C603" s="5"/>
      <c r="D603" s="5"/>
      <c r="E603" s="5"/>
      <c r="F603" s="5"/>
    </row>
    <row r="604" ht="15.75" customHeight="1">
      <c r="A604" s="5"/>
      <c r="B604" s="5"/>
      <c r="C604" s="5"/>
      <c r="D604" s="5"/>
      <c r="E604" s="5"/>
      <c r="F604" s="5"/>
    </row>
    <row r="605" ht="15.75" customHeight="1">
      <c r="A605" s="5"/>
      <c r="B605" s="5"/>
      <c r="C605" s="5"/>
      <c r="D605" s="5"/>
      <c r="E605" s="5"/>
      <c r="F605" s="5"/>
    </row>
    <row r="606" ht="15.75" customHeight="1">
      <c r="A606" s="5"/>
      <c r="B606" s="5"/>
      <c r="C606" s="5"/>
      <c r="D606" s="5"/>
      <c r="E606" s="5"/>
      <c r="F606" s="5"/>
    </row>
    <row r="607" ht="15.75" customHeight="1">
      <c r="A607" s="5"/>
      <c r="B607" s="5"/>
      <c r="C607" s="5"/>
      <c r="D607" s="5"/>
      <c r="E607" s="5"/>
      <c r="F607" s="5"/>
    </row>
    <row r="608" ht="15.75" customHeight="1">
      <c r="A608" s="5"/>
      <c r="B608" s="5"/>
      <c r="C608" s="5"/>
      <c r="D608" s="5"/>
      <c r="E608" s="5"/>
      <c r="F608" s="5"/>
    </row>
    <row r="609" ht="15.75" customHeight="1">
      <c r="A609" s="5"/>
      <c r="B609" s="5"/>
      <c r="C609" s="5"/>
      <c r="D609" s="5"/>
      <c r="E609" s="5"/>
      <c r="F609" s="5"/>
    </row>
    <row r="610" ht="15.75" customHeight="1">
      <c r="A610" s="5"/>
      <c r="B610" s="5"/>
      <c r="C610" s="5"/>
      <c r="D610" s="5"/>
      <c r="E610" s="5"/>
      <c r="F610" s="5"/>
    </row>
    <row r="611" ht="15.75" customHeight="1">
      <c r="A611" s="5"/>
      <c r="B611" s="5"/>
      <c r="C611" s="5"/>
      <c r="D611" s="5"/>
      <c r="E611" s="5"/>
      <c r="F611" s="5"/>
    </row>
    <row r="612" ht="15.75" customHeight="1">
      <c r="A612" s="5"/>
      <c r="B612" s="5"/>
      <c r="C612" s="5"/>
      <c r="D612" s="5"/>
      <c r="E612" s="5"/>
      <c r="F612" s="5"/>
    </row>
    <row r="613" ht="15.75" customHeight="1">
      <c r="A613" s="5"/>
      <c r="B613" s="5"/>
      <c r="C613" s="5"/>
      <c r="D613" s="5"/>
      <c r="E613" s="5"/>
      <c r="F613" s="5"/>
    </row>
    <row r="614" ht="15.75" customHeight="1">
      <c r="A614" s="5"/>
      <c r="B614" s="5"/>
      <c r="C614" s="5"/>
      <c r="D614" s="5"/>
      <c r="E614" s="5"/>
      <c r="F614" s="5"/>
    </row>
    <row r="615" ht="15.75" customHeight="1">
      <c r="A615" s="5"/>
      <c r="B615" s="5"/>
      <c r="C615" s="5"/>
      <c r="D615" s="5"/>
      <c r="E615" s="5"/>
      <c r="F615" s="5"/>
    </row>
    <row r="616" ht="15.75" customHeight="1">
      <c r="A616" s="5"/>
      <c r="B616" s="5"/>
      <c r="C616" s="5"/>
      <c r="D616" s="5"/>
      <c r="E616" s="5"/>
      <c r="F616" s="5"/>
    </row>
    <row r="617" ht="15.75" customHeight="1">
      <c r="A617" s="5"/>
      <c r="B617" s="5"/>
      <c r="C617" s="5"/>
      <c r="D617" s="5"/>
      <c r="E617" s="5"/>
      <c r="F617" s="5"/>
    </row>
    <row r="618" ht="15.75" customHeight="1">
      <c r="A618" s="5"/>
      <c r="B618" s="5"/>
      <c r="C618" s="5"/>
      <c r="D618" s="5"/>
      <c r="E618" s="5"/>
      <c r="F618" s="5"/>
    </row>
    <row r="619" ht="15.75" customHeight="1">
      <c r="A619" s="5"/>
      <c r="B619" s="5"/>
      <c r="C619" s="5"/>
      <c r="D619" s="5"/>
      <c r="E619" s="5"/>
      <c r="F619" s="5"/>
    </row>
    <row r="620" ht="15.75" customHeight="1">
      <c r="A620" s="5"/>
      <c r="B620" s="5"/>
      <c r="C620" s="5"/>
      <c r="D620" s="5"/>
      <c r="E620" s="5"/>
      <c r="F620" s="5"/>
    </row>
    <row r="621" ht="15.75" customHeight="1">
      <c r="A621" s="5"/>
      <c r="B621" s="5"/>
      <c r="C621" s="5"/>
      <c r="D621" s="5"/>
      <c r="E621" s="5"/>
      <c r="F621" s="5"/>
    </row>
    <row r="622" ht="15.75" customHeight="1">
      <c r="A622" s="5"/>
      <c r="B622" s="5"/>
      <c r="C622" s="5"/>
      <c r="D622" s="5"/>
      <c r="E622" s="5"/>
      <c r="F622" s="5"/>
    </row>
    <row r="623" ht="15.75" customHeight="1">
      <c r="A623" s="5"/>
      <c r="B623" s="5"/>
      <c r="C623" s="5"/>
      <c r="D623" s="5"/>
      <c r="E623" s="5"/>
      <c r="F623" s="5"/>
    </row>
    <row r="624" ht="15.75" customHeight="1">
      <c r="A624" s="5"/>
      <c r="B624" s="5"/>
      <c r="C624" s="5"/>
      <c r="D624" s="5"/>
      <c r="E624" s="5"/>
      <c r="F624" s="5"/>
    </row>
    <row r="625" ht="15.75" customHeight="1">
      <c r="A625" s="5"/>
      <c r="B625" s="5"/>
      <c r="C625" s="5"/>
      <c r="D625" s="5"/>
      <c r="E625" s="5"/>
      <c r="F625" s="5"/>
    </row>
    <row r="626" ht="15.75" customHeight="1">
      <c r="A626" s="5"/>
      <c r="B626" s="5"/>
      <c r="C626" s="5"/>
      <c r="D626" s="5"/>
      <c r="E626" s="5"/>
      <c r="F626" s="5"/>
    </row>
    <row r="627" ht="15.75" customHeight="1">
      <c r="A627" s="5"/>
      <c r="B627" s="5"/>
      <c r="C627" s="5"/>
      <c r="D627" s="5"/>
      <c r="E627" s="5"/>
      <c r="F627" s="5"/>
    </row>
    <row r="628" ht="15.75" customHeight="1">
      <c r="A628" s="5"/>
      <c r="B628" s="5"/>
      <c r="C628" s="5"/>
      <c r="D628" s="5"/>
      <c r="E628" s="5"/>
      <c r="F628" s="5"/>
    </row>
    <row r="629" ht="15.75" customHeight="1">
      <c r="A629" s="5"/>
      <c r="B629" s="5"/>
      <c r="C629" s="5"/>
      <c r="D629" s="5"/>
      <c r="E629" s="5"/>
      <c r="F629" s="5"/>
    </row>
    <row r="630" ht="15.75" customHeight="1">
      <c r="A630" s="5"/>
      <c r="B630" s="5"/>
      <c r="C630" s="5"/>
      <c r="D630" s="5"/>
      <c r="E630" s="5"/>
      <c r="F630" s="5"/>
    </row>
    <row r="631" ht="15.75" customHeight="1">
      <c r="A631" s="5"/>
      <c r="B631" s="5"/>
      <c r="C631" s="5"/>
      <c r="D631" s="5"/>
      <c r="E631" s="5"/>
      <c r="F631" s="5"/>
    </row>
    <row r="632" ht="15.75" customHeight="1">
      <c r="A632" s="5"/>
      <c r="B632" s="5"/>
      <c r="C632" s="5"/>
      <c r="D632" s="5"/>
      <c r="E632" s="5"/>
      <c r="F632" s="5"/>
    </row>
    <row r="633" ht="15.75" customHeight="1">
      <c r="A633" s="5"/>
      <c r="B633" s="5"/>
      <c r="C633" s="5"/>
      <c r="D633" s="5"/>
      <c r="E633" s="5"/>
      <c r="F633" s="5"/>
    </row>
    <row r="634" ht="15.75" customHeight="1">
      <c r="A634" s="5"/>
      <c r="B634" s="5"/>
      <c r="C634" s="5"/>
      <c r="D634" s="5"/>
      <c r="E634" s="5"/>
      <c r="F634" s="5"/>
    </row>
    <row r="635" ht="15.75" customHeight="1">
      <c r="A635" s="5"/>
      <c r="B635" s="5"/>
      <c r="C635" s="5"/>
      <c r="D635" s="5"/>
      <c r="E635" s="5"/>
      <c r="F635" s="5"/>
    </row>
    <row r="636" ht="15.75" customHeight="1">
      <c r="A636" s="5"/>
      <c r="B636" s="5"/>
      <c r="C636" s="5"/>
      <c r="D636" s="5"/>
      <c r="E636" s="5"/>
      <c r="F636" s="5"/>
    </row>
    <row r="637" ht="15.75" customHeight="1">
      <c r="A637" s="5"/>
      <c r="B637" s="5"/>
      <c r="C637" s="5"/>
      <c r="D637" s="5"/>
      <c r="E637" s="5"/>
      <c r="F637" s="5"/>
    </row>
    <row r="638" ht="15.75" customHeight="1">
      <c r="A638" s="5"/>
      <c r="B638" s="5"/>
      <c r="C638" s="5"/>
      <c r="D638" s="5"/>
      <c r="E638" s="5"/>
      <c r="F638" s="5"/>
    </row>
    <row r="639" ht="15.75" customHeight="1">
      <c r="A639" s="5"/>
      <c r="B639" s="5"/>
      <c r="C639" s="5"/>
      <c r="D639" s="5"/>
      <c r="E639" s="5"/>
      <c r="F639" s="5"/>
    </row>
    <row r="640" ht="15.75" customHeight="1">
      <c r="A640" s="5"/>
      <c r="B640" s="5"/>
      <c r="C640" s="5"/>
      <c r="D640" s="5"/>
      <c r="E640" s="5"/>
      <c r="F640" s="5"/>
    </row>
    <row r="641" ht="15.75" customHeight="1">
      <c r="A641" s="5"/>
      <c r="B641" s="5"/>
      <c r="C641" s="5"/>
      <c r="D641" s="5"/>
      <c r="E641" s="5"/>
      <c r="F641" s="5"/>
    </row>
    <row r="642" ht="15.75" customHeight="1">
      <c r="A642" s="5"/>
      <c r="B642" s="5"/>
      <c r="C642" s="5"/>
      <c r="D642" s="5"/>
      <c r="E642" s="5"/>
      <c r="F642" s="5"/>
    </row>
    <row r="643" ht="15.75" customHeight="1">
      <c r="A643" s="5"/>
      <c r="B643" s="5"/>
      <c r="C643" s="5"/>
      <c r="D643" s="5"/>
      <c r="E643" s="5"/>
      <c r="F643" s="5"/>
    </row>
    <row r="644" ht="15.75" customHeight="1">
      <c r="A644" s="5"/>
      <c r="B644" s="5"/>
      <c r="C644" s="5"/>
      <c r="D644" s="5"/>
      <c r="E644" s="5"/>
      <c r="F644" s="5"/>
    </row>
    <row r="645" ht="15.75" customHeight="1">
      <c r="A645" s="5"/>
      <c r="B645" s="5"/>
      <c r="C645" s="5"/>
      <c r="D645" s="5"/>
      <c r="E645" s="5"/>
      <c r="F645" s="5"/>
    </row>
    <row r="646" ht="15.75" customHeight="1">
      <c r="A646" s="5"/>
      <c r="B646" s="5"/>
      <c r="C646" s="5"/>
      <c r="D646" s="5"/>
      <c r="E646" s="5"/>
      <c r="F646" s="5"/>
    </row>
    <row r="647" ht="15.75" customHeight="1">
      <c r="A647" s="5"/>
      <c r="B647" s="5"/>
      <c r="C647" s="5"/>
      <c r="D647" s="5"/>
      <c r="E647" s="5"/>
      <c r="F647" s="5"/>
    </row>
    <row r="648" ht="15.75" customHeight="1">
      <c r="A648" s="5"/>
      <c r="B648" s="5"/>
      <c r="C648" s="5"/>
      <c r="D648" s="5"/>
      <c r="E648" s="5"/>
      <c r="F648" s="5"/>
    </row>
    <row r="649" ht="15.75" customHeight="1">
      <c r="A649" s="5"/>
      <c r="B649" s="5"/>
      <c r="C649" s="5"/>
      <c r="D649" s="5"/>
      <c r="E649" s="5"/>
      <c r="F649" s="5"/>
    </row>
    <row r="650" ht="15.75" customHeight="1">
      <c r="A650" s="5"/>
      <c r="B650" s="5"/>
      <c r="C650" s="5"/>
      <c r="D650" s="5"/>
      <c r="E650" s="5"/>
      <c r="F650" s="5"/>
    </row>
    <row r="651" ht="15.75" customHeight="1">
      <c r="A651" s="5"/>
      <c r="B651" s="5"/>
      <c r="C651" s="5"/>
      <c r="D651" s="5"/>
      <c r="E651" s="5"/>
      <c r="F651" s="5"/>
    </row>
    <row r="652" ht="15.75" customHeight="1">
      <c r="A652" s="5"/>
      <c r="B652" s="5"/>
      <c r="C652" s="5"/>
      <c r="D652" s="5"/>
      <c r="E652" s="5"/>
      <c r="F652" s="5"/>
    </row>
    <row r="653" ht="15.75" customHeight="1">
      <c r="A653" s="5"/>
      <c r="B653" s="5"/>
      <c r="C653" s="5"/>
      <c r="D653" s="5"/>
      <c r="E653" s="5"/>
      <c r="F653" s="5"/>
    </row>
    <row r="654" ht="15.75" customHeight="1">
      <c r="A654" s="5"/>
      <c r="B654" s="5"/>
      <c r="C654" s="5"/>
      <c r="D654" s="5"/>
      <c r="E654" s="5"/>
      <c r="F654" s="5"/>
    </row>
    <row r="655" ht="15.75" customHeight="1">
      <c r="A655" s="5"/>
      <c r="B655" s="5"/>
      <c r="C655" s="5"/>
      <c r="D655" s="5"/>
      <c r="E655" s="5"/>
      <c r="F655" s="5"/>
    </row>
    <row r="656" ht="15.75" customHeight="1">
      <c r="A656" s="5"/>
      <c r="B656" s="5"/>
      <c r="C656" s="5"/>
      <c r="D656" s="5"/>
      <c r="E656" s="5"/>
      <c r="F656" s="5"/>
    </row>
    <row r="657" ht="15.75" customHeight="1">
      <c r="A657" s="5"/>
      <c r="B657" s="5"/>
      <c r="C657" s="5"/>
      <c r="D657" s="5"/>
      <c r="E657" s="5"/>
      <c r="F657" s="5"/>
    </row>
    <row r="658" ht="15.75" customHeight="1">
      <c r="A658" s="5"/>
      <c r="B658" s="5"/>
      <c r="C658" s="5"/>
      <c r="D658" s="5"/>
      <c r="E658" s="5"/>
      <c r="F658" s="5"/>
    </row>
    <row r="659" ht="15.75" customHeight="1">
      <c r="A659" s="5"/>
      <c r="B659" s="5"/>
      <c r="C659" s="5"/>
      <c r="D659" s="5"/>
      <c r="E659" s="5"/>
      <c r="F659" s="5"/>
    </row>
    <row r="660" ht="15.75" customHeight="1">
      <c r="A660" s="5"/>
      <c r="B660" s="5"/>
      <c r="C660" s="5"/>
      <c r="D660" s="5"/>
      <c r="E660" s="5"/>
      <c r="F660" s="5"/>
    </row>
    <row r="661" ht="15.75" customHeight="1">
      <c r="A661" s="5"/>
      <c r="B661" s="5"/>
      <c r="C661" s="5"/>
      <c r="D661" s="5"/>
      <c r="E661" s="5"/>
      <c r="F661" s="5"/>
    </row>
    <row r="662" ht="15.75" customHeight="1">
      <c r="A662" s="5"/>
      <c r="B662" s="5"/>
      <c r="C662" s="5"/>
      <c r="D662" s="5"/>
      <c r="E662" s="5"/>
      <c r="F662" s="5"/>
    </row>
    <row r="663" ht="15.75" customHeight="1">
      <c r="A663" s="5"/>
      <c r="B663" s="5"/>
      <c r="C663" s="5"/>
      <c r="D663" s="5"/>
      <c r="E663" s="5"/>
      <c r="F663" s="5"/>
    </row>
    <row r="664" ht="15.75" customHeight="1">
      <c r="A664" s="5"/>
      <c r="B664" s="5"/>
      <c r="C664" s="5"/>
      <c r="D664" s="5"/>
      <c r="E664" s="5"/>
      <c r="F664" s="5"/>
    </row>
    <row r="665" ht="15.75" customHeight="1">
      <c r="A665" s="5"/>
      <c r="B665" s="5"/>
      <c r="C665" s="5"/>
      <c r="D665" s="5"/>
      <c r="E665" s="5"/>
      <c r="F665" s="5"/>
    </row>
    <row r="666" ht="15.75" customHeight="1">
      <c r="A666" s="5"/>
      <c r="B666" s="5"/>
      <c r="C666" s="5"/>
      <c r="D666" s="5"/>
      <c r="E666" s="5"/>
      <c r="F666" s="5"/>
    </row>
    <row r="667" ht="15.75" customHeight="1">
      <c r="A667" s="5"/>
      <c r="B667" s="5"/>
      <c r="C667" s="5"/>
      <c r="D667" s="5"/>
      <c r="E667" s="5"/>
      <c r="F667" s="5"/>
    </row>
    <row r="668" ht="15.75" customHeight="1">
      <c r="A668" s="5"/>
      <c r="B668" s="5"/>
      <c r="C668" s="5"/>
      <c r="D668" s="5"/>
      <c r="E668" s="5"/>
      <c r="F668" s="5"/>
    </row>
    <row r="669" ht="15.75" customHeight="1">
      <c r="A669" s="5"/>
      <c r="B669" s="5"/>
      <c r="C669" s="5"/>
      <c r="D669" s="5"/>
      <c r="E669" s="5"/>
      <c r="F669" s="5"/>
    </row>
    <row r="670" ht="15.75" customHeight="1">
      <c r="A670" s="5"/>
      <c r="B670" s="5"/>
      <c r="C670" s="5"/>
      <c r="D670" s="5"/>
      <c r="E670" s="5"/>
      <c r="F670" s="5"/>
    </row>
    <row r="671" ht="15.75" customHeight="1">
      <c r="A671" s="5"/>
      <c r="B671" s="5"/>
      <c r="C671" s="5"/>
      <c r="D671" s="5"/>
      <c r="E671" s="5"/>
      <c r="F671" s="5"/>
    </row>
    <row r="672" ht="15.75" customHeight="1">
      <c r="A672" s="5"/>
      <c r="B672" s="5"/>
      <c r="C672" s="5"/>
      <c r="D672" s="5"/>
      <c r="E672" s="5"/>
      <c r="F672" s="5"/>
    </row>
    <row r="673" ht="15.75" customHeight="1">
      <c r="A673" s="5"/>
      <c r="B673" s="5"/>
      <c r="C673" s="5"/>
      <c r="D673" s="5"/>
      <c r="E673" s="5"/>
      <c r="F673" s="5"/>
    </row>
    <row r="674" ht="15.75" customHeight="1">
      <c r="A674" s="5"/>
      <c r="B674" s="5"/>
      <c r="C674" s="5"/>
      <c r="D674" s="5"/>
      <c r="E674" s="5"/>
      <c r="F674" s="5"/>
    </row>
    <row r="675" ht="15.75" customHeight="1">
      <c r="A675" s="5"/>
      <c r="B675" s="5"/>
      <c r="C675" s="5"/>
      <c r="D675" s="5"/>
      <c r="E675" s="5"/>
      <c r="F675" s="5"/>
    </row>
    <row r="676" ht="15.75" customHeight="1">
      <c r="A676" s="5"/>
      <c r="B676" s="5"/>
      <c r="C676" s="5"/>
      <c r="D676" s="5"/>
      <c r="E676" s="5"/>
      <c r="F676" s="5"/>
    </row>
    <row r="677" ht="15.75" customHeight="1">
      <c r="A677" s="5"/>
      <c r="B677" s="5"/>
      <c r="C677" s="5"/>
      <c r="D677" s="5"/>
      <c r="E677" s="5"/>
      <c r="F677" s="5"/>
    </row>
    <row r="678" ht="15.75" customHeight="1">
      <c r="A678" s="5"/>
      <c r="B678" s="5"/>
      <c r="C678" s="5"/>
      <c r="D678" s="5"/>
      <c r="E678" s="5"/>
      <c r="F678" s="5"/>
    </row>
    <row r="679" ht="15.75" customHeight="1">
      <c r="A679" s="5"/>
      <c r="B679" s="5"/>
      <c r="C679" s="5"/>
      <c r="D679" s="5"/>
      <c r="E679" s="5"/>
      <c r="F679" s="5"/>
    </row>
    <row r="680" ht="15.75" customHeight="1">
      <c r="A680" s="5"/>
      <c r="B680" s="5"/>
      <c r="C680" s="5"/>
      <c r="D680" s="5"/>
      <c r="E680" s="5"/>
      <c r="F680" s="5"/>
    </row>
    <row r="681" ht="15.75" customHeight="1">
      <c r="A681" s="5"/>
      <c r="B681" s="5"/>
      <c r="C681" s="5"/>
      <c r="D681" s="5"/>
      <c r="E681" s="5"/>
      <c r="F681" s="5"/>
    </row>
    <row r="682" ht="15.75" customHeight="1">
      <c r="A682" s="5"/>
      <c r="B682" s="5"/>
      <c r="C682" s="5"/>
      <c r="D682" s="5"/>
      <c r="E682" s="5"/>
      <c r="F682" s="5"/>
    </row>
    <row r="683" ht="15.75" customHeight="1">
      <c r="A683" s="5"/>
      <c r="B683" s="5"/>
      <c r="C683" s="5"/>
      <c r="D683" s="5"/>
      <c r="E683" s="5"/>
      <c r="F683" s="5"/>
    </row>
    <row r="684" ht="15.75" customHeight="1">
      <c r="A684" s="5"/>
      <c r="B684" s="5"/>
      <c r="C684" s="5"/>
      <c r="D684" s="5"/>
      <c r="E684" s="5"/>
      <c r="F684" s="5"/>
    </row>
    <row r="685" ht="15.75" customHeight="1">
      <c r="A685" s="5"/>
      <c r="B685" s="5"/>
      <c r="C685" s="5"/>
      <c r="D685" s="5"/>
      <c r="E685" s="5"/>
      <c r="F685" s="5"/>
    </row>
    <row r="686" ht="15.75" customHeight="1">
      <c r="A686" s="5"/>
      <c r="B686" s="5"/>
      <c r="C686" s="5"/>
      <c r="D686" s="5"/>
      <c r="E686" s="5"/>
      <c r="F686" s="5"/>
    </row>
    <row r="687" ht="15.75" customHeight="1">
      <c r="A687" s="5"/>
      <c r="B687" s="5"/>
      <c r="C687" s="5"/>
      <c r="D687" s="5"/>
      <c r="E687" s="5"/>
      <c r="F687" s="5"/>
    </row>
    <row r="688" ht="15.75" customHeight="1">
      <c r="A688" s="5"/>
      <c r="B688" s="5"/>
      <c r="C688" s="5"/>
      <c r="D688" s="5"/>
      <c r="E688" s="5"/>
      <c r="F688" s="5"/>
    </row>
    <row r="689" ht="15.75" customHeight="1">
      <c r="A689" s="5"/>
      <c r="B689" s="5"/>
      <c r="C689" s="5"/>
      <c r="D689" s="5"/>
      <c r="E689" s="5"/>
      <c r="F689" s="5"/>
    </row>
    <row r="690" ht="15.75" customHeight="1">
      <c r="A690" s="5"/>
      <c r="B690" s="5"/>
      <c r="C690" s="5"/>
      <c r="D690" s="5"/>
      <c r="E690" s="5"/>
      <c r="F690" s="5"/>
    </row>
    <row r="691" ht="15.75" customHeight="1">
      <c r="A691" s="5"/>
      <c r="B691" s="5"/>
      <c r="C691" s="5"/>
      <c r="D691" s="5"/>
      <c r="E691" s="5"/>
      <c r="F691" s="5"/>
    </row>
    <row r="692" ht="15.75" customHeight="1">
      <c r="A692" s="5"/>
      <c r="B692" s="5"/>
      <c r="C692" s="5"/>
      <c r="D692" s="5"/>
      <c r="E692" s="5"/>
      <c r="F692" s="5"/>
    </row>
    <row r="693" ht="15.75" customHeight="1">
      <c r="A693" s="5"/>
      <c r="B693" s="5"/>
      <c r="C693" s="5"/>
      <c r="D693" s="5"/>
      <c r="E693" s="5"/>
      <c r="F693" s="5"/>
    </row>
    <row r="694" ht="15.75" customHeight="1">
      <c r="A694" s="5"/>
      <c r="B694" s="5"/>
      <c r="C694" s="5"/>
      <c r="D694" s="5"/>
      <c r="E694" s="5"/>
      <c r="F694" s="5"/>
    </row>
    <row r="695" ht="15.75" customHeight="1">
      <c r="A695" s="5"/>
      <c r="B695" s="5"/>
      <c r="C695" s="5"/>
      <c r="D695" s="5"/>
      <c r="E695" s="5"/>
      <c r="F695" s="5"/>
    </row>
    <row r="696" ht="15.75" customHeight="1">
      <c r="A696" s="5"/>
      <c r="B696" s="5"/>
      <c r="C696" s="5"/>
      <c r="D696" s="5"/>
      <c r="E696" s="5"/>
      <c r="F696" s="5"/>
    </row>
    <row r="697" ht="15.75" customHeight="1">
      <c r="A697" s="5"/>
      <c r="B697" s="5"/>
      <c r="C697" s="5"/>
      <c r="D697" s="5"/>
      <c r="E697" s="5"/>
      <c r="F697" s="5"/>
    </row>
    <row r="698" ht="15.75" customHeight="1">
      <c r="A698" s="5"/>
      <c r="B698" s="5"/>
      <c r="C698" s="5"/>
      <c r="D698" s="5"/>
      <c r="E698" s="5"/>
      <c r="F698" s="5"/>
    </row>
    <row r="699" ht="15.75" customHeight="1">
      <c r="A699" s="5"/>
      <c r="B699" s="5"/>
      <c r="C699" s="5"/>
      <c r="D699" s="5"/>
      <c r="E699" s="5"/>
      <c r="F699" s="5"/>
    </row>
    <row r="700" ht="15.75" customHeight="1">
      <c r="A700" s="5"/>
      <c r="B700" s="5"/>
      <c r="C700" s="5"/>
      <c r="D700" s="5"/>
      <c r="E700" s="5"/>
      <c r="F700" s="5"/>
    </row>
    <row r="701" ht="15.75" customHeight="1">
      <c r="A701" s="5"/>
      <c r="B701" s="5"/>
      <c r="C701" s="5"/>
      <c r="D701" s="5"/>
      <c r="E701" s="5"/>
      <c r="F701" s="5"/>
    </row>
    <row r="702" ht="15.75" customHeight="1">
      <c r="A702" s="5"/>
      <c r="B702" s="5"/>
      <c r="C702" s="5"/>
      <c r="D702" s="5"/>
      <c r="E702" s="5"/>
      <c r="F702" s="5"/>
    </row>
    <row r="703" ht="15.75" customHeight="1">
      <c r="A703" s="5"/>
      <c r="B703" s="5"/>
      <c r="C703" s="5"/>
      <c r="D703" s="5"/>
      <c r="E703" s="5"/>
      <c r="F703" s="5"/>
    </row>
    <row r="704" ht="15.75" customHeight="1">
      <c r="A704" s="5"/>
      <c r="B704" s="5"/>
      <c r="C704" s="5"/>
      <c r="D704" s="5"/>
      <c r="E704" s="5"/>
      <c r="F704" s="5"/>
    </row>
    <row r="705" ht="15.75" customHeight="1">
      <c r="A705" s="5"/>
      <c r="B705" s="5"/>
      <c r="C705" s="5"/>
      <c r="D705" s="5"/>
      <c r="E705" s="5"/>
      <c r="F705" s="5"/>
    </row>
    <row r="706" ht="15.75" customHeight="1">
      <c r="A706" s="5"/>
      <c r="B706" s="5"/>
      <c r="C706" s="5"/>
      <c r="D706" s="5"/>
      <c r="E706" s="5"/>
      <c r="F706" s="5"/>
    </row>
    <row r="707" ht="15.75" customHeight="1">
      <c r="A707" s="5"/>
      <c r="B707" s="5"/>
      <c r="C707" s="5"/>
      <c r="D707" s="5"/>
      <c r="E707" s="5"/>
      <c r="F707" s="5"/>
    </row>
    <row r="708" ht="15.75" customHeight="1">
      <c r="A708" s="5"/>
      <c r="B708" s="5"/>
      <c r="C708" s="5"/>
      <c r="D708" s="5"/>
      <c r="E708" s="5"/>
      <c r="F708" s="5"/>
    </row>
    <row r="709" ht="15.75" customHeight="1">
      <c r="A709" s="5"/>
      <c r="B709" s="5"/>
      <c r="C709" s="5"/>
      <c r="D709" s="5"/>
      <c r="E709" s="5"/>
      <c r="F709" s="5"/>
    </row>
    <row r="710" ht="15.75" customHeight="1">
      <c r="A710" s="5"/>
      <c r="B710" s="5"/>
      <c r="C710" s="5"/>
      <c r="D710" s="5"/>
      <c r="E710" s="5"/>
      <c r="F710" s="5"/>
    </row>
    <row r="711" ht="15.75" customHeight="1">
      <c r="A711" s="5"/>
      <c r="B711" s="5"/>
      <c r="C711" s="5"/>
      <c r="D711" s="5"/>
      <c r="E711" s="5"/>
      <c r="F711" s="5"/>
    </row>
    <row r="712" ht="15.75" customHeight="1">
      <c r="A712" s="5"/>
      <c r="B712" s="5"/>
      <c r="C712" s="5"/>
      <c r="D712" s="5"/>
      <c r="E712" s="5"/>
      <c r="F712" s="5"/>
    </row>
    <row r="713" ht="15.75" customHeight="1">
      <c r="A713" s="5"/>
      <c r="B713" s="5"/>
      <c r="C713" s="5"/>
      <c r="D713" s="5"/>
      <c r="E713" s="5"/>
      <c r="F713" s="5"/>
    </row>
    <row r="714" ht="15.75" customHeight="1">
      <c r="A714" s="5"/>
      <c r="B714" s="5"/>
      <c r="C714" s="5"/>
      <c r="D714" s="5"/>
      <c r="E714" s="5"/>
      <c r="F714" s="5"/>
    </row>
    <row r="715" ht="15.75" customHeight="1">
      <c r="A715" s="5"/>
      <c r="B715" s="5"/>
      <c r="C715" s="5"/>
      <c r="D715" s="5"/>
      <c r="E715" s="5"/>
      <c r="F715" s="5"/>
    </row>
    <row r="716" ht="15.75" customHeight="1">
      <c r="A716" s="5"/>
      <c r="B716" s="5"/>
      <c r="C716" s="5"/>
      <c r="D716" s="5"/>
      <c r="E716" s="5"/>
      <c r="F716" s="5"/>
    </row>
    <row r="717" ht="15.75" customHeight="1">
      <c r="A717" s="5"/>
      <c r="B717" s="5"/>
      <c r="C717" s="5"/>
      <c r="D717" s="5"/>
      <c r="E717" s="5"/>
      <c r="F717" s="5"/>
    </row>
    <row r="718" ht="15.75" customHeight="1">
      <c r="A718" s="5"/>
      <c r="B718" s="5"/>
      <c r="C718" s="5"/>
      <c r="D718" s="5"/>
      <c r="E718" s="5"/>
      <c r="F718" s="5"/>
    </row>
    <row r="719" ht="15.75" customHeight="1">
      <c r="A719" s="5"/>
      <c r="B719" s="5"/>
      <c r="C719" s="5"/>
      <c r="D719" s="5"/>
      <c r="E719" s="5"/>
      <c r="F719" s="5"/>
    </row>
    <row r="720" ht="15.75" customHeight="1">
      <c r="A720" s="5"/>
      <c r="B720" s="5"/>
      <c r="C720" s="5"/>
      <c r="D720" s="5"/>
      <c r="E720" s="5"/>
      <c r="F720" s="5"/>
    </row>
    <row r="721" ht="15.75" customHeight="1">
      <c r="A721" s="5"/>
      <c r="B721" s="5"/>
      <c r="C721" s="5"/>
      <c r="D721" s="5"/>
      <c r="E721" s="5"/>
      <c r="F721" s="5"/>
    </row>
    <row r="722" ht="15.75" customHeight="1">
      <c r="A722" s="5"/>
      <c r="B722" s="5"/>
      <c r="C722" s="5"/>
      <c r="D722" s="5"/>
      <c r="E722" s="5"/>
      <c r="F722" s="5"/>
    </row>
    <row r="723" ht="15.75" customHeight="1">
      <c r="A723" s="5"/>
      <c r="B723" s="5"/>
      <c r="C723" s="5"/>
      <c r="D723" s="5"/>
      <c r="E723" s="5"/>
      <c r="F723" s="5"/>
    </row>
    <row r="724" ht="15.75" customHeight="1">
      <c r="A724" s="5"/>
      <c r="B724" s="5"/>
      <c r="C724" s="5"/>
      <c r="D724" s="5"/>
      <c r="E724" s="5"/>
      <c r="F724" s="5"/>
    </row>
    <row r="725" ht="15.75" customHeight="1">
      <c r="A725" s="5"/>
      <c r="B725" s="5"/>
      <c r="C725" s="5"/>
      <c r="D725" s="5"/>
      <c r="E725" s="5"/>
      <c r="F725" s="5"/>
    </row>
    <row r="726" ht="15.75" customHeight="1">
      <c r="A726" s="5"/>
      <c r="B726" s="5"/>
      <c r="C726" s="5"/>
      <c r="D726" s="5"/>
      <c r="E726" s="5"/>
      <c r="F726" s="5"/>
    </row>
    <row r="727" ht="15.75" customHeight="1">
      <c r="A727" s="5"/>
      <c r="B727" s="5"/>
      <c r="C727" s="5"/>
      <c r="D727" s="5"/>
      <c r="E727" s="5"/>
      <c r="F727" s="5"/>
    </row>
    <row r="728" ht="15.75" customHeight="1">
      <c r="A728" s="5"/>
      <c r="B728" s="5"/>
      <c r="C728" s="5"/>
      <c r="D728" s="5"/>
      <c r="E728" s="5"/>
      <c r="F728" s="5"/>
    </row>
    <row r="729" ht="15.75" customHeight="1">
      <c r="A729" s="5"/>
      <c r="B729" s="5"/>
      <c r="C729" s="5"/>
      <c r="D729" s="5"/>
      <c r="E729" s="5"/>
      <c r="F729" s="5"/>
    </row>
    <row r="730" ht="15.75" customHeight="1">
      <c r="A730" s="5"/>
      <c r="B730" s="5"/>
      <c r="C730" s="5"/>
      <c r="D730" s="5"/>
      <c r="E730" s="5"/>
      <c r="F730" s="5"/>
    </row>
    <row r="731" ht="15.75" customHeight="1">
      <c r="A731" s="5"/>
      <c r="B731" s="5"/>
      <c r="C731" s="5"/>
      <c r="D731" s="5"/>
      <c r="E731" s="5"/>
      <c r="F731" s="5"/>
    </row>
    <row r="732" ht="15.75" customHeight="1">
      <c r="A732" s="5"/>
      <c r="B732" s="5"/>
      <c r="C732" s="5"/>
      <c r="D732" s="5"/>
      <c r="E732" s="5"/>
      <c r="F732" s="5"/>
    </row>
    <row r="733" ht="15.75" customHeight="1">
      <c r="A733" s="5"/>
      <c r="B733" s="5"/>
      <c r="C733" s="5"/>
      <c r="D733" s="5"/>
      <c r="E733" s="5"/>
      <c r="F733" s="5"/>
    </row>
    <row r="734" ht="15.75" customHeight="1">
      <c r="A734" s="5"/>
      <c r="B734" s="5"/>
      <c r="C734" s="5"/>
      <c r="D734" s="5"/>
      <c r="E734" s="5"/>
      <c r="F734" s="5"/>
    </row>
    <row r="735" ht="15.75" customHeight="1">
      <c r="A735" s="5"/>
      <c r="B735" s="5"/>
      <c r="C735" s="5"/>
      <c r="D735" s="5"/>
      <c r="E735" s="5"/>
      <c r="F735" s="5"/>
    </row>
    <row r="736" ht="15.75" customHeight="1">
      <c r="A736" s="5"/>
      <c r="B736" s="5"/>
      <c r="C736" s="5"/>
      <c r="D736" s="5"/>
      <c r="E736" s="5"/>
      <c r="F736" s="5"/>
    </row>
    <row r="737" ht="15.75" customHeight="1">
      <c r="A737" s="5"/>
      <c r="B737" s="5"/>
      <c r="C737" s="5"/>
      <c r="D737" s="5"/>
      <c r="E737" s="5"/>
      <c r="F737" s="5"/>
    </row>
    <row r="738" ht="15.75" customHeight="1">
      <c r="A738" s="5"/>
      <c r="B738" s="5"/>
      <c r="C738" s="5"/>
      <c r="D738" s="5"/>
      <c r="E738" s="5"/>
      <c r="F738" s="5"/>
    </row>
    <row r="739" ht="15.75" customHeight="1">
      <c r="A739" s="5"/>
      <c r="B739" s="5"/>
      <c r="C739" s="5"/>
      <c r="D739" s="5"/>
      <c r="E739" s="5"/>
      <c r="F739" s="5"/>
    </row>
    <row r="740" ht="15.75" customHeight="1">
      <c r="A740" s="5"/>
      <c r="B740" s="5"/>
      <c r="C740" s="5"/>
      <c r="D740" s="5"/>
      <c r="E740" s="5"/>
      <c r="F740" s="5"/>
    </row>
    <row r="741" ht="15.75" customHeight="1">
      <c r="A741" s="5"/>
      <c r="B741" s="5"/>
      <c r="C741" s="5"/>
      <c r="D741" s="5"/>
      <c r="E741" s="5"/>
      <c r="F741" s="5"/>
    </row>
    <row r="742" ht="15.75" customHeight="1">
      <c r="A742" s="5"/>
      <c r="B742" s="5"/>
      <c r="C742" s="5"/>
      <c r="D742" s="5"/>
      <c r="E742" s="5"/>
      <c r="F742" s="5"/>
    </row>
    <row r="743" ht="15.75" customHeight="1">
      <c r="A743" s="5"/>
      <c r="B743" s="5"/>
      <c r="C743" s="5"/>
      <c r="D743" s="5"/>
      <c r="E743" s="5"/>
      <c r="F743" s="5"/>
    </row>
    <row r="744" ht="15.75" customHeight="1">
      <c r="A744" s="5"/>
      <c r="B744" s="5"/>
      <c r="C744" s="5"/>
      <c r="D744" s="5"/>
      <c r="E744" s="5"/>
      <c r="F744" s="5"/>
    </row>
    <row r="745" ht="15.75" customHeight="1">
      <c r="A745" s="5"/>
      <c r="B745" s="5"/>
      <c r="C745" s="5"/>
      <c r="D745" s="5"/>
      <c r="E745" s="5"/>
      <c r="F745" s="5"/>
    </row>
    <row r="746" ht="15.75" customHeight="1">
      <c r="A746" s="5"/>
      <c r="B746" s="5"/>
      <c r="C746" s="5"/>
      <c r="D746" s="5"/>
      <c r="E746" s="5"/>
      <c r="F746" s="5"/>
    </row>
    <row r="747" ht="15.75" customHeight="1">
      <c r="A747" s="5"/>
      <c r="B747" s="5"/>
      <c r="C747" s="5"/>
      <c r="D747" s="5"/>
      <c r="E747" s="5"/>
      <c r="F747" s="5"/>
    </row>
    <row r="748" ht="15.75" customHeight="1">
      <c r="A748" s="5"/>
      <c r="B748" s="5"/>
      <c r="C748" s="5"/>
      <c r="D748" s="5"/>
      <c r="E748" s="5"/>
      <c r="F748" s="5"/>
    </row>
    <row r="749" ht="15.75" customHeight="1">
      <c r="A749" s="5"/>
      <c r="B749" s="5"/>
      <c r="C749" s="5"/>
      <c r="D749" s="5"/>
      <c r="E749" s="5"/>
      <c r="F749" s="5"/>
    </row>
    <row r="750" ht="15.75" customHeight="1">
      <c r="A750" s="5"/>
      <c r="B750" s="5"/>
      <c r="C750" s="5"/>
      <c r="D750" s="5"/>
      <c r="E750" s="5"/>
      <c r="F750" s="5"/>
    </row>
    <row r="751" ht="15.75" customHeight="1">
      <c r="A751" s="5"/>
      <c r="B751" s="5"/>
      <c r="C751" s="5"/>
      <c r="D751" s="5"/>
      <c r="E751" s="5"/>
      <c r="F751" s="5"/>
    </row>
    <row r="752" ht="15.75" customHeight="1">
      <c r="A752" s="5"/>
      <c r="B752" s="5"/>
      <c r="C752" s="5"/>
      <c r="D752" s="5"/>
      <c r="E752" s="5"/>
      <c r="F752" s="5"/>
    </row>
    <row r="753" ht="15.75" customHeight="1">
      <c r="A753" s="5"/>
      <c r="B753" s="5"/>
      <c r="C753" s="5"/>
      <c r="D753" s="5"/>
      <c r="E753" s="5"/>
      <c r="F753" s="5"/>
    </row>
    <row r="754" ht="15.75" customHeight="1">
      <c r="A754" s="5"/>
      <c r="B754" s="5"/>
      <c r="C754" s="5"/>
      <c r="D754" s="5"/>
      <c r="E754" s="5"/>
      <c r="F754" s="5"/>
    </row>
    <row r="755" ht="15.75" customHeight="1">
      <c r="A755" s="5"/>
      <c r="B755" s="5"/>
      <c r="C755" s="5"/>
      <c r="D755" s="5"/>
      <c r="E755" s="5"/>
      <c r="F755" s="5"/>
    </row>
    <row r="756" ht="15.75" customHeight="1">
      <c r="A756" s="5"/>
      <c r="B756" s="5"/>
      <c r="C756" s="5"/>
      <c r="D756" s="5"/>
      <c r="E756" s="5"/>
      <c r="F756" s="5"/>
    </row>
    <row r="757" ht="15.75" customHeight="1">
      <c r="A757" s="5"/>
      <c r="B757" s="5"/>
      <c r="C757" s="5"/>
      <c r="D757" s="5"/>
      <c r="E757" s="5"/>
      <c r="F757" s="5"/>
    </row>
    <row r="758" ht="15.75" customHeight="1">
      <c r="A758" s="5"/>
      <c r="B758" s="5"/>
      <c r="C758" s="5"/>
      <c r="D758" s="5"/>
      <c r="E758" s="5"/>
      <c r="F758" s="5"/>
    </row>
    <row r="759" ht="15.75" customHeight="1">
      <c r="A759" s="5"/>
      <c r="B759" s="5"/>
      <c r="C759" s="5"/>
      <c r="D759" s="5"/>
      <c r="E759" s="5"/>
      <c r="F759" s="5"/>
    </row>
    <row r="760" ht="15.75" customHeight="1">
      <c r="A760" s="5"/>
      <c r="B760" s="5"/>
      <c r="C760" s="5"/>
      <c r="D760" s="5"/>
      <c r="E760" s="5"/>
      <c r="F760" s="5"/>
    </row>
    <row r="761" ht="15.75" customHeight="1">
      <c r="A761" s="5"/>
      <c r="B761" s="5"/>
      <c r="C761" s="5"/>
      <c r="D761" s="5"/>
      <c r="E761" s="5"/>
      <c r="F761" s="5"/>
    </row>
    <row r="762" ht="15.75" customHeight="1">
      <c r="A762" s="5"/>
      <c r="B762" s="5"/>
      <c r="C762" s="5"/>
      <c r="D762" s="5"/>
      <c r="E762" s="5"/>
      <c r="F762" s="5"/>
    </row>
    <row r="763" ht="15.75" customHeight="1">
      <c r="A763" s="5"/>
      <c r="B763" s="5"/>
      <c r="C763" s="5"/>
      <c r="D763" s="5"/>
      <c r="E763" s="5"/>
      <c r="F763" s="5"/>
    </row>
    <row r="764" ht="15.75" customHeight="1">
      <c r="A764" s="5"/>
      <c r="B764" s="5"/>
      <c r="C764" s="5"/>
      <c r="D764" s="5"/>
      <c r="E764" s="5"/>
      <c r="F764" s="5"/>
    </row>
    <row r="765" ht="15.75" customHeight="1">
      <c r="A765" s="5"/>
      <c r="B765" s="5"/>
      <c r="C765" s="5"/>
      <c r="D765" s="5"/>
      <c r="E765" s="5"/>
      <c r="F765" s="5"/>
    </row>
    <row r="766" ht="15.75" customHeight="1">
      <c r="A766" s="5"/>
      <c r="B766" s="5"/>
      <c r="C766" s="5"/>
      <c r="D766" s="5"/>
      <c r="E766" s="5"/>
      <c r="F766" s="5"/>
    </row>
    <row r="767" ht="15.75" customHeight="1">
      <c r="A767" s="5"/>
      <c r="B767" s="5"/>
      <c r="C767" s="5"/>
      <c r="D767" s="5"/>
      <c r="E767" s="5"/>
      <c r="F767" s="5"/>
    </row>
    <row r="768" ht="15.75" customHeight="1">
      <c r="A768" s="5"/>
      <c r="B768" s="5"/>
      <c r="C768" s="5"/>
      <c r="D768" s="5"/>
      <c r="E768" s="5"/>
      <c r="F768" s="5"/>
    </row>
    <row r="769" ht="15.75" customHeight="1">
      <c r="A769" s="5"/>
      <c r="B769" s="5"/>
      <c r="C769" s="5"/>
      <c r="D769" s="5"/>
      <c r="E769" s="5"/>
      <c r="F769" s="5"/>
    </row>
    <row r="770" ht="15.75" customHeight="1">
      <c r="A770" s="5"/>
      <c r="B770" s="5"/>
      <c r="C770" s="5"/>
      <c r="D770" s="5"/>
      <c r="E770" s="5"/>
      <c r="F770" s="5"/>
    </row>
    <row r="771" ht="15.75" customHeight="1">
      <c r="A771" s="5"/>
      <c r="B771" s="5"/>
      <c r="C771" s="5"/>
      <c r="D771" s="5"/>
      <c r="E771" s="5"/>
      <c r="F771" s="5"/>
    </row>
    <row r="772" ht="15.75" customHeight="1">
      <c r="A772" s="5"/>
      <c r="B772" s="5"/>
      <c r="C772" s="5"/>
      <c r="D772" s="5"/>
      <c r="E772" s="5"/>
      <c r="F772" s="5"/>
    </row>
    <row r="773" ht="15.75" customHeight="1">
      <c r="A773" s="5"/>
      <c r="B773" s="5"/>
      <c r="C773" s="5"/>
      <c r="D773" s="5"/>
      <c r="E773" s="5"/>
      <c r="F773" s="5"/>
    </row>
    <row r="774" ht="15.75" customHeight="1">
      <c r="A774" s="5"/>
      <c r="B774" s="5"/>
      <c r="C774" s="5"/>
      <c r="D774" s="5"/>
      <c r="E774" s="5"/>
      <c r="F774" s="5"/>
    </row>
    <row r="775" ht="15.75" customHeight="1">
      <c r="A775" s="5"/>
      <c r="B775" s="5"/>
      <c r="C775" s="5"/>
      <c r="D775" s="5"/>
      <c r="E775" s="5"/>
      <c r="F775" s="5"/>
    </row>
    <row r="776" ht="15.75" customHeight="1">
      <c r="A776" s="5"/>
      <c r="B776" s="5"/>
      <c r="C776" s="5"/>
      <c r="D776" s="5"/>
      <c r="E776" s="5"/>
      <c r="F776" s="5"/>
    </row>
    <row r="777" ht="15.75" customHeight="1">
      <c r="A777" s="5"/>
      <c r="B777" s="5"/>
      <c r="C777" s="5"/>
      <c r="D777" s="5"/>
      <c r="E777" s="5"/>
      <c r="F777" s="5"/>
    </row>
    <row r="778" ht="15.75" customHeight="1">
      <c r="A778" s="5"/>
      <c r="B778" s="5"/>
      <c r="C778" s="5"/>
      <c r="D778" s="5"/>
      <c r="E778" s="5"/>
      <c r="F778" s="5"/>
    </row>
    <row r="779" ht="15.75" customHeight="1">
      <c r="A779" s="5"/>
      <c r="B779" s="5"/>
      <c r="C779" s="5"/>
      <c r="D779" s="5"/>
      <c r="E779" s="5"/>
      <c r="F779" s="5"/>
    </row>
    <row r="780" ht="15.75" customHeight="1">
      <c r="A780" s="5"/>
      <c r="B780" s="5"/>
      <c r="C780" s="5"/>
      <c r="D780" s="5"/>
      <c r="E780" s="5"/>
      <c r="F780" s="5"/>
    </row>
    <row r="781" ht="15.75" customHeight="1">
      <c r="A781" s="5"/>
      <c r="B781" s="5"/>
      <c r="C781" s="5"/>
      <c r="D781" s="5"/>
      <c r="E781" s="5"/>
      <c r="F781" s="5"/>
    </row>
    <row r="782" ht="15.75" customHeight="1">
      <c r="A782" s="5"/>
      <c r="B782" s="5"/>
      <c r="C782" s="5"/>
      <c r="D782" s="5"/>
      <c r="E782" s="5"/>
      <c r="F782" s="5"/>
    </row>
    <row r="783" ht="15.75" customHeight="1">
      <c r="A783" s="5"/>
      <c r="B783" s="5"/>
      <c r="C783" s="5"/>
      <c r="D783" s="5"/>
      <c r="E783" s="5"/>
      <c r="F783" s="5"/>
    </row>
    <row r="784" ht="15.75" customHeight="1">
      <c r="A784" s="5"/>
      <c r="B784" s="5"/>
      <c r="C784" s="5"/>
      <c r="D784" s="5"/>
      <c r="E784" s="5"/>
      <c r="F784" s="5"/>
    </row>
    <row r="785" ht="15.75" customHeight="1">
      <c r="A785" s="5"/>
      <c r="B785" s="5"/>
      <c r="C785" s="5"/>
      <c r="D785" s="5"/>
      <c r="E785" s="5"/>
      <c r="F785" s="5"/>
    </row>
    <row r="786" ht="15.75" customHeight="1">
      <c r="A786" s="5"/>
      <c r="B786" s="5"/>
      <c r="C786" s="5"/>
      <c r="D786" s="5"/>
      <c r="E786" s="5"/>
      <c r="F786" s="5"/>
    </row>
    <row r="787" ht="15.75" customHeight="1">
      <c r="A787" s="5"/>
      <c r="B787" s="5"/>
      <c r="C787" s="5"/>
      <c r="D787" s="5"/>
      <c r="E787" s="5"/>
      <c r="F787" s="5"/>
    </row>
    <row r="788" ht="15.75" customHeight="1">
      <c r="A788" s="5"/>
      <c r="B788" s="5"/>
      <c r="C788" s="5"/>
      <c r="D788" s="5"/>
      <c r="E788" s="5"/>
      <c r="F788" s="5"/>
    </row>
    <row r="789" ht="15.75" customHeight="1">
      <c r="A789" s="5"/>
      <c r="B789" s="5"/>
      <c r="C789" s="5"/>
      <c r="D789" s="5"/>
      <c r="E789" s="5"/>
      <c r="F789" s="5"/>
    </row>
    <row r="790" ht="15.75" customHeight="1">
      <c r="A790" s="5"/>
      <c r="B790" s="5"/>
      <c r="C790" s="5"/>
      <c r="D790" s="5"/>
      <c r="E790" s="5"/>
      <c r="F790" s="5"/>
    </row>
    <row r="791" ht="15.75" customHeight="1">
      <c r="A791" s="5"/>
      <c r="B791" s="5"/>
      <c r="C791" s="5"/>
      <c r="D791" s="5"/>
      <c r="E791" s="5"/>
      <c r="F791" s="5"/>
    </row>
    <row r="792" ht="15.75" customHeight="1">
      <c r="A792" s="5"/>
      <c r="B792" s="5"/>
      <c r="C792" s="5"/>
      <c r="D792" s="5"/>
      <c r="E792" s="5"/>
      <c r="F792" s="5"/>
    </row>
    <row r="793" ht="15.75" customHeight="1">
      <c r="A793" s="5"/>
      <c r="B793" s="5"/>
      <c r="C793" s="5"/>
      <c r="D793" s="5"/>
      <c r="E793" s="5"/>
      <c r="F793" s="5"/>
    </row>
    <row r="794" ht="15.75" customHeight="1">
      <c r="A794" s="5"/>
      <c r="B794" s="5"/>
      <c r="C794" s="5"/>
      <c r="D794" s="5"/>
      <c r="E794" s="5"/>
      <c r="F794" s="5"/>
    </row>
    <row r="795" ht="15.75" customHeight="1">
      <c r="A795" s="5"/>
      <c r="B795" s="5"/>
      <c r="C795" s="5"/>
      <c r="D795" s="5"/>
      <c r="E795" s="5"/>
      <c r="F795" s="5"/>
    </row>
    <row r="796" ht="15.75" customHeight="1">
      <c r="A796" s="5"/>
      <c r="B796" s="5"/>
      <c r="C796" s="5"/>
      <c r="D796" s="5"/>
      <c r="E796" s="5"/>
      <c r="F796" s="5"/>
    </row>
    <row r="797" ht="15.75" customHeight="1">
      <c r="A797" s="5"/>
      <c r="B797" s="5"/>
      <c r="C797" s="5"/>
      <c r="D797" s="5"/>
      <c r="E797" s="5"/>
      <c r="F797" s="5"/>
    </row>
    <row r="798" ht="15.75" customHeight="1">
      <c r="A798" s="5"/>
      <c r="B798" s="5"/>
      <c r="C798" s="5"/>
      <c r="D798" s="5"/>
      <c r="E798" s="5"/>
      <c r="F798" s="5"/>
    </row>
    <row r="799" ht="15.75" customHeight="1">
      <c r="A799" s="5"/>
      <c r="B799" s="5"/>
      <c r="C799" s="5"/>
      <c r="D799" s="5"/>
      <c r="E799" s="5"/>
      <c r="F799" s="5"/>
    </row>
    <row r="800" ht="15.75" customHeight="1">
      <c r="A800" s="5"/>
      <c r="B800" s="5"/>
      <c r="C800" s="5"/>
      <c r="D800" s="5"/>
      <c r="E800" s="5"/>
      <c r="F800" s="5"/>
    </row>
    <row r="801" ht="15.75" customHeight="1">
      <c r="A801" s="5"/>
      <c r="B801" s="5"/>
      <c r="C801" s="5"/>
      <c r="D801" s="5"/>
      <c r="E801" s="5"/>
      <c r="F801" s="5"/>
    </row>
    <row r="802" ht="15.75" customHeight="1">
      <c r="A802" s="5"/>
      <c r="B802" s="5"/>
      <c r="C802" s="5"/>
      <c r="D802" s="5"/>
      <c r="E802" s="5"/>
      <c r="F802" s="5"/>
    </row>
    <row r="803" ht="15.75" customHeight="1">
      <c r="A803" s="5"/>
      <c r="B803" s="5"/>
      <c r="C803" s="5"/>
      <c r="D803" s="5"/>
      <c r="E803" s="5"/>
      <c r="F803" s="5"/>
    </row>
    <row r="804" ht="15.75" customHeight="1">
      <c r="A804" s="5"/>
      <c r="B804" s="5"/>
      <c r="C804" s="5"/>
      <c r="D804" s="5"/>
      <c r="E804" s="5"/>
      <c r="F804" s="5"/>
    </row>
    <row r="805" ht="15.75" customHeight="1">
      <c r="A805" s="5"/>
      <c r="B805" s="5"/>
      <c r="C805" s="5"/>
      <c r="D805" s="5"/>
      <c r="E805" s="5"/>
      <c r="F805" s="5"/>
    </row>
    <row r="806" ht="15.75" customHeight="1">
      <c r="A806" s="5"/>
      <c r="B806" s="5"/>
      <c r="C806" s="5"/>
      <c r="D806" s="5"/>
      <c r="E806" s="5"/>
      <c r="F806" s="5"/>
    </row>
    <row r="807" ht="15.75" customHeight="1">
      <c r="A807" s="5"/>
      <c r="B807" s="5"/>
      <c r="C807" s="5"/>
      <c r="D807" s="5"/>
      <c r="E807" s="5"/>
      <c r="F807" s="5"/>
    </row>
    <row r="808" ht="15.75" customHeight="1">
      <c r="A808" s="5"/>
      <c r="B808" s="5"/>
      <c r="C808" s="5"/>
      <c r="D808" s="5"/>
      <c r="E808" s="5"/>
      <c r="F808" s="5"/>
    </row>
    <row r="809" ht="15.75" customHeight="1">
      <c r="A809" s="5"/>
      <c r="B809" s="5"/>
      <c r="C809" s="5"/>
      <c r="D809" s="5"/>
      <c r="E809" s="5"/>
      <c r="F809" s="5"/>
    </row>
    <row r="810" ht="15.75" customHeight="1">
      <c r="A810" s="5"/>
      <c r="B810" s="5"/>
      <c r="C810" s="5"/>
      <c r="D810" s="5"/>
      <c r="E810" s="5"/>
      <c r="F810" s="5"/>
    </row>
    <row r="811" ht="15.75" customHeight="1">
      <c r="A811" s="5"/>
      <c r="B811" s="5"/>
      <c r="C811" s="5"/>
      <c r="D811" s="5"/>
      <c r="E811" s="5"/>
      <c r="F811" s="5"/>
    </row>
    <row r="812" ht="15.75" customHeight="1">
      <c r="A812" s="5"/>
      <c r="B812" s="5"/>
      <c r="C812" s="5"/>
      <c r="D812" s="5"/>
      <c r="E812" s="5"/>
      <c r="F812" s="5"/>
    </row>
    <row r="813" ht="15.75" customHeight="1">
      <c r="A813" s="5"/>
      <c r="B813" s="5"/>
      <c r="C813" s="5"/>
      <c r="D813" s="5"/>
      <c r="E813" s="5"/>
      <c r="F813" s="5"/>
    </row>
    <row r="814" ht="15.75" customHeight="1">
      <c r="A814" s="5"/>
      <c r="B814" s="5"/>
      <c r="C814" s="5"/>
      <c r="D814" s="5"/>
      <c r="E814" s="5"/>
      <c r="F814" s="5"/>
    </row>
    <row r="815" ht="15.75" customHeight="1">
      <c r="A815" s="5"/>
      <c r="B815" s="5"/>
      <c r="C815" s="5"/>
      <c r="D815" s="5"/>
      <c r="E815" s="5"/>
      <c r="F815" s="5"/>
    </row>
    <row r="816" ht="15.75" customHeight="1">
      <c r="A816" s="5"/>
      <c r="B816" s="5"/>
      <c r="C816" s="5"/>
      <c r="D816" s="5"/>
      <c r="E816" s="5"/>
      <c r="F816" s="5"/>
    </row>
    <row r="817" ht="15.75" customHeight="1">
      <c r="A817" s="5"/>
      <c r="B817" s="5"/>
      <c r="C817" s="5"/>
      <c r="D817" s="5"/>
      <c r="E817" s="5"/>
      <c r="F817" s="5"/>
    </row>
    <row r="818" ht="15.75" customHeight="1">
      <c r="A818" s="5"/>
      <c r="B818" s="5"/>
      <c r="C818" s="5"/>
      <c r="D818" s="5"/>
      <c r="E818" s="5"/>
      <c r="F818" s="5"/>
    </row>
    <row r="819" ht="15.75" customHeight="1">
      <c r="A819" s="5"/>
      <c r="B819" s="5"/>
      <c r="C819" s="5"/>
      <c r="D819" s="5"/>
      <c r="E819" s="5"/>
      <c r="F819" s="5"/>
    </row>
    <row r="820" ht="15.75" customHeight="1">
      <c r="A820" s="5"/>
      <c r="B820" s="5"/>
      <c r="C820" s="5"/>
      <c r="D820" s="5"/>
      <c r="E820" s="5"/>
      <c r="F820" s="5"/>
    </row>
    <row r="821" ht="15.75" customHeight="1">
      <c r="A821" s="5"/>
      <c r="B821" s="5"/>
      <c r="C821" s="5"/>
      <c r="D821" s="5"/>
      <c r="E821" s="5"/>
      <c r="F821" s="5"/>
    </row>
    <row r="822" ht="15.75" customHeight="1">
      <c r="A822" s="5"/>
      <c r="B822" s="5"/>
      <c r="C822" s="5"/>
      <c r="D822" s="5"/>
      <c r="E822" s="5"/>
      <c r="F822" s="5"/>
    </row>
    <row r="823" ht="15.75" customHeight="1">
      <c r="A823" s="5"/>
      <c r="B823" s="5"/>
      <c r="C823" s="5"/>
      <c r="D823" s="5"/>
      <c r="E823" s="5"/>
      <c r="F823" s="5"/>
    </row>
    <row r="824" ht="15.75" customHeight="1">
      <c r="A824" s="5"/>
      <c r="B824" s="5"/>
      <c r="C824" s="5"/>
      <c r="D824" s="5"/>
      <c r="E824" s="5"/>
      <c r="F824" s="5"/>
    </row>
    <row r="825" ht="15.75" customHeight="1">
      <c r="A825" s="5"/>
      <c r="B825" s="5"/>
      <c r="C825" s="5"/>
      <c r="D825" s="5"/>
      <c r="E825" s="5"/>
      <c r="F825" s="5"/>
    </row>
    <row r="826" ht="15.75" customHeight="1">
      <c r="A826" s="5"/>
      <c r="B826" s="5"/>
      <c r="C826" s="5"/>
      <c r="D826" s="5"/>
      <c r="E826" s="5"/>
      <c r="F826" s="5"/>
    </row>
    <row r="827" ht="15.75" customHeight="1">
      <c r="A827" s="5"/>
      <c r="B827" s="5"/>
      <c r="C827" s="5"/>
      <c r="D827" s="5"/>
      <c r="E827" s="5"/>
      <c r="F827" s="5"/>
    </row>
    <row r="828" ht="15.75" customHeight="1">
      <c r="A828" s="5"/>
      <c r="B828" s="5"/>
      <c r="C828" s="5"/>
      <c r="D828" s="5"/>
      <c r="E828" s="5"/>
      <c r="F828" s="5"/>
    </row>
    <row r="829" ht="15.75" customHeight="1">
      <c r="A829" s="5"/>
      <c r="B829" s="5"/>
      <c r="C829" s="5"/>
      <c r="D829" s="5"/>
      <c r="E829" s="5"/>
      <c r="F829" s="5"/>
    </row>
    <row r="830" ht="15.75" customHeight="1">
      <c r="A830" s="5"/>
      <c r="B830" s="5"/>
      <c r="C830" s="5"/>
      <c r="D830" s="5"/>
      <c r="E830" s="5"/>
      <c r="F830" s="5"/>
    </row>
    <row r="831" ht="15.75" customHeight="1">
      <c r="A831" s="5"/>
      <c r="B831" s="5"/>
      <c r="C831" s="5"/>
      <c r="D831" s="5"/>
      <c r="E831" s="5"/>
      <c r="F831" s="5"/>
    </row>
    <row r="832" ht="15.75" customHeight="1">
      <c r="A832" s="5"/>
      <c r="B832" s="5"/>
      <c r="C832" s="5"/>
      <c r="D832" s="5"/>
      <c r="E832" s="5"/>
      <c r="F832" s="5"/>
    </row>
    <row r="833" ht="15.75" customHeight="1">
      <c r="A833" s="5"/>
      <c r="B833" s="5"/>
      <c r="C833" s="5"/>
      <c r="D833" s="5"/>
      <c r="E833" s="5"/>
      <c r="F833" s="5"/>
    </row>
    <row r="834" ht="15.75" customHeight="1">
      <c r="A834" s="5"/>
      <c r="B834" s="5"/>
      <c r="C834" s="5"/>
      <c r="D834" s="5"/>
      <c r="E834" s="5"/>
      <c r="F834" s="5"/>
    </row>
    <row r="835" ht="15.75" customHeight="1">
      <c r="A835" s="5"/>
      <c r="B835" s="5"/>
      <c r="C835" s="5"/>
      <c r="D835" s="5"/>
      <c r="E835" s="5"/>
      <c r="F835" s="5"/>
    </row>
    <row r="836" ht="15.75" customHeight="1">
      <c r="A836" s="5"/>
      <c r="B836" s="5"/>
      <c r="C836" s="5"/>
      <c r="D836" s="5"/>
      <c r="E836" s="5"/>
      <c r="F836" s="5"/>
    </row>
    <row r="837" ht="15.75" customHeight="1">
      <c r="A837" s="5"/>
      <c r="B837" s="5"/>
      <c r="C837" s="5"/>
      <c r="D837" s="5"/>
      <c r="E837" s="5"/>
      <c r="F837" s="5"/>
    </row>
    <row r="838" ht="15.75" customHeight="1">
      <c r="A838" s="5"/>
      <c r="B838" s="5"/>
      <c r="C838" s="5"/>
      <c r="D838" s="5"/>
      <c r="E838" s="5"/>
      <c r="F838" s="5"/>
    </row>
    <row r="839" ht="15.75" customHeight="1">
      <c r="A839" s="5"/>
      <c r="B839" s="5"/>
      <c r="C839" s="5"/>
      <c r="D839" s="5"/>
      <c r="E839" s="5"/>
      <c r="F839" s="5"/>
    </row>
    <row r="840" ht="15.75" customHeight="1">
      <c r="A840" s="5"/>
      <c r="B840" s="5"/>
      <c r="C840" s="5"/>
      <c r="D840" s="5"/>
      <c r="E840" s="5"/>
      <c r="F840" s="5"/>
    </row>
    <row r="841" ht="15.75" customHeight="1">
      <c r="A841" s="5"/>
      <c r="B841" s="5"/>
      <c r="C841" s="5"/>
      <c r="D841" s="5"/>
      <c r="E841" s="5"/>
      <c r="F841" s="5"/>
    </row>
    <row r="842" ht="15.75" customHeight="1">
      <c r="A842" s="5"/>
      <c r="B842" s="5"/>
      <c r="C842" s="5"/>
      <c r="D842" s="5"/>
      <c r="E842" s="5"/>
      <c r="F842" s="5"/>
    </row>
    <row r="843" ht="15.75" customHeight="1">
      <c r="A843" s="5"/>
      <c r="B843" s="5"/>
      <c r="C843" s="5"/>
      <c r="D843" s="5"/>
      <c r="E843" s="5"/>
      <c r="F843" s="5"/>
    </row>
    <row r="844" ht="15.75" customHeight="1">
      <c r="A844" s="5"/>
      <c r="B844" s="5"/>
      <c r="C844" s="5"/>
      <c r="D844" s="5"/>
      <c r="E844" s="5"/>
      <c r="F844" s="5"/>
    </row>
    <row r="845" ht="15.75" customHeight="1">
      <c r="A845" s="5"/>
      <c r="B845" s="5"/>
      <c r="C845" s="5"/>
      <c r="D845" s="5"/>
      <c r="E845" s="5"/>
      <c r="F845" s="5"/>
    </row>
    <row r="846" ht="15.75" customHeight="1">
      <c r="A846" s="5"/>
      <c r="B846" s="5"/>
      <c r="C846" s="5"/>
      <c r="D846" s="5"/>
      <c r="E846" s="5"/>
      <c r="F846" s="5"/>
    </row>
    <row r="847" ht="15.75" customHeight="1">
      <c r="A847" s="5"/>
      <c r="B847" s="5"/>
      <c r="C847" s="5"/>
      <c r="D847" s="5"/>
      <c r="E847" s="5"/>
      <c r="F847" s="5"/>
    </row>
    <row r="848" ht="15.75" customHeight="1">
      <c r="A848" s="5"/>
      <c r="B848" s="5"/>
      <c r="C848" s="5"/>
      <c r="D848" s="5"/>
      <c r="E848" s="5"/>
      <c r="F848" s="5"/>
    </row>
    <row r="849" ht="15.75" customHeight="1">
      <c r="A849" s="5"/>
      <c r="B849" s="5"/>
      <c r="C849" s="5"/>
      <c r="D849" s="5"/>
      <c r="E849" s="5"/>
      <c r="F849" s="5"/>
    </row>
    <row r="850" ht="15.75" customHeight="1">
      <c r="A850" s="5"/>
      <c r="B850" s="5"/>
      <c r="C850" s="5"/>
      <c r="D850" s="5"/>
      <c r="E850" s="5"/>
      <c r="F850" s="5"/>
    </row>
    <row r="851" ht="15.75" customHeight="1">
      <c r="A851" s="5"/>
      <c r="B851" s="5"/>
      <c r="C851" s="5"/>
      <c r="D851" s="5"/>
      <c r="E851" s="5"/>
      <c r="F851" s="5"/>
    </row>
    <row r="852" ht="15.75" customHeight="1">
      <c r="A852" s="5"/>
      <c r="B852" s="5"/>
      <c r="C852" s="5"/>
      <c r="D852" s="5"/>
      <c r="E852" s="5"/>
      <c r="F852" s="5"/>
    </row>
    <row r="853" ht="15.75" customHeight="1">
      <c r="A853" s="5"/>
      <c r="B853" s="5"/>
      <c r="C853" s="5"/>
      <c r="D853" s="5"/>
      <c r="E853" s="5"/>
      <c r="F853" s="5"/>
    </row>
    <row r="854" ht="15.75" customHeight="1">
      <c r="A854" s="5"/>
      <c r="B854" s="5"/>
      <c r="C854" s="5"/>
      <c r="D854" s="5"/>
      <c r="E854" s="5"/>
      <c r="F854" s="5"/>
    </row>
    <row r="855" ht="15.75" customHeight="1">
      <c r="A855" s="5"/>
      <c r="B855" s="5"/>
      <c r="C855" s="5"/>
      <c r="D855" s="5"/>
      <c r="E855" s="5"/>
      <c r="F855" s="5"/>
    </row>
    <row r="856" ht="15.75" customHeight="1">
      <c r="A856" s="5"/>
      <c r="B856" s="5"/>
      <c r="C856" s="5"/>
      <c r="D856" s="5"/>
      <c r="E856" s="5"/>
      <c r="F856" s="5"/>
    </row>
    <row r="857" ht="15.75" customHeight="1">
      <c r="A857" s="5"/>
      <c r="B857" s="5"/>
      <c r="C857" s="5"/>
      <c r="D857" s="5"/>
      <c r="E857" s="5"/>
      <c r="F857" s="5"/>
    </row>
    <row r="858" ht="15.75" customHeight="1">
      <c r="A858" s="5"/>
      <c r="B858" s="5"/>
      <c r="C858" s="5"/>
      <c r="D858" s="5"/>
      <c r="E858" s="5"/>
      <c r="F858" s="5"/>
    </row>
    <row r="859" ht="15.75" customHeight="1">
      <c r="A859" s="5"/>
      <c r="B859" s="5"/>
      <c r="C859" s="5"/>
      <c r="D859" s="5"/>
      <c r="E859" s="5"/>
      <c r="F859" s="5"/>
    </row>
    <row r="860" ht="15.75" customHeight="1">
      <c r="A860" s="5"/>
      <c r="B860" s="5"/>
      <c r="C860" s="5"/>
      <c r="D860" s="5"/>
      <c r="E860" s="5"/>
      <c r="F860" s="5"/>
    </row>
    <row r="861" ht="15.75" customHeight="1">
      <c r="A861" s="5"/>
      <c r="B861" s="5"/>
      <c r="C861" s="5"/>
      <c r="D861" s="5"/>
      <c r="E861" s="5"/>
      <c r="F861" s="5"/>
    </row>
    <row r="862" ht="15.75" customHeight="1">
      <c r="A862" s="5"/>
      <c r="B862" s="5"/>
      <c r="C862" s="5"/>
      <c r="D862" s="5"/>
      <c r="E862" s="5"/>
      <c r="F862" s="5"/>
    </row>
    <row r="863" ht="15.75" customHeight="1">
      <c r="A863" s="5"/>
      <c r="B863" s="5"/>
      <c r="C863" s="5"/>
      <c r="D863" s="5"/>
      <c r="E863" s="5"/>
      <c r="F863" s="5"/>
    </row>
    <row r="864" ht="15.75" customHeight="1">
      <c r="A864" s="5"/>
      <c r="B864" s="5"/>
      <c r="C864" s="5"/>
      <c r="D864" s="5"/>
      <c r="E864" s="5"/>
      <c r="F864" s="5"/>
    </row>
    <row r="865" ht="15.75" customHeight="1">
      <c r="A865" s="5"/>
      <c r="B865" s="5"/>
      <c r="C865" s="5"/>
      <c r="D865" s="5"/>
      <c r="E865" s="5"/>
      <c r="F865" s="5"/>
    </row>
    <row r="866" ht="15.75" customHeight="1">
      <c r="A866" s="5"/>
      <c r="B866" s="5"/>
      <c r="C866" s="5"/>
      <c r="D866" s="5"/>
      <c r="E866" s="5"/>
      <c r="F866" s="5"/>
    </row>
    <row r="867" ht="15.75" customHeight="1">
      <c r="A867" s="5"/>
      <c r="B867" s="5"/>
      <c r="C867" s="5"/>
      <c r="D867" s="5"/>
      <c r="E867" s="5"/>
      <c r="F867" s="5"/>
    </row>
    <row r="868" ht="15.75" customHeight="1">
      <c r="A868" s="5"/>
      <c r="B868" s="5"/>
      <c r="C868" s="5"/>
      <c r="D868" s="5"/>
      <c r="E868" s="5"/>
      <c r="F868" s="5"/>
    </row>
    <row r="869" ht="15.75" customHeight="1">
      <c r="A869" s="5"/>
      <c r="B869" s="5"/>
      <c r="C869" s="5"/>
      <c r="D869" s="5"/>
      <c r="E869" s="5"/>
      <c r="F869" s="5"/>
    </row>
    <row r="870" ht="15.75" customHeight="1">
      <c r="A870" s="5"/>
      <c r="B870" s="5"/>
      <c r="C870" s="5"/>
      <c r="D870" s="5"/>
      <c r="E870" s="5"/>
      <c r="F870" s="5"/>
    </row>
    <row r="871" ht="15.75" customHeight="1">
      <c r="A871" s="5"/>
      <c r="B871" s="5"/>
      <c r="C871" s="5"/>
      <c r="D871" s="5"/>
      <c r="E871" s="5"/>
      <c r="F871" s="5"/>
    </row>
    <row r="872" ht="15.75" customHeight="1">
      <c r="A872" s="5"/>
      <c r="B872" s="5"/>
      <c r="C872" s="5"/>
      <c r="D872" s="5"/>
      <c r="E872" s="5"/>
      <c r="F872" s="5"/>
    </row>
    <row r="873" ht="15.75" customHeight="1">
      <c r="A873" s="5"/>
      <c r="B873" s="5"/>
      <c r="C873" s="5"/>
      <c r="D873" s="5"/>
      <c r="E873" s="5"/>
      <c r="F873" s="5"/>
    </row>
    <row r="874" ht="15.75" customHeight="1">
      <c r="A874" s="5"/>
      <c r="B874" s="5"/>
      <c r="C874" s="5"/>
      <c r="D874" s="5"/>
      <c r="E874" s="5"/>
      <c r="F874" s="5"/>
    </row>
    <row r="875" ht="15.75" customHeight="1">
      <c r="A875" s="5"/>
      <c r="B875" s="5"/>
      <c r="C875" s="5"/>
      <c r="D875" s="5"/>
      <c r="E875" s="5"/>
      <c r="F875" s="5"/>
    </row>
    <row r="876" ht="15.75" customHeight="1">
      <c r="A876" s="5"/>
      <c r="B876" s="5"/>
      <c r="C876" s="5"/>
      <c r="D876" s="5"/>
      <c r="E876" s="5"/>
      <c r="F876" s="5"/>
    </row>
    <row r="877" ht="15.75" customHeight="1">
      <c r="A877" s="5"/>
      <c r="B877" s="5"/>
      <c r="C877" s="5"/>
      <c r="D877" s="5"/>
      <c r="E877" s="5"/>
      <c r="F877" s="5"/>
    </row>
    <row r="878" ht="15.75" customHeight="1">
      <c r="A878" s="5"/>
      <c r="B878" s="5"/>
      <c r="C878" s="5"/>
      <c r="D878" s="5"/>
      <c r="E878" s="5"/>
      <c r="F878" s="5"/>
    </row>
    <row r="879" ht="15.75" customHeight="1">
      <c r="A879" s="5"/>
      <c r="B879" s="5"/>
      <c r="C879" s="5"/>
      <c r="D879" s="5"/>
      <c r="E879" s="5"/>
      <c r="F879" s="5"/>
    </row>
    <row r="880" ht="15.75" customHeight="1">
      <c r="A880" s="5"/>
      <c r="B880" s="5"/>
      <c r="C880" s="5"/>
      <c r="D880" s="5"/>
      <c r="E880" s="5"/>
      <c r="F880" s="5"/>
    </row>
    <row r="881" ht="15.75" customHeight="1">
      <c r="A881" s="5"/>
      <c r="B881" s="5"/>
      <c r="C881" s="5"/>
      <c r="D881" s="5"/>
      <c r="E881" s="5"/>
      <c r="F881" s="5"/>
    </row>
    <row r="882" ht="15.75" customHeight="1">
      <c r="A882" s="5"/>
      <c r="B882" s="5"/>
      <c r="C882" s="5"/>
      <c r="D882" s="5"/>
      <c r="E882" s="5"/>
      <c r="F882" s="5"/>
    </row>
    <row r="883" ht="15.75" customHeight="1">
      <c r="A883" s="5"/>
      <c r="B883" s="5"/>
      <c r="C883" s="5"/>
      <c r="D883" s="5"/>
      <c r="E883" s="5"/>
      <c r="F883" s="5"/>
    </row>
    <row r="884" ht="15.75" customHeight="1">
      <c r="A884" s="5"/>
      <c r="B884" s="5"/>
      <c r="C884" s="5"/>
      <c r="D884" s="5"/>
      <c r="E884" s="5"/>
      <c r="F884" s="5"/>
    </row>
    <row r="885" ht="15.75" customHeight="1">
      <c r="A885" s="5"/>
      <c r="B885" s="5"/>
      <c r="C885" s="5"/>
      <c r="D885" s="5"/>
      <c r="E885" s="5"/>
      <c r="F885" s="5"/>
    </row>
    <row r="886" ht="15.75" customHeight="1">
      <c r="A886" s="5"/>
      <c r="B886" s="5"/>
      <c r="C886" s="5"/>
      <c r="D886" s="5"/>
      <c r="E886" s="5"/>
      <c r="F886" s="5"/>
    </row>
    <row r="887" ht="15.75" customHeight="1">
      <c r="A887" s="5"/>
      <c r="B887" s="5"/>
      <c r="C887" s="5"/>
      <c r="D887" s="5"/>
      <c r="E887" s="5"/>
      <c r="F887" s="5"/>
    </row>
    <row r="888" ht="15.75" customHeight="1">
      <c r="A888" s="5"/>
      <c r="B888" s="5"/>
      <c r="C888" s="5"/>
      <c r="D888" s="5"/>
      <c r="E888" s="5"/>
      <c r="F888" s="5"/>
    </row>
    <row r="889" ht="15.75" customHeight="1">
      <c r="A889" s="5"/>
      <c r="B889" s="5"/>
      <c r="C889" s="5"/>
      <c r="D889" s="5"/>
      <c r="E889" s="5"/>
      <c r="F889" s="5"/>
    </row>
    <row r="890" ht="15.75" customHeight="1">
      <c r="A890" s="5"/>
      <c r="B890" s="5"/>
      <c r="C890" s="5"/>
      <c r="D890" s="5"/>
      <c r="E890" s="5"/>
      <c r="F890" s="5"/>
    </row>
    <row r="891" ht="15.75" customHeight="1">
      <c r="A891" s="5"/>
      <c r="B891" s="5"/>
      <c r="C891" s="5"/>
      <c r="D891" s="5"/>
      <c r="E891" s="5"/>
      <c r="F891" s="5"/>
    </row>
    <row r="892" ht="15.75" customHeight="1">
      <c r="A892" s="5"/>
      <c r="B892" s="5"/>
      <c r="C892" s="5"/>
      <c r="D892" s="5"/>
      <c r="E892" s="5"/>
      <c r="F892" s="5"/>
    </row>
    <row r="893" ht="15.75" customHeight="1">
      <c r="A893" s="5"/>
      <c r="B893" s="5"/>
      <c r="C893" s="5"/>
      <c r="D893" s="5"/>
      <c r="E893" s="5"/>
      <c r="F893" s="5"/>
    </row>
    <row r="894" ht="15.75" customHeight="1">
      <c r="A894" s="5"/>
      <c r="B894" s="5"/>
      <c r="C894" s="5"/>
      <c r="D894" s="5"/>
      <c r="E894" s="5"/>
      <c r="F894" s="5"/>
    </row>
    <row r="895" ht="15.75" customHeight="1">
      <c r="A895" s="5"/>
      <c r="B895" s="5"/>
      <c r="C895" s="5"/>
      <c r="D895" s="5"/>
      <c r="E895" s="5"/>
      <c r="F895" s="5"/>
    </row>
    <row r="896" ht="15.75" customHeight="1">
      <c r="A896" s="5"/>
      <c r="B896" s="5"/>
      <c r="C896" s="5"/>
      <c r="D896" s="5"/>
      <c r="E896" s="5"/>
      <c r="F896" s="5"/>
    </row>
    <row r="897" ht="15.75" customHeight="1">
      <c r="A897" s="5"/>
      <c r="B897" s="5"/>
      <c r="C897" s="5"/>
      <c r="D897" s="5"/>
      <c r="E897" s="5"/>
      <c r="F897" s="5"/>
    </row>
    <row r="898" ht="15.75" customHeight="1">
      <c r="A898" s="5"/>
      <c r="B898" s="5"/>
      <c r="C898" s="5"/>
      <c r="D898" s="5"/>
      <c r="E898" s="5"/>
      <c r="F898" s="5"/>
    </row>
    <row r="899" ht="15.75" customHeight="1">
      <c r="A899" s="5"/>
      <c r="B899" s="5"/>
      <c r="C899" s="5"/>
      <c r="D899" s="5"/>
      <c r="E899" s="5"/>
      <c r="F899" s="5"/>
    </row>
    <row r="900" ht="15.75" customHeight="1">
      <c r="A900" s="5"/>
      <c r="B900" s="5"/>
      <c r="C900" s="5"/>
      <c r="D900" s="5"/>
      <c r="E900" s="5"/>
      <c r="F900" s="5"/>
    </row>
    <row r="901" ht="15.75" customHeight="1">
      <c r="A901" s="5"/>
      <c r="B901" s="5"/>
      <c r="C901" s="5"/>
      <c r="D901" s="5"/>
      <c r="E901" s="5"/>
      <c r="F901" s="5"/>
    </row>
    <row r="902" ht="15.75" customHeight="1">
      <c r="A902" s="5"/>
      <c r="B902" s="5"/>
      <c r="C902" s="5"/>
      <c r="D902" s="5"/>
      <c r="E902" s="5"/>
      <c r="F902" s="5"/>
    </row>
    <row r="903" ht="15.75" customHeight="1">
      <c r="A903" s="5"/>
      <c r="B903" s="5"/>
      <c r="C903" s="5"/>
      <c r="D903" s="5"/>
      <c r="E903" s="5"/>
      <c r="F903" s="5"/>
    </row>
    <row r="904" ht="15.75" customHeight="1">
      <c r="A904" s="5"/>
      <c r="B904" s="5"/>
      <c r="C904" s="5"/>
      <c r="D904" s="5"/>
      <c r="E904" s="5"/>
      <c r="F904" s="5"/>
    </row>
    <row r="905" ht="15.75" customHeight="1">
      <c r="A905" s="5"/>
      <c r="B905" s="5"/>
      <c r="C905" s="5"/>
      <c r="D905" s="5"/>
      <c r="E905" s="5"/>
      <c r="F905" s="5"/>
    </row>
    <row r="906" ht="15.75" customHeight="1">
      <c r="A906" s="5"/>
      <c r="B906" s="5"/>
      <c r="C906" s="5"/>
      <c r="D906" s="5"/>
      <c r="E906" s="5"/>
      <c r="F906" s="5"/>
    </row>
    <row r="907" ht="15.75" customHeight="1">
      <c r="A907" s="5"/>
      <c r="B907" s="5"/>
      <c r="C907" s="5"/>
      <c r="D907" s="5"/>
      <c r="E907" s="5"/>
      <c r="F907" s="5"/>
    </row>
    <row r="908" ht="15.75" customHeight="1">
      <c r="A908" s="5"/>
      <c r="B908" s="5"/>
      <c r="C908" s="5"/>
      <c r="D908" s="5"/>
      <c r="E908" s="5"/>
      <c r="F908" s="5"/>
    </row>
    <row r="909" ht="15.75" customHeight="1">
      <c r="A909" s="5"/>
      <c r="B909" s="5"/>
      <c r="C909" s="5"/>
      <c r="D909" s="5"/>
      <c r="E909" s="5"/>
      <c r="F909" s="5"/>
    </row>
    <row r="910" ht="15.75" customHeight="1">
      <c r="A910" s="5"/>
      <c r="B910" s="5"/>
      <c r="C910" s="5"/>
      <c r="D910" s="5"/>
      <c r="E910" s="5"/>
      <c r="F910" s="5"/>
    </row>
    <row r="911" ht="15.75" customHeight="1">
      <c r="A911" s="5"/>
      <c r="B911" s="5"/>
      <c r="C911" s="5"/>
      <c r="D911" s="5"/>
      <c r="E911" s="5"/>
      <c r="F911" s="5"/>
    </row>
    <row r="912" ht="15.75" customHeight="1">
      <c r="A912" s="5"/>
      <c r="B912" s="5"/>
      <c r="C912" s="5"/>
      <c r="D912" s="5"/>
      <c r="E912" s="5"/>
      <c r="F912" s="5"/>
    </row>
    <row r="913" ht="15.75" customHeight="1">
      <c r="A913" s="5"/>
      <c r="B913" s="5"/>
      <c r="C913" s="5"/>
      <c r="D913" s="5"/>
      <c r="E913" s="5"/>
      <c r="F913" s="5"/>
    </row>
    <row r="914" ht="15.75" customHeight="1">
      <c r="A914" s="5"/>
      <c r="B914" s="5"/>
      <c r="C914" s="5"/>
      <c r="D914" s="5"/>
      <c r="E914" s="5"/>
      <c r="F914" s="5"/>
    </row>
    <row r="915" ht="15.75" customHeight="1">
      <c r="A915" s="5"/>
      <c r="B915" s="5"/>
      <c r="C915" s="5"/>
      <c r="D915" s="5"/>
      <c r="E915" s="5"/>
      <c r="F915" s="5"/>
    </row>
    <row r="916" ht="15.75" customHeight="1">
      <c r="A916" s="5"/>
      <c r="B916" s="5"/>
      <c r="C916" s="5"/>
      <c r="D916" s="5"/>
      <c r="E916" s="5"/>
      <c r="F916" s="5"/>
    </row>
    <row r="917" ht="15.75" customHeight="1">
      <c r="A917" s="5"/>
      <c r="B917" s="5"/>
      <c r="C917" s="5"/>
      <c r="D917" s="5"/>
      <c r="E917" s="5"/>
      <c r="F917" s="5"/>
    </row>
    <row r="918" ht="15.75" customHeight="1">
      <c r="A918" s="5"/>
      <c r="B918" s="5"/>
      <c r="C918" s="5"/>
      <c r="D918" s="5"/>
      <c r="E918" s="5"/>
      <c r="F918" s="5"/>
    </row>
    <row r="919" ht="15.75" customHeight="1">
      <c r="A919" s="5"/>
      <c r="B919" s="5"/>
      <c r="C919" s="5"/>
      <c r="D919" s="5"/>
      <c r="E919" s="5"/>
      <c r="F919" s="5"/>
    </row>
    <row r="920" ht="15.75" customHeight="1">
      <c r="A920" s="5"/>
      <c r="B920" s="5"/>
      <c r="C920" s="5"/>
      <c r="D920" s="5"/>
      <c r="E920" s="5"/>
      <c r="F920" s="5"/>
    </row>
    <row r="921" ht="15.75" customHeight="1">
      <c r="A921" s="5"/>
      <c r="B921" s="5"/>
      <c r="C921" s="5"/>
      <c r="D921" s="5"/>
      <c r="E921" s="5"/>
      <c r="F921" s="5"/>
    </row>
    <row r="922" ht="15.75" customHeight="1">
      <c r="A922" s="5"/>
      <c r="B922" s="5"/>
      <c r="C922" s="5"/>
      <c r="D922" s="5"/>
      <c r="E922" s="5"/>
      <c r="F922" s="5"/>
    </row>
    <row r="923" ht="15.75" customHeight="1">
      <c r="A923" s="5"/>
      <c r="B923" s="5"/>
      <c r="C923" s="5"/>
      <c r="D923" s="5"/>
      <c r="E923" s="5"/>
      <c r="F923" s="5"/>
    </row>
    <row r="924" ht="15.75" customHeight="1">
      <c r="A924" s="5"/>
      <c r="B924" s="5"/>
      <c r="C924" s="5"/>
      <c r="D924" s="5"/>
      <c r="E924" s="5"/>
      <c r="F924" s="5"/>
    </row>
    <row r="925" ht="15.75" customHeight="1">
      <c r="A925" s="5"/>
      <c r="B925" s="5"/>
      <c r="C925" s="5"/>
      <c r="D925" s="5"/>
      <c r="E925" s="5"/>
      <c r="F925" s="5"/>
    </row>
    <row r="926" ht="15.75" customHeight="1">
      <c r="A926" s="5"/>
      <c r="B926" s="5"/>
      <c r="C926" s="5"/>
      <c r="D926" s="5"/>
      <c r="E926" s="5"/>
      <c r="F926" s="5"/>
    </row>
    <row r="927" ht="15.75" customHeight="1">
      <c r="A927" s="5"/>
      <c r="B927" s="5"/>
      <c r="C927" s="5"/>
      <c r="D927" s="5"/>
      <c r="E927" s="5"/>
      <c r="F927" s="5"/>
    </row>
    <row r="928" ht="15.75" customHeight="1">
      <c r="A928" s="5"/>
      <c r="B928" s="5"/>
      <c r="C928" s="5"/>
      <c r="D928" s="5"/>
      <c r="E928" s="5"/>
      <c r="F928" s="5"/>
    </row>
    <row r="929" ht="15.75" customHeight="1">
      <c r="A929" s="5"/>
      <c r="B929" s="5"/>
      <c r="C929" s="5"/>
      <c r="D929" s="5"/>
      <c r="E929" s="5"/>
      <c r="F929" s="5"/>
    </row>
    <row r="930" ht="15.75" customHeight="1">
      <c r="A930" s="5"/>
      <c r="B930" s="5"/>
      <c r="C930" s="5"/>
      <c r="D930" s="5"/>
      <c r="E930" s="5"/>
      <c r="F930" s="5"/>
    </row>
    <row r="931" ht="15.75" customHeight="1">
      <c r="A931" s="5"/>
      <c r="B931" s="5"/>
      <c r="C931" s="5"/>
      <c r="D931" s="5"/>
      <c r="E931" s="5"/>
      <c r="F931" s="5"/>
    </row>
    <row r="932" ht="15.75" customHeight="1">
      <c r="A932" s="5"/>
      <c r="B932" s="5"/>
      <c r="C932" s="5"/>
      <c r="D932" s="5"/>
      <c r="E932" s="5"/>
      <c r="F932" s="5"/>
    </row>
    <row r="933" ht="15.75" customHeight="1">
      <c r="A933" s="5"/>
      <c r="B933" s="5"/>
      <c r="C933" s="5"/>
      <c r="D933" s="5"/>
      <c r="E933" s="5"/>
      <c r="F933" s="5"/>
    </row>
    <row r="934" ht="15.75" customHeight="1">
      <c r="A934" s="5"/>
      <c r="B934" s="5"/>
      <c r="C934" s="5"/>
      <c r="D934" s="5"/>
      <c r="E934" s="5"/>
      <c r="F934" s="5"/>
    </row>
    <row r="935" ht="15.75" customHeight="1">
      <c r="A935" s="5"/>
      <c r="B935" s="5"/>
      <c r="C935" s="5"/>
      <c r="D935" s="5"/>
      <c r="E935" s="5"/>
      <c r="F935" s="5"/>
    </row>
    <row r="936" ht="15.75" customHeight="1">
      <c r="A936" s="5"/>
      <c r="B936" s="5"/>
      <c r="C936" s="5"/>
      <c r="D936" s="5"/>
      <c r="E936" s="5"/>
      <c r="F936" s="5"/>
    </row>
    <row r="937" ht="15.75" customHeight="1">
      <c r="A937" s="5"/>
      <c r="B937" s="5"/>
      <c r="C937" s="5"/>
      <c r="D937" s="5"/>
      <c r="E937" s="5"/>
      <c r="F937" s="5"/>
    </row>
    <row r="938" ht="15.75" customHeight="1">
      <c r="A938" s="5"/>
      <c r="B938" s="5"/>
      <c r="C938" s="5"/>
      <c r="D938" s="5"/>
      <c r="E938" s="5"/>
      <c r="F938" s="5"/>
    </row>
    <row r="939" ht="15.75" customHeight="1">
      <c r="A939" s="5"/>
      <c r="B939" s="5"/>
      <c r="C939" s="5"/>
      <c r="D939" s="5"/>
      <c r="E939" s="5"/>
      <c r="F939" s="5"/>
    </row>
    <row r="940" ht="15.75" customHeight="1">
      <c r="A940" s="5"/>
      <c r="B940" s="5"/>
      <c r="C940" s="5"/>
      <c r="D940" s="5"/>
      <c r="E940" s="5"/>
      <c r="F940" s="5"/>
    </row>
    <row r="941" ht="15.75" customHeight="1">
      <c r="A941" s="5"/>
      <c r="B941" s="5"/>
      <c r="C941" s="5"/>
      <c r="D941" s="5"/>
      <c r="E941" s="5"/>
      <c r="F941" s="5"/>
    </row>
    <row r="942" ht="15.75" customHeight="1">
      <c r="A942" s="5"/>
      <c r="B942" s="5"/>
      <c r="C942" s="5"/>
      <c r="D942" s="5"/>
      <c r="E942" s="5"/>
      <c r="F942" s="5"/>
    </row>
    <row r="943" ht="15.75" customHeight="1">
      <c r="A943" s="5"/>
      <c r="B943" s="5"/>
      <c r="C943" s="5"/>
      <c r="D943" s="5"/>
      <c r="E943" s="5"/>
      <c r="F943" s="5"/>
    </row>
    <row r="944" ht="15.75" customHeight="1">
      <c r="A944" s="5"/>
      <c r="B944" s="5"/>
      <c r="C944" s="5"/>
      <c r="D944" s="5"/>
      <c r="E944" s="5"/>
      <c r="F944" s="5"/>
    </row>
    <row r="945" ht="15.75" customHeight="1">
      <c r="A945" s="5"/>
      <c r="B945" s="5"/>
      <c r="C945" s="5"/>
      <c r="D945" s="5"/>
      <c r="E945" s="5"/>
      <c r="F945" s="5"/>
    </row>
    <row r="946" ht="15.75" customHeight="1">
      <c r="A946" s="5"/>
      <c r="B946" s="5"/>
      <c r="C946" s="5"/>
      <c r="D946" s="5"/>
      <c r="E946" s="5"/>
      <c r="F946" s="5"/>
    </row>
    <row r="947" ht="15.75" customHeight="1">
      <c r="A947" s="5"/>
      <c r="B947" s="5"/>
      <c r="C947" s="5"/>
      <c r="D947" s="5"/>
      <c r="E947" s="5"/>
      <c r="F947" s="5"/>
    </row>
    <row r="948" ht="15.75" customHeight="1">
      <c r="A948" s="5"/>
      <c r="B948" s="5"/>
      <c r="C948" s="5"/>
      <c r="D948" s="5"/>
      <c r="E948" s="5"/>
      <c r="F948" s="5"/>
    </row>
    <row r="949" ht="15.75" customHeight="1">
      <c r="A949" s="5"/>
      <c r="B949" s="5"/>
      <c r="C949" s="5"/>
      <c r="D949" s="5"/>
      <c r="E949" s="5"/>
      <c r="F949" s="5"/>
    </row>
    <row r="950" ht="15.75" customHeight="1">
      <c r="A950" s="5"/>
      <c r="B950" s="5"/>
      <c r="C950" s="5"/>
      <c r="D950" s="5"/>
      <c r="E950" s="5"/>
      <c r="F950" s="5"/>
    </row>
    <row r="951" ht="15.75" customHeight="1">
      <c r="A951" s="5"/>
      <c r="B951" s="5"/>
      <c r="C951" s="5"/>
      <c r="D951" s="5"/>
      <c r="E951" s="5"/>
      <c r="F951" s="5"/>
    </row>
    <row r="952" ht="15.75" customHeight="1">
      <c r="A952" s="5"/>
      <c r="B952" s="5"/>
      <c r="C952" s="5"/>
      <c r="D952" s="5"/>
      <c r="E952" s="5"/>
      <c r="F952" s="5"/>
    </row>
    <row r="953" ht="15.75" customHeight="1">
      <c r="A953" s="5"/>
      <c r="B953" s="5"/>
      <c r="C953" s="5"/>
      <c r="D953" s="5"/>
      <c r="E953" s="5"/>
      <c r="F953" s="5"/>
    </row>
    <row r="954" ht="15.75" customHeight="1">
      <c r="A954" s="5"/>
      <c r="B954" s="5"/>
      <c r="C954" s="5"/>
      <c r="D954" s="5"/>
      <c r="E954" s="5"/>
      <c r="F954" s="5"/>
    </row>
    <row r="955" ht="15.75" customHeight="1">
      <c r="A955" s="5"/>
      <c r="B955" s="5"/>
      <c r="C955" s="5"/>
      <c r="D955" s="5"/>
      <c r="E955" s="5"/>
      <c r="F955" s="5"/>
    </row>
    <row r="956" ht="15.75" customHeight="1">
      <c r="A956" s="5"/>
      <c r="B956" s="5"/>
      <c r="C956" s="5"/>
      <c r="D956" s="5"/>
      <c r="E956" s="5"/>
      <c r="F956" s="5"/>
    </row>
    <row r="957" ht="15.75" customHeight="1">
      <c r="A957" s="5"/>
      <c r="B957" s="5"/>
      <c r="C957" s="5"/>
      <c r="D957" s="5"/>
      <c r="E957" s="5"/>
      <c r="F957" s="5"/>
    </row>
    <row r="958" ht="15.75" customHeight="1">
      <c r="A958" s="5"/>
      <c r="B958" s="5"/>
      <c r="C958" s="5"/>
      <c r="D958" s="5"/>
      <c r="E958" s="5"/>
      <c r="F958" s="5"/>
    </row>
    <row r="959" ht="15.75" customHeight="1">
      <c r="A959" s="5"/>
      <c r="B959" s="5"/>
      <c r="C959" s="5"/>
      <c r="D959" s="5"/>
      <c r="E959" s="5"/>
      <c r="F959" s="5"/>
    </row>
    <row r="960" ht="15.75" customHeight="1">
      <c r="A960" s="5"/>
      <c r="B960" s="5"/>
      <c r="C960" s="5"/>
      <c r="D960" s="5"/>
      <c r="E960" s="5"/>
      <c r="F960" s="5"/>
    </row>
    <row r="961" ht="15.75" customHeight="1">
      <c r="A961" s="5"/>
      <c r="B961" s="5"/>
      <c r="C961" s="5"/>
      <c r="D961" s="5"/>
      <c r="E961" s="5"/>
      <c r="F961" s="5"/>
    </row>
    <row r="962" ht="15.75" customHeight="1">
      <c r="A962" s="5"/>
      <c r="B962" s="5"/>
      <c r="C962" s="5"/>
      <c r="D962" s="5"/>
      <c r="E962" s="5"/>
      <c r="F962" s="5"/>
    </row>
    <row r="963" ht="15.75" customHeight="1">
      <c r="A963" s="5"/>
      <c r="B963" s="5"/>
      <c r="C963" s="5"/>
      <c r="D963" s="5"/>
      <c r="E963" s="5"/>
      <c r="F963" s="5"/>
    </row>
    <row r="964" ht="15.75" customHeight="1">
      <c r="A964" s="5"/>
      <c r="B964" s="5"/>
      <c r="C964" s="5"/>
      <c r="D964" s="5"/>
      <c r="E964" s="5"/>
      <c r="F964" s="5"/>
    </row>
    <row r="965" ht="15.75" customHeight="1">
      <c r="A965" s="5"/>
      <c r="B965" s="5"/>
      <c r="C965" s="5"/>
      <c r="D965" s="5"/>
      <c r="E965" s="5"/>
      <c r="F965" s="5"/>
    </row>
    <row r="966" ht="15.75" customHeight="1">
      <c r="A966" s="5"/>
      <c r="B966" s="5"/>
      <c r="C966" s="5"/>
      <c r="D966" s="5"/>
      <c r="E966" s="5"/>
      <c r="F966" s="5"/>
    </row>
    <row r="967" ht="15.75" customHeight="1">
      <c r="A967" s="5"/>
      <c r="B967" s="5"/>
      <c r="C967" s="5"/>
      <c r="D967" s="5"/>
      <c r="E967" s="5"/>
      <c r="F967" s="5"/>
    </row>
    <row r="968" ht="15.75" customHeight="1">
      <c r="A968" s="5"/>
      <c r="B968" s="5"/>
      <c r="C968" s="5"/>
      <c r="D968" s="5"/>
      <c r="E968" s="5"/>
      <c r="F968" s="5"/>
    </row>
    <row r="969" ht="15.75" customHeight="1">
      <c r="A969" s="5"/>
      <c r="B969" s="5"/>
      <c r="C969" s="5"/>
      <c r="D969" s="5"/>
      <c r="E969" s="5"/>
      <c r="F969" s="5"/>
    </row>
    <row r="970" ht="15.75" customHeight="1">
      <c r="A970" s="5"/>
      <c r="B970" s="5"/>
      <c r="C970" s="5"/>
      <c r="D970" s="5"/>
      <c r="E970" s="5"/>
      <c r="F970" s="5"/>
    </row>
    <row r="971" ht="15.75" customHeight="1">
      <c r="A971" s="5"/>
      <c r="B971" s="5"/>
      <c r="C971" s="5"/>
      <c r="D971" s="5"/>
      <c r="E971" s="5"/>
      <c r="F971" s="5"/>
    </row>
    <row r="972" ht="15.75" customHeight="1">
      <c r="A972" s="5"/>
      <c r="B972" s="5"/>
      <c r="C972" s="5"/>
      <c r="D972" s="5"/>
      <c r="E972" s="5"/>
      <c r="F972" s="5"/>
    </row>
    <row r="973" ht="15.75" customHeight="1">
      <c r="A973" s="5"/>
      <c r="B973" s="5"/>
      <c r="C973" s="5"/>
      <c r="D973" s="5"/>
      <c r="E973" s="5"/>
      <c r="F973" s="5"/>
    </row>
    <row r="974" ht="15.75" customHeight="1">
      <c r="A974" s="5"/>
      <c r="B974" s="5"/>
      <c r="C974" s="5"/>
      <c r="D974" s="5"/>
      <c r="E974" s="5"/>
      <c r="F974" s="5"/>
    </row>
    <row r="975" ht="15.75" customHeight="1">
      <c r="A975" s="5"/>
      <c r="B975" s="5"/>
      <c r="C975" s="5"/>
      <c r="D975" s="5"/>
      <c r="E975" s="5"/>
      <c r="F975" s="5"/>
    </row>
    <row r="976" ht="15.75" customHeight="1">
      <c r="A976" s="5"/>
      <c r="B976" s="5"/>
      <c r="C976" s="5"/>
      <c r="D976" s="5"/>
      <c r="E976" s="5"/>
      <c r="F976" s="5"/>
    </row>
    <row r="977" ht="15.75" customHeight="1">
      <c r="A977" s="5"/>
      <c r="B977" s="5"/>
      <c r="C977" s="5"/>
      <c r="D977" s="5"/>
      <c r="E977" s="5"/>
      <c r="F977" s="5"/>
    </row>
    <row r="978" ht="15.75" customHeight="1">
      <c r="A978" s="5"/>
      <c r="B978" s="5"/>
      <c r="C978" s="5"/>
      <c r="D978" s="5"/>
      <c r="E978" s="5"/>
      <c r="F978" s="5"/>
    </row>
    <row r="979" ht="15.75" customHeight="1">
      <c r="A979" s="5"/>
      <c r="B979" s="5"/>
      <c r="C979" s="5"/>
      <c r="D979" s="5"/>
      <c r="E979" s="5"/>
      <c r="F979" s="5"/>
    </row>
    <row r="980" ht="15.75" customHeight="1">
      <c r="A980" s="5"/>
      <c r="B980" s="5"/>
      <c r="C980" s="5"/>
      <c r="D980" s="5"/>
      <c r="E980" s="5"/>
      <c r="F980" s="5"/>
    </row>
    <row r="981" ht="15.75" customHeight="1">
      <c r="A981" s="5"/>
      <c r="B981" s="5"/>
      <c r="C981" s="5"/>
      <c r="D981" s="5"/>
      <c r="E981" s="5"/>
      <c r="F981" s="5"/>
    </row>
    <row r="982" ht="15.75" customHeight="1">
      <c r="A982" s="5"/>
      <c r="B982" s="5"/>
      <c r="C982" s="5"/>
      <c r="D982" s="5"/>
      <c r="E982" s="5"/>
      <c r="F982" s="5"/>
    </row>
    <row r="983" ht="15.75" customHeight="1">
      <c r="A983" s="5"/>
      <c r="B983" s="5"/>
      <c r="C983" s="5"/>
      <c r="D983" s="5"/>
      <c r="E983" s="5"/>
      <c r="F983" s="5"/>
    </row>
    <row r="984" ht="15.75" customHeight="1">
      <c r="A984" s="5"/>
      <c r="B984" s="5"/>
      <c r="C984" s="5"/>
      <c r="D984" s="5"/>
      <c r="E984" s="5"/>
      <c r="F984" s="5"/>
    </row>
    <row r="985" ht="15.75" customHeight="1">
      <c r="A985" s="5"/>
      <c r="B985" s="5"/>
      <c r="C985" s="5"/>
      <c r="D985" s="5"/>
      <c r="E985" s="5"/>
      <c r="F985" s="5"/>
    </row>
    <row r="986" ht="15.75" customHeight="1">
      <c r="A986" s="5"/>
      <c r="B986" s="5"/>
      <c r="C986" s="5"/>
      <c r="D986" s="5"/>
      <c r="E986" s="5"/>
      <c r="F986" s="5"/>
    </row>
    <row r="987" ht="15.75" customHeight="1">
      <c r="A987" s="5"/>
      <c r="B987" s="5"/>
      <c r="C987" s="5"/>
      <c r="D987" s="5"/>
      <c r="E987" s="5"/>
      <c r="F987" s="5"/>
    </row>
    <row r="988" ht="15.75" customHeight="1">
      <c r="A988" s="5"/>
      <c r="B988" s="5"/>
      <c r="C988" s="5"/>
      <c r="D988" s="5"/>
      <c r="E988" s="5"/>
      <c r="F988" s="5"/>
    </row>
    <row r="989" ht="15.75" customHeight="1">
      <c r="A989" s="5"/>
      <c r="B989" s="5"/>
      <c r="C989" s="5"/>
      <c r="D989" s="5"/>
      <c r="E989" s="5"/>
      <c r="F989" s="5"/>
    </row>
    <row r="990" ht="15.75" customHeight="1">
      <c r="A990" s="5"/>
      <c r="B990" s="5"/>
      <c r="C990" s="5"/>
      <c r="D990" s="5"/>
      <c r="E990" s="5"/>
      <c r="F990" s="5"/>
    </row>
    <row r="991" ht="15.75" customHeight="1">
      <c r="A991" s="5"/>
      <c r="B991" s="5"/>
      <c r="C991" s="5"/>
      <c r="D991" s="5"/>
      <c r="E991" s="5"/>
      <c r="F991" s="5"/>
    </row>
    <row r="992" ht="15.75" customHeight="1">
      <c r="A992" s="5"/>
      <c r="B992" s="5"/>
      <c r="C992" s="5"/>
      <c r="D992" s="5"/>
      <c r="E992" s="5"/>
      <c r="F992" s="5"/>
    </row>
    <row r="993" ht="15.75" customHeight="1">
      <c r="A993" s="5"/>
      <c r="B993" s="5"/>
      <c r="C993" s="5"/>
      <c r="D993" s="5"/>
      <c r="E993" s="5"/>
      <c r="F993" s="5"/>
    </row>
    <row r="994" ht="15.75" customHeight="1">
      <c r="A994" s="5"/>
      <c r="B994" s="5"/>
      <c r="C994" s="5"/>
      <c r="D994" s="5"/>
      <c r="E994" s="5"/>
      <c r="F994" s="5"/>
    </row>
    <row r="995" ht="15.75" customHeight="1">
      <c r="A995" s="5"/>
      <c r="B995" s="5"/>
      <c r="C995" s="5"/>
      <c r="D995" s="5"/>
      <c r="E995" s="5"/>
      <c r="F995" s="5"/>
    </row>
    <row r="996" ht="15.75" customHeight="1">
      <c r="A996" s="5"/>
      <c r="B996" s="5"/>
      <c r="C996" s="5"/>
      <c r="D996" s="5"/>
      <c r="E996" s="5"/>
      <c r="F996" s="5"/>
    </row>
    <row r="997" ht="15.75" customHeight="1">
      <c r="A997" s="5"/>
      <c r="B997" s="5"/>
      <c r="C997" s="5"/>
      <c r="D997" s="5"/>
      <c r="E997" s="5"/>
      <c r="F997" s="5"/>
    </row>
    <row r="998" ht="15.75" customHeight="1">
      <c r="A998" s="5"/>
      <c r="B998" s="5"/>
      <c r="C998" s="5"/>
      <c r="D998" s="5"/>
      <c r="E998" s="5"/>
      <c r="F998" s="5"/>
    </row>
    <row r="999" ht="15.75" customHeight="1">
      <c r="A999" s="5"/>
      <c r="B999" s="5"/>
      <c r="C999" s="5"/>
      <c r="D999" s="5"/>
      <c r="E999" s="5"/>
      <c r="F999" s="5"/>
    </row>
    <row r="1000" ht="15.75" customHeight="1">
      <c r="A1000" s="5"/>
      <c r="B1000" s="5"/>
      <c r="C1000" s="5"/>
      <c r="D1000" s="5"/>
      <c r="E1000" s="5"/>
      <c r="F1000" s="5"/>
    </row>
  </sheetData>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2.25"/>
    <col customWidth="1" min="2" max="2" width="33.38"/>
    <col customWidth="1" min="3" max="3" width="17.38"/>
    <col customWidth="1" min="4" max="4" width="23.0"/>
    <col customWidth="1" min="5" max="6" width="12.63"/>
    <col customWidth="1" min="11" max="11" width="85.63"/>
  </cols>
  <sheetData>
    <row r="1" ht="15.75" customHeight="1">
      <c r="A1" s="27" t="s">
        <v>776</v>
      </c>
      <c r="B1" s="27" t="s">
        <v>783</v>
      </c>
      <c r="C1" s="78" t="s">
        <v>557</v>
      </c>
      <c r="D1" s="27" t="s">
        <v>558</v>
      </c>
      <c r="E1" s="69"/>
      <c r="F1" s="69"/>
      <c r="G1" s="69"/>
      <c r="H1" s="69"/>
      <c r="I1" s="69"/>
      <c r="J1" s="69"/>
      <c r="K1" s="69"/>
      <c r="L1" s="69"/>
      <c r="M1" s="69"/>
      <c r="N1" s="69"/>
      <c r="O1" s="69"/>
      <c r="P1" s="69"/>
      <c r="Q1" s="69"/>
      <c r="R1" s="69"/>
      <c r="S1" s="69"/>
      <c r="T1" s="69"/>
      <c r="U1" s="69"/>
      <c r="V1" s="69"/>
      <c r="W1" s="69"/>
      <c r="X1" s="5"/>
      <c r="Y1" s="5"/>
      <c r="Z1" s="5"/>
    </row>
    <row r="2" ht="15.75" customHeight="1">
      <c r="A2" s="36" t="s">
        <v>201</v>
      </c>
      <c r="B2" s="36" t="s">
        <v>784</v>
      </c>
      <c r="C2" s="37" t="s">
        <v>199</v>
      </c>
      <c r="D2" s="36" t="s">
        <v>561</v>
      </c>
      <c r="E2" s="5"/>
      <c r="F2" s="5"/>
      <c r="G2" s="5"/>
      <c r="H2" s="5"/>
      <c r="I2" s="5"/>
      <c r="J2" s="5"/>
      <c r="K2" s="5"/>
      <c r="L2" s="5"/>
      <c r="M2" s="5"/>
      <c r="N2" s="5"/>
      <c r="O2" s="5"/>
      <c r="P2" s="5"/>
      <c r="Q2" s="5"/>
      <c r="R2" s="5"/>
      <c r="S2" s="5"/>
      <c r="T2" s="5"/>
      <c r="U2" s="5"/>
      <c r="V2" s="5"/>
      <c r="W2" s="5"/>
      <c r="X2" s="5"/>
      <c r="Y2" s="5"/>
      <c r="Z2" s="5"/>
    </row>
    <row r="3" ht="15.75" customHeight="1">
      <c r="A3" s="36" t="s">
        <v>103</v>
      </c>
      <c r="B3" s="36" t="s">
        <v>785</v>
      </c>
      <c r="C3" s="37" t="s">
        <v>99</v>
      </c>
      <c r="D3" s="36" t="s">
        <v>561</v>
      </c>
      <c r="E3" s="5"/>
      <c r="F3" s="5"/>
      <c r="G3" s="5"/>
      <c r="H3" s="5"/>
      <c r="I3" s="5"/>
      <c r="J3" s="5"/>
      <c r="K3" s="5"/>
      <c r="L3" s="5"/>
      <c r="M3" s="5"/>
      <c r="N3" s="5"/>
      <c r="O3" s="5"/>
      <c r="P3" s="5"/>
      <c r="Q3" s="5"/>
      <c r="R3" s="5"/>
      <c r="S3" s="5"/>
      <c r="T3" s="5"/>
      <c r="U3" s="5"/>
      <c r="V3" s="5"/>
      <c r="W3" s="5"/>
      <c r="X3" s="5"/>
      <c r="Y3" s="5"/>
      <c r="Z3" s="5"/>
    </row>
    <row r="4" ht="15.75" customHeight="1">
      <c r="A4" s="36" t="s">
        <v>110</v>
      </c>
      <c r="B4" s="36" t="s">
        <v>786</v>
      </c>
      <c r="C4" s="37" t="s">
        <v>108</v>
      </c>
      <c r="D4" s="36" t="s">
        <v>561</v>
      </c>
      <c r="E4" s="5"/>
      <c r="F4" s="5"/>
      <c r="G4" s="5"/>
      <c r="H4" s="5"/>
      <c r="I4" s="5"/>
      <c r="J4" s="5"/>
      <c r="K4" s="5"/>
      <c r="L4" s="5"/>
      <c r="M4" s="5"/>
      <c r="N4" s="5"/>
      <c r="O4" s="5"/>
      <c r="P4" s="5"/>
      <c r="Q4" s="5"/>
      <c r="R4" s="5"/>
      <c r="S4" s="5"/>
      <c r="T4" s="5"/>
      <c r="U4" s="5"/>
      <c r="V4" s="5"/>
      <c r="W4" s="5"/>
      <c r="X4" s="5"/>
      <c r="Y4" s="5"/>
      <c r="Z4" s="5"/>
    </row>
    <row r="5" ht="15.75" customHeight="1">
      <c r="A5" s="36" t="s">
        <v>154</v>
      </c>
      <c r="B5" s="36" t="s">
        <v>787</v>
      </c>
      <c r="C5" s="37" t="s">
        <v>152</v>
      </c>
      <c r="D5" s="36" t="s">
        <v>561</v>
      </c>
      <c r="E5" s="5"/>
      <c r="F5" s="5"/>
      <c r="G5" s="5"/>
      <c r="H5" s="5"/>
      <c r="I5" s="5"/>
      <c r="J5" s="5"/>
      <c r="K5" s="5"/>
      <c r="L5" s="5"/>
      <c r="M5" s="5"/>
      <c r="N5" s="5"/>
      <c r="O5" s="5"/>
      <c r="P5" s="5"/>
      <c r="Q5" s="5"/>
      <c r="R5" s="5"/>
      <c r="S5" s="5"/>
      <c r="T5" s="5"/>
      <c r="U5" s="5"/>
      <c r="V5" s="5"/>
      <c r="W5" s="5"/>
      <c r="X5" s="5"/>
      <c r="Y5" s="5"/>
      <c r="Z5" s="5"/>
    </row>
    <row r="6" ht="15.75" customHeight="1">
      <c r="A6" s="36" t="s">
        <v>204</v>
      </c>
      <c r="B6" s="36" t="s">
        <v>788</v>
      </c>
      <c r="C6" s="37" t="s">
        <v>202</v>
      </c>
      <c r="D6" s="36" t="s">
        <v>789</v>
      </c>
      <c r="E6" s="5"/>
      <c r="F6" s="5"/>
      <c r="G6" s="5"/>
      <c r="H6" s="5"/>
      <c r="I6" s="5"/>
      <c r="J6" s="5"/>
      <c r="K6" s="5"/>
      <c r="L6" s="5"/>
      <c r="M6" s="5"/>
      <c r="N6" s="5"/>
      <c r="O6" s="5"/>
      <c r="P6" s="5"/>
      <c r="Q6" s="5"/>
      <c r="R6" s="5"/>
      <c r="S6" s="5"/>
      <c r="T6" s="5"/>
      <c r="U6" s="5"/>
      <c r="V6" s="5"/>
      <c r="W6" s="5"/>
      <c r="X6" s="5"/>
      <c r="Y6" s="5"/>
      <c r="Z6" s="5"/>
    </row>
    <row r="7" ht="15.75" customHeight="1">
      <c r="A7" s="36" t="s">
        <v>207</v>
      </c>
      <c r="B7" s="36" t="s">
        <v>790</v>
      </c>
      <c r="C7" s="37" t="s">
        <v>205</v>
      </c>
      <c r="D7" s="36" t="s">
        <v>791</v>
      </c>
      <c r="E7" s="5"/>
      <c r="F7" s="5"/>
      <c r="G7" s="5"/>
      <c r="H7" s="5"/>
      <c r="I7" s="5"/>
      <c r="J7" s="5"/>
      <c r="K7" s="5"/>
      <c r="L7" s="5"/>
      <c r="M7" s="5"/>
      <c r="N7" s="5"/>
      <c r="O7" s="5"/>
      <c r="P7" s="5"/>
      <c r="Q7" s="5"/>
      <c r="R7" s="5"/>
      <c r="S7" s="5"/>
      <c r="T7" s="5"/>
      <c r="U7" s="5"/>
      <c r="V7" s="5"/>
      <c r="W7" s="5"/>
      <c r="X7" s="5"/>
      <c r="Y7" s="5"/>
      <c r="Z7" s="5"/>
    </row>
    <row r="8" ht="15.75" customHeight="1">
      <c r="A8" s="36" t="s">
        <v>210</v>
      </c>
      <c r="B8" s="36" t="s">
        <v>792</v>
      </c>
      <c r="C8" s="37" t="s">
        <v>208</v>
      </c>
      <c r="D8" s="36" t="s">
        <v>789</v>
      </c>
      <c r="E8" s="5"/>
      <c r="F8" s="5"/>
      <c r="G8" s="5"/>
      <c r="H8" s="5"/>
      <c r="I8" s="5"/>
      <c r="J8" s="5"/>
      <c r="K8" s="5"/>
      <c r="L8" s="5"/>
      <c r="M8" s="5"/>
      <c r="N8" s="5"/>
      <c r="O8" s="5"/>
      <c r="P8" s="5"/>
      <c r="Q8" s="5"/>
      <c r="R8" s="5"/>
      <c r="S8" s="5"/>
      <c r="T8" s="5"/>
      <c r="U8" s="5"/>
      <c r="V8" s="5"/>
      <c r="W8" s="5"/>
      <c r="X8" s="5"/>
      <c r="Y8" s="5"/>
      <c r="Z8" s="5"/>
    </row>
    <row r="9" ht="15.75" customHeight="1">
      <c r="A9" s="36" t="s">
        <v>213</v>
      </c>
      <c r="B9" s="36" t="s">
        <v>793</v>
      </c>
      <c r="C9" s="37" t="s">
        <v>211</v>
      </c>
      <c r="D9" s="36" t="s">
        <v>789</v>
      </c>
      <c r="E9" s="5"/>
      <c r="F9" s="5"/>
      <c r="G9" s="5"/>
      <c r="H9" s="5"/>
      <c r="I9" s="5"/>
      <c r="J9" s="5"/>
      <c r="K9" s="5"/>
      <c r="L9" s="5"/>
      <c r="M9" s="5"/>
      <c r="N9" s="5"/>
      <c r="O9" s="5"/>
      <c r="P9" s="5"/>
      <c r="Q9" s="5"/>
      <c r="R9" s="5"/>
      <c r="S9" s="5"/>
      <c r="T9" s="5"/>
      <c r="U9" s="5"/>
      <c r="V9" s="5"/>
      <c r="W9" s="5"/>
      <c r="X9" s="5"/>
      <c r="Y9" s="5"/>
      <c r="Z9" s="5"/>
    </row>
    <row r="10" ht="15.75" customHeight="1">
      <c r="A10" s="14" t="s">
        <v>216</v>
      </c>
      <c r="B10" s="14" t="s">
        <v>794</v>
      </c>
      <c r="C10" s="79" t="s">
        <v>214</v>
      </c>
      <c r="D10" s="14" t="s">
        <v>570</v>
      </c>
      <c r="E10" s="5"/>
      <c r="F10" s="5"/>
      <c r="G10" s="5"/>
      <c r="H10" s="5"/>
      <c r="I10" s="5"/>
      <c r="J10" s="5"/>
      <c r="K10" s="5"/>
      <c r="L10" s="5"/>
      <c r="M10" s="5"/>
      <c r="N10" s="5"/>
      <c r="O10" s="5"/>
      <c r="P10" s="5"/>
      <c r="Q10" s="5"/>
      <c r="R10" s="5"/>
      <c r="S10" s="5"/>
      <c r="T10" s="5"/>
      <c r="U10" s="5"/>
      <c r="V10" s="5"/>
      <c r="W10" s="5"/>
      <c r="X10" s="5"/>
      <c r="Y10" s="5"/>
      <c r="Z10" s="5"/>
    </row>
    <row r="11" ht="15.75" customHeight="1">
      <c r="A11" s="36" t="s">
        <v>219</v>
      </c>
      <c r="B11" s="36" t="s">
        <v>795</v>
      </c>
      <c r="C11" s="37" t="s">
        <v>217</v>
      </c>
      <c r="D11" s="36" t="s">
        <v>796</v>
      </c>
      <c r="E11" s="5"/>
      <c r="F11" s="5"/>
      <c r="G11" s="5"/>
      <c r="H11" s="5"/>
      <c r="I11" s="5"/>
      <c r="J11" s="5"/>
      <c r="K11" s="5"/>
      <c r="L11" s="5"/>
      <c r="M11" s="5"/>
      <c r="N11" s="5"/>
      <c r="O11" s="5"/>
      <c r="P11" s="5"/>
      <c r="Q11" s="5"/>
      <c r="R11" s="5"/>
      <c r="S11" s="5"/>
      <c r="T11" s="5"/>
      <c r="U11" s="5"/>
      <c r="V11" s="5"/>
      <c r="W11" s="5"/>
      <c r="X11" s="5"/>
      <c r="Y11" s="5"/>
      <c r="Z11" s="5"/>
    </row>
    <row r="12" ht="15.75" customHeight="1">
      <c r="A12" s="36" t="s">
        <v>222</v>
      </c>
      <c r="B12" s="36" t="s">
        <v>797</v>
      </c>
      <c r="C12" s="37" t="s">
        <v>220</v>
      </c>
      <c r="D12" s="36" t="s">
        <v>796</v>
      </c>
      <c r="E12" s="5"/>
      <c r="F12" s="5"/>
      <c r="G12" s="5"/>
      <c r="H12" s="5"/>
      <c r="I12" s="5"/>
      <c r="J12" s="5"/>
      <c r="K12" s="5"/>
      <c r="L12" s="5"/>
      <c r="M12" s="5"/>
      <c r="N12" s="5"/>
      <c r="O12" s="5"/>
      <c r="P12" s="5"/>
      <c r="Q12" s="5"/>
      <c r="R12" s="5"/>
      <c r="S12" s="5"/>
      <c r="T12" s="5"/>
      <c r="U12" s="5"/>
      <c r="V12" s="5"/>
      <c r="W12" s="5"/>
      <c r="X12" s="5"/>
      <c r="Y12" s="5"/>
      <c r="Z12" s="5"/>
    </row>
    <row r="13" ht="15.75" customHeight="1">
      <c r="A13" s="14" t="s">
        <v>225</v>
      </c>
      <c r="B13" s="14" t="s">
        <v>798</v>
      </c>
      <c r="C13" s="79" t="s">
        <v>223</v>
      </c>
      <c r="D13" s="14" t="s">
        <v>570</v>
      </c>
      <c r="E13" s="5"/>
      <c r="F13" s="5"/>
      <c r="G13" s="5"/>
      <c r="H13" s="5"/>
      <c r="I13" s="5"/>
      <c r="J13" s="5"/>
      <c r="K13" s="5"/>
      <c r="L13" s="5"/>
      <c r="M13" s="5"/>
      <c r="N13" s="5"/>
      <c r="O13" s="5"/>
      <c r="P13" s="5"/>
      <c r="Q13" s="5"/>
      <c r="R13" s="5"/>
      <c r="S13" s="5"/>
      <c r="T13" s="5"/>
      <c r="U13" s="5"/>
      <c r="V13" s="5"/>
      <c r="W13" s="5"/>
      <c r="X13" s="5"/>
      <c r="Y13" s="5"/>
      <c r="Z13" s="5"/>
    </row>
    <row r="14" ht="15.75" customHeight="1">
      <c r="A14" s="14" t="s">
        <v>228</v>
      </c>
      <c r="B14" s="14" t="s">
        <v>799</v>
      </c>
      <c r="C14" s="79" t="s">
        <v>226</v>
      </c>
      <c r="D14" s="14" t="s">
        <v>570</v>
      </c>
      <c r="E14" s="5"/>
      <c r="F14" s="5"/>
      <c r="G14" s="5"/>
      <c r="H14" s="5"/>
      <c r="I14" s="5"/>
      <c r="J14" s="5"/>
      <c r="K14" s="5"/>
      <c r="L14" s="5"/>
      <c r="M14" s="5"/>
      <c r="N14" s="5"/>
      <c r="O14" s="5"/>
      <c r="P14" s="5"/>
      <c r="Q14" s="5"/>
      <c r="R14" s="5"/>
      <c r="S14" s="5"/>
      <c r="T14" s="5"/>
      <c r="U14" s="5"/>
      <c r="V14" s="5"/>
      <c r="W14" s="5"/>
      <c r="X14" s="5"/>
      <c r="Y14" s="5"/>
      <c r="Z14" s="5"/>
    </row>
    <row r="15" ht="15.75" customHeight="1">
      <c r="A15" s="36" t="s">
        <v>231</v>
      </c>
      <c r="B15" s="36" t="s">
        <v>800</v>
      </c>
      <c r="C15" s="37" t="s">
        <v>229</v>
      </c>
      <c r="D15" s="36" t="s">
        <v>789</v>
      </c>
      <c r="E15" s="5"/>
      <c r="F15" s="5"/>
      <c r="G15" s="5"/>
      <c r="H15" s="5"/>
      <c r="I15" s="5"/>
      <c r="J15" s="5"/>
      <c r="K15" s="5"/>
      <c r="L15" s="5"/>
      <c r="M15" s="5"/>
      <c r="N15" s="5"/>
      <c r="O15" s="5"/>
      <c r="P15" s="5"/>
      <c r="Q15" s="5"/>
      <c r="R15" s="5"/>
      <c r="S15" s="5"/>
      <c r="T15" s="5"/>
      <c r="U15" s="5"/>
      <c r="V15" s="5"/>
      <c r="W15" s="5"/>
      <c r="X15" s="5"/>
      <c r="Y15" s="5"/>
      <c r="Z15" s="5"/>
    </row>
    <row r="16" ht="15.75" customHeight="1">
      <c r="A16" s="36" t="s">
        <v>234</v>
      </c>
      <c r="B16" s="36" t="s">
        <v>801</v>
      </c>
      <c r="C16" s="37" t="s">
        <v>232</v>
      </c>
      <c r="D16" s="36" t="s">
        <v>789</v>
      </c>
      <c r="E16" s="5"/>
      <c r="F16" s="5"/>
      <c r="G16" s="5"/>
      <c r="H16" s="5"/>
      <c r="I16" s="5"/>
      <c r="J16" s="5"/>
      <c r="K16" s="5"/>
      <c r="L16" s="5"/>
      <c r="M16" s="5"/>
      <c r="N16" s="5"/>
      <c r="O16" s="5"/>
      <c r="P16" s="5"/>
      <c r="Q16" s="5"/>
      <c r="R16" s="5"/>
      <c r="S16" s="5"/>
      <c r="T16" s="5"/>
      <c r="U16" s="5"/>
      <c r="V16" s="5"/>
      <c r="W16" s="5"/>
      <c r="X16" s="5"/>
      <c r="Y16" s="5"/>
      <c r="Z16" s="5"/>
    </row>
    <row r="17" ht="15.75" customHeight="1">
      <c r="A17" s="14" t="s">
        <v>237</v>
      </c>
      <c r="B17" s="14" t="s">
        <v>802</v>
      </c>
      <c r="C17" s="37" t="s">
        <v>235</v>
      </c>
      <c r="D17" s="36" t="s">
        <v>789</v>
      </c>
      <c r="E17" s="5"/>
      <c r="F17" s="5"/>
      <c r="G17" s="5"/>
      <c r="H17" s="5"/>
      <c r="I17" s="5"/>
      <c r="J17" s="5"/>
      <c r="K17" s="5"/>
      <c r="L17" s="5"/>
      <c r="M17" s="5"/>
      <c r="N17" s="5"/>
      <c r="O17" s="5"/>
      <c r="P17" s="5"/>
      <c r="Q17" s="5"/>
      <c r="R17" s="5"/>
      <c r="S17" s="5"/>
      <c r="T17" s="5"/>
      <c r="U17" s="5"/>
      <c r="V17" s="5"/>
      <c r="W17" s="5"/>
      <c r="X17" s="5"/>
      <c r="Y17" s="5"/>
      <c r="Z17" s="5"/>
    </row>
    <row r="18" ht="15.75" customHeight="1">
      <c r="A18" s="14" t="s">
        <v>240</v>
      </c>
      <c r="B18" s="14" t="s">
        <v>803</v>
      </c>
      <c r="C18" s="37" t="s">
        <v>238</v>
      </c>
      <c r="D18" s="36" t="s">
        <v>561</v>
      </c>
      <c r="E18" s="5"/>
      <c r="F18" s="5"/>
      <c r="G18" s="5"/>
      <c r="H18" s="5"/>
      <c r="I18" s="5"/>
      <c r="J18" s="5"/>
      <c r="K18" s="5"/>
      <c r="L18" s="5"/>
      <c r="M18" s="5"/>
      <c r="N18" s="5"/>
      <c r="O18" s="5"/>
      <c r="P18" s="5"/>
      <c r="Q18" s="5"/>
      <c r="R18" s="5"/>
      <c r="S18" s="5"/>
      <c r="T18" s="5"/>
      <c r="U18" s="5"/>
      <c r="V18" s="5"/>
      <c r="W18" s="5"/>
      <c r="X18" s="5"/>
      <c r="Y18" s="5"/>
      <c r="Z18" s="5"/>
    </row>
    <row r="19" ht="15.75" customHeight="1">
      <c r="A19" s="36" t="s">
        <v>244</v>
      </c>
      <c r="B19" s="36" t="s">
        <v>804</v>
      </c>
      <c r="C19" s="37" t="s">
        <v>241</v>
      </c>
      <c r="D19" s="36" t="s">
        <v>805</v>
      </c>
      <c r="E19" s="5"/>
      <c r="F19" s="5"/>
      <c r="G19" s="5"/>
      <c r="H19" s="5"/>
      <c r="I19" s="5"/>
      <c r="J19" s="5"/>
      <c r="K19" s="5"/>
      <c r="L19" s="5"/>
      <c r="M19" s="5"/>
      <c r="N19" s="5"/>
      <c r="O19" s="5"/>
      <c r="P19" s="5"/>
      <c r="Q19" s="5"/>
      <c r="R19" s="5"/>
      <c r="S19" s="5"/>
      <c r="T19" s="5"/>
      <c r="U19" s="5"/>
      <c r="V19" s="5"/>
      <c r="W19" s="5"/>
      <c r="X19" s="5"/>
      <c r="Y19" s="5"/>
      <c r="Z19" s="5"/>
    </row>
    <row r="20" ht="15.75" customHeight="1">
      <c r="A20" s="36" t="s">
        <v>247</v>
      </c>
      <c r="B20" s="36" t="s">
        <v>806</v>
      </c>
      <c r="C20" s="37" t="s">
        <v>245</v>
      </c>
      <c r="D20" s="36" t="s">
        <v>805</v>
      </c>
      <c r="E20" s="5"/>
      <c r="F20" s="5"/>
      <c r="G20" s="5"/>
      <c r="H20" s="5"/>
      <c r="I20" s="5"/>
      <c r="J20" s="5"/>
      <c r="K20" s="5"/>
      <c r="L20" s="5"/>
      <c r="M20" s="5"/>
      <c r="N20" s="5"/>
      <c r="O20" s="5"/>
      <c r="P20" s="5"/>
      <c r="Q20" s="5"/>
      <c r="R20" s="5"/>
      <c r="S20" s="5"/>
      <c r="T20" s="5"/>
      <c r="U20" s="5"/>
      <c r="V20" s="5"/>
      <c r="W20" s="5"/>
      <c r="X20" s="5"/>
      <c r="Y20" s="5"/>
      <c r="Z20" s="5"/>
    </row>
    <row r="21" ht="15.75" customHeight="1">
      <c r="A21" s="14" t="s">
        <v>250</v>
      </c>
      <c r="B21" s="14" t="s">
        <v>807</v>
      </c>
      <c r="C21" s="37" t="s">
        <v>248</v>
      </c>
      <c r="D21" s="36" t="s">
        <v>789</v>
      </c>
      <c r="E21" s="5"/>
      <c r="F21" s="5"/>
      <c r="G21" s="5"/>
      <c r="H21" s="5"/>
      <c r="I21" s="5"/>
      <c r="J21" s="5"/>
      <c r="K21" s="5"/>
      <c r="L21" s="5"/>
      <c r="M21" s="5"/>
      <c r="N21" s="5"/>
      <c r="O21" s="5"/>
      <c r="P21" s="5"/>
      <c r="Q21" s="5"/>
      <c r="R21" s="5"/>
      <c r="S21" s="5"/>
      <c r="T21" s="5"/>
      <c r="U21" s="5"/>
      <c r="V21" s="5"/>
      <c r="W21" s="5"/>
      <c r="X21" s="5"/>
      <c r="Y21" s="5"/>
      <c r="Z21" s="5"/>
    </row>
    <row r="22" ht="15.75" customHeight="1">
      <c r="A22" s="14" t="s">
        <v>253</v>
      </c>
      <c r="B22" s="14" t="s">
        <v>808</v>
      </c>
      <c r="C22" s="37" t="s">
        <v>251</v>
      </c>
      <c r="D22" s="14" t="s">
        <v>809</v>
      </c>
      <c r="E22" s="5"/>
      <c r="F22" s="5"/>
      <c r="G22" s="5"/>
      <c r="H22" s="5"/>
      <c r="I22" s="5"/>
      <c r="J22" s="5"/>
      <c r="K22" s="5"/>
      <c r="L22" s="5"/>
      <c r="M22" s="5"/>
      <c r="N22" s="5"/>
      <c r="O22" s="5"/>
      <c r="P22" s="5"/>
      <c r="Q22" s="5"/>
      <c r="R22" s="5"/>
      <c r="S22" s="5"/>
      <c r="T22" s="5"/>
      <c r="U22" s="5"/>
      <c r="V22" s="5"/>
      <c r="W22" s="5"/>
      <c r="X22" s="5"/>
      <c r="Y22" s="5"/>
      <c r="Z22" s="5"/>
    </row>
    <row r="23" ht="15.75" customHeight="1">
      <c r="A23" s="14" t="s">
        <v>261</v>
      </c>
      <c r="B23" s="14" t="s">
        <v>810</v>
      </c>
      <c r="C23" s="37" t="s">
        <v>259</v>
      </c>
      <c r="D23" s="36" t="s">
        <v>561</v>
      </c>
      <c r="E23" s="5"/>
      <c r="F23" s="5"/>
      <c r="G23" s="5"/>
      <c r="H23" s="5"/>
      <c r="I23" s="5"/>
      <c r="J23" s="5"/>
      <c r="K23" s="5"/>
      <c r="L23" s="5"/>
      <c r="M23" s="5"/>
      <c r="N23" s="5"/>
      <c r="O23" s="5"/>
      <c r="P23" s="5"/>
      <c r="Q23" s="5"/>
      <c r="R23" s="5"/>
      <c r="S23" s="5"/>
      <c r="T23" s="5"/>
      <c r="U23" s="5"/>
      <c r="V23" s="5"/>
      <c r="W23" s="5"/>
      <c r="X23" s="5"/>
      <c r="Y23" s="5"/>
      <c r="Z23" s="5"/>
    </row>
    <row r="24" ht="15.75" customHeight="1">
      <c r="A24" s="14" t="s">
        <v>264</v>
      </c>
      <c r="B24" s="14" t="s">
        <v>811</v>
      </c>
      <c r="C24" s="37" t="s">
        <v>262</v>
      </c>
      <c r="D24" s="14" t="s">
        <v>812</v>
      </c>
      <c r="E24" s="5"/>
      <c r="F24" s="5"/>
      <c r="G24" s="5"/>
      <c r="H24" s="5"/>
      <c r="I24" s="5"/>
      <c r="J24" s="5"/>
      <c r="K24" s="5"/>
      <c r="L24" s="5"/>
      <c r="M24" s="5"/>
      <c r="N24" s="5"/>
      <c r="O24" s="5"/>
      <c r="P24" s="5"/>
      <c r="Q24" s="5"/>
      <c r="R24" s="5"/>
      <c r="S24" s="5"/>
      <c r="T24" s="5"/>
      <c r="U24" s="5"/>
      <c r="V24" s="5"/>
      <c r="W24" s="5"/>
      <c r="X24" s="5"/>
      <c r="Y24" s="5"/>
      <c r="Z24" s="5"/>
    </row>
    <row r="25" ht="15.75" customHeight="1">
      <c r="A25" s="5"/>
      <c r="B25" s="5"/>
      <c r="C25" s="5"/>
      <c r="D25" s="5"/>
      <c r="K25" s="5"/>
    </row>
    <row r="26" ht="15.75" customHeight="1">
      <c r="A26" s="5"/>
      <c r="B26" s="5"/>
      <c r="C26" s="5"/>
      <c r="D26" s="5"/>
      <c r="K26" s="5"/>
    </row>
    <row r="27" ht="15.75" customHeight="1">
      <c r="A27" s="5"/>
      <c r="B27" s="5"/>
      <c r="C27" s="5"/>
      <c r="D27" s="5"/>
      <c r="K27" s="5"/>
    </row>
    <row r="28" ht="15.75" customHeight="1">
      <c r="A28" s="5"/>
      <c r="B28" s="5"/>
      <c r="C28" s="5"/>
      <c r="D28" s="5"/>
      <c r="K28" s="5"/>
    </row>
    <row r="29" ht="15.75" customHeight="1">
      <c r="A29" s="5"/>
      <c r="B29" s="5"/>
      <c r="C29" s="5"/>
      <c r="D29" s="5"/>
      <c r="K29" s="5"/>
    </row>
    <row r="30" ht="15.75" customHeight="1">
      <c r="A30" s="5"/>
      <c r="B30" s="5"/>
      <c r="C30" s="5"/>
      <c r="D30" s="5"/>
      <c r="K30" s="5"/>
    </row>
    <row r="31" ht="15.75" customHeight="1">
      <c r="A31" s="5"/>
      <c r="B31" s="5"/>
      <c r="C31" s="5"/>
      <c r="D31" s="5"/>
      <c r="K31" s="5"/>
    </row>
    <row r="32" ht="15.75" customHeight="1">
      <c r="A32" s="5"/>
      <c r="B32" s="5"/>
      <c r="C32" s="5"/>
      <c r="D32" s="5"/>
      <c r="K32" s="5"/>
    </row>
    <row r="33" ht="15.75" customHeight="1">
      <c r="A33" s="5"/>
      <c r="B33" s="5"/>
      <c r="C33" s="5"/>
      <c r="D33" s="5"/>
      <c r="K33" s="5"/>
    </row>
    <row r="34" ht="15.75" customHeight="1">
      <c r="A34" s="5"/>
      <c r="B34" s="5"/>
      <c r="C34" s="5"/>
      <c r="D34" s="5"/>
      <c r="K34" s="5"/>
    </row>
    <row r="35" ht="15.75" customHeight="1">
      <c r="A35" s="5"/>
      <c r="B35" s="5"/>
      <c r="C35" s="5"/>
      <c r="D35" s="5"/>
      <c r="K35" s="5"/>
    </row>
    <row r="36" ht="15.75" customHeight="1">
      <c r="A36" s="5"/>
      <c r="B36" s="5"/>
      <c r="C36" s="5"/>
      <c r="D36" s="5"/>
      <c r="K36" s="5"/>
    </row>
    <row r="37" ht="15.75" customHeight="1">
      <c r="A37" s="5"/>
      <c r="B37" s="5"/>
      <c r="C37" s="5"/>
      <c r="D37" s="5"/>
      <c r="K37" s="5"/>
    </row>
    <row r="38" ht="15.75" customHeight="1">
      <c r="A38" s="5"/>
      <c r="B38" s="5"/>
      <c r="C38" s="5"/>
      <c r="D38" s="5"/>
      <c r="K38" s="5"/>
    </row>
    <row r="39" ht="15.75" customHeight="1">
      <c r="A39" s="5"/>
      <c r="B39" s="5"/>
      <c r="C39" s="5"/>
      <c r="D39" s="5"/>
      <c r="K39" s="5"/>
    </row>
    <row r="40" ht="15.75" customHeight="1">
      <c r="A40" s="5"/>
      <c r="B40" s="5"/>
      <c r="C40" s="5"/>
      <c r="D40" s="5"/>
      <c r="K40" s="5"/>
    </row>
    <row r="41" ht="15.75" customHeight="1">
      <c r="A41" s="5"/>
      <c r="B41" s="5"/>
      <c r="C41" s="5"/>
      <c r="D41" s="5"/>
      <c r="K41" s="5"/>
    </row>
    <row r="42" ht="15.75" customHeight="1">
      <c r="A42" s="5"/>
      <c r="B42" s="5"/>
      <c r="C42" s="5"/>
      <c r="D42" s="5"/>
      <c r="K42" s="5"/>
    </row>
    <row r="43" ht="15.75" customHeight="1">
      <c r="A43" s="5"/>
      <c r="B43" s="5"/>
      <c r="C43" s="5"/>
      <c r="D43" s="5"/>
      <c r="K43" s="5"/>
    </row>
    <row r="44" ht="15.75" customHeight="1">
      <c r="A44" s="5"/>
      <c r="B44" s="5"/>
      <c r="C44" s="5"/>
      <c r="D44" s="5"/>
      <c r="K44" s="5"/>
    </row>
    <row r="45" ht="15.75" customHeight="1">
      <c r="A45" s="5"/>
      <c r="B45" s="5"/>
      <c r="C45" s="5"/>
      <c r="D45" s="5"/>
      <c r="K45" s="5"/>
    </row>
    <row r="46" ht="15.75" customHeight="1">
      <c r="A46" s="5"/>
      <c r="B46" s="5"/>
      <c r="C46" s="5"/>
      <c r="D46" s="5"/>
      <c r="K46" s="5"/>
    </row>
    <row r="47" ht="15.75" customHeight="1">
      <c r="A47" s="5"/>
      <c r="B47" s="5"/>
      <c r="C47" s="5"/>
      <c r="D47" s="5"/>
      <c r="K47" s="5"/>
    </row>
    <row r="48" ht="15.75" customHeight="1">
      <c r="A48" s="5"/>
      <c r="B48" s="5"/>
      <c r="C48" s="5"/>
      <c r="D48" s="5"/>
      <c r="K48" s="5"/>
    </row>
    <row r="49" ht="15.75" customHeight="1">
      <c r="A49" s="5"/>
      <c r="B49" s="5"/>
      <c r="C49" s="5"/>
      <c r="D49" s="5"/>
      <c r="K49" s="5"/>
    </row>
    <row r="50" ht="15.75" customHeight="1">
      <c r="A50" s="5"/>
      <c r="B50" s="5"/>
      <c r="C50" s="5"/>
      <c r="D50" s="5"/>
      <c r="K50" s="5"/>
    </row>
    <row r="51" ht="15.75" customHeight="1">
      <c r="A51" s="5"/>
      <c r="B51" s="5"/>
      <c r="C51" s="5"/>
      <c r="D51" s="5"/>
      <c r="K51" s="5"/>
    </row>
    <row r="52" ht="15.75" customHeight="1">
      <c r="A52" s="5"/>
      <c r="B52" s="5"/>
      <c r="C52" s="5"/>
      <c r="D52" s="5"/>
      <c r="K52" s="5"/>
    </row>
    <row r="53" ht="15.75" customHeight="1">
      <c r="A53" s="5"/>
      <c r="B53" s="5"/>
      <c r="C53" s="5"/>
      <c r="D53" s="5"/>
      <c r="K53" s="5"/>
    </row>
    <row r="54" ht="15.75" customHeight="1">
      <c r="A54" s="5"/>
      <c r="B54" s="5"/>
      <c r="C54" s="5"/>
      <c r="D54" s="5"/>
      <c r="K54" s="5"/>
    </row>
    <row r="55" ht="15.75" customHeight="1">
      <c r="A55" s="5"/>
      <c r="B55" s="5"/>
      <c r="C55" s="5"/>
      <c r="D55" s="5"/>
      <c r="K55" s="5"/>
    </row>
    <row r="56" ht="15.75" customHeight="1">
      <c r="A56" s="5"/>
      <c r="B56" s="5"/>
      <c r="C56" s="5"/>
      <c r="D56" s="5"/>
      <c r="K56" s="5"/>
    </row>
    <row r="57" ht="15.75" customHeight="1">
      <c r="A57" s="5"/>
      <c r="B57" s="5"/>
      <c r="C57" s="5"/>
      <c r="D57" s="5"/>
      <c r="K57" s="5"/>
    </row>
    <row r="58" ht="15.75" customHeight="1">
      <c r="A58" s="5"/>
      <c r="B58" s="5"/>
      <c r="C58" s="5"/>
      <c r="D58" s="5"/>
      <c r="K58" s="5"/>
    </row>
    <row r="59" ht="15.75" customHeight="1">
      <c r="A59" s="5"/>
      <c r="B59" s="5"/>
      <c r="C59" s="5"/>
      <c r="D59" s="5"/>
      <c r="K59" s="5"/>
    </row>
    <row r="60" ht="15.75" customHeight="1">
      <c r="A60" s="5"/>
      <c r="B60" s="5"/>
      <c r="C60" s="5"/>
      <c r="D60" s="5"/>
      <c r="K60" s="5"/>
    </row>
    <row r="61" ht="15.75" customHeight="1">
      <c r="A61" s="5"/>
      <c r="B61" s="5"/>
      <c r="C61" s="5"/>
      <c r="D61" s="5"/>
      <c r="K61" s="5"/>
    </row>
    <row r="62" ht="15.75" customHeight="1">
      <c r="A62" s="5"/>
      <c r="B62" s="5"/>
      <c r="C62" s="5"/>
      <c r="D62" s="5"/>
      <c r="K62" s="5"/>
    </row>
    <row r="63" ht="15.75" customHeight="1">
      <c r="A63" s="5"/>
      <c r="B63" s="5"/>
      <c r="C63" s="5"/>
      <c r="D63" s="5"/>
      <c r="K63" s="5"/>
    </row>
    <row r="64" ht="15.75" customHeight="1">
      <c r="A64" s="5"/>
      <c r="B64" s="5"/>
      <c r="C64" s="5"/>
      <c r="D64" s="5"/>
      <c r="K64" s="5"/>
    </row>
    <row r="65" ht="15.75" customHeight="1">
      <c r="A65" s="5"/>
      <c r="B65" s="5"/>
      <c r="C65" s="5"/>
      <c r="D65" s="5"/>
      <c r="K65" s="5"/>
    </row>
    <row r="66" ht="15.75" customHeight="1">
      <c r="A66" s="5"/>
      <c r="B66" s="5"/>
      <c r="C66" s="5"/>
      <c r="D66" s="5"/>
      <c r="K66" s="5"/>
    </row>
    <row r="67" ht="15.75" customHeight="1">
      <c r="A67" s="5"/>
      <c r="B67" s="5"/>
      <c r="C67" s="5"/>
      <c r="D67" s="5"/>
      <c r="K67" s="5"/>
    </row>
    <row r="68" ht="15.75" customHeight="1">
      <c r="A68" s="5"/>
      <c r="B68" s="5"/>
      <c r="C68" s="5"/>
      <c r="D68" s="5"/>
      <c r="K68" s="5"/>
    </row>
    <row r="69" ht="15.75" customHeight="1">
      <c r="A69" s="5"/>
      <c r="B69" s="5"/>
      <c r="C69" s="5"/>
      <c r="D69" s="5"/>
      <c r="K69" s="5"/>
    </row>
    <row r="70" ht="15.75" customHeight="1">
      <c r="A70" s="5"/>
      <c r="B70" s="5"/>
      <c r="C70" s="5"/>
      <c r="D70" s="5"/>
      <c r="K70" s="5"/>
    </row>
    <row r="71" ht="15.75" customHeight="1">
      <c r="A71" s="5"/>
      <c r="B71" s="5"/>
      <c r="C71" s="5"/>
      <c r="D71" s="5"/>
      <c r="K71" s="5"/>
    </row>
    <row r="72" ht="15.75" customHeight="1">
      <c r="A72" s="5"/>
      <c r="B72" s="5"/>
      <c r="C72" s="5"/>
      <c r="D72" s="5"/>
      <c r="K72" s="5"/>
    </row>
    <row r="73" ht="15.75" customHeight="1">
      <c r="A73" s="5"/>
      <c r="B73" s="5"/>
      <c r="C73" s="5"/>
      <c r="D73" s="5"/>
      <c r="K73" s="5"/>
    </row>
    <row r="74" ht="15.75" customHeight="1">
      <c r="A74" s="5"/>
      <c r="B74" s="5"/>
      <c r="C74" s="5"/>
      <c r="D74" s="5"/>
      <c r="K74" s="5"/>
    </row>
    <row r="75" ht="15.75" customHeight="1">
      <c r="A75" s="5"/>
      <c r="B75" s="5"/>
      <c r="C75" s="5"/>
      <c r="D75" s="5"/>
      <c r="K75" s="5"/>
    </row>
    <row r="76" ht="15.75" customHeight="1">
      <c r="A76" s="5"/>
      <c r="B76" s="5"/>
      <c r="C76" s="5"/>
      <c r="D76" s="5"/>
      <c r="K76" s="5"/>
    </row>
    <row r="77" ht="15.75" customHeight="1">
      <c r="A77" s="5"/>
      <c r="B77" s="5"/>
      <c r="C77" s="5"/>
      <c r="D77" s="5"/>
      <c r="K77" s="5"/>
    </row>
    <row r="78" ht="15.75" customHeight="1">
      <c r="A78" s="5"/>
      <c r="B78" s="5"/>
      <c r="C78" s="5"/>
      <c r="D78" s="5"/>
      <c r="K78" s="5"/>
    </row>
    <row r="79" ht="15.75" customHeight="1">
      <c r="A79" s="5"/>
      <c r="B79" s="5"/>
      <c r="C79" s="5"/>
      <c r="D79" s="5"/>
      <c r="K79" s="5"/>
    </row>
    <row r="80" ht="15.75" customHeight="1">
      <c r="A80" s="5"/>
      <c r="B80" s="5"/>
      <c r="C80" s="5"/>
      <c r="D80" s="5"/>
      <c r="K80" s="5"/>
    </row>
    <row r="81" ht="15.75" customHeight="1">
      <c r="A81" s="5"/>
      <c r="B81" s="5"/>
      <c r="C81" s="5"/>
      <c r="D81" s="5"/>
      <c r="K81" s="5"/>
    </row>
    <row r="82" ht="15.75" customHeight="1">
      <c r="A82" s="5"/>
      <c r="B82" s="5"/>
      <c r="C82" s="5"/>
      <c r="D82" s="5"/>
      <c r="K82" s="5"/>
    </row>
    <row r="83" ht="15.75" customHeight="1">
      <c r="A83" s="5"/>
      <c r="B83" s="5"/>
      <c r="C83" s="5"/>
      <c r="D83" s="5"/>
      <c r="K83" s="5"/>
    </row>
    <row r="84" ht="15.75" customHeight="1">
      <c r="A84" s="5"/>
      <c r="B84" s="5"/>
      <c r="C84" s="5"/>
      <c r="D84" s="5"/>
      <c r="K84" s="5"/>
    </row>
    <row r="85" ht="15.75" customHeight="1">
      <c r="A85" s="5"/>
      <c r="B85" s="5"/>
      <c r="C85" s="5"/>
      <c r="D85" s="5"/>
      <c r="K85" s="5"/>
    </row>
    <row r="86" ht="15.75" customHeight="1">
      <c r="A86" s="5"/>
      <c r="B86" s="5"/>
      <c r="C86" s="5"/>
      <c r="D86" s="5"/>
      <c r="K86" s="5"/>
    </row>
    <row r="87" ht="15.75" customHeight="1">
      <c r="A87" s="5"/>
      <c r="B87" s="5"/>
      <c r="C87" s="5"/>
      <c r="D87" s="5"/>
      <c r="K87" s="5"/>
    </row>
    <row r="88" ht="15.75" customHeight="1">
      <c r="A88" s="5"/>
      <c r="B88" s="5"/>
      <c r="C88" s="5"/>
      <c r="D88" s="5"/>
      <c r="K88" s="5"/>
    </row>
    <row r="89" ht="15.75" customHeight="1">
      <c r="A89" s="5"/>
      <c r="B89" s="5"/>
      <c r="C89" s="5"/>
      <c r="D89" s="5"/>
      <c r="K89" s="5"/>
    </row>
    <row r="90" ht="15.75" customHeight="1">
      <c r="A90" s="5"/>
      <c r="B90" s="5"/>
      <c r="C90" s="5"/>
      <c r="D90" s="5"/>
      <c r="K90" s="5"/>
    </row>
    <row r="91" ht="15.75" customHeight="1">
      <c r="A91" s="5"/>
      <c r="B91" s="5"/>
      <c r="C91" s="5"/>
      <c r="D91" s="5"/>
      <c r="K91" s="5"/>
    </row>
    <row r="92" ht="15.75" customHeight="1">
      <c r="A92" s="5"/>
      <c r="B92" s="5"/>
      <c r="C92" s="5"/>
      <c r="D92" s="5"/>
      <c r="K92" s="5"/>
    </row>
    <row r="93" ht="15.75" customHeight="1">
      <c r="A93" s="5"/>
      <c r="B93" s="5"/>
      <c r="C93" s="5"/>
      <c r="D93" s="5"/>
      <c r="K93" s="5"/>
    </row>
    <row r="94" ht="15.75" customHeight="1">
      <c r="A94" s="5"/>
      <c r="B94" s="5"/>
      <c r="C94" s="5"/>
      <c r="D94" s="5"/>
      <c r="K94" s="5"/>
    </row>
    <row r="95" ht="15.75" customHeight="1">
      <c r="A95" s="5"/>
      <c r="B95" s="5"/>
      <c r="C95" s="5"/>
      <c r="D95" s="5"/>
      <c r="K95" s="5"/>
    </row>
    <row r="96" ht="15.75" customHeight="1">
      <c r="A96" s="5"/>
      <c r="B96" s="5"/>
      <c r="C96" s="5"/>
      <c r="D96" s="5"/>
      <c r="K96" s="5"/>
    </row>
    <row r="97" ht="15.75" customHeight="1">
      <c r="A97" s="5"/>
      <c r="B97" s="5"/>
      <c r="C97" s="5"/>
      <c r="D97" s="5"/>
      <c r="K97" s="5"/>
    </row>
    <row r="98" ht="15.75" customHeight="1">
      <c r="A98" s="5"/>
      <c r="B98" s="5"/>
      <c r="C98" s="5"/>
      <c r="D98" s="5"/>
      <c r="K98" s="5"/>
    </row>
    <row r="99" ht="15.75" customHeight="1">
      <c r="A99" s="5"/>
      <c r="B99" s="5"/>
      <c r="C99" s="5"/>
      <c r="D99" s="5"/>
      <c r="K99" s="5"/>
    </row>
    <row r="100" ht="15.75" customHeight="1">
      <c r="A100" s="5"/>
      <c r="B100" s="5"/>
      <c r="C100" s="5"/>
      <c r="D100" s="5"/>
      <c r="K100" s="5"/>
    </row>
    <row r="101" ht="15.75" customHeight="1">
      <c r="A101" s="5"/>
      <c r="B101" s="5"/>
      <c r="C101" s="5"/>
      <c r="D101" s="5"/>
      <c r="K101" s="5"/>
    </row>
    <row r="102" ht="15.75" customHeight="1">
      <c r="A102" s="5"/>
      <c r="B102" s="5"/>
      <c r="C102" s="5"/>
      <c r="D102" s="5"/>
      <c r="K102" s="5"/>
    </row>
    <row r="103" ht="15.75" customHeight="1">
      <c r="A103" s="5"/>
      <c r="B103" s="5"/>
      <c r="C103" s="5"/>
      <c r="D103" s="5"/>
      <c r="K103" s="5"/>
    </row>
    <row r="104" ht="15.75" customHeight="1">
      <c r="A104" s="5"/>
      <c r="B104" s="5"/>
      <c r="C104" s="5"/>
      <c r="D104" s="5"/>
      <c r="K104" s="5"/>
    </row>
    <row r="105" ht="15.75" customHeight="1">
      <c r="A105" s="5"/>
      <c r="B105" s="5"/>
      <c r="C105" s="5"/>
      <c r="D105" s="5"/>
      <c r="K105" s="5"/>
    </row>
    <row r="106" ht="15.75" customHeight="1">
      <c r="A106" s="5"/>
      <c r="B106" s="5"/>
      <c r="C106" s="5"/>
      <c r="D106" s="5"/>
      <c r="K106" s="5"/>
    </row>
    <row r="107" ht="15.75" customHeight="1">
      <c r="A107" s="5"/>
      <c r="B107" s="5"/>
      <c r="C107" s="5"/>
      <c r="D107" s="5"/>
      <c r="K107" s="5"/>
    </row>
    <row r="108" ht="15.75" customHeight="1">
      <c r="A108" s="5"/>
      <c r="B108" s="5"/>
      <c r="C108" s="5"/>
      <c r="D108" s="5"/>
      <c r="K108" s="5"/>
    </row>
    <row r="109" ht="15.75" customHeight="1">
      <c r="A109" s="5"/>
      <c r="B109" s="5"/>
      <c r="C109" s="5"/>
      <c r="D109" s="5"/>
      <c r="K109" s="5"/>
    </row>
    <row r="110" ht="15.75" customHeight="1">
      <c r="A110" s="5"/>
      <c r="B110" s="5"/>
      <c r="C110" s="5"/>
      <c r="D110" s="5"/>
      <c r="K110" s="5"/>
    </row>
    <row r="111" ht="15.75" customHeight="1">
      <c r="A111" s="5"/>
      <c r="B111" s="5"/>
      <c r="C111" s="5"/>
      <c r="D111" s="5"/>
      <c r="K111" s="5"/>
    </row>
    <row r="112" ht="15.75" customHeight="1">
      <c r="A112" s="5"/>
      <c r="B112" s="5"/>
      <c r="C112" s="5"/>
      <c r="D112" s="5"/>
      <c r="K112" s="5"/>
    </row>
    <row r="113" ht="15.75" customHeight="1">
      <c r="A113" s="5"/>
      <c r="B113" s="5"/>
      <c r="C113" s="5"/>
      <c r="D113" s="5"/>
      <c r="K113" s="5"/>
    </row>
    <row r="114" ht="15.75" customHeight="1">
      <c r="A114" s="5"/>
      <c r="B114" s="5"/>
      <c r="C114" s="5"/>
      <c r="D114" s="5"/>
      <c r="K114" s="5"/>
    </row>
    <row r="115" ht="15.75" customHeight="1">
      <c r="A115" s="5"/>
      <c r="B115" s="5"/>
      <c r="C115" s="5"/>
      <c r="D115" s="5"/>
      <c r="K115" s="5"/>
    </row>
    <row r="116" ht="15.75" customHeight="1">
      <c r="A116" s="5"/>
      <c r="B116" s="5"/>
      <c r="C116" s="5"/>
      <c r="D116" s="5"/>
      <c r="K116" s="5"/>
    </row>
    <row r="117" ht="15.75" customHeight="1">
      <c r="A117" s="5"/>
      <c r="B117" s="5"/>
      <c r="C117" s="5"/>
      <c r="D117" s="5"/>
      <c r="K117" s="5"/>
    </row>
    <row r="118" ht="15.75" customHeight="1">
      <c r="A118" s="5"/>
      <c r="B118" s="5"/>
      <c r="C118" s="5"/>
      <c r="D118" s="5"/>
      <c r="K118" s="5"/>
    </row>
    <row r="119" ht="15.75" customHeight="1">
      <c r="A119" s="5"/>
      <c r="B119" s="5"/>
      <c r="C119" s="5"/>
      <c r="D119" s="5"/>
      <c r="K119" s="5"/>
    </row>
    <row r="120" ht="15.75" customHeight="1">
      <c r="A120" s="5"/>
      <c r="B120" s="5"/>
      <c r="C120" s="5"/>
      <c r="D120" s="5"/>
      <c r="K120" s="5"/>
    </row>
    <row r="121" ht="15.75" customHeight="1">
      <c r="A121" s="5"/>
      <c r="B121" s="5"/>
      <c r="C121" s="5"/>
      <c r="D121" s="5"/>
      <c r="K121" s="5"/>
    </row>
    <row r="122" ht="15.75" customHeight="1">
      <c r="A122" s="5"/>
      <c r="B122" s="5"/>
      <c r="C122" s="5"/>
      <c r="D122" s="5"/>
      <c r="K122" s="5"/>
    </row>
    <row r="123" ht="15.75" customHeight="1">
      <c r="A123" s="5"/>
      <c r="B123" s="5"/>
      <c r="C123" s="5"/>
      <c r="D123" s="5"/>
      <c r="K123" s="5"/>
    </row>
    <row r="124" ht="15.75" customHeight="1">
      <c r="A124" s="5"/>
      <c r="B124" s="5"/>
      <c r="C124" s="5"/>
      <c r="D124" s="5"/>
      <c r="K124" s="5"/>
    </row>
    <row r="125" ht="15.75" customHeight="1">
      <c r="A125" s="5"/>
      <c r="B125" s="5"/>
      <c r="C125" s="5"/>
      <c r="D125" s="5"/>
      <c r="K125" s="5"/>
    </row>
    <row r="126" ht="15.75" customHeight="1">
      <c r="A126" s="5"/>
      <c r="B126" s="5"/>
      <c r="C126" s="5"/>
      <c r="D126" s="5"/>
      <c r="K126" s="5"/>
    </row>
    <row r="127" ht="15.75" customHeight="1">
      <c r="A127" s="5"/>
      <c r="B127" s="5"/>
      <c r="C127" s="5"/>
      <c r="D127" s="5"/>
      <c r="K127" s="5"/>
    </row>
    <row r="128" ht="15.75" customHeight="1">
      <c r="A128" s="5"/>
      <c r="B128" s="5"/>
      <c r="C128" s="5"/>
      <c r="D128" s="5"/>
      <c r="K128" s="5"/>
    </row>
    <row r="129" ht="15.75" customHeight="1">
      <c r="A129" s="5"/>
      <c r="B129" s="5"/>
      <c r="C129" s="5"/>
      <c r="D129" s="5"/>
      <c r="K129" s="5"/>
    </row>
    <row r="130" ht="15.75" customHeight="1">
      <c r="A130" s="5"/>
      <c r="B130" s="5"/>
      <c r="C130" s="5"/>
      <c r="D130" s="5"/>
      <c r="K130" s="5"/>
    </row>
    <row r="131" ht="15.75" customHeight="1">
      <c r="A131" s="5"/>
      <c r="B131" s="5"/>
      <c r="C131" s="5"/>
      <c r="D131" s="5"/>
      <c r="K131" s="5"/>
    </row>
    <row r="132" ht="15.75" customHeight="1">
      <c r="A132" s="5"/>
      <c r="B132" s="5"/>
      <c r="C132" s="5"/>
      <c r="D132" s="5"/>
      <c r="K132" s="5"/>
    </row>
    <row r="133" ht="15.75" customHeight="1">
      <c r="A133" s="5"/>
      <c r="B133" s="5"/>
      <c r="C133" s="5"/>
      <c r="D133" s="5"/>
      <c r="K133" s="5"/>
    </row>
    <row r="134" ht="15.75" customHeight="1">
      <c r="A134" s="5"/>
      <c r="B134" s="5"/>
      <c r="C134" s="5"/>
      <c r="D134" s="5"/>
      <c r="K134" s="5"/>
    </row>
    <row r="135" ht="15.75" customHeight="1">
      <c r="A135" s="5"/>
      <c r="B135" s="5"/>
      <c r="C135" s="5"/>
      <c r="D135" s="5"/>
      <c r="K135" s="5"/>
    </row>
    <row r="136" ht="15.75" customHeight="1">
      <c r="A136" s="5"/>
      <c r="B136" s="5"/>
      <c r="C136" s="5"/>
      <c r="D136" s="5"/>
      <c r="K136" s="5"/>
    </row>
    <row r="137" ht="15.75" customHeight="1">
      <c r="A137" s="5"/>
      <c r="B137" s="5"/>
      <c r="C137" s="5"/>
      <c r="D137" s="5"/>
      <c r="K137" s="5"/>
    </row>
    <row r="138" ht="15.75" customHeight="1">
      <c r="A138" s="5"/>
      <c r="B138" s="5"/>
      <c r="C138" s="5"/>
      <c r="D138" s="5"/>
      <c r="K138" s="5"/>
    </row>
    <row r="139" ht="15.75" customHeight="1">
      <c r="A139" s="5"/>
      <c r="B139" s="5"/>
      <c r="C139" s="5"/>
      <c r="D139" s="5"/>
      <c r="K139" s="5"/>
    </row>
    <row r="140" ht="15.75" customHeight="1">
      <c r="A140" s="5"/>
      <c r="B140" s="5"/>
      <c r="C140" s="5"/>
      <c r="D140" s="5"/>
      <c r="K140" s="5"/>
    </row>
    <row r="141" ht="15.75" customHeight="1">
      <c r="A141" s="5"/>
      <c r="B141" s="5"/>
      <c r="C141" s="5"/>
      <c r="D141" s="5"/>
      <c r="K141" s="5"/>
    </row>
    <row r="142" ht="15.75" customHeight="1">
      <c r="A142" s="5"/>
      <c r="B142" s="5"/>
      <c r="C142" s="5"/>
      <c r="D142" s="5"/>
      <c r="K142" s="5"/>
    </row>
    <row r="143" ht="15.75" customHeight="1">
      <c r="A143" s="5"/>
      <c r="B143" s="5"/>
      <c r="C143" s="5"/>
      <c r="D143" s="5"/>
      <c r="K143" s="5"/>
    </row>
    <row r="144" ht="15.75" customHeight="1">
      <c r="A144" s="5"/>
      <c r="B144" s="5"/>
      <c r="C144" s="5"/>
      <c r="D144" s="5"/>
      <c r="K144" s="5"/>
    </row>
    <row r="145" ht="15.75" customHeight="1">
      <c r="A145" s="5"/>
      <c r="B145" s="5"/>
      <c r="C145" s="5"/>
      <c r="D145" s="5"/>
      <c r="K145" s="5"/>
    </row>
    <row r="146" ht="15.75" customHeight="1">
      <c r="A146" s="5"/>
      <c r="B146" s="5"/>
      <c r="C146" s="5"/>
      <c r="D146" s="5"/>
      <c r="K146" s="5"/>
    </row>
    <row r="147" ht="15.75" customHeight="1">
      <c r="A147" s="5"/>
      <c r="B147" s="5"/>
      <c r="C147" s="5"/>
      <c r="D147" s="5"/>
      <c r="K147" s="5"/>
    </row>
    <row r="148" ht="15.75" customHeight="1">
      <c r="A148" s="5"/>
      <c r="B148" s="5"/>
      <c r="C148" s="5"/>
      <c r="D148" s="5"/>
      <c r="K148" s="5"/>
    </row>
    <row r="149" ht="15.75" customHeight="1">
      <c r="A149" s="5"/>
      <c r="B149" s="5"/>
      <c r="C149" s="5"/>
      <c r="D149" s="5"/>
      <c r="K149" s="5"/>
    </row>
    <row r="150" ht="15.75" customHeight="1">
      <c r="A150" s="5"/>
      <c r="B150" s="5"/>
      <c r="C150" s="5"/>
      <c r="D150" s="5"/>
      <c r="K150" s="5"/>
    </row>
    <row r="151" ht="15.75" customHeight="1">
      <c r="A151" s="5"/>
      <c r="B151" s="5"/>
      <c r="C151" s="5"/>
      <c r="D151" s="5"/>
      <c r="K151" s="5"/>
    </row>
    <row r="152" ht="15.75" customHeight="1">
      <c r="A152" s="5"/>
      <c r="B152" s="5"/>
      <c r="C152" s="5"/>
      <c r="D152" s="5"/>
      <c r="K152" s="5"/>
    </row>
    <row r="153" ht="15.75" customHeight="1">
      <c r="A153" s="5"/>
      <c r="B153" s="5"/>
      <c r="C153" s="5"/>
      <c r="D153" s="5"/>
      <c r="K153" s="5"/>
    </row>
    <row r="154" ht="15.75" customHeight="1">
      <c r="A154" s="5"/>
      <c r="B154" s="5"/>
      <c r="C154" s="5"/>
      <c r="D154" s="5"/>
      <c r="K154" s="5"/>
    </row>
    <row r="155" ht="15.75" customHeight="1">
      <c r="A155" s="5"/>
      <c r="B155" s="5"/>
      <c r="C155" s="5"/>
      <c r="D155" s="5"/>
      <c r="K155" s="5"/>
    </row>
    <row r="156" ht="15.75" customHeight="1">
      <c r="A156" s="5"/>
      <c r="B156" s="5"/>
      <c r="C156" s="5"/>
      <c r="D156" s="5"/>
      <c r="K156" s="5"/>
    </row>
    <row r="157" ht="15.75" customHeight="1">
      <c r="A157" s="5"/>
      <c r="B157" s="5"/>
      <c r="C157" s="5"/>
      <c r="D157" s="5"/>
      <c r="K157" s="5"/>
    </row>
    <row r="158" ht="15.75" customHeight="1">
      <c r="A158" s="5"/>
      <c r="B158" s="5"/>
      <c r="C158" s="5"/>
      <c r="D158" s="5"/>
      <c r="K158" s="5"/>
    </row>
    <row r="159" ht="15.75" customHeight="1">
      <c r="A159" s="5"/>
      <c r="B159" s="5"/>
      <c r="C159" s="5"/>
      <c r="D159" s="5"/>
      <c r="K159" s="5"/>
    </row>
    <row r="160" ht="15.75" customHeight="1">
      <c r="A160" s="5"/>
      <c r="B160" s="5"/>
      <c r="C160" s="5"/>
      <c r="D160" s="5"/>
      <c r="K160" s="5"/>
    </row>
    <row r="161" ht="15.75" customHeight="1">
      <c r="A161" s="5"/>
      <c r="B161" s="5"/>
      <c r="C161" s="5"/>
      <c r="D161" s="5"/>
      <c r="K161" s="5"/>
    </row>
    <row r="162" ht="15.75" customHeight="1">
      <c r="A162" s="5"/>
      <c r="B162" s="5"/>
      <c r="C162" s="5"/>
      <c r="D162" s="5"/>
      <c r="K162" s="5"/>
    </row>
    <row r="163" ht="15.75" customHeight="1">
      <c r="A163" s="5"/>
      <c r="B163" s="5"/>
      <c r="C163" s="5"/>
      <c r="D163" s="5"/>
      <c r="K163" s="5"/>
    </row>
    <row r="164" ht="15.75" customHeight="1">
      <c r="A164" s="5"/>
      <c r="B164" s="5"/>
      <c r="C164" s="5"/>
      <c r="D164" s="5"/>
      <c r="K164" s="5"/>
    </row>
    <row r="165" ht="15.75" customHeight="1">
      <c r="A165" s="5"/>
      <c r="B165" s="5"/>
      <c r="C165" s="5"/>
      <c r="D165" s="5"/>
      <c r="K165" s="5"/>
    </row>
    <row r="166" ht="15.75" customHeight="1">
      <c r="A166" s="5"/>
      <c r="B166" s="5"/>
      <c r="C166" s="5"/>
      <c r="D166" s="5"/>
      <c r="K166" s="5"/>
    </row>
    <row r="167" ht="15.75" customHeight="1">
      <c r="A167" s="5"/>
      <c r="B167" s="5"/>
      <c r="C167" s="5"/>
      <c r="D167" s="5"/>
      <c r="K167" s="5"/>
    </row>
    <row r="168" ht="15.75" customHeight="1">
      <c r="A168" s="5"/>
      <c r="B168" s="5"/>
      <c r="C168" s="5"/>
      <c r="D168" s="5"/>
      <c r="K168" s="5"/>
    </row>
    <row r="169" ht="15.75" customHeight="1">
      <c r="A169" s="5"/>
      <c r="B169" s="5"/>
      <c r="C169" s="5"/>
      <c r="D169" s="5"/>
      <c r="K169" s="5"/>
    </row>
    <row r="170" ht="15.75" customHeight="1">
      <c r="A170" s="5"/>
      <c r="B170" s="5"/>
      <c r="C170" s="5"/>
      <c r="D170" s="5"/>
      <c r="K170" s="5"/>
    </row>
    <row r="171" ht="15.75" customHeight="1">
      <c r="A171" s="5"/>
      <c r="B171" s="5"/>
      <c r="C171" s="5"/>
      <c r="D171" s="5"/>
      <c r="K171" s="5"/>
    </row>
    <row r="172" ht="15.75" customHeight="1">
      <c r="A172" s="5"/>
      <c r="B172" s="5"/>
      <c r="C172" s="5"/>
      <c r="D172" s="5"/>
      <c r="K172" s="5"/>
    </row>
    <row r="173" ht="15.75" customHeight="1">
      <c r="A173" s="5"/>
      <c r="B173" s="5"/>
      <c r="C173" s="5"/>
      <c r="D173" s="5"/>
      <c r="K173" s="5"/>
    </row>
    <row r="174" ht="15.75" customHeight="1">
      <c r="A174" s="5"/>
      <c r="B174" s="5"/>
      <c r="C174" s="5"/>
      <c r="D174" s="5"/>
      <c r="K174" s="5"/>
    </row>
    <row r="175" ht="15.75" customHeight="1">
      <c r="A175" s="5"/>
      <c r="B175" s="5"/>
      <c r="C175" s="5"/>
      <c r="D175" s="5"/>
      <c r="K175" s="5"/>
    </row>
    <row r="176" ht="15.75" customHeight="1">
      <c r="A176" s="5"/>
      <c r="B176" s="5"/>
      <c r="C176" s="5"/>
      <c r="D176" s="5"/>
      <c r="K176" s="5"/>
    </row>
    <row r="177" ht="15.75" customHeight="1">
      <c r="A177" s="5"/>
      <c r="B177" s="5"/>
      <c r="C177" s="5"/>
      <c r="D177" s="5"/>
      <c r="K177" s="5"/>
    </row>
    <row r="178" ht="15.75" customHeight="1">
      <c r="A178" s="5"/>
      <c r="B178" s="5"/>
      <c r="C178" s="5"/>
      <c r="D178" s="5"/>
      <c r="K178" s="5"/>
    </row>
    <row r="179" ht="15.75" customHeight="1">
      <c r="A179" s="5"/>
      <c r="B179" s="5"/>
      <c r="C179" s="5"/>
      <c r="D179" s="5"/>
      <c r="K179" s="5"/>
    </row>
    <row r="180" ht="15.75" customHeight="1">
      <c r="A180" s="5"/>
      <c r="B180" s="5"/>
      <c r="C180" s="5"/>
      <c r="D180" s="5"/>
      <c r="K180" s="5"/>
    </row>
    <row r="181" ht="15.75" customHeight="1">
      <c r="A181" s="5"/>
      <c r="B181" s="5"/>
      <c r="C181" s="5"/>
      <c r="D181" s="5"/>
      <c r="K181" s="5"/>
    </row>
    <row r="182" ht="15.75" customHeight="1">
      <c r="A182" s="5"/>
      <c r="B182" s="5"/>
      <c r="C182" s="5"/>
      <c r="D182" s="5"/>
      <c r="K182" s="5"/>
    </row>
    <row r="183" ht="15.75" customHeight="1">
      <c r="A183" s="5"/>
      <c r="B183" s="5"/>
      <c r="C183" s="5"/>
      <c r="D183" s="5"/>
      <c r="K183" s="5"/>
    </row>
    <row r="184" ht="15.75" customHeight="1">
      <c r="A184" s="5"/>
      <c r="B184" s="5"/>
      <c r="C184" s="5"/>
      <c r="D184" s="5"/>
      <c r="K184" s="5"/>
    </row>
    <row r="185" ht="15.75" customHeight="1">
      <c r="A185" s="5"/>
      <c r="B185" s="5"/>
      <c r="C185" s="5"/>
      <c r="D185" s="5"/>
      <c r="K185" s="5"/>
    </row>
    <row r="186" ht="15.75" customHeight="1">
      <c r="A186" s="5"/>
      <c r="B186" s="5"/>
      <c r="C186" s="5"/>
      <c r="D186" s="5"/>
      <c r="K186" s="5"/>
    </row>
    <row r="187" ht="15.75" customHeight="1">
      <c r="A187" s="5"/>
      <c r="B187" s="5"/>
      <c r="C187" s="5"/>
      <c r="D187" s="5"/>
      <c r="K187" s="5"/>
    </row>
    <row r="188" ht="15.75" customHeight="1">
      <c r="A188" s="5"/>
      <c r="B188" s="5"/>
      <c r="C188" s="5"/>
      <c r="D188" s="5"/>
      <c r="K188" s="5"/>
    </row>
    <row r="189" ht="15.75" customHeight="1">
      <c r="A189" s="5"/>
      <c r="B189" s="5"/>
      <c r="C189" s="5"/>
      <c r="D189" s="5"/>
      <c r="K189" s="5"/>
    </row>
    <row r="190" ht="15.75" customHeight="1">
      <c r="A190" s="5"/>
      <c r="B190" s="5"/>
      <c r="C190" s="5"/>
      <c r="D190" s="5"/>
      <c r="K190" s="5"/>
    </row>
    <row r="191" ht="15.75" customHeight="1">
      <c r="A191" s="5"/>
      <c r="B191" s="5"/>
      <c r="C191" s="5"/>
      <c r="D191" s="5"/>
      <c r="K191" s="5"/>
    </row>
    <row r="192" ht="15.75" customHeight="1">
      <c r="A192" s="5"/>
      <c r="B192" s="5"/>
      <c r="C192" s="5"/>
      <c r="D192" s="5"/>
      <c r="K192" s="5"/>
    </row>
    <row r="193" ht="15.75" customHeight="1">
      <c r="A193" s="5"/>
      <c r="B193" s="5"/>
      <c r="C193" s="5"/>
      <c r="D193" s="5"/>
      <c r="K193" s="5"/>
    </row>
    <row r="194" ht="15.75" customHeight="1">
      <c r="A194" s="5"/>
      <c r="B194" s="5"/>
      <c r="C194" s="5"/>
      <c r="D194" s="5"/>
      <c r="K194" s="5"/>
    </row>
    <row r="195" ht="15.75" customHeight="1">
      <c r="A195" s="5"/>
      <c r="B195" s="5"/>
      <c r="C195" s="5"/>
      <c r="D195" s="5"/>
      <c r="K195" s="5"/>
    </row>
    <row r="196" ht="15.75" customHeight="1">
      <c r="A196" s="5"/>
      <c r="B196" s="5"/>
      <c r="C196" s="5"/>
      <c r="D196" s="5"/>
      <c r="K196" s="5"/>
    </row>
    <row r="197" ht="15.75" customHeight="1">
      <c r="A197" s="5"/>
      <c r="B197" s="5"/>
      <c r="C197" s="5"/>
      <c r="D197" s="5"/>
      <c r="K197" s="5"/>
    </row>
    <row r="198" ht="15.75" customHeight="1">
      <c r="A198" s="5"/>
      <c r="B198" s="5"/>
      <c r="C198" s="5"/>
      <c r="D198" s="5"/>
      <c r="K198" s="5"/>
    </row>
    <row r="199" ht="15.75" customHeight="1">
      <c r="A199" s="5"/>
      <c r="B199" s="5"/>
      <c r="C199" s="5"/>
      <c r="D199" s="5"/>
      <c r="K199" s="5"/>
    </row>
    <row r="200" ht="15.75" customHeight="1">
      <c r="A200" s="5"/>
      <c r="B200" s="5"/>
      <c r="C200" s="5"/>
      <c r="D200" s="5"/>
      <c r="K200" s="5"/>
    </row>
    <row r="201" ht="15.75" customHeight="1">
      <c r="A201" s="5"/>
      <c r="B201" s="5"/>
      <c r="C201" s="5"/>
      <c r="D201" s="5"/>
      <c r="K201" s="5"/>
    </row>
    <row r="202" ht="15.75" customHeight="1">
      <c r="A202" s="5"/>
      <c r="B202" s="5"/>
      <c r="C202" s="5"/>
      <c r="D202" s="5"/>
      <c r="K202" s="5"/>
    </row>
    <row r="203" ht="15.75" customHeight="1">
      <c r="A203" s="5"/>
      <c r="B203" s="5"/>
      <c r="C203" s="5"/>
      <c r="D203" s="5"/>
      <c r="K203" s="5"/>
    </row>
    <row r="204" ht="15.75" customHeight="1">
      <c r="A204" s="5"/>
      <c r="B204" s="5"/>
      <c r="C204" s="5"/>
      <c r="D204" s="5"/>
      <c r="K204" s="5"/>
    </row>
    <row r="205" ht="15.75" customHeight="1">
      <c r="A205" s="5"/>
      <c r="B205" s="5"/>
      <c r="C205" s="5"/>
      <c r="D205" s="5"/>
      <c r="K205" s="5"/>
    </row>
    <row r="206" ht="15.75" customHeight="1">
      <c r="A206" s="5"/>
      <c r="B206" s="5"/>
      <c r="C206" s="5"/>
      <c r="D206" s="5"/>
      <c r="K206" s="5"/>
    </row>
    <row r="207" ht="15.75" customHeight="1">
      <c r="A207" s="5"/>
      <c r="B207" s="5"/>
      <c r="C207" s="5"/>
      <c r="D207" s="5"/>
      <c r="K207" s="5"/>
    </row>
    <row r="208" ht="15.75" customHeight="1">
      <c r="A208" s="5"/>
      <c r="B208" s="5"/>
      <c r="C208" s="5"/>
      <c r="D208" s="5"/>
      <c r="K208" s="5"/>
    </row>
    <row r="209" ht="15.75" customHeight="1">
      <c r="A209" s="5"/>
      <c r="B209" s="5"/>
      <c r="C209" s="5"/>
      <c r="D209" s="5"/>
      <c r="K209" s="5"/>
    </row>
    <row r="210" ht="15.75" customHeight="1">
      <c r="A210" s="5"/>
      <c r="B210" s="5"/>
      <c r="C210" s="5"/>
      <c r="D210" s="5"/>
      <c r="K210" s="5"/>
    </row>
    <row r="211" ht="15.75" customHeight="1">
      <c r="A211" s="5"/>
      <c r="B211" s="5"/>
      <c r="C211" s="5"/>
      <c r="D211" s="5"/>
      <c r="K211" s="5"/>
    </row>
    <row r="212" ht="15.75" customHeight="1">
      <c r="A212" s="5"/>
      <c r="B212" s="5"/>
      <c r="C212" s="5"/>
      <c r="D212" s="5"/>
      <c r="K212" s="5"/>
    </row>
    <row r="213" ht="15.75" customHeight="1">
      <c r="A213" s="5"/>
      <c r="B213" s="5"/>
      <c r="C213" s="5"/>
      <c r="D213" s="5"/>
      <c r="K213" s="5"/>
    </row>
    <row r="214" ht="15.75" customHeight="1">
      <c r="A214" s="5"/>
      <c r="B214" s="5"/>
      <c r="C214" s="5"/>
      <c r="D214" s="5"/>
      <c r="K214" s="5"/>
    </row>
    <row r="215" ht="15.75" customHeight="1">
      <c r="A215" s="5"/>
      <c r="B215" s="5"/>
      <c r="C215" s="5"/>
      <c r="D215" s="5"/>
      <c r="K215" s="5"/>
    </row>
    <row r="216" ht="15.75" customHeight="1">
      <c r="A216" s="5"/>
      <c r="B216" s="5"/>
      <c r="C216" s="5"/>
      <c r="D216" s="5"/>
      <c r="K216" s="5"/>
    </row>
    <row r="217" ht="15.75" customHeight="1">
      <c r="A217" s="5"/>
      <c r="B217" s="5"/>
      <c r="C217" s="5"/>
      <c r="D217" s="5"/>
      <c r="K217" s="5"/>
    </row>
    <row r="218" ht="15.75" customHeight="1">
      <c r="A218" s="5"/>
      <c r="B218" s="5"/>
      <c r="C218" s="5"/>
      <c r="D218" s="5"/>
      <c r="K218" s="5"/>
    </row>
    <row r="219" ht="15.75" customHeight="1">
      <c r="A219" s="5"/>
      <c r="B219" s="5"/>
      <c r="C219" s="5"/>
      <c r="D219" s="5"/>
      <c r="K219" s="5"/>
    </row>
    <row r="220" ht="15.75" customHeight="1">
      <c r="A220" s="5"/>
      <c r="B220" s="5"/>
      <c r="C220" s="5"/>
      <c r="D220" s="5"/>
      <c r="K220" s="5"/>
    </row>
    <row r="221" ht="15.75" customHeight="1">
      <c r="A221" s="5"/>
      <c r="B221" s="5"/>
      <c r="C221" s="5"/>
      <c r="D221" s="5"/>
      <c r="K221" s="5"/>
    </row>
    <row r="222" ht="15.75" customHeight="1">
      <c r="A222" s="5"/>
      <c r="B222" s="5"/>
      <c r="C222" s="5"/>
      <c r="D222" s="5"/>
      <c r="K222" s="5"/>
    </row>
    <row r="223" ht="15.75" customHeight="1">
      <c r="A223" s="5"/>
      <c r="B223" s="5"/>
      <c r="C223" s="5"/>
      <c r="D223" s="5"/>
      <c r="K223" s="5"/>
    </row>
    <row r="224" ht="15.75" customHeight="1">
      <c r="A224" s="5"/>
      <c r="B224" s="5"/>
      <c r="C224" s="5"/>
      <c r="D224" s="5"/>
      <c r="K224" s="5"/>
    </row>
    <row r="225" ht="15.75" customHeight="1">
      <c r="A225" s="5"/>
      <c r="B225" s="5"/>
      <c r="C225" s="5"/>
      <c r="D225" s="5"/>
      <c r="K225" s="5"/>
    </row>
    <row r="226" ht="15.75" customHeight="1">
      <c r="A226" s="5"/>
      <c r="B226" s="5"/>
      <c r="C226" s="5"/>
      <c r="D226" s="5"/>
      <c r="K226" s="5"/>
    </row>
    <row r="227" ht="15.75" customHeight="1">
      <c r="A227" s="5"/>
      <c r="B227" s="5"/>
      <c r="C227" s="5"/>
      <c r="D227" s="5"/>
      <c r="K227" s="5"/>
    </row>
    <row r="228" ht="15.75" customHeight="1">
      <c r="A228" s="5"/>
      <c r="B228" s="5"/>
      <c r="C228" s="5"/>
      <c r="D228" s="5"/>
      <c r="K228" s="5"/>
    </row>
    <row r="229" ht="15.75" customHeight="1">
      <c r="A229" s="5"/>
      <c r="B229" s="5"/>
      <c r="C229" s="5"/>
      <c r="D229" s="5"/>
      <c r="K229" s="5"/>
    </row>
    <row r="230" ht="15.75" customHeight="1">
      <c r="A230" s="5"/>
      <c r="B230" s="5"/>
      <c r="C230" s="5"/>
      <c r="D230" s="5"/>
      <c r="K230" s="5"/>
    </row>
    <row r="231" ht="15.75" customHeight="1">
      <c r="A231" s="5"/>
      <c r="B231" s="5"/>
      <c r="C231" s="5"/>
      <c r="D231" s="5"/>
      <c r="K231" s="5"/>
    </row>
    <row r="232" ht="15.75" customHeight="1">
      <c r="A232" s="5"/>
      <c r="B232" s="5"/>
      <c r="C232" s="5"/>
      <c r="D232" s="5"/>
      <c r="K232" s="5"/>
    </row>
    <row r="233" ht="15.75" customHeight="1">
      <c r="A233" s="5"/>
      <c r="B233" s="5"/>
      <c r="C233" s="5"/>
      <c r="D233" s="5"/>
      <c r="K233" s="5"/>
    </row>
    <row r="234" ht="15.75" customHeight="1">
      <c r="A234" s="5"/>
      <c r="B234" s="5"/>
      <c r="C234" s="5"/>
      <c r="D234" s="5"/>
      <c r="K234" s="5"/>
    </row>
    <row r="235" ht="15.75" customHeight="1">
      <c r="A235" s="5"/>
      <c r="B235" s="5"/>
      <c r="C235" s="5"/>
      <c r="D235" s="5"/>
      <c r="K235" s="5"/>
    </row>
    <row r="236" ht="15.75" customHeight="1">
      <c r="A236" s="5"/>
      <c r="B236" s="5"/>
      <c r="C236" s="5"/>
      <c r="D236" s="5"/>
      <c r="K236" s="5"/>
    </row>
    <row r="237" ht="15.75" customHeight="1">
      <c r="A237" s="5"/>
      <c r="B237" s="5"/>
      <c r="C237" s="5"/>
      <c r="D237" s="5"/>
      <c r="K237" s="5"/>
    </row>
    <row r="238" ht="15.75" customHeight="1">
      <c r="A238" s="5"/>
      <c r="B238" s="5"/>
      <c r="C238" s="5"/>
      <c r="D238" s="5"/>
      <c r="K238" s="5"/>
    </row>
    <row r="239" ht="15.75" customHeight="1">
      <c r="A239" s="5"/>
      <c r="B239" s="5"/>
      <c r="C239" s="5"/>
      <c r="D239" s="5"/>
      <c r="K239" s="5"/>
    </row>
    <row r="240" ht="15.75" customHeight="1">
      <c r="A240" s="5"/>
      <c r="B240" s="5"/>
      <c r="C240" s="5"/>
      <c r="D240" s="5"/>
      <c r="K240" s="5"/>
    </row>
    <row r="241" ht="15.75" customHeight="1">
      <c r="A241" s="5"/>
      <c r="B241" s="5"/>
      <c r="C241" s="5"/>
      <c r="D241" s="5"/>
      <c r="K241" s="5"/>
    </row>
    <row r="242" ht="15.75" customHeight="1">
      <c r="A242" s="5"/>
      <c r="B242" s="5"/>
      <c r="C242" s="5"/>
      <c r="D242" s="5"/>
      <c r="K242" s="5"/>
    </row>
    <row r="243" ht="15.75" customHeight="1">
      <c r="A243" s="5"/>
      <c r="B243" s="5"/>
      <c r="C243" s="5"/>
      <c r="D243" s="5"/>
      <c r="K243" s="5"/>
    </row>
    <row r="244" ht="15.75" customHeight="1">
      <c r="A244" s="5"/>
      <c r="B244" s="5"/>
      <c r="C244" s="5"/>
      <c r="D244" s="5"/>
      <c r="K244" s="5"/>
    </row>
    <row r="245" ht="15.75" customHeight="1">
      <c r="A245" s="5"/>
      <c r="B245" s="5"/>
      <c r="C245" s="5"/>
      <c r="D245" s="5"/>
      <c r="K245" s="5"/>
    </row>
    <row r="246" ht="15.75" customHeight="1">
      <c r="A246" s="5"/>
      <c r="B246" s="5"/>
      <c r="C246" s="5"/>
      <c r="D246" s="5"/>
      <c r="K246" s="5"/>
    </row>
    <row r="247" ht="15.75" customHeight="1">
      <c r="A247" s="5"/>
      <c r="B247" s="5"/>
      <c r="C247" s="5"/>
      <c r="D247" s="5"/>
      <c r="K247" s="5"/>
    </row>
    <row r="248" ht="15.75" customHeight="1">
      <c r="A248" s="5"/>
      <c r="B248" s="5"/>
      <c r="C248" s="5"/>
      <c r="D248" s="5"/>
      <c r="K248" s="5"/>
    </row>
    <row r="249" ht="15.75" customHeight="1">
      <c r="A249" s="5"/>
      <c r="B249" s="5"/>
      <c r="C249" s="5"/>
      <c r="D249" s="5"/>
      <c r="K249" s="5"/>
    </row>
    <row r="250" ht="15.75" customHeight="1">
      <c r="A250" s="5"/>
      <c r="B250" s="5"/>
      <c r="C250" s="5"/>
      <c r="D250" s="5"/>
      <c r="K250" s="5"/>
    </row>
    <row r="251" ht="15.75" customHeight="1">
      <c r="A251" s="5"/>
      <c r="B251" s="5"/>
      <c r="C251" s="5"/>
      <c r="D251" s="5"/>
      <c r="K251" s="5"/>
    </row>
    <row r="252" ht="15.75" customHeight="1">
      <c r="A252" s="5"/>
      <c r="B252" s="5"/>
      <c r="C252" s="5"/>
      <c r="D252" s="5"/>
      <c r="K252" s="5"/>
    </row>
    <row r="253" ht="15.75" customHeight="1">
      <c r="A253" s="5"/>
      <c r="B253" s="5"/>
      <c r="C253" s="5"/>
      <c r="D253" s="5"/>
      <c r="K253" s="5"/>
    </row>
    <row r="254" ht="15.75" customHeight="1">
      <c r="A254" s="5"/>
      <c r="B254" s="5"/>
      <c r="C254" s="5"/>
      <c r="D254" s="5"/>
      <c r="K254" s="5"/>
    </row>
    <row r="255" ht="15.75" customHeight="1">
      <c r="A255" s="5"/>
      <c r="B255" s="5"/>
      <c r="C255" s="5"/>
      <c r="D255" s="5"/>
      <c r="K255" s="5"/>
    </row>
    <row r="256" ht="15.75" customHeight="1">
      <c r="A256" s="5"/>
      <c r="B256" s="5"/>
      <c r="C256" s="5"/>
      <c r="D256" s="5"/>
      <c r="K256" s="5"/>
    </row>
    <row r="257" ht="15.75" customHeight="1">
      <c r="A257" s="5"/>
      <c r="B257" s="5"/>
      <c r="C257" s="5"/>
      <c r="D257" s="5"/>
      <c r="K257" s="5"/>
    </row>
    <row r="258" ht="15.75" customHeight="1">
      <c r="A258" s="5"/>
      <c r="B258" s="5"/>
      <c r="C258" s="5"/>
      <c r="D258" s="5"/>
      <c r="K258" s="5"/>
    </row>
    <row r="259" ht="15.75" customHeight="1">
      <c r="A259" s="5"/>
      <c r="B259" s="5"/>
      <c r="C259" s="5"/>
      <c r="D259" s="5"/>
      <c r="K259" s="5"/>
    </row>
    <row r="260" ht="15.75" customHeight="1">
      <c r="A260" s="5"/>
      <c r="B260" s="5"/>
      <c r="C260" s="5"/>
      <c r="D260" s="5"/>
      <c r="K260" s="5"/>
    </row>
    <row r="261" ht="15.75" customHeight="1">
      <c r="A261" s="5"/>
      <c r="B261" s="5"/>
      <c r="C261" s="5"/>
      <c r="D261" s="5"/>
      <c r="K261" s="5"/>
    </row>
    <row r="262" ht="15.75" customHeight="1">
      <c r="A262" s="5"/>
      <c r="B262" s="5"/>
      <c r="C262" s="5"/>
      <c r="D262" s="5"/>
      <c r="K262" s="5"/>
    </row>
    <row r="263" ht="15.75" customHeight="1">
      <c r="A263" s="5"/>
      <c r="B263" s="5"/>
      <c r="C263" s="5"/>
      <c r="D263" s="5"/>
      <c r="K263" s="5"/>
    </row>
    <row r="264" ht="15.75" customHeight="1">
      <c r="A264" s="5"/>
      <c r="B264" s="5"/>
      <c r="C264" s="5"/>
      <c r="D264" s="5"/>
      <c r="K264" s="5"/>
    </row>
    <row r="265" ht="15.75" customHeight="1">
      <c r="A265" s="5"/>
      <c r="B265" s="5"/>
      <c r="C265" s="5"/>
      <c r="D265" s="5"/>
      <c r="K265" s="5"/>
    </row>
    <row r="266" ht="15.75" customHeight="1">
      <c r="A266" s="5"/>
      <c r="B266" s="5"/>
      <c r="C266" s="5"/>
      <c r="D266" s="5"/>
      <c r="K266" s="5"/>
    </row>
    <row r="267" ht="15.75" customHeight="1">
      <c r="A267" s="5"/>
      <c r="B267" s="5"/>
      <c r="C267" s="5"/>
      <c r="D267" s="5"/>
      <c r="K267" s="5"/>
    </row>
    <row r="268" ht="15.75" customHeight="1">
      <c r="A268" s="5"/>
      <c r="B268" s="5"/>
      <c r="C268" s="5"/>
      <c r="D268" s="5"/>
      <c r="K268" s="5"/>
    </row>
    <row r="269" ht="15.75" customHeight="1">
      <c r="A269" s="5"/>
      <c r="B269" s="5"/>
      <c r="C269" s="5"/>
      <c r="D269" s="5"/>
      <c r="K269" s="5"/>
    </row>
    <row r="270" ht="15.75" customHeight="1">
      <c r="A270" s="5"/>
      <c r="B270" s="5"/>
      <c r="C270" s="5"/>
      <c r="D270" s="5"/>
      <c r="K270" s="5"/>
    </row>
    <row r="271" ht="15.75" customHeight="1">
      <c r="A271" s="5"/>
      <c r="B271" s="5"/>
      <c r="C271" s="5"/>
      <c r="D271" s="5"/>
      <c r="K271" s="5"/>
    </row>
    <row r="272" ht="15.75" customHeight="1">
      <c r="A272" s="5"/>
      <c r="B272" s="5"/>
      <c r="C272" s="5"/>
      <c r="D272" s="5"/>
      <c r="K272" s="5"/>
    </row>
    <row r="273" ht="15.75" customHeight="1">
      <c r="A273" s="5"/>
      <c r="B273" s="5"/>
      <c r="C273" s="5"/>
      <c r="D273" s="5"/>
      <c r="K273" s="5"/>
    </row>
    <row r="274" ht="15.75" customHeight="1">
      <c r="A274" s="5"/>
      <c r="B274" s="5"/>
      <c r="C274" s="5"/>
      <c r="D274" s="5"/>
      <c r="K274" s="5"/>
    </row>
    <row r="275" ht="15.75" customHeight="1">
      <c r="A275" s="5"/>
      <c r="B275" s="5"/>
      <c r="C275" s="5"/>
      <c r="D275" s="5"/>
      <c r="K275" s="5"/>
    </row>
    <row r="276" ht="15.75" customHeight="1">
      <c r="A276" s="5"/>
      <c r="B276" s="5"/>
      <c r="C276" s="5"/>
      <c r="D276" s="5"/>
      <c r="K276" s="5"/>
    </row>
    <row r="277" ht="15.75" customHeight="1">
      <c r="A277" s="5"/>
      <c r="B277" s="5"/>
      <c r="C277" s="5"/>
      <c r="D277" s="5"/>
      <c r="K277" s="5"/>
    </row>
    <row r="278" ht="15.75" customHeight="1">
      <c r="A278" s="5"/>
      <c r="B278" s="5"/>
      <c r="C278" s="5"/>
      <c r="D278" s="5"/>
      <c r="K278" s="5"/>
    </row>
    <row r="279" ht="15.75" customHeight="1">
      <c r="A279" s="5"/>
      <c r="B279" s="5"/>
      <c r="C279" s="5"/>
      <c r="D279" s="5"/>
      <c r="K279" s="5"/>
    </row>
    <row r="280" ht="15.75" customHeight="1">
      <c r="A280" s="5"/>
      <c r="B280" s="5"/>
      <c r="C280" s="5"/>
      <c r="D280" s="5"/>
      <c r="K280" s="5"/>
    </row>
    <row r="281" ht="15.75" customHeight="1">
      <c r="A281" s="5"/>
      <c r="B281" s="5"/>
      <c r="C281" s="5"/>
      <c r="D281" s="5"/>
      <c r="K281" s="5"/>
    </row>
    <row r="282" ht="15.75" customHeight="1">
      <c r="A282" s="5"/>
      <c r="B282" s="5"/>
      <c r="C282" s="5"/>
      <c r="D282" s="5"/>
      <c r="K282" s="5"/>
    </row>
    <row r="283" ht="15.75" customHeight="1">
      <c r="A283" s="5"/>
      <c r="B283" s="5"/>
      <c r="C283" s="5"/>
      <c r="D283" s="5"/>
      <c r="K283" s="5"/>
    </row>
    <row r="284" ht="15.75" customHeight="1">
      <c r="A284" s="5"/>
      <c r="B284" s="5"/>
      <c r="C284" s="5"/>
      <c r="D284" s="5"/>
      <c r="K284" s="5"/>
    </row>
    <row r="285" ht="15.75" customHeight="1">
      <c r="A285" s="5"/>
      <c r="B285" s="5"/>
      <c r="C285" s="5"/>
      <c r="D285" s="5"/>
      <c r="K285" s="5"/>
    </row>
    <row r="286" ht="15.75" customHeight="1">
      <c r="A286" s="5"/>
      <c r="B286" s="5"/>
      <c r="C286" s="5"/>
      <c r="D286" s="5"/>
      <c r="K286" s="5"/>
    </row>
    <row r="287" ht="15.75" customHeight="1">
      <c r="A287" s="5"/>
      <c r="B287" s="5"/>
      <c r="C287" s="5"/>
      <c r="D287" s="5"/>
      <c r="K287" s="5"/>
    </row>
    <row r="288" ht="15.75" customHeight="1">
      <c r="A288" s="5"/>
      <c r="B288" s="5"/>
      <c r="C288" s="5"/>
      <c r="D288" s="5"/>
      <c r="K288" s="5"/>
    </row>
    <row r="289" ht="15.75" customHeight="1">
      <c r="A289" s="5"/>
      <c r="B289" s="5"/>
      <c r="C289" s="5"/>
      <c r="D289" s="5"/>
      <c r="K289" s="5"/>
    </row>
    <row r="290" ht="15.75" customHeight="1">
      <c r="A290" s="5"/>
      <c r="B290" s="5"/>
      <c r="C290" s="5"/>
      <c r="D290" s="5"/>
      <c r="K290" s="5"/>
    </row>
    <row r="291" ht="15.75" customHeight="1">
      <c r="A291" s="5"/>
      <c r="B291" s="5"/>
      <c r="C291" s="5"/>
      <c r="D291" s="5"/>
      <c r="K291" s="5"/>
    </row>
    <row r="292" ht="15.75" customHeight="1">
      <c r="A292" s="5"/>
      <c r="B292" s="5"/>
      <c r="C292" s="5"/>
      <c r="D292" s="5"/>
      <c r="K292" s="5"/>
    </row>
    <row r="293" ht="15.75" customHeight="1">
      <c r="A293" s="5"/>
      <c r="B293" s="5"/>
      <c r="C293" s="5"/>
      <c r="D293" s="5"/>
      <c r="K293" s="5"/>
    </row>
    <row r="294" ht="15.75" customHeight="1">
      <c r="A294" s="5"/>
      <c r="B294" s="5"/>
      <c r="C294" s="5"/>
      <c r="D294" s="5"/>
      <c r="K294" s="5"/>
    </row>
    <row r="295" ht="15.75" customHeight="1">
      <c r="A295" s="5"/>
      <c r="B295" s="5"/>
      <c r="C295" s="5"/>
      <c r="D295" s="5"/>
      <c r="K295" s="5"/>
    </row>
    <row r="296" ht="15.75" customHeight="1">
      <c r="A296" s="5"/>
      <c r="B296" s="5"/>
      <c r="C296" s="5"/>
      <c r="D296" s="5"/>
      <c r="K296" s="5"/>
    </row>
    <row r="297" ht="15.75" customHeight="1">
      <c r="A297" s="5"/>
      <c r="B297" s="5"/>
      <c r="C297" s="5"/>
      <c r="D297" s="5"/>
      <c r="K297" s="5"/>
    </row>
    <row r="298" ht="15.75" customHeight="1">
      <c r="A298" s="5"/>
      <c r="B298" s="5"/>
      <c r="C298" s="5"/>
      <c r="D298" s="5"/>
      <c r="K298" s="5"/>
    </row>
    <row r="299" ht="15.75" customHeight="1">
      <c r="A299" s="5"/>
      <c r="B299" s="5"/>
      <c r="C299" s="5"/>
      <c r="D299" s="5"/>
      <c r="K299" s="5"/>
    </row>
    <row r="300" ht="15.75" customHeight="1">
      <c r="A300" s="5"/>
      <c r="B300" s="5"/>
      <c r="C300" s="5"/>
      <c r="D300" s="5"/>
      <c r="K300" s="5"/>
    </row>
    <row r="301" ht="15.75" customHeight="1">
      <c r="A301" s="5"/>
      <c r="B301" s="5"/>
      <c r="C301" s="5"/>
      <c r="D301" s="5"/>
      <c r="K301" s="5"/>
    </row>
    <row r="302" ht="15.75" customHeight="1">
      <c r="A302" s="5"/>
      <c r="B302" s="5"/>
      <c r="C302" s="5"/>
      <c r="D302" s="5"/>
      <c r="K302" s="5"/>
    </row>
    <row r="303" ht="15.75" customHeight="1">
      <c r="A303" s="5"/>
      <c r="B303" s="5"/>
      <c r="C303" s="5"/>
      <c r="D303" s="5"/>
      <c r="K303" s="5"/>
    </row>
    <row r="304" ht="15.75" customHeight="1">
      <c r="A304" s="5"/>
      <c r="B304" s="5"/>
      <c r="C304" s="5"/>
      <c r="D304" s="5"/>
      <c r="K304" s="5"/>
    </row>
    <row r="305" ht="15.75" customHeight="1">
      <c r="A305" s="5"/>
      <c r="B305" s="5"/>
      <c r="C305" s="5"/>
      <c r="D305" s="5"/>
      <c r="K305" s="5"/>
    </row>
    <row r="306" ht="15.75" customHeight="1">
      <c r="A306" s="5"/>
      <c r="B306" s="5"/>
      <c r="C306" s="5"/>
      <c r="D306" s="5"/>
      <c r="K306" s="5"/>
    </row>
    <row r="307" ht="15.75" customHeight="1">
      <c r="A307" s="5"/>
      <c r="B307" s="5"/>
      <c r="C307" s="5"/>
      <c r="D307" s="5"/>
      <c r="K307" s="5"/>
    </row>
    <row r="308" ht="15.75" customHeight="1">
      <c r="A308" s="5"/>
      <c r="B308" s="5"/>
      <c r="C308" s="5"/>
      <c r="D308" s="5"/>
      <c r="K308" s="5"/>
    </row>
    <row r="309" ht="15.75" customHeight="1">
      <c r="A309" s="5"/>
      <c r="B309" s="5"/>
      <c r="C309" s="5"/>
      <c r="D309" s="5"/>
      <c r="K309" s="5"/>
    </row>
    <row r="310" ht="15.75" customHeight="1">
      <c r="A310" s="5"/>
      <c r="B310" s="5"/>
      <c r="C310" s="5"/>
      <c r="D310" s="5"/>
      <c r="K310" s="5"/>
    </row>
    <row r="311" ht="15.75" customHeight="1">
      <c r="A311" s="5"/>
      <c r="B311" s="5"/>
      <c r="C311" s="5"/>
      <c r="D311" s="5"/>
      <c r="K311" s="5"/>
    </row>
    <row r="312" ht="15.75" customHeight="1">
      <c r="A312" s="5"/>
      <c r="B312" s="5"/>
      <c r="C312" s="5"/>
      <c r="D312" s="5"/>
      <c r="K312" s="5"/>
    </row>
    <row r="313" ht="15.75" customHeight="1">
      <c r="A313" s="5"/>
      <c r="B313" s="5"/>
      <c r="C313" s="5"/>
      <c r="D313" s="5"/>
      <c r="K313" s="5"/>
    </row>
    <row r="314" ht="15.75" customHeight="1">
      <c r="A314" s="5"/>
      <c r="B314" s="5"/>
      <c r="C314" s="5"/>
      <c r="D314" s="5"/>
      <c r="K314" s="5"/>
    </row>
    <row r="315" ht="15.75" customHeight="1">
      <c r="A315" s="5"/>
      <c r="B315" s="5"/>
      <c r="C315" s="5"/>
      <c r="D315" s="5"/>
      <c r="K315" s="5"/>
    </row>
    <row r="316" ht="15.75" customHeight="1">
      <c r="A316" s="5"/>
      <c r="B316" s="5"/>
      <c r="C316" s="5"/>
      <c r="D316" s="5"/>
      <c r="K316" s="5"/>
    </row>
    <row r="317" ht="15.75" customHeight="1">
      <c r="A317" s="5"/>
      <c r="B317" s="5"/>
      <c r="C317" s="5"/>
      <c r="D317" s="5"/>
      <c r="K317" s="5"/>
    </row>
    <row r="318" ht="15.75" customHeight="1">
      <c r="A318" s="5"/>
      <c r="B318" s="5"/>
      <c r="C318" s="5"/>
      <c r="D318" s="5"/>
      <c r="K318" s="5"/>
    </row>
    <row r="319" ht="15.75" customHeight="1">
      <c r="A319" s="5"/>
      <c r="B319" s="5"/>
      <c r="C319" s="5"/>
      <c r="D319" s="5"/>
      <c r="K319" s="5"/>
    </row>
    <row r="320" ht="15.75" customHeight="1">
      <c r="A320" s="5"/>
      <c r="B320" s="5"/>
      <c r="C320" s="5"/>
      <c r="D320" s="5"/>
      <c r="K320" s="5"/>
    </row>
    <row r="321" ht="15.75" customHeight="1">
      <c r="A321" s="5"/>
      <c r="B321" s="5"/>
      <c r="C321" s="5"/>
      <c r="D321" s="5"/>
      <c r="K321" s="5"/>
    </row>
    <row r="322" ht="15.75" customHeight="1">
      <c r="A322" s="5"/>
      <c r="B322" s="5"/>
      <c r="C322" s="5"/>
      <c r="D322" s="5"/>
      <c r="K322" s="5"/>
    </row>
    <row r="323" ht="15.75" customHeight="1">
      <c r="A323" s="5"/>
      <c r="B323" s="5"/>
      <c r="C323" s="5"/>
      <c r="D323" s="5"/>
      <c r="K323" s="5"/>
    </row>
    <row r="324" ht="15.75" customHeight="1">
      <c r="A324" s="5"/>
      <c r="B324" s="5"/>
      <c r="C324" s="5"/>
      <c r="D324" s="5"/>
      <c r="K324" s="5"/>
    </row>
    <row r="325" ht="15.75" customHeight="1">
      <c r="A325" s="5"/>
      <c r="B325" s="5"/>
      <c r="C325" s="5"/>
      <c r="D325" s="5"/>
      <c r="K325" s="5"/>
    </row>
    <row r="326" ht="15.75" customHeight="1">
      <c r="A326" s="5"/>
      <c r="B326" s="5"/>
      <c r="C326" s="5"/>
      <c r="D326" s="5"/>
      <c r="K326" s="5"/>
    </row>
    <row r="327" ht="15.75" customHeight="1">
      <c r="A327" s="5"/>
      <c r="B327" s="5"/>
      <c r="C327" s="5"/>
      <c r="D327" s="5"/>
      <c r="K327" s="5"/>
    </row>
    <row r="328" ht="15.75" customHeight="1">
      <c r="A328" s="5"/>
      <c r="B328" s="5"/>
      <c r="C328" s="5"/>
      <c r="D328" s="5"/>
      <c r="K328" s="5"/>
    </row>
    <row r="329" ht="15.75" customHeight="1">
      <c r="A329" s="5"/>
      <c r="B329" s="5"/>
      <c r="C329" s="5"/>
      <c r="D329" s="5"/>
      <c r="K329" s="5"/>
    </row>
    <row r="330" ht="15.75" customHeight="1">
      <c r="A330" s="5"/>
      <c r="B330" s="5"/>
      <c r="C330" s="5"/>
      <c r="D330" s="5"/>
      <c r="K330" s="5"/>
    </row>
    <row r="331" ht="15.75" customHeight="1">
      <c r="A331" s="5"/>
      <c r="B331" s="5"/>
      <c r="C331" s="5"/>
      <c r="D331" s="5"/>
      <c r="K331" s="5"/>
    </row>
    <row r="332" ht="15.75" customHeight="1">
      <c r="A332" s="5"/>
      <c r="B332" s="5"/>
      <c r="C332" s="5"/>
      <c r="D332" s="5"/>
      <c r="K332" s="5"/>
    </row>
    <row r="333" ht="15.75" customHeight="1">
      <c r="A333" s="5"/>
      <c r="B333" s="5"/>
      <c r="C333" s="5"/>
      <c r="D333" s="5"/>
      <c r="K333" s="5"/>
    </row>
    <row r="334" ht="15.75" customHeight="1">
      <c r="A334" s="5"/>
      <c r="B334" s="5"/>
      <c r="C334" s="5"/>
      <c r="D334" s="5"/>
      <c r="K334" s="5"/>
    </row>
    <row r="335" ht="15.75" customHeight="1">
      <c r="A335" s="5"/>
      <c r="B335" s="5"/>
      <c r="C335" s="5"/>
      <c r="D335" s="5"/>
      <c r="K335" s="5"/>
    </row>
    <row r="336" ht="15.75" customHeight="1">
      <c r="A336" s="5"/>
      <c r="B336" s="5"/>
      <c r="C336" s="5"/>
      <c r="D336" s="5"/>
      <c r="K336" s="5"/>
    </row>
    <row r="337" ht="15.75" customHeight="1">
      <c r="A337" s="5"/>
      <c r="B337" s="5"/>
      <c r="C337" s="5"/>
      <c r="D337" s="5"/>
      <c r="K337" s="5"/>
    </row>
    <row r="338" ht="15.75" customHeight="1">
      <c r="A338" s="5"/>
      <c r="B338" s="5"/>
      <c r="C338" s="5"/>
      <c r="D338" s="5"/>
      <c r="K338" s="5"/>
    </row>
    <row r="339" ht="15.75" customHeight="1">
      <c r="A339" s="5"/>
      <c r="B339" s="5"/>
      <c r="C339" s="5"/>
      <c r="D339" s="5"/>
      <c r="K339" s="5"/>
    </row>
    <row r="340" ht="15.75" customHeight="1">
      <c r="A340" s="5"/>
      <c r="B340" s="5"/>
      <c r="C340" s="5"/>
      <c r="D340" s="5"/>
      <c r="K340" s="5"/>
    </row>
    <row r="341" ht="15.75" customHeight="1">
      <c r="A341" s="5"/>
      <c r="B341" s="5"/>
      <c r="C341" s="5"/>
      <c r="D341" s="5"/>
      <c r="K341" s="5"/>
    </row>
    <row r="342" ht="15.75" customHeight="1">
      <c r="A342" s="5"/>
      <c r="B342" s="5"/>
      <c r="C342" s="5"/>
      <c r="D342" s="5"/>
      <c r="K342" s="5"/>
    </row>
    <row r="343" ht="15.75" customHeight="1">
      <c r="A343" s="5"/>
      <c r="B343" s="5"/>
      <c r="C343" s="5"/>
      <c r="D343" s="5"/>
      <c r="K343" s="5"/>
    </row>
    <row r="344" ht="15.75" customHeight="1">
      <c r="A344" s="5"/>
      <c r="B344" s="5"/>
      <c r="C344" s="5"/>
      <c r="D344" s="5"/>
      <c r="K344" s="5"/>
    </row>
    <row r="345" ht="15.75" customHeight="1">
      <c r="A345" s="5"/>
      <c r="B345" s="5"/>
      <c r="C345" s="5"/>
      <c r="D345" s="5"/>
      <c r="K345" s="5"/>
    </row>
    <row r="346" ht="15.75" customHeight="1">
      <c r="A346" s="5"/>
      <c r="B346" s="5"/>
      <c r="C346" s="5"/>
      <c r="D346" s="5"/>
      <c r="K346" s="5"/>
    </row>
    <row r="347" ht="15.75" customHeight="1">
      <c r="A347" s="5"/>
      <c r="B347" s="5"/>
      <c r="C347" s="5"/>
      <c r="D347" s="5"/>
      <c r="K347" s="5"/>
    </row>
    <row r="348" ht="15.75" customHeight="1">
      <c r="A348" s="5"/>
      <c r="B348" s="5"/>
      <c r="C348" s="5"/>
      <c r="D348" s="5"/>
      <c r="K348" s="5"/>
    </row>
    <row r="349" ht="15.75" customHeight="1">
      <c r="A349" s="5"/>
      <c r="B349" s="5"/>
      <c r="C349" s="5"/>
      <c r="D349" s="5"/>
      <c r="K349" s="5"/>
    </row>
    <row r="350" ht="15.75" customHeight="1">
      <c r="A350" s="5"/>
      <c r="B350" s="5"/>
      <c r="C350" s="5"/>
      <c r="D350" s="5"/>
      <c r="K350" s="5"/>
    </row>
    <row r="351" ht="15.75" customHeight="1">
      <c r="A351" s="5"/>
      <c r="B351" s="5"/>
      <c r="C351" s="5"/>
      <c r="D351" s="5"/>
      <c r="K351" s="5"/>
    </row>
    <row r="352" ht="15.75" customHeight="1">
      <c r="A352" s="5"/>
      <c r="B352" s="5"/>
      <c r="C352" s="5"/>
      <c r="D352" s="5"/>
      <c r="K352" s="5"/>
    </row>
    <row r="353" ht="15.75" customHeight="1">
      <c r="A353" s="5"/>
      <c r="B353" s="5"/>
      <c r="C353" s="5"/>
      <c r="D353" s="5"/>
      <c r="K353" s="5"/>
    </row>
    <row r="354" ht="15.75" customHeight="1">
      <c r="A354" s="5"/>
      <c r="B354" s="5"/>
      <c r="C354" s="5"/>
      <c r="D354" s="5"/>
      <c r="K354" s="5"/>
    </row>
    <row r="355" ht="15.75" customHeight="1">
      <c r="A355" s="5"/>
      <c r="B355" s="5"/>
      <c r="C355" s="5"/>
      <c r="D355" s="5"/>
      <c r="K355" s="5"/>
    </row>
    <row r="356" ht="15.75" customHeight="1">
      <c r="A356" s="5"/>
      <c r="B356" s="5"/>
      <c r="C356" s="5"/>
      <c r="D356" s="5"/>
      <c r="K356" s="5"/>
    </row>
    <row r="357" ht="15.75" customHeight="1">
      <c r="A357" s="5"/>
      <c r="B357" s="5"/>
      <c r="C357" s="5"/>
      <c r="D357" s="5"/>
      <c r="K357" s="5"/>
    </row>
    <row r="358" ht="15.75" customHeight="1">
      <c r="A358" s="5"/>
      <c r="B358" s="5"/>
      <c r="C358" s="5"/>
      <c r="D358" s="5"/>
      <c r="K358" s="5"/>
    </row>
    <row r="359" ht="15.75" customHeight="1">
      <c r="A359" s="5"/>
      <c r="B359" s="5"/>
      <c r="C359" s="5"/>
      <c r="D359" s="5"/>
      <c r="K359" s="5"/>
    </row>
    <row r="360" ht="15.75" customHeight="1">
      <c r="A360" s="5"/>
      <c r="B360" s="5"/>
      <c r="C360" s="5"/>
      <c r="D360" s="5"/>
      <c r="K360" s="5"/>
    </row>
    <row r="361" ht="15.75" customHeight="1">
      <c r="A361" s="5"/>
      <c r="B361" s="5"/>
      <c r="C361" s="5"/>
      <c r="D361" s="5"/>
      <c r="K361" s="5"/>
    </row>
    <row r="362" ht="15.75" customHeight="1">
      <c r="A362" s="5"/>
      <c r="B362" s="5"/>
      <c r="C362" s="5"/>
      <c r="D362" s="5"/>
      <c r="K362" s="5"/>
    </row>
    <row r="363" ht="15.75" customHeight="1">
      <c r="A363" s="5"/>
      <c r="B363" s="5"/>
      <c r="C363" s="5"/>
      <c r="D363" s="5"/>
      <c r="K363" s="5"/>
    </row>
    <row r="364" ht="15.75" customHeight="1">
      <c r="A364" s="5"/>
      <c r="B364" s="5"/>
      <c r="C364" s="5"/>
      <c r="D364" s="5"/>
      <c r="K364" s="5"/>
    </row>
    <row r="365" ht="15.75" customHeight="1">
      <c r="A365" s="5"/>
      <c r="B365" s="5"/>
      <c r="C365" s="5"/>
      <c r="D365" s="5"/>
      <c r="K365" s="5"/>
    </row>
    <row r="366" ht="15.75" customHeight="1">
      <c r="A366" s="5"/>
      <c r="B366" s="5"/>
      <c r="C366" s="5"/>
      <c r="D366" s="5"/>
      <c r="K366" s="5"/>
    </row>
    <row r="367" ht="15.75" customHeight="1">
      <c r="A367" s="5"/>
      <c r="B367" s="5"/>
      <c r="C367" s="5"/>
      <c r="D367" s="5"/>
      <c r="K367" s="5"/>
    </row>
    <row r="368" ht="15.75" customHeight="1">
      <c r="A368" s="5"/>
      <c r="B368" s="5"/>
      <c r="C368" s="5"/>
      <c r="D368" s="5"/>
      <c r="K368" s="5"/>
    </row>
    <row r="369" ht="15.75" customHeight="1">
      <c r="A369" s="5"/>
      <c r="B369" s="5"/>
      <c r="C369" s="5"/>
      <c r="D369" s="5"/>
      <c r="K369" s="5"/>
    </row>
    <row r="370" ht="15.75" customHeight="1">
      <c r="A370" s="5"/>
      <c r="B370" s="5"/>
      <c r="C370" s="5"/>
      <c r="D370" s="5"/>
      <c r="K370" s="5"/>
    </row>
    <row r="371" ht="15.75" customHeight="1">
      <c r="A371" s="5"/>
      <c r="B371" s="5"/>
      <c r="C371" s="5"/>
      <c r="D371" s="5"/>
      <c r="K371" s="5"/>
    </row>
    <row r="372" ht="15.75" customHeight="1">
      <c r="A372" s="5"/>
      <c r="B372" s="5"/>
      <c r="C372" s="5"/>
      <c r="D372" s="5"/>
      <c r="K372" s="5"/>
    </row>
    <row r="373" ht="15.75" customHeight="1">
      <c r="A373" s="5"/>
      <c r="B373" s="5"/>
      <c r="C373" s="5"/>
      <c r="D373" s="5"/>
      <c r="K373" s="5"/>
    </row>
    <row r="374" ht="15.75" customHeight="1">
      <c r="A374" s="5"/>
      <c r="B374" s="5"/>
      <c r="C374" s="5"/>
      <c r="D374" s="5"/>
      <c r="K374" s="5"/>
    </row>
    <row r="375" ht="15.75" customHeight="1">
      <c r="A375" s="5"/>
      <c r="B375" s="5"/>
      <c r="C375" s="5"/>
      <c r="D375" s="5"/>
      <c r="K375" s="5"/>
    </row>
    <row r="376" ht="15.75" customHeight="1">
      <c r="A376" s="5"/>
      <c r="B376" s="5"/>
      <c r="C376" s="5"/>
      <c r="D376" s="5"/>
      <c r="K376" s="5"/>
    </row>
    <row r="377" ht="15.75" customHeight="1">
      <c r="A377" s="5"/>
      <c r="B377" s="5"/>
      <c r="C377" s="5"/>
      <c r="D377" s="5"/>
      <c r="K377" s="5"/>
    </row>
    <row r="378" ht="15.75" customHeight="1">
      <c r="A378" s="5"/>
      <c r="B378" s="5"/>
      <c r="C378" s="5"/>
      <c r="D378" s="5"/>
      <c r="K378" s="5"/>
    </row>
    <row r="379" ht="15.75" customHeight="1">
      <c r="A379" s="5"/>
      <c r="B379" s="5"/>
      <c r="C379" s="5"/>
      <c r="D379" s="5"/>
      <c r="K379" s="5"/>
    </row>
    <row r="380" ht="15.75" customHeight="1">
      <c r="A380" s="5"/>
      <c r="B380" s="5"/>
      <c r="C380" s="5"/>
      <c r="D380" s="5"/>
      <c r="K380" s="5"/>
    </row>
    <row r="381" ht="15.75" customHeight="1">
      <c r="A381" s="5"/>
      <c r="B381" s="5"/>
      <c r="C381" s="5"/>
      <c r="D381" s="5"/>
      <c r="K381" s="5"/>
    </row>
    <row r="382" ht="15.75" customHeight="1">
      <c r="A382" s="5"/>
      <c r="B382" s="5"/>
      <c r="C382" s="5"/>
      <c r="D382" s="5"/>
      <c r="K382" s="5"/>
    </row>
    <row r="383" ht="15.75" customHeight="1">
      <c r="A383" s="5"/>
      <c r="B383" s="5"/>
      <c r="C383" s="5"/>
      <c r="D383" s="5"/>
      <c r="K383" s="5"/>
    </row>
    <row r="384" ht="15.75" customHeight="1">
      <c r="A384" s="5"/>
      <c r="B384" s="5"/>
      <c r="C384" s="5"/>
      <c r="D384" s="5"/>
      <c r="K384" s="5"/>
    </row>
    <row r="385" ht="15.75" customHeight="1">
      <c r="A385" s="5"/>
      <c r="B385" s="5"/>
      <c r="C385" s="5"/>
      <c r="D385" s="5"/>
      <c r="K385" s="5"/>
    </row>
    <row r="386" ht="15.75" customHeight="1">
      <c r="A386" s="5"/>
      <c r="B386" s="5"/>
      <c r="C386" s="5"/>
      <c r="D386" s="5"/>
      <c r="K386" s="5"/>
    </row>
    <row r="387" ht="15.75" customHeight="1">
      <c r="A387" s="5"/>
      <c r="B387" s="5"/>
      <c r="C387" s="5"/>
      <c r="D387" s="5"/>
      <c r="K387" s="5"/>
    </row>
    <row r="388" ht="15.75" customHeight="1">
      <c r="A388" s="5"/>
      <c r="B388" s="5"/>
      <c r="C388" s="5"/>
      <c r="D388" s="5"/>
      <c r="K388" s="5"/>
    </row>
    <row r="389" ht="15.75" customHeight="1">
      <c r="A389" s="5"/>
      <c r="B389" s="5"/>
      <c r="C389" s="5"/>
      <c r="D389" s="5"/>
      <c r="K389" s="5"/>
    </row>
    <row r="390" ht="15.75" customHeight="1">
      <c r="A390" s="5"/>
      <c r="B390" s="5"/>
      <c r="C390" s="5"/>
      <c r="D390" s="5"/>
      <c r="K390" s="5"/>
    </row>
    <row r="391" ht="15.75" customHeight="1">
      <c r="A391" s="5"/>
      <c r="B391" s="5"/>
      <c r="C391" s="5"/>
      <c r="D391" s="5"/>
      <c r="K391" s="5"/>
    </row>
    <row r="392" ht="15.75" customHeight="1">
      <c r="A392" s="5"/>
      <c r="B392" s="5"/>
      <c r="C392" s="5"/>
      <c r="D392" s="5"/>
      <c r="K392" s="5"/>
    </row>
    <row r="393" ht="15.75" customHeight="1">
      <c r="A393" s="5"/>
      <c r="B393" s="5"/>
      <c r="C393" s="5"/>
      <c r="D393" s="5"/>
      <c r="K393" s="5"/>
    </row>
    <row r="394" ht="15.75" customHeight="1">
      <c r="A394" s="5"/>
      <c r="B394" s="5"/>
      <c r="C394" s="5"/>
      <c r="D394" s="5"/>
      <c r="K394" s="5"/>
    </row>
    <row r="395" ht="15.75" customHeight="1">
      <c r="A395" s="5"/>
      <c r="B395" s="5"/>
      <c r="C395" s="5"/>
      <c r="D395" s="5"/>
      <c r="K395" s="5"/>
    </row>
    <row r="396" ht="15.75" customHeight="1">
      <c r="A396" s="5"/>
      <c r="B396" s="5"/>
      <c r="C396" s="5"/>
      <c r="D396" s="5"/>
      <c r="K396" s="5"/>
    </row>
    <row r="397" ht="15.75" customHeight="1">
      <c r="A397" s="5"/>
      <c r="B397" s="5"/>
      <c r="C397" s="5"/>
      <c r="D397" s="5"/>
      <c r="K397" s="5"/>
    </row>
    <row r="398" ht="15.75" customHeight="1">
      <c r="A398" s="5"/>
      <c r="B398" s="5"/>
      <c r="C398" s="5"/>
      <c r="D398" s="5"/>
      <c r="K398" s="5"/>
    </row>
    <row r="399" ht="15.75" customHeight="1">
      <c r="A399" s="5"/>
      <c r="B399" s="5"/>
      <c r="C399" s="5"/>
      <c r="D399" s="5"/>
      <c r="K399" s="5"/>
    </row>
    <row r="400" ht="15.75" customHeight="1">
      <c r="A400" s="5"/>
      <c r="B400" s="5"/>
      <c r="C400" s="5"/>
      <c r="D400" s="5"/>
      <c r="K400" s="5"/>
    </row>
    <row r="401" ht="15.75" customHeight="1">
      <c r="A401" s="5"/>
      <c r="B401" s="5"/>
      <c r="C401" s="5"/>
      <c r="D401" s="5"/>
      <c r="K401" s="5"/>
    </row>
    <row r="402" ht="15.75" customHeight="1">
      <c r="A402" s="5"/>
      <c r="B402" s="5"/>
      <c r="C402" s="5"/>
      <c r="D402" s="5"/>
      <c r="K402" s="5"/>
    </row>
    <row r="403" ht="15.75" customHeight="1">
      <c r="A403" s="5"/>
      <c r="B403" s="5"/>
      <c r="C403" s="5"/>
      <c r="D403" s="5"/>
      <c r="K403" s="5"/>
    </row>
    <row r="404" ht="15.75" customHeight="1">
      <c r="A404" s="5"/>
      <c r="B404" s="5"/>
      <c r="C404" s="5"/>
      <c r="D404" s="5"/>
      <c r="K404" s="5"/>
    </row>
    <row r="405" ht="15.75" customHeight="1">
      <c r="A405" s="5"/>
      <c r="B405" s="5"/>
      <c r="C405" s="5"/>
      <c r="D405" s="5"/>
      <c r="K405" s="5"/>
    </row>
    <row r="406" ht="15.75" customHeight="1">
      <c r="A406" s="5"/>
      <c r="B406" s="5"/>
      <c r="C406" s="5"/>
      <c r="D406" s="5"/>
      <c r="K406" s="5"/>
    </row>
    <row r="407" ht="15.75" customHeight="1">
      <c r="A407" s="5"/>
      <c r="B407" s="5"/>
      <c r="C407" s="5"/>
      <c r="D407" s="5"/>
      <c r="K407" s="5"/>
    </row>
    <row r="408" ht="15.75" customHeight="1">
      <c r="A408" s="5"/>
      <c r="B408" s="5"/>
      <c r="C408" s="5"/>
      <c r="D408" s="5"/>
      <c r="K408" s="5"/>
    </row>
    <row r="409" ht="15.75" customHeight="1">
      <c r="A409" s="5"/>
      <c r="B409" s="5"/>
      <c r="C409" s="5"/>
      <c r="D409" s="5"/>
      <c r="K409" s="5"/>
    </row>
    <row r="410" ht="15.75" customHeight="1">
      <c r="A410" s="5"/>
      <c r="B410" s="5"/>
      <c r="C410" s="5"/>
      <c r="D410" s="5"/>
      <c r="K410" s="5"/>
    </row>
    <row r="411" ht="15.75" customHeight="1">
      <c r="A411" s="5"/>
      <c r="B411" s="5"/>
      <c r="C411" s="5"/>
      <c r="D411" s="5"/>
      <c r="K411" s="5"/>
    </row>
    <row r="412" ht="15.75" customHeight="1">
      <c r="A412" s="5"/>
      <c r="B412" s="5"/>
      <c r="C412" s="5"/>
      <c r="D412" s="5"/>
      <c r="K412" s="5"/>
    </row>
    <row r="413" ht="15.75" customHeight="1">
      <c r="A413" s="5"/>
      <c r="B413" s="5"/>
      <c r="C413" s="5"/>
      <c r="D413" s="5"/>
      <c r="K413" s="5"/>
    </row>
    <row r="414" ht="15.75" customHeight="1">
      <c r="A414" s="5"/>
      <c r="B414" s="5"/>
      <c r="C414" s="5"/>
      <c r="D414" s="5"/>
      <c r="K414" s="5"/>
    </row>
    <row r="415" ht="15.75" customHeight="1">
      <c r="A415" s="5"/>
      <c r="B415" s="5"/>
      <c r="C415" s="5"/>
      <c r="D415" s="5"/>
      <c r="K415" s="5"/>
    </row>
    <row r="416" ht="15.75" customHeight="1">
      <c r="A416" s="5"/>
      <c r="B416" s="5"/>
      <c r="C416" s="5"/>
      <c r="D416" s="5"/>
      <c r="K416" s="5"/>
    </row>
    <row r="417" ht="15.75" customHeight="1">
      <c r="A417" s="5"/>
      <c r="B417" s="5"/>
      <c r="C417" s="5"/>
      <c r="D417" s="5"/>
      <c r="K417" s="5"/>
    </row>
    <row r="418" ht="15.75" customHeight="1">
      <c r="A418" s="5"/>
      <c r="B418" s="5"/>
      <c r="C418" s="5"/>
      <c r="D418" s="5"/>
      <c r="K418" s="5"/>
    </row>
    <row r="419" ht="15.75" customHeight="1">
      <c r="A419" s="5"/>
      <c r="B419" s="5"/>
      <c r="C419" s="5"/>
      <c r="D419" s="5"/>
      <c r="K419" s="5"/>
    </row>
    <row r="420" ht="15.75" customHeight="1">
      <c r="A420" s="5"/>
      <c r="B420" s="5"/>
      <c r="C420" s="5"/>
      <c r="D420" s="5"/>
      <c r="K420" s="5"/>
    </row>
    <row r="421" ht="15.75" customHeight="1">
      <c r="A421" s="5"/>
      <c r="B421" s="5"/>
      <c r="C421" s="5"/>
      <c r="D421" s="5"/>
      <c r="K421" s="5"/>
    </row>
    <row r="422" ht="15.75" customHeight="1">
      <c r="A422" s="5"/>
      <c r="B422" s="5"/>
      <c r="C422" s="5"/>
      <c r="D422" s="5"/>
      <c r="K422" s="5"/>
    </row>
    <row r="423" ht="15.75" customHeight="1">
      <c r="A423" s="5"/>
      <c r="B423" s="5"/>
      <c r="C423" s="5"/>
      <c r="D423" s="5"/>
      <c r="K423" s="5"/>
    </row>
    <row r="424" ht="15.75" customHeight="1">
      <c r="A424" s="5"/>
      <c r="B424" s="5"/>
      <c r="C424" s="5"/>
      <c r="D424" s="5"/>
      <c r="K424" s="5"/>
    </row>
    <row r="425" ht="15.75" customHeight="1">
      <c r="A425" s="5"/>
      <c r="B425" s="5"/>
      <c r="C425" s="5"/>
      <c r="D425" s="5"/>
      <c r="K425" s="5"/>
    </row>
    <row r="426" ht="15.75" customHeight="1">
      <c r="A426" s="5"/>
      <c r="B426" s="5"/>
      <c r="C426" s="5"/>
      <c r="D426" s="5"/>
      <c r="K426" s="5"/>
    </row>
    <row r="427" ht="15.75" customHeight="1">
      <c r="A427" s="5"/>
      <c r="B427" s="5"/>
      <c r="C427" s="5"/>
      <c r="D427" s="5"/>
      <c r="K427" s="5"/>
    </row>
    <row r="428" ht="15.75" customHeight="1">
      <c r="A428" s="5"/>
      <c r="B428" s="5"/>
      <c r="C428" s="5"/>
      <c r="D428" s="5"/>
      <c r="K428" s="5"/>
    </row>
    <row r="429" ht="15.75" customHeight="1">
      <c r="A429" s="5"/>
      <c r="B429" s="5"/>
      <c r="C429" s="5"/>
      <c r="D429" s="5"/>
      <c r="K429" s="5"/>
    </row>
    <row r="430" ht="15.75" customHeight="1">
      <c r="A430" s="5"/>
      <c r="B430" s="5"/>
      <c r="C430" s="5"/>
      <c r="D430" s="5"/>
      <c r="K430" s="5"/>
    </row>
    <row r="431" ht="15.75" customHeight="1">
      <c r="A431" s="5"/>
      <c r="B431" s="5"/>
      <c r="C431" s="5"/>
      <c r="D431" s="5"/>
      <c r="K431" s="5"/>
    </row>
    <row r="432" ht="15.75" customHeight="1">
      <c r="A432" s="5"/>
      <c r="B432" s="5"/>
      <c r="C432" s="5"/>
      <c r="D432" s="5"/>
      <c r="K432" s="5"/>
    </row>
    <row r="433" ht="15.75" customHeight="1">
      <c r="A433" s="5"/>
      <c r="B433" s="5"/>
      <c r="C433" s="5"/>
      <c r="D433" s="5"/>
      <c r="K433" s="5"/>
    </row>
    <row r="434" ht="15.75" customHeight="1">
      <c r="A434" s="5"/>
      <c r="B434" s="5"/>
      <c r="C434" s="5"/>
      <c r="D434" s="5"/>
      <c r="K434" s="5"/>
    </row>
    <row r="435" ht="15.75" customHeight="1">
      <c r="A435" s="5"/>
      <c r="B435" s="5"/>
      <c r="C435" s="5"/>
      <c r="D435" s="5"/>
      <c r="K435" s="5"/>
    </row>
    <row r="436" ht="15.75" customHeight="1">
      <c r="A436" s="5"/>
      <c r="B436" s="5"/>
      <c r="C436" s="5"/>
      <c r="D436" s="5"/>
      <c r="K436" s="5"/>
    </row>
    <row r="437" ht="15.75" customHeight="1">
      <c r="A437" s="5"/>
      <c r="B437" s="5"/>
      <c r="C437" s="5"/>
      <c r="D437" s="5"/>
      <c r="K437" s="5"/>
    </row>
    <row r="438" ht="15.75" customHeight="1">
      <c r="A438" s="5"/>
      <c r="B438" s="5"/>
      <c r="C438" s="5"/>
      <c r="D438" s="5"/>
      <c r="K438" s="5"/>
    </row>
    <row r="439" ht="15.75" customHeight="1">
      <c r="A439" s="5"/>
      <c r="B439" s="5"/>
      <c r="C439" s="5"/>
      <c r="D439" s="5"/>
      <c r="K439" s="5"/>
    </row>
    <row r="440" ht="15.75" customHeight="1">
      <c r="A440" s="5"/>
      <c r="B440" s="5"/>
      <c r="C440" s="5"/>
      <c r="D440" s="5"/>
      <c r="K440" s="5"/>
    </row>
    <row r="441" ht="15.75" customHeight="1">
      <c r="A441" s="5"/>
      <c r="B441" s="5"/>
      <c r="C441" s="5"/>
      <c r="D441" s="5"/>
      <c r="K441" s="5"/>
    </row>
    <row r="442" ht="15.75" customHeight="1">
      <c r="A442" s="5"/>
      <c r="B442" s="5"/>
      <c r="C442" s="5"/>
      <c r="D442" s="5"/>
      <c r="K442" s="5"/>
    </row>
    <row r="443" ht="15.75" customHeight="1">
      <c r="A443" s="5"/>
      <c r="B443" s="5"/>
      <c r="C443" s="5"/>
      <c r="D443" s="5"/>
      <c r="K443" s="5"/>
    </row>
    <row r="444" ht="15.75" customHeight="1">
      <c r="A444" s="5"/>
      <c r="B444" s="5"/>
      <c r="C444" s="5"/>
      <c r="D444" s="5"/>
      <c r="K444" s="5"/>
    </row>
    <row r="445" ht="15.75" customHeight="1">
      <c r="A445" s="5"/>
      <c r="B445" s="5"/>
      <c r="C445" s="5"/>
      <c r="D445" s="5"/>
      <c r="K445" s="5"/>
    </row>
    <row r="446" ht="15.75" customHeight="1">
      <c r="A446" s="5"/>
      <c r="B446" s="5"/>
      <c r="C446" s="5"/>
      <c r="D446" s="5"/>
      <c r="K446" s="5"/>
    </row>
    <row r="447" ht="15.75" customHeight="1">
      <c r="A447" s="5"/>
      <c r="B447" s="5"/>
      <c r="C447" s="5"/>
      <c r="D447" s="5"/>
      <c r="K447" s="5"/>
    </row>
    <row r="448" ht="15.75" customHeight="1">
      <c r="A448" s="5"/>
      <c r="B448" s="5"/>
      <c r="C448" s="5"/>
      <c r="D448" s="5"/>
      <c r="K448" s="5"/>
    </row>
    <row r="449" ht="15.75" customHeight="1">
      <c r="A449" s="5"/>
      <c r="B449" s="5"/>
      <c r="C449" s="5"/>
      <c r="D449" s="5"/>
      <c r="K449" s="5"/>
    </row>
    <row r="450" ht="15.75" customHeight="1">
      <c r="A450" s="5"/>
      <c r="B450" s="5"/>
      <c r="C450" s="5"/>
      <c r="D450" s="5"/>
      <c r="K450" s="5"/>
    </row>
    <row r="451" ht="15.75" customHeight="1">
      <c r="A451" s="5"/>
      <c r="B451" s="5"/>
      <c r="C451" s="5"/>
      <c r="D451" s="5"/>
      <c r="K451" s="5"/>
    </row>
    <row r="452" ht="15.75" customHeight="1">
      <c r="A452" s="5"/>
      <c r="B452" s="5"/>
      <c r="C452" s="5"/>
      <c r="D452" s="5"/>
      <c r="K452" s="5"/>
    </row>
    <row r="453" ht="15.75" customHeight="1">
      <c r="A453" s="5"/>
      <c r="B453" s="5"/>
      <c r="C453" s="5"/>
      <c r="D453" s="5"/>
      <c r="K453" s="5"/>
    </row>
    <row r="454" ht="15.75" customHeight="1">
      <c r="A454" s="5"/>
      <c r="B454" s="5"/>
      <c r="C454" s="5"/>
      <c r="D454" s="5"/>
      <c r="K454" s="5"/>
    </row>
    <row r="455" ht="15.75" customHeight="1">
      <c r="A455" s="5"/>
      <c r="B455" s="5"/>
      <c r="C455" s="5"/>
      <c r="D455" s="5"/>
      <c r="K455" s="5"/>
    </row>
    <row r="456" ht="15.75" customHeight="1">
      <c r="A456" s="5"/>
      <c r="B456" s="5"/>
      <c r="C456" s="5"/>
      <c r="D456" s="5"/>
      <c r="K456" s="5"/>
    </row>
    <row r="457" ht="15.75" customHeight="1">
      <c r="A457" s="5"/>
      <c r="B457" s="5"/>
      <c r="C457" s="5"/>
      <c r="D457" s="5"/>
      <c r="K457" s="5"/>
    </row>
    <row r="458" ht="15.75" customHeight="1">
      <c r="A458" s="5"/>
      <c r="B458" s="5"/>
      <c r="C458" s="5"/>
      <c r="D458" s="5"/>
      <c r="K458" s="5"/>
    </row>
    <row r="459" ht="15.75" customHeight="1">
      <c r="A459" s="5"/>
      <c r="B459" s="5"/>
      <c r="C459" s="5"/>
      <c r="D459" s="5"/>
      <c r="K459" s="5"/>
    </row>
    <row r="460" ht="15.75" customHeight="1">
      <c r="A460" s="5"/>
      <c r="B460" s="5"/>
      <c r="C460" s="5"/>
      <c r="D460" s="5"/>
      <c r="K460" s="5"/>
    </row>
    <row r="461" ht="15.75" customHeight="1">
      <c r="A461" s="5"/>
      <c r="B461" s="5"/>
      <c r="C461" s="5"/>
      <c r="D461" s="5"/>
      <c r="K461" s="5"/>
    </row>
    <row r="462" ht="15.75" customHeight="1">
      <c r="A462" s="5"/>
      <c r="B462" s="5"/>
      <c r="C462" s="5"/>
      <c r="D462" s="5"/>
      <c r="K462" s="5"/>
    </row>
    <row r="463" ht="15.75" customHeight="1">
      <c r="A463" s="5"/>
      <c r="B463" s="5"/>
      <c r="C463" s="5"/>
      <c r="D463" s="5"/>
      <c r="K463" s="5"/>
    </row>
    <row r="464" ht="15.75" customHeight="1">
      <c r="A464" s="5"/>
      <c r="B464" s="5"/>
      <c r="C464" s="5"/>
      <c r="D464" s="5"/>
      <c r="K464" s="5"/>
    </row>
    <row r="465" ht="15.75" customHeight="1">
      <c r="A465" s="5"/>
      <c r="B465" s="5"/>
      <c r="C465" s="5"/>
      <c r="D465" s="5"/>
      <c r="K465" s="5"/>
    </row>
    <row r="466" ht="15.75" customHeight="1">
      <c r="A466" s="5"/>
      <c r="B466" s="5"/>
      <c r="C466" s="5"/>
      <c r="D466" s="5"/>
      <c r="K466" s="5"/>
    </row>
    <row r="467" ht="15.75" customHeight="1">
      <c r="A467" s="5"/>
      <c r="B467" s="5"/>
      <c r="C467" s="5"/>
      <c r="D467" s="5"/>
      <c r="K467" s="5"/>
    </row>
    <row r="468" ht="15.75" customHeight="1">
      <c r="A468" s="5"/>
      <c r="B468" s="5"/>
      <c r="C468" s="5"/>
      <c r="D468" s="5"/>
      <c r="K468" s="5"/>
    </row>
    <row r="469" ht="15.75" customHeight="1">
      <c r="A469" s="5"/>
      <c r="B469" s="5"/>
      <c r="C469" s="5"/>
      <c r="D469" s="5"/>
      <c r="K469" s="5"/>
    </row>
    <row r="470" ht="15.75" customHeight="1">
      <c r="A470" s="5"/>
      <c r="B470" s="5"/>
      <c r="C470" s="5"/>
      <c r="D470" s="5"/>
      <c r="K470" s="5"/>
    </row>
    <row r="471" ht="15.75" customHeight="1">
      <c r="A471" s="5"/>
      <c r="B471" s="5"/>
      <c r="C471" s="5"/>
      <c r="D471" s="5"/>
      <c r="K471" s="5"/>
    </row>
    <row r="472" ht="15.75" customHeight="1">
      <c r="A472" s="5"/>
      <c r="B472" s="5"/>
      <c r="C472" s="5"/>
      <c r="D472" s="5"/>
      <c r="K472" s="5"/>
    </row>
    <row r="473" ht="15.75" customHeight="1">
      <c r="A473" s="5"/>
      <c r="B473" s="5"/>
      <c r="C473" s="5"/>
      <c r="D473" s="5"/>
      <c r="K473" s="5"/>
    </row>
    <row r="474" ht="15.75" customHeight="1">
      <c r="A474" s="5"/>
      <c r="B474" s="5"/>
      <c r="C474" s="5"/>
      <c r="D474" s="5"/>
      <c r="K474" s="5"/>
    </row>
    <row r="475" ht="15.75" customHeight="1">
      <c r="A475" s="5"/>
      <c r="B475" s="5"/>
      <c r="C475" s="5"/>
      <c r="D475" s="5"/>
      <c r="K475" s="5"/>
    </row>
    <row r="476" ht="15.75" customHeight="1">
      <c r="A476" s="5"/>
      <c r="B476" s="5"/>
      <c r="C476" s="5"/>
      <c r="D476" s="5"/>
      <c r="K476" s="5"/>
    </row>
    <row r="477" ht="15.75" customHeight="1">
      <c r="A477" s="5"/>
      <c r="B477" s="5"/>
      <c r="C477" s="5"/>
      <c r="D477" s="5"/>
      <c r="K477" s="5"/>
    </row>
    <row r="478" ht="15.75" customHeight="1">
      <c r="A478" s="5"/>
      <c r="B478" s="5"/>
      <c r="C478" s="5"/>
      <c r="D478" s="5"/>
      <c r="K478" s="5"/>
    </row>
    <row r="479" ht="15.75" customHeight="1">
      <c r="A479" s="5"/>
      <c r="B479" s="5"/>
      <c r="C479" s="5"/>
      <c r="D479" s="5"/>
      <c r="K479" s="5"/>
    </row>
    <row r="480" ht="15.75" customHeight="1">
      <c r="A480" s="5"/>
      <c r="B480" s="5"/>
      <c r="C480" s="5"/>
      <c r="D480" s="5"/>
      <c r="K480" s="5"/>
    </row>
    <row r="481" ht="15.75" customHeight="1">
      <c r="A481" s="5"/>
      <c r="B481" s="5"/>
      <c r="C481" s="5"/>
      <c r="D481" s="5"/>
      <c r="K481" s="5"/>
    </row>
    <row r="482" ht="15.75" customHeight="1">
      <c r="A482" s="5"/>
      <c r="B482" s="5"/>
      <c r="C482" s="5"/>
      <c r="D482" s="5"/>
      <c r="K482" s="5"/>
    </row>
    <row r="483" ht="15.75" customHeight="1">
      <c r="A483" s="5"/>
      <c r="B483" s="5"/>
      <c r="C483" s="5"/>
      <c r="D483" s="5"/>
      <c r="K483" s="5"/>
    </row>
    <row r="484" ht="15.75" customHeight="1">
      <c r="A484" s="5"/>
      <c r="B484" s="5"/>
      <c r="C484" s="5"/>
      <c r="D484" s="5"/>
      <c r="K484" s="5"/>
    </row>
    <row r="485" ht="15.75" customHeight="1">
      <c r="A485" s="5"/>
      <c r="B485" s="5"/>
      <c r="C485" s="5"/>
      <c r="D485" s="5"/>
      <c r="K485" s="5"/>
    </row>
    <row r="486" ht="15.75" customHeight="1">
      <c r="A486" s="5"/>
      <c r="B486" s="5"/>
      <c r="C486" s="5"/>
      <c r="D486" s="5"/>
      <c r="K486" s="5"/>
    </row>
    <row r="487" ht="15.75" customHeight="1">
      <c r="A487" s="5"/>
      <c r="B487" s="5"/>
      <c r="C487" s="5"/>
      <c r="D487" s="5"/>
      <c r="K487" s="5"/>
    </row>
    <row r="488" ht="15.75" customHeight="1">
      <c r="A488" s="5"/>
      <c r="B488" s="5"/>
      <c r="C488" s="5"/>
      <c r="D488" s="5"/>
      <c r="K488" s="5"/>
    </row>
    <row r="489" ht="15.75" customHeight="1">
      <c r="A489" s="5"/>
      <c r="B489" s="5"/>
      <c r="C489" s="5"/>
      <c r="D489" s="5"/>
      <c r="K489" s="5"/>
    </row>
    <row r="490" ht="15.75" customHeight="1">
      <c r="A490" s="5"/>
      <c r="B490" s="5"/>
      <c r="C490" s="5"/>
      <c r="D490" s="5"/>
      <c r="K490" s="5"/>
    </row>
    <row r="491" ht="15.75" customHeight="1">
      <c r="A491" s="5"/>
      <c r="B491" s="5"/>
      <c r="C491" s="5"/>
      <c r="D491" s="5"/>
      <c r="K491" s="5"/>
    </row>
    <row r="492" ht="15.75" customHeight="1">
      <c r="A492" s="5"/>
      <c r="B492" s="5"/>
      <c r="C492" s="5"/>
      <c r="D492" s="5"/>
      <c r="K492" s="5"/>
    </row>
    <row r="493" ht="15.75" customHeight="1">
      <c r="A493" s="5"/>
      <c r="B493" s="5"/>
      <c r="C493" s="5"/>
      <c r="D493" s="5"/>
      <c r="K493" s="5"/>
    </row>
    <row r="494" ht="15.75" customHeight="1">
      <c r="A494" s="5"/>
      <c r="B494" s="5"/>
      <c r="C494" s="5"/>
      <c r="D494" s="5"/>
      <c r="K494" s="5"/>
    </row>
    <row r="495" ht="15.75" customHeight="1">
      <c r="A495" s="5"/>
      <c r="B495" s="5"/>
      <c r="C495" s="5"/>
      <c r="D495" s="5"/>
      <c r="K495" s="5"/>
    </row>
    <row r="496" ht="15.75" customHeight="1">
      <c r="A496" s="5"/>
      <c r="B496" s="5"/>
      <c r="C496" s="5"/>
      <c r="D496" s="5"/>
      <c r="K496" s="5"/>
    </row>
    <row r="497" ht="15.75" customHeight="1">
      <c r="A497" s="5"/>
      <c r="B497" s="5"/>
      <c r="C497" s="5"/>
      <c r="D497" s="5"/>
      <c r="K497" s="5"/>
    </row>
    <row r="498" ht="15.75" customHeight="1">
      <c r="A498" s="5"/>
      <c r="B498" s="5"/>
      <c r="C498" s="5"/>
      <c r="D498" s="5"/>
      <c r="K498" s="5"/>
    </row>
    <row r="499" ht="15.75" customHeight="1">
      <c r="A499" s="5"/>
      <c r="B499" s="5"/>
      <c r="C499" s="5"/>
      <c r="D499" s="5"/>
      <c r="K499" s="5"/>
    </row>
    <row r="500" ht="15.75" customHeight="1">
      <c r="A500" s="5"/>
      <c r="B500" s="5"/>
      <c r="C500" s="5"/>
      <c r="D500" s="5"/>
      <c r="K500" s="5"/>
    </row>
    <row r="501" ht="15.75" customHeight="1">
      <c r="A501" s="5"/>
      <c r="B501" s="5"/>
      <c r="C501" s="5"/>
      <c r="D501" s="5"/>
      <c r="K501" s="5"/>
    </row>
    <row r="502" ht="15.75" customHeight="1">
      <c r="A502" s="5"/>
      <c r="B502" s="5"/>
      <c r="C502" s="5"/>
      <c r="D502" s="5"/>
      <c r="K502" s="5"/>
    </row>
    <row r="503" ht="15.75" customHeight="1">
      <c r="A503" s="5"/>
      <c r="B503" s="5"/>
      <c r="C503" s="5"/>
      <c r="D503" s="5"/>
      <c r="K503" s="5"/>
    </row>
    <row r="504" ht="15.75" customHeight="1">
      <c r="A504" s="5"/>
      <c r="B504" s="5"/>
      <c r="C504" s="5"/>
      <c r="D504" s="5"/>
      <c r="K504" s="5"/>
    </row>
    <row r="505" ht="15.75" customHeight="1">
      <c r="A505" s="5"/>
      <c r="B505" s="5"/>
      <c r="C505" s="5"/>
      <c r="D505" s="5"/>
      <c r="K505" s="5"/>
    </row>
    <row r="506" ht="15.75" customHeight="1">
      <c r="A506" s="5"/>
      <c r="B506" s="5"/>
      <c r="C506" s="5"/>
      <c r="D506" s="5"/>
      <c r="K506" s="5"/>
    </row>
    <row r="507" ht="15.75" customHeight="1">
      <c r="A507" s="5"/>
      <c r="B507" s="5"/>
      <c r="C507" s="5"/>
      <c r="D507" s="5"/>
      <c r="K507" s="5"/>
    </row>
    <row r="508" ht="15.75" customHeight="1">
      <c r="A508" s="5"/>
      <c r="B508" s="5"/>
      <c r="C508" s="5"/>
      <c r="D508" s="5"/>
      <c r="K508" s="5"/>
    </row>
    <row r="509" ht="15.75" customHeight="1">
      <c r="A509" s="5"/>
      <c r="B509" s="5"/>
      <c r="C509" s="5"/>
      <c r="D509" s="5"/>
      <c r="K509" s="5"/>
    </row>
    <row r="510" ht="15.75" customHeight="1">
      <c r="A510" s="5"/>
      <c r="B510" s="5"/>
      <c r="C510" s="5"/>
      <c r="D510" s="5"/>
      <c r="K510" s="5"/>
    </row>
    <row r="511" ht="15.75" customHeight="1">
      <c r="A511" s="5"/>
      <c r="B511" s="5"/>
      <c r="C511" s="5"/>
      <c r="D511" s="5"/>
      <c r="K511" s="5"/>
    </row>
    <row r="512" ht="15.75" customHeight="1">
      <c r="A512" s="5"/>
      <c r="B512" s="5"/>
      <c r="C512" s="5"/>
      <c r="D512" s="5"/>
      <c r="K512" s="5"/>
    </row>
    <row r="513" ht="15.75" customHeight="1">
      <c r="A513" s="5"/>
      <c r="B513" s="5"/>
      <c r="C513" s="5"/>
      <c r="D513" s="5"/>
      <c r="K513" s="5"/>
    </row>
    <row r="514" ht="15.75" customHeight="1">
      <c r="A514" s="5"/>
      <c r="B514" s="5"/>
      <c r="C514" s="5"/>
      <c r="D514" s="5"/>
      <c r="K514" s="5"/>
    </row>
    <row r="515" ht="15.75" customHeight="1">
      <c r="A515" s="5"/>
      <c r="B515" s="5"/>
      <c r="C515" s="5"/>
      <c r="D515" s="5"/>
      <c r="K515" s="5"/>
    </row>
    <row r="516" ht="15.75" customHeight="1">
      <c r="A516" s="5"/>
      <c r="B516" s="5"/>
      <c r="C516" s="5"/>
      <c r="D516" s="5"/>
      <c r="K516" s="5"/>
    </row>
    <row r="517" ht="15.75" customHeight="1">
      <c r="A517" s="5"/>
      <c r="B517" s="5"/>
      <c r="C517" s="5"/>
      <c r="D517" s="5"/>
      <c r="K517" s="5"/>
    </row>
    <row r="518" ht="15.75" customHeight="1">
      <c r="A518" s="5"/>
      <c r="B518" s="5"/>
      <c r="C518" s="5"/>
      <c r="D518" s="5"/>
      <c r="K518" s="5"/>
    </row>
    <row r="519" ht="15.75" customHeight="1">
      <c r="A519" s="5"/>
      <c r="B519" s="5"/>
      <c r="C519" s="5"/>
      <c r="D519" s="5"/>
      <c r="K519" s="5"/>
    </row>
    <row r="520" ht="15.75" customHeight="1">
      <c r="A520" s="5"/>
      <c r="B520" s="5"/>
      <c r="C520" s="5"/>
      <c r="D520" s="5"/>
      <c r="K520" s="5"/>
    </row>
    <row r="521" ht="15.75" customHeight="1">
      <c r="A521" s="5"/>
      <c r="B521" s="5"/>
      <c r="C521" s="5"/>
      <c r="D521" s="5"/>
      <c r="K521" s="5"/>
    </row>
    <row r="522" ht="15.75" customHeight="1">
      <c r="A522" s="5"/>
      <c r="B522" s="5"/>
      <c r="C522" s="5"/>
      <c r="D522" s="5"/>
      <c r="K522" s="5"/>
    </row>
    <row r="523" ht="15.75" customHeight="1">
      <c r="A523" s="5"/>
      <c r="B523" s="5"/>
      <c r="C523" s="5"/>
      <c r="D523" s="5"/>
      <c r="K523" s="5"/>
    </row>
    <row r="524" ht="15.75" customHeight="1">
      <c r="A524" s="5"/>
      <c r="B524" s="5"/>
      <c r="C524" s="5"/>
      <c r="D524" s="5"/>
      <c r="K524" s="5"/>
    </row>
    <row r="525" ht="15.75" customHeight="1">
      <c r="A525" s="5"/>
      <c r="B525" s="5"/>
      <c r="C525" s="5"/>
      <c r="D525" s="5"/>
      <c r="K525" s="5"/>
    </row>
    <row r="526" ht="15.75" customHeight="1">
      <c r="A526" s="5"/>
      <c r="B526" s="5"/>
      <c r="C526" s="5"/>
      <c r="D526" s="5"/>
      <c r="K526" s="5"/>
    </row>
    <row r="527" ht="15.75" customHeight="1">
      <c r="A527" s="5"/>
      <c r="B527" s="5"/>
      <c r="C527" s="5"/>
      <c r="D527" s="5"/>
      <c r="K527" s="5"/>
    </row>
    <row r="528" ht="15.75" customHeight="1">
      <c r="A528" s="5"/>
      <c r="B528" s="5"/>
      <c r="C528" s="5"/>
      <c r="D528" s="5"/>
      <c r="K528" s="5"/>
    </row>
    <row r="529" ht="15.75" customHeight="1">
      <c r="A529" s="5"/>
      <c r="B529" s="5"/>
      <c r="C529" s="5"/>
      <c r="D529" s="5"/>
      <c r="K529" s="5"/>
    </row>
    <row r="530" ht="15.75" customHeight="1">
      <c r="A530" s="5"/>
      <c r="B530" s="5"/>
      <c r="C530" s="5"/>
      <c r="D530" s="5"/>
      <c r="K530" s="5"/>
    </row>
    <row r="531" ht="15.75" customHeight="1">
      <c r="A531" s="5"/>
      <c r="B531" s="5"/>
      <c r="C531" s="5"/>
      <c r="D531" s="5"/>
      <c r="K531" s="5"/>
    </row>
    <row r="532" ht="15.75" customHeight="1">
      <c r="A532" s="5"/>
      <c r="B532" s="5"/>
      <c r="C532" s="5"/>
      <c r="D532" s="5"/>
      <c r="K532" s="5"/>
    </row>
    <row r="533" ht="15.75" customHeight="1">
      <c r="A533" s="5"/>
      <c r="B533" s="5"/>
      <c r="C533" s="5"/>
      <c r="D533" s="5"/>
      <c r="K533" s="5"/>
    </row>
    <row r="534" ht="15.75" customHeight="1">
      <c r="A534" s="5"/>
      <c r="B534" s="5"/>
      <c r="C534" s="5"/>
      <c r="D534" s="5"/>
      <c r="K534" s="5"/>
    </row>
    <row r="535" ht="15.75" customHeight="1">
      <c r="A535" s="5"/>
      <c r="B535" s="5"/>
      <c r="C535" s="5"/>
      <c r="D535" s="5"/>
      <c r="K535" s="5"/>
    </row>
    <row r="536" ht="15.75" customHeight="1">
      <c r="A536" s="5"/>
      <c r="B536" s="5"/>
      <c r="C536" s="5"/>
      <c r="D536" s="5"/>
      <c r="K536" s="5"/>
    </row>
    <row r="537" ht="15.75" customHeight="1">
      <c r="A537" s="5"/>
      <c r="B537" s="5"/>
      <c r="C537" s="5"/>
      <c r="D537" s="5"/>
      <c r="K537" s="5"/>
    </row>
    <row r="538" ht="15.75" customHeight="1">
      <c r="A538" s="5"/>
      <c r="B538" s="5"/>
      <c r="C538" s="5"/>
      <c r="D538" s="5"/>
      <c r="K538" s="5"/>
    </row>
    <row r="539" ht="15.75" customHeight="1">
      <c r="A539" s="5"/>
      <c r="B539" s="5"/>
      <c r="C539" s="5"/>
      <c r="D539" s="5"/>
      <c r="K539" s="5"/>
    </row>
    <row r="540" ht="15.75" customHeight="1">
      <c r="A540" s="5"/>
      <c r="B540" s="5"/>
      <c r="C540" s="5"/>
      <c r="D540" s="5"/>
      <c r="K540" s="5"/>
    </row>
    <row r="541" ht="15.75" customHeight="1">
      <c r="A541" s="5"/>
      <c r="B541" s="5"/>
      <c r="C541" s="5"/>
      <c r="D541" s="5"/>
      <c r="K541" s="5"/>
    </row>
    <row r="542" ht="15.75" customHeight="1">
      <c r="A542" s="5"/>
      <c r="B542" s="5"/>
      <c r="C542" s="5"/>
      <c r="D542" s="5"/>
      <c r="K542" s="5"/>
    </row>
    <row r="543" ht="15.75" customHeight="1">
      <c r="A543" s="5"/>
      <c r="B543" s="5"/>
      <c r="C543" s="5"/>
      <c r="D543" s="5"/>
      <c r="K543" s="5"/>
    </row>
    <row r="544" ht="15.75" customHeight="1">
      <c r="A544" s="5"/>
      <c r="B544" s="5"/>
      <c r="C544" s="5"/>
      <c r="D544" s="5"/>
      <c r="K544" s="5"/>
    </row>
    <row r="545" ht="15.75" customHeight="1">
      <c r="A545" s="5"/>
      <c r="B545" s="5"/>
      <c r="C545" s="5"/>
      <c r="D545" s="5"/>
      <c r="K545" s="5"/>
    </row>
    <row r="546" ht="15.75" customHeight="1">
      <c r="A546" s="5"/>
      <c r="B546" s="5"/>
      <c r="C546" s="5"/>
      <c r="D546" s="5"/>
      <c r="K546" s="5"/>
    </row>
    <row r="547" ht="15.75" customHeight="1">
      <c r="A547" s="5"/>
      <c r="B547" s="5"/>
      <c r="C547" s="5"/>
      <c r="D547" s="5"/>
      <c r="K547" s="5"/>
    </row>
    <row r="548" ht="15.75" customHeight="1">
      <c r="A548" s="5"/>
      <c r="B548" s="5"/>
      <c r="C548" s="5"/>
      <c r="D548" s="5"/>
      <c r="K548" s="5"/>
    </row>
    <row r="549" ht="15.75" customHeight="1">
      <c r="A549" s="5"/>
      <c r="B549" s="5"/>
      <c r="C549" s="5"/>
      <c r="D549" s="5"/>
      <c r="K549" s="5"/>
    </row>
    <row r="550" ht="15.75" customHeight="1">
      <c r="A550" s="5"/>
      <c r="B550" s="5"/>
      <c r="C550" s="5"/>
      <c r="D550" s="5"/>
      <c r="K550" s="5"/>
    </row>
    <row r="551" ht="15.75" customHeight="1">
      <c r="A551" s="5"/>
      <c r="B551" s="5"/>
      <c r="C551" s="5"/>
      <c r="D551" s="5"/>
      <c r="K551" s="5"/>
    </row>
    <row r="552" ht="15.75" customHeight="1">
      <c r="A552" s="5"/>
      <c r="B552" s="5"/>
      <c r="C552" s="5"/>
      <c r="D552" s="5"/>
      <c r="K552" s="5"/>
    </row>
    <row r="553" ht="15.75" customHeight="1">
      <c r="A553" s="5"/>
      <c r="B553" s="5"/>
      <c r="C553" s="5"/>
      <c r="D553" s="5"/>
      <c r="K553" s="5"/>
    </row>
    <row r="554" ht="15.75" customHeight="1">
      <c r="A554" s="5"/>
      <c r="B554" s="5"/>
      <c r="C554" s="5"/>
      <c r="D554" s="5"/>
      <c r="K554" s="5"/>
    </row>
    <row r="555" ht="15.75" customHeight="1">
      <c r="A555" s="5"/>
      <c r="B555" s="5"/>
      <c r="C555" s="5"/>
      <c r="D555" s="5"/>
      <c r="K555" s="5"/>
    </row>
    <row r="556" ht="15.75" customHeight="1">
      <c r="A556" s="5"/>
      <c r="B556" s="5"/>
      <c r="C556" s="5"/>
      <c r="D556" s="5"/>
      <c r="K556" s="5"/>
    </row>
    <row r="557" ht="15.75" customHeight="1">
      <c r="A557" s="5"/>
      <c r="B557" s="5"/>
      <c r="C557" s="5"/>
      <c r="D557" s="5"/>
      <c r="K557" s="5"/>
    </row>
    <row r="558" ht="15.75" customHeight="1">
      <c r="A558" s="5"/>
      <c r="B558" s="5"/>
      <c r="C558" s="5"/>
      <c r="D558" s="5"/>
      <c r="K558" s="5"/>
    </row>
    <row r="559" ht="15.75" customHeight="1">
      <c r="A559" s="5"/>
      <c r="B559" s="5"/>
      <c r="C559" s="5"/>
      <c r="D559" s="5"/>
      <c r="K559" s="5"/>
    </row>
    <row r="560" ht="15.75" customHeight="1">
      <c r="A560" s="5"/>
      <c r="B560" s="5"/>
      <c r="C560" s="5"/>
      <c r="D560" s="5"/>
      <c r="K560" s="5"/>
    </row>
    <row r="561" ht="15.75" customHeight="1">
      <c r="A561" s="5"/>
      <c r="B561" s="5"/>
      <c r="C561" s="5"/>
      <c r="D561" s="5"/>
      <c r="K561" s="5"/>
    </row>
    <row r="562" ht="15.75" customHeight="1">
      <c r="A562" s="5"/>
      <c r="B562" s="5"/>
      <c r="C562" s="5"/>
      <c r="D562" s="5"/>
      <c r="K562" s="5"/>
    </row>
    <row r="563" ht="15.75" customHeight="1">
      <c r="A563" s="5"/>
      <c r="B563" s="5"/>
      <c r="C563" s="5"/>
      <c r="D563" s="5"/>
      <c r="K563" s="5"/>
    </row>
    <row r="564" ht="15.75" customHeight="1">
      <c r="A564" s="5"/>
      <c r="B564" s="5"/>
      <c r="C564" s="5"/>
      <c r="D564" s="5"/>
      <c r="K564" s="5"/>
    </row>
    <row r="565" ht="15.75" customHeight="1">
      <c r="A565" s="5"/>
      <c r="B565" s="5"/>
      <c r="C565" s="5"/>
      <c r="D565" s="5"/>
      <c r="K565" s="5"/>
    </row>
    <row r="566" ht="15.75" customHeight="1">
      <c r="A566" s="5"/>
      <c r="B566" s="5"/>
      <c r="C566" s="5"/>
      <c r="D566" s="5"/>
      <c r="K566" s="5"/>
    </row>
    <row r="567" ht="15.75" customHeight="1">
      <c r="A567" s="5"/>
      <c r="B567" s="5"/>
      <c r="C567" s="5"/>
      <c r="D567" s="5"/>
      <c r="K567" s="5"/>
    </row>
    <row r="568" ht="15.75" customHeight="1">
      <c r="A568" s="5"/>
      <c r="B568" s="5"/>
      <c r="C568" s="5"/>
      <c r="D568" s="5"/>
      <c r="K568" s="5"/>
    </row>
    <row r="569" ht="15.75" customHeight="1">
      <c r="A569" s="5"/>
      <c r="B569" s="5"/>
      <c r="C569" s="5"/>
      <c r="D569" s="5"/>
      <c r="K569" s="5"/>
    </row>
    <row r="570" ht="15.75" customHeight="1">
      <c r="A570" s="5"/>
      <c r="B570" s="5"/>
      <c r="C570" s="5"/>
      <c r="D570" s="5"/>
      <c r="K570" s="5"/>
    </row>
    <row r="571" ht="15.75" customHeight="1">
      <c r="A571" s="5"/>
      <c r="B571" s="5"/>
      <c r="C571" s="5"/>
      <c r="D571" s="5"/>
      <c r="K571" s="5"/>
    </row>
    <row r="572" ht="15.75" customHeight="1">
      <c r="A572" s="5"/>
      <c r="B572" s="5"/>
      <c r="C572" s="5"/>
      <c r="D572" s="5"/>
      <c r="K572" s="5"/>
    </row>
    <row r="573" ht="15.75" customHeight="1">
      <c r="A573" s="5"/>
      <c r="B573" s="5"/>
      <c r="C573" s="5"/>
      <c r="D573" s="5"/>
      <c r="K573" s="5"/>
    </row>
    <row r="574" ht="15.75" customHeight="1">
      <c r="A574" s="5"/>
      <c r="B574" s="5"/>
      <c r="C574" s="5"/>
      <c r="D574" s="5"/>
      <c r="K574" s="5"/>
    </row>
    <row r="575" ht="15.75" customHeight="1">
      <c r="A575" s="5"/>
      <c r="B575" s="5"/>
      <c r="C575" s="5"/>
      <c r="D575" s="5"/>
      <c r="K575" s="5"/>
    </row>
    <row r="576" ht="15.75" customHeight="1">
      <c r="A576" s="5"/>
      <c r="B576" s="5"/>
      <c r="C576" s="5"/>
      <c r="D576" s="5"/>
      <c r="K576" s="5"/>
    </row>
    <row r="577" ht="15.75" customHeight="1">
      <c r="A577" s="5"/>
      <c r="B577" s="5"/>
      <c r="C577" s="5"/>
      <c r="D577" s="5"/>
      <c r="K577" s="5"/>
    </row>
    <row r="578" ht="15.75" customHeight="1">
      <c r="A578" s="5"/>
      <c r="B578" s="5"/>
      <c r="C578" s="5"/>
      <c r="D578" s="5"/>
      <c r="K578" s="5"/>
    </row>
    <row r="579" ht="15.75" customHeight="1">
      <c r="A579" s="5"/>
      <c r="B579" s="5"/>
      <c r="C579" s="5"/>
      <c r="D579" s="5"/>
      <c r="K579" s="5"/>
    </row>
    <row r="580" ht="15.75" customHeight="1">
      <c r="A580" s="5"/>
      <c r="B580" s="5"/>
      <c r="C580" s="5"/>
      <c r="D580" s="5"/>
      <c r="K580" s="5"/>
    </row>
    <row r="581" ht="15.75" customHeight="1">
      <c r="A581" s="5"/>
      <c r="B581" s="5"/>
      <c r="C581" s="5"/>
      <c r="D581" s="5"/>
      <c r="K581" s="5"/>
    </row>
    <row r="582" ht="15.75" customHeight="1">
      <c r="A582" s="5"/>
      <c r="B582" s="5"/>
      <c r="C582" s="5"/>
      <c r="D582" s="5"/>
      <c r="K582" s="5"/>
    </row>
    <row r="583" ht="15.75" customHeight="1">
      <c r="A583" s="5"/>
      <c r="B583" s="5"/>
      <c r="C583" s="5"/>
      <c r="D583" s="5"/>
      <c r="K583" s="5"/>
    </row>
    <row r="584" ht="15.75" customHeight="1">
      <c r="A584" s="5"/>
      <c r="B584" s="5"/>
      <c r="C584" s="5"/>
      <c r="D584" s="5"/>
      <c r="K584" s="5"/>
    </row>
    <row r="585" ht="15.75" customHeight="1">
      <c r="A585" s="5"/>
      <c r="B585" s="5"/>
      <c r="C585" s="5"/>
      <c r="D585" s="5"/>
      <c r="K585" s="5"/>
    </row>
    <row r="586" ht="15.75" customHeight="1">
      <c r="A586" s="5"/>
      <c r="B586" s="5"/>
      <c r="C586" s="5"/>
      <c r="D586" s="5"/>
      <c r="K586" s="5"/>
    </row>
    <row r="587" ht="15.75" customHeight="1">
      <c r="A587" s="5"/>
      <c r="B587" s="5"/>
      <c r="C587" s="5"/>
      <c r="D587" s="5"/>
      <c r="K587" s="5"/>
    </row>
    <row r="588" ht="15.75" customHeight="1">
      <c r="A588" s="5"/>
      <c r="B588" s="5"/>
      <c r="C588" s="5"/>
      <c r="D588" s="5"/>
      <c r="K588" s="5"/>
    </row>
    <row r="589" ht="15.75" customHeight="1">
      <c r="A589" s="5"/>
      <c r="B589" s="5"/>
      <c r="C589" s="5"/>
      <c r="D589" s="5"/>
      <c r="K589" s="5"/>
    </row>
    <row r="590" ht="15.75" customHeight="1">
      <c r="A590" s="5"/>
      <c r="B590" s="5"/>
      <c r="C590" s="5"/>
      <c r="D590" s="5"/>
      <c r="K590" s="5"/>
    </row>
    <row r="591" ht="15.75" customHeight="1">
      <c r="A591" s="5"/>
      <c r="B591" s="5"/>
      <c r="C591" s="5"/>
      <c r="D591" s="5"/>
      <c r="K591" s="5"/>
    </row>
    <row r="592" ht="15.75" customHeight="1">
      <c r="A592" s="5"/>
      <c r="B592" s="5"/>
      <c r="C592" s="5"/>
      <c r="D592" s="5"/>
      <c r="K592" s="5"/>
    </row>
    <row r="593" ht="15.75" customHeight="1">
      <c r="A593" s="5"/>
      <c r="B593" s="5"/>
      <c r="C593" s="5"/>
      <c r="D593" s="5"/>
      <c r="K593" s="5"/>
    </row>
    <row r="594" ht="15.75" customHeight="1">
      <c r="A594" s="5"/>
      <c r="B594" s="5"/>
      <c r="C594" s="5"/>
      <c r="D594" s="5"/>
      <c r="K594" s="5"/>
    </row>
    <row r="595" ht="15.75" customHeight="1">
      <c r="A595" s="5"/>
      <c r="B595" s="5"/>
      <c r="C595" s="5"/>
      <c r="D595" s="5"/>
      <c r="K595" s="5"/>
    </row>
    <row r="596" ht="15.75" customHeight="1">
      <c r="A596" s="5"/>
      <c r="B596" s="5"/>
      <c r="C596" s="5"/>
      <c r="D596" s="5"/>
      <c r="K596" s="5"/>
    </row>
    <row r="597" ht="15.75" customHeight="1">
      <c r="A597" s="5"/>
      <c r="B597" s="5"/>
      <c r="C597" s="5"/>
      <c r="D597" s="5"/>
      <c r="K597" s="5"/>
    </row>
    <row r="598" ht="15.75" customHeight="1">
      <c r="A598" s="5"/>
      <c r="B598" s="5"/>
      <c r="C598" s="5"/>
      <c r="D598" s="5"/>
      <c r="K598" s="5"/>
    </row>
    <row r="599" ht="15.75" customHeight="1">
      <c r="A599" s="5"/>
      <c r="B599" s="5"/>
      <c r="C599" s="5"/>
      <c r="D599" s="5"/>
      <c r="K599" s="5"/>
    </row>
    <row r="600" ht="15.75" customHeight="1">
      <c r="A600" s="5"/>
      <c r="B600" s="5"/>
      <c r="C600" s="5"/>
      <c r="D600" s="5"/>
      <c r="K600" s="5"/>
    </row>
    <row r="601" ht="15.75" customHeight="1">
      <c r="A601" s="5"/>
      <c r="B601" s="5"/>
      <c r="C601" s="5"/>
      <c r="D601" s="5"/>
      <c r="K601" s="5"/>
    </row>
    <row r="602" ht="15.75" customHeight="1">
      <c r="A602" s="5"/>
      <c r="B602" s="5"/>
      <c r="C602" s="5"/>
      <c r="D602" s="5"/>
      <c r="K602" s="5"/>
    </row>
    <row r="603" ht="15.75" customHeight="1">
      <c r="A603" s="5"/>
      <c r="B603" s="5"/>
      <c r="C603" s="5"/>
      <c r="D603" s="5"/>
      <c r="K603" s="5"/>
    </row>
    <row r="604" ht="15.75" customHeight="1">
      <c r="A604" s="5"/>
      <c r="B604" s="5"/>
      <c r="C604" s="5"/>
      <c r="D604" s="5"/>
      <c r="K604" s="5"/>
    </row>
    <row r="605" ht="15.75" customHeight="1">
      <c r="A605" s="5"/>
      <c r="B605" s="5"/>
      <c r="C605" s="5"/>
      <c r="D605" s="5"/>
      <c r="K605" s="5"/>
    </row>
    <row r="606" ht="15.75" customHeight="1">
      <c r="A606" s="5"/>
      <c r="B606" s="5"/>
      <c r="C606" s="5"/>
      <c r="D606" s="5"/>
      <c r="K606" s="5"/>
    </row>
    <row r="607" ht="15.75" customHeight="1">
      <c r="A607" s="5"/>
      <c r="B607" s="5"/>
      <c r="C607" s="5"/>
      <c r="D607" s="5"/>
      <c r="K607" s="5"/>
    </row>
    <row r="608" ht="15.75" customHeight="1">
      <c r="A608" s="5"/>
      <c r="B608" s="5"/>
      <c r="C608" s="5"/>
      <c r="D608" s="5"/>
      <c r="K608" s="5"/>
    </row>
    <row r="609" ht="15.75" customHeight="1">
      <c r="A609" s="5"/>
      <c r="B609" s="5"/>
      <c r="C609" s="5"/>
      <c r="D609" s="5"/>
      <c r="K609" s="5"/>
    </row>
    <row r="610" ht="15.75" customHeight="1">
      <c r="A610" s="5"/>
      <c r="B610" s="5"/>
      <c r="C610" s="5"/>
      <c r="D610" s="5"/>
      <c r="K610" s="5"/>
    </row>
    <row r="611" ht="15.75" customHeight="1">
      <c r="A611" s="5"/>
      <c r="B611" s="5"/>
      <c r="C611" s="5"/>
      <c r="D611" s="5"/>
      <c r="K611" s="5"/>
    </row>
    <row r="612" ht="15.75" customHeight="1">
      <c r="A612" s="5"/>
      <c r="B612" s="5"/>
      <c r="C612" s="5"/>
      <c r="D612" s="5"/>
      <c r="K612" s="5"/>
    </row>
    <row r="613" ht="15.75" customHeight="1">
      <c r="A613" s="5"/>
      <c r="B613" s="5"/>
      <c r="C613" s="5"/>
      <c r="D613" s="5"/>
      <c r="K613" s="5"/>
    </row>
    <row r="614" ht="15.75" customHeight="1">
      <c r="A614" s="5"/>
      <c r="B614" s="5"/>
      <c r="C614" s="5"/>
      <c r="D614" s="5"/>
      <c r="K614" s="5"/>
    </row>
    <row r="615" ht="15.75" customHeight="1">
      <c r="A615" s="5"/>
      <c r="B615" s="5"/>
      <c r="C615" s="5"/>
      <c r="D615" s="5"/>
      <c r="K615" s="5"/>
    </row>
    <row r="616" ht="15.75" customHeight="1">
      <c r="A616" s="5"/>
      <c r="B616" s="5"/>
      <c r="C616" s="5"/>
      <c r="D616" s="5"/>
      <c r="K616" s="5"/>
    </row>
    <row r="617" ht="15.75" customHeight="1">
      <c r="A617" s="5"/>
      <c r="B617" s="5"/>
      <c r="C617" s="5"/>
      <c r="D617" s="5"/>
      <c r="K617" s="5"/>
    </row>
    <row r="618" ht="15.75" customHeight="1">
      <c r="A618" s="5"/>
      <c r="B618" s="5"/>
      <c r="C618" s="5"/>
      <c r="D618" s="5"/>
      <c r="K618" s="5"/>
    </row>
    <row r="619" ht="15.75" customHeight="1">
      <c r="A619" s="5"/>
      <c r="B619" s="5"/>
      <c r="C619" s="5"/>
      <c r="D619" s="5"/>
      <c r="K619" s="5"/>
    </row>
    <row r="620" ht="15.75" customHeight="1">
      <c r="A620" s="5"/>
      <c r="B620" s="5"/>
      <c r="C620" s="5"/>
      <c r="D620" s="5"/>
      <c r="K620" s="5"/>
    </row>
    <row r="621" ht="15.75" customHeight="1">
      <c r="A621" s="5"/>
      <c r="B621" s="5"/>
      <c r="C621" s="5"/>
      <c r="D621" s="5"/>
      <c r="K621" s="5"/>
    </row>
    <row r="622" ht="15.75" customHeight="1">
      <c r="A622" s="5"/>
      <c r="B622" s="5"/>
      <c r="C622" s="5"/>
      <c r="D622" s="5"/>
      <c r="K622" s="5"/>
    </row>
    <row r="623" ht="15.75" customHeight="1">
      <c r="A623" s="5"/>
      <c r="B623" s="5"/>
      <c r="C623" s="5"/>
      <c r="D623" s="5"/>
      <c r="K623" s="5"/>
    </row>
    <row r="624" ht="15.75" customHeight="1">
      <c r="A624" s="5"/>
      <c r="B624" s="5"/>
      <c r="C624" s="5"/>
      <c r="D624" s="5"/>
      <c r="K624" s="5"/>
    </row>
    <row r="625" ht="15.75" customHeight="1">
      <c r="A625" s="5"/>
      <c r="B625" s="5"/>
      <c r="C625" s="5"/>
      <c r="D625" s="5"/>
      <c r="K625" s="5"/>
    </row>
    <row r="626" ht="15.75" customHeight="1">
      <c r="A626" s="5"/>
      <c r="B626" s="5"/>
      <c r="C626" s="5"/>
      <c r="D626" s="5"/>
      <c r="K626" s="5"/>
    </row>
    <row r="627" ht="15.75" customHeight="1">
      <c r="A627" s="5"/>
      <c r="B627" s="5"/>
      <c r="C627" s="5"/>
      <c r="D627" s="5"/>
      <c r="K627" s="5"/>
    </row>
    <row r="628" ht="15.75" customHeight="1">
      <c r="A628" s="5"/>
      <c r="B628" s="5"/>
      <c r="C628" s="5"/>
      <c r="D628" s="5"/>
      <c r="K628" s="5"/>
    </row>
    <row r="629" ht="15.75" customHeight="1">
      <c r="A629" s="5"/>
      <c r="B629" s="5"/>
      <c r="C629" s="5"/>
      <c r="D629" s="5"/>
      <c r="K629" s="5"/>
    </row>
    <row r="630" ht="15.75" customHeight="1">
      <c r="A630" s="5"/>
      <c r="B630" s="5"/>
      <c r="C630" s="5"/>
      <c r="D630" s="5"/>
      <c r="K630" s="5"/>
    </row>
    <row r="631" ht="15.75" customHeight="1">
      <c r="A631" s="5"/>
      <c r="B631" s="5"/>
      <c r="C631" s="5"/>
      <c r="D631" s="5"/>
      <c r="K631" s="5"/>
    </row>
    <row r="632" ht="15.75" customHeight="1">
      <c r="A632" s="5"/>
      <c r="B632" s="5"/>
      <c r="C632" s="5"/>
      <c r="D632" s="5"/>
      <c r="K632" s="5"/>
    </row>
    <row r="633" ht="15.75" customHeight="1">
      <c r="A633" s="5"/>
      <c r="B633" s="5"/>
      <c r="C633" s="5"/>
      <c r="D633" s="5"/>
      <c r="K633" s="5"/>
    </row>
    <row r="634" ht="15.75" customHeight="1">
      <c r="A634" s="5"/>
      <c r="B634" s="5"/>
      <c r="C634" s="5"/>
      <c r="D634" s="5"/>
      <c r="K634" s="5"/>
    </row>
    <row r="635" ht="15.75" customHeight="1">
      <c r="A635" s="5"/>
      <c r="B635" s="5"/>
      <c r="C635" s="5"/>
      <c r="D635" s="5"/>
      <c r="K635" s="5"/>
    </row>
    <row r="636" ht="15.75" customHeight="1">
      <c r="A636" s="5"/>
      <c r="B636" s="5"/>
      <c r="C636" s="5"/>
      <c r="D636" s="5"/>
      <c r="K636" s="5"/>
    </row>
    <row r="637" ht="15.75" customHeight="1">
      <c r="A637" s="5"/>
      <c r="B637" s="5"/>
      <c r="C637" s="5"/>
      <c r="D637" s="5"/>
      <c r="K637" s="5"/>
    </row>
    <row r="638" ht="15.75" customHeight="1">
      <c r="A638" s="5"/>
      <c r="B638" s="5"/>
      <c r="C638" s="5"/>
      <c r="D638" s="5"/>
      <c r="K638" s="5"/>
    </row>
    <row r="639" ht="15.75" customHeight="1">
      <c r="A639" s="5"/>
      <c r="B639" s="5"/>
      <c r="C639" s="5"/>
      <c r="D639" s="5"/>
      <c r="K639" s="5"/>
    </row>
    <row r="640" ht="15.75" customHeight="1">
      <c r="A640" s="5"/>
      <c r="B640" s="5"/>
      <c r="C640" s="5"/>
      <c r="D640" s="5"/>
      <c r="K640" s="5"/>
    </row>
    <row r="641" ht="15.75" customHeight="1">
      <c r="A641" s="5"/>
      <c r="B641" s="5"/>
      <c r="C641" s="5"/>
      <c r="D641" s="5"/>
      <c r="K641" s="5"/>
    </row>
    <row r="642" ht="15.75" customHeight="1">
      <c r="A642" s="5"/>
      <c r="B642" s="5"/>
      <c r="C642" s="5"/>
      <c r="D642" s="5"/>
      <c r="K642" s="5"/>
    </row>
    <row r="643" ht="15.75" customHeight="1">
      <c r="A643" s="5"/>
      <c r="B643" s="5"/>
      <c r="C643" s="5"/>
      <c r="D643" s="5"/>
      <c r="K643" s="5"/>
    </row>
    <row r="644" ht="15.75" customHeight="1">
      <c r="A644" s="5"/>
      <c r="B644" s="5"/>
      <c r="C644" s="5"/>
      <c r="D644" s="5"/>
      <c r="K644" s="5"/>
    </row>
    <row r="645" ht="15.75" customHeight="1">
      <c r="A645" s="5"/>
      <c r="B645" s="5"/>
      <c r="C645" s="5"/>
      <c r="D645" s="5"/>
      <c r="K645" s="5"/>
    </row>
    <row r="646" ht="15.75" customHeight="1">
      <c r="A646" s="5"/>
      <c r="B646" s="5"/>
      <c r="C646" s="5"/>
      <c r="D646" s="5"/>
      <c r="K646" s="5"/>
    </row>
    <row r="647" ht="15.75" customHeight="1">
      <c r="A647" s="5"/>
      <c r="B647" s="5"/>
      <c r="C647" s="5"/>
      <c r="D647" s="5"/>
      <c r="K647" s="5"/>
    </row>
    <row r="648" ht="15.75" customHeight="1">
      <c r="A648" s="5"/>
      <c r="B648" s="5"/>
      <c r="C648" s="5"/>
      <c r="D648" s="5"/>
      <c r="K648" s="5"/>
    </row>
    <row r="649" ht="15.75" customHeight="1">
      <c r="A649" s="5"/>
      <c r="B649" s="5"/>
      <c r="C649" s="5"/>
      <c r="D649" s="5"/>
      <c r="K649" s="5"/>
    </row>
    <row r="650" ht="15.75" customHeight="1">
      <c r="A650" s="5"/>
      <c r="B650" s="5"/>
      <c r="C650" s="5"/>
      <c r="D650" s="5"/>
      <c r="K650" s="5"/>
    </row>
    <row r="651" ht="15.75" customHeight="1">
      <c r="A651" s="5"/>
      <c r="B651" s="5"/>
      <c r="C651" s="5"/>
      <c r="D651" s="5"/>
      <c r="K651" s="5"/>
    </row>
    <row r="652" ht="15.75" customHeight="1">
      <c r="A652" s="5"/>
      <c r="B652" s="5"/>
      <c r="C652" s="5"/>
      <c r="D652" s="5"/>
      <c r="K652" s="5"/>
    </row>
    <row r="653" ht="15.75" customHeight="1">
      <c r="A653" s="5"/>
      <c r="B653" s="5"/>
      <c r="C653" s="5"/>
      <c r="D653" s="5"/>
      <c r="K653" s="5"/>
    </row>
    <row r="654" ht="15.75" customHeight="1">
      <c r="A654" s="5"/>
      <c r="B654" s="5"/>
      <c r="C654" s="5"/>
      <c r="D654" s="5"/>
      <c r="K654" s="5"/>
    </row>
    <row r="655" ht="15.75" customHeight="1">
      <c r="A655" s="5"/>
      <c r="B655" s="5"/>
      <c r="C655" s="5"/>
      <c r="D655" s="5"/>
      <c r="K655" s="5"/>
    </row>
    <row r="656" ht="15.75" customHeight="1">
      <c r="A656" s="5"/>
      <c r="B656" s="5"/>
      <c r="C656" s="5"/>
      <c r="D656" s="5"/>
      <c r="K656" s="5"/>
    </row>
    <row r="657" ht="15.75" customHeight="1">
      <c r="A657" s="5"/>
      <c r="B657" s="5"/>
      <c r="C657" s="5"/>
      <c r="D657" s="5"/>
      <c r="K657" s="5"/>
    </row>
    <row r="658" ht="15.75" customHeight="1">
      <c r="A658" s="5"/>
      <c r="B658" s="5"/>
      <c r="C658" s="5"/>
      <c r="D658" s="5"/>
      <c r="K658" s="5"/>
    </row>
    <row r="659" ht="15.75" customHeight="1">
      <c r="A659" s="5"/>
      <c r="B659" s="5"/>
      <c r="C659" s="5"/>
      <c r="D659" s="5"/>
      <c r="K659" s="5"/>
    </row>
    <row r="660" ht="15.75" customHeight="1">
      <c r="A660" s="5"/>
      <c r="B660" s="5"/>
      <c r="C660" s="5"/>
      <c r="D660" s="5"/>
      <c r="K660" s="5"/>
    </row>
    <row r="661" ht="15.75" customHeight="1">
      <c r="A661" s="5"/>
      <c r="B661" s="5"/>
      <c r="C661" s="5"/>
      <c r="D661" s="5"/>
      <c r="K661" s="5"/>
    </row>
    <row r="662" ht="15.75" customHeight="1">
      <c r="A662" s="5"/>
      <c r="B662" s="5"/>
      <c r="C662" s="5"/>
      <c r="D662" s="5"/>
      <c r="K662" s="5"/>
    </row>
    <row r="663" ht="15.75" customHeight="1">
      <c r="A663" s="5"/>
      <c r="B663" s="5"/>
      <c r="C663" s="5"/>
      <c r="D663" s="5"/>
      <c r="K663" s="5"/>
    </row>
    <row r="664" ht="15.75" customHeight="1">
      <c r="A664" s="5"/>
      <c r="B664" s="5"/>
      <c r="C664" s="5"/>
      <c r="D664" s="5"/>
      <c r="K664" s="5"/>
    </row>
    <row r="665" ht="15.75" customHeight="1">
      <c r="A665" s="5"/>
      <c r="B665" s="5"/>
      <c r="C665" s="5"/>
      <c r="D665" s="5"/>
      <c r="K665" s="5"/>
    </row>
    <row r="666" ht="15.75" customHeight="1">
      <c r="A666" s="5"/>
      <c r="B666" s="5"/>
      <c r="C666" s="5"/>
      <c r="D666" s="5"/>
      <c r="K666" s="5"/>
    </row>
    <row r="667" ht="15.75" customHeight="1">
      <c r="A667" s="5"/>
      <c r="B667" s="5"/>
      <c r="C667" s="5"/>
      <c r="D667" s="5"/>
      <c r="K667" s="5"/>
    </row>
    <row r="668" ht="15.75" customHeight="1">
      <c r="A668" s="5"/>
      <c r="B668" s="5"/>
      <c r="C668" s="5"/>
      <c r="D668" s="5"/>
      <c r="K668" s="5"/>
    </row>
    <row r="669" ht="15.75" customHeight="1">
      <c r="A669" s="5"/>
      <c r="B669" s="5"/>
      <c r="C669" s="5"/>
      <c r="D669" s="5"/>
      <c r="K669" s="5"/>
    </row>
    <row r="670" ht="15.75" customHeight="1">
      <c r="A670" s="5"/>
      <c r="B670" s="5"/>
      <c r="C670" s="5"/>
      <c r="D670" s="5"/>
      <c r="K670" s="5"/>
    </row>
    <row r="671" ht="15.75" customHeight="1">
      <c r="A671" s="5"/>
      <c r="B671" s="5"/>
      <c r="C671" s="5"/>
      <c r="D671" s="5"/>
      <c r="K671" s="5"/>
    </row>
    <row r="672" ht="15.75" customHeight="1">
      <c r="A672" s="5"/>
      <c r="B672" s="5"/>
      <c r="C672" s="5"/>
      <c r="D672" s="5"/>
      <c r="K672" s="5"/>
    </row>
    <row r="673" ht="15.75" customHeight="1">
      <c r="A673" s="5"/>
      <c r="B673" s="5"/>
      <c r="C673" s="5"/>
      <c r="D673" s="5"/>
      <c r="K673" s="5"/>
    </row>
    <row r="674" ht="15.75" customHeight="1">
      <c r="A674" s="5"/>
      <c r="B674" s="5"/>
      <c r="C674" s="5"/>
      <c r="D674" s="5"/>
      <c r="K674" s="5"/>
    </row>
    <row r="675" ht="15.75" customHeight="1">
      <c r="A675" s="5"/>
      <c r="B675" s="5"/>
      <c r="C675" s="5"/>
      <c r="D675" s="5"/>
      <c r="K675" s="5"/>
    </row>
    <row r="676" ht="15.75" customHeight="1">
      <c r="A676" s="5"/>
      <c r="B676" s="5"/>
      <c r="C676" s="5"/>
      <c r="D676" s="5"/>
      <c r="K676" s="5"/>
    </row>
    <row r="677" ht="15.75" customHeight="1">
      <c r="A677" s="5"/>
      <c r="B677" s="5"/>
      <c r="C677" s="5"/>
      <c r="D677" s="5"/>
      <c r="K677" s="5"/>
    </row>
    <row r="678" ht="15.75" customHeight="1">
      <c r="A678" s="5"/>
      <c r="B678" s="5"/>
      <c r="C678" s="5"/>
      <c r="D678" s="5"/>
      <c r="K678" s="5"/>
    </row>
    <row r="679" ht="15.75" customHeight="1">
      <c r="A679" s="5"/>
      <c r="B679" s="5"/>
      <c r="C679" s="5"/>
      <c r="D679" s="5"/>
      <c r="K679" s="5"/>
    </row>
    <row r="680" ht="15.75" customHeight="1">
      <c r="A680" s="5"/>
      <c r="B680" s="5"/>
      <c r="C680" s="5"/>
      <c r="D680" s="5"/>
      <c r="K680" s="5"/>
    </row>
    <row r="681" ht="15.75" customHeight="1">
      <c r="A681" s="5"/>
      <c r="B681" s="5"/>
      <c r="C681" s="5"/>
      <c r="D681" s="5"/>
      <c r="K681" s="5"/>
    </row>
    <row r="682" ht="15.75" customHeight="1">
      <c r="A682" s="5"/>
      <c r="B682" s="5"/>
      <c r="C682" s="5"/>
      <c r="D682" s="5"/>
      <c r="K682" s="5"/>
    </row>
    <row r="683" ht="15.75" customHeight="1">
      <c r="A683" s="5"/>
      <c r="B683" s="5"/>
      <c r="C683" s="5"/>
      <c r="D683" s="5"/>
      <c r="K683" s="5"/>
    </row>
    <row r="684" ht="15.75" customHeight="1">
      <c r="A684" s="5"/>
      <c r="B684" s="5"/>
      <c r="C684" s="5"/>
      <c r="D684" s="5"/>
      <c r="K684" s="5"/>
    </row>
    <row r="685" ht="15.75" customHeight="1">
      <c r="A685" s="5"/>
      <c r="B685" s="5"/>
      <c r="C685" s="5"/>
      <c r="D685" s="5"/>
      <c r="K685" s="5"/>
    </row>
    <row r="686" ht="15.75" customHeight="1">
      <c r="A686" s="5"/>
      <c r="B686" s="5"/>
      <c r="C686" s="5"/>
      <c r="D686" s="5"/>
      <c r="K686" s="5"/>
    </row>
    <row r="687" ht="15.75" customHeight="1">
      <c r="A687" s="5"/>
      <c r="B687" s="5"/>
      <c r="C687" s="5"/>
      <c r="D687" s="5"/>
      <c r="K687" s="5"/>
    </row>
    <row r="688" ht="15.75" customHeight="1">
      <c r="A688" s="5"/>
      <c r="B688" s="5"/>
      <c r="C688" s="5"/>
      <c r="D688" s="5"/>
      <c r="K688" s="5"/>
    </row>
    <row r="689" ht="15.75" customHeight="1">
      <c r="A689" s="5"/>
      <c r="B689" s="5"/>
      <c r="C689" s="5"/>
      <c r="D689" s="5"/>
      <c r="K689" s="5"/>
    </row>
    <row r="690" ht="15.75" customHeight="1">
      <c r="A690" s="5"/>
      <c r="B690" s="5"/>
      <c r="C690" s="5"/>
      <c r="D690" s="5"/>
      <c r="K690" s="5"/>
    </row>
    <row r="691" ht="15.75" customHeight="1">
      <c r="A691" s="5"/>
      <c r="B691" s="5"/>
      <c r="C691" s="5"/>
      <c r="D691" s="5"/>
      <c r="K691" s="5"/>
    </row>
    <row r="692" ht="15.75" customHeight="1">
      <c r="A692" s="5"/>
      <c r="B692" s="5"/>
      <c r="C692" s="5"/>
      <c r="D692" s="5"/>
      <c r="K692" s="5"/>
    </row>
    <row r="693" ht="15.75" customHeight="1">
      <c r="A693" s="5"/>
      <c r="B693" s="5"/>
      <c r="C693" s="5"/>
      <c r="D693" s="5"/>
      <c r="K693" s="5"/>
    </row>
    <row r="694" ht="15.75" customHeight="1">
      <c r="A694" s="5"/>
      <c r="B694" s="5"/>
      <c r="C694" s="5"/>
      <c r="D694" s="5"/>
      <c r="K694" s="5"/>
    </row>
    <row r="695" ht="15.75" customHeight="1">
      <c r="A695" s="5"/>
      <c r="B695" s="5"/>
      <c r="C695" s="5"/>
      <c r="D695" s="5"/>
      <c r="K695" s="5"/>
    </row>
    <row r="696" ht="15.75" customHeight="1">
      <c r="A696" s="5"/>
      <c r="B696" s="5"/>
      <c r="C696" s="5"/>
      <c r="D696" s="5"/>
      <c r="K696" s="5"/>
    </row>
    <row r="697" ht="15.75" customHeight="1">
      <c r="A697" s="5"/>
      <c r="B697" s="5"/>
      <c r="C697" s="5"/>
      <c r="D697" s="5"/>
      <c r="K697" s="5"/>
    </row>
    <row r="698" ht="15.75" customHeight="1">
      <c r="A698" s="5"/>
      <c r="B698" s="5"/>
      <c r="C698" s="5"/>
      <c r="D698" s="5"/>
      <c r="K698" s="5"/>
    </row>
    <row r="699" ht="15.75" customHeight="1">
      <c r="A699" s="5"/>
      <c r="B699" s="5"/>
      <c r="C699" s="5"/>
      <c r="D699" s="5"/>
      <c r="K699" s="5"/>
    </row>
    <row r="700" ht="15.75" customHeight="1">
      <c r="A700" s="5"/>
      <c r="B700" s="5"/>
      <c r="C700" s="5"/>
      <c r="D700" s="5"/>
      <c r="K700" s="5"/>
    </row>
    <row r="701" ht="15.75" customHeight="1">
      <c r="A701" s="5"/>
      <c r="B701" s="5"/>
      <c r="C701" s="5"/>
      <c r="D701" s="5"/>
      <c r="K701" s="5"/>
    </row>
    <row r="702" ht="15.75" customHeight="1">
      <c r="A702" s="5"/>
      <c r="B702" s="5"/>
      <c r="C702" s="5"/>
      <c r="D702" s="5"/>
      <c r="K702" s="5"/>
    </row>
    <row r="703" ht="15.75" customHeight="1">
      <c r="A703" s="5"/>
      <c r="B703" s="5"/>
      <c r="C703" s="5"/>
      <c r="D703" s="5"/>
      <c r="K703" s="5"/>
    </row>
    <row r="704" ht="15.75" customHeight="1">
      <c r="A704" s="5"/>
      <c r="B704" s="5"/>
      <c r="C704" s="5"/>
      <c r="D704" s="5"/>
      <c r="K704" s="5"/>
    </row>
    <row r="705" ht="15.75" customHeight="1">
      <c r="A705" s="5"/>
      <c r="B705" s="5"/>
      <c r="C705" s="5"/>
      <c r="D705" s="5"/>
      <c r="K705" s="5"/>
    </row>
    <row r="706" ht="15.75" customHeight="1">
      <c r="A706" s="5"/>
      <c r="B706" s="5"/>
      <c r="C706" s="5"/>
      <c r="D706" s="5"/>
      <c r="K706" s="5"/>
    </row>
    <row r="707" ht="15.75" customHeight="1">
      <c r="A707" s="5"/>
      <c r="B707" s="5"/>
      <c r="C707" s="5"/>
      <c r="D707" s="5"/>
      <c r="K707" s="5"/>
    </row>
    <row r="708" ht="15.75" customHeight="1">
      <c r="A708" s="5"/>
      <c r="B708" s="5"/>
      <c r="C708" s="5"/>
      <c r="D708" s="5"/>
      <c r="K708" s="5"/>
    </row>
    <row r="709" ht="15.75" customHeight="1">
      <c r="A709" s="5"/>
      <c r="B709" s="5"/>
      <c r="C709" s="5"/>
      <c r="D709" s="5"/>
      <c r="K709" s="5"/>
    </row>
    <row r="710" ht="15.75" customHeight="1">
      <c r="A710" s="5"/>
      <c r="B710" s="5"/>
      <c r="C710" s="5"/>
      <c r="D710" s="5"/>
      <c r="K710" s="5"/>
    </row>
    <row r="711" ht="15.75" customHeight="1">
      <c r="A711" s="5"/>
      <c r="B711" s="5"/>
      <c r="C711" s="5"/>
      <c r="D711" s="5"/>
      <c r="K711" s="5"/>
    </row>
    <row r="712" ht="15.75" customHeight="1">
      <c r="A712" s="5"/>
      <c r="B712" s="5"/>
      <c r="C712" s="5"/>
      <c r="D712" s="5"/>
      <c r="K712" s="5"/>
    </row>
    <row r="713" ht="15.75" customHeight="1">
      <c r="A713" s="5"/>
      <c r="B713" s="5"/>
      <c r="C713" s="5"/>
      <c r="D713" s="5"/>
      <c r="K713" s="5"/>
    </row>
    <row r="714" ht="15.75" customHeight="1">
      <c r="A714" s="5"/>
      <c r="B714" s="5"/>
      <c r="C714" s="5"/>
      <c r="D714" s="5"/>
      <c r="K714" s="5"/>
    </row>
    <row r="715" ht="15.75" customHeight="1">
      <c r="A715" s="5"/>
      <c r="B715" s="5"/>
      <c r="C715" s="5"/>
      <c r="D715" s="5"/>
      <c r="K715" s="5"/>
    </row>
    <row r="716" ht="15.75" customHeight="1">
      <c r="A716" s="5"/>
      <c r="B716" s="5"/>
      <c r="C716" s="5"/>
      <c r="D716" s="5"/>
      <c r="K716" s="5"/>
    </row>
    <row r="717" ht="15.75" customHeight="1">
      <c r="A717" s="5"/>
      <c r="B717" s="5"/>
      <c r="C717" s="5"/>
      <c r="D717" s="5"/>
      <c r="K717" s="5"/>
    </row>
    <row r="718" ht="15.75" customHeight="1">
      <c r="A718" s="5"/>
      <c r="B718" s="5"/>
      <c r="C718" s="5"/>
      <c r="D718" s="5"/>
      <c r="K718" s="5"/>
    </row>
    <row r="719" ht="15.75" customHeight="1">
      <c r="A719" s="5"/>
      <c r="B719" s="5"/>
      <c r="C719" s="5"/>
      <c r="D719" s="5"/>
      <c r="K719" s="5"/>
    </row>
    <row r="720" ht="15.75" customHeight="1">
      <c r="A720" s="5"/>
      <c r="B720" s="5"/>
      <c r="C720" s="5"/>
      <c r="D720" s="5"/>
      <c r="K720" s="5"/>
    </row>
    <row r="721" ht="15.75" customHeight="1">
      <c r="A721" s="5"/>
      <c r="B721" s="5"/>
      <c r="C721" s="5"/>
      <c r="D721" s="5"/>
      <c r="K721" s="5"/>
    </row>
    <row r="722" ht="15.75" customHeight="1">
      <c r="A722" s="5"/>
      <c r="B722" s="5"/>
      <c r="C722" s="5"/>
      <c r="D722" s="5"/>
      <c r="K722" s="5"/>
    </row>
    <row r="723" ht="15.75" customHeight="1">
      <c r="A723" s="5"/>
      <c r="B723" s="5"/>
      <c r="C723" s="5"/>
      <c r="D723" s="5"/>
      <c r="K723" s="5"/>
    </row>
    <row r="724" ht="15.75" customHeight="1">
      <c r="A724" s="5"/>
      <c r="B724" s="5"/>
      <c r="C724" s="5"/>
      <c r="D724" s="5"/>
      <c r="K724" s="5"/>
    </row>
    <row r="725" ht="15.75" customHeight="1">
      <c r="A725" s="5"/>
      <c r="B725" s="5"/>
      <c r="C725" s="5"/>
      <c r="D725" s="5"/>
      <c r="K725" s="5"/>
    </row>
    <row r="726" ht="15.75" customHeight="1">
      <c r="A726" s="5"/>
      <c r="B726" s="5"/>
      <c r="C726" s="5"/>
      <c r="D726" s="5"/>
      <c r="K726" s="5"/>
    </row>
    <row r="727" ht="15.75" customHeight="1">
      <c r="A727" s="5"/>
      <c r="B727" s="5"/>
      <c r="C727" s="5"/>
      <c r="D727" s="5"/>
      <c r="K727" s="5"/>
    </row>
    <row r="728" ht="15.75" customHeight="1">
      <c r="A728" s="5"/>
      <c r="B728" s="5"/>
      <c r="C728" s="5"/>
      <c r="D728" s="5"/>
      <c r="K728" s="5"/>
    </row>
    <row r="729" ht="15.75" customHeight="1">
      <c r="A729" s="5"/>
      <c r="B729" s="5"/>
      <c r="C729" s="5"/>
      <c r="D729" s="5"/>
      <c r="K729" s="5"/>
    </row>
    <row r="730" ht="15.75" customHeight="1">
      <c r="A730" s="5"/>
      <c r="B730" s="5"/>
      <c r="C730" s="5"/>
      <c r="D730" s="5"/>
      <c r="K730" s="5"/>
    </row>
    <row r="731" ht="15.75" customHeight="1">
      <c r="A731" s="5"/>
      <c r="B731" s="5"/>
      <c r="C731" s="5"/>
      <c r="D731" s="5"/>
      <c r="K731" s="5"/>
    </row>
    <row r="732" ht="15.75" customHeight="1">
      <c r="A732" s="5"/>
      <c r="B732" s="5"/>
      <c r="C732" s="5"/>
      <c r="D732" s="5"/>
      <c r="K732" s="5"/>
    </row>
    <row r="733" ht="15.75" customHeight="1">
      <c r="A733" s="5"/>
      <c r="B733" s="5"/>
      <c r="C733" s="5"/>
      <c r="D733" s="5"/>
      <c r="K733" s="5"/>
    </row>
    <row r="734" ht="15.75" customHeight="1">
      <c r="A734" s="5"/>
      <c r="B734" s="5"/>
      <c r="C734" s="5"/>
      <c r="D734" s="5"/>
      <c r="K734" s="5"/>
    </row>
    <row r="735" ht="15.75" customHeight="1">
      <c r="A735" s="5"/>
      <c r="B735" s="5"/>
      <c r="C735" s="5"/>
      <c r="D735" s="5"/>
      <c r="K735" s="5"/>
    </row>
    <row r="736" ht="15.75" customHeight="1">
      <c r="A736" s="5"/>
      <c r="B736" s="5"/>
      <c r="C736" s="5"/>
      <c r="D736" s="5"/>
      <c r="K736" s="5"/>
    </row>
    <row r="737" ht="15.75" customHeight="1">
      <c r="A737" s="5"/>
      <c r="B737" s="5"/>
      <c r="C737" s="5"/>
      <c r="D737" s="5"/>
      <c r="K737" s="5"/>
    </row>
    <row r="738" ht="15.75" customHeight="1">
      <c r="A738" s="5"/>
      <c r="B738" s="5"/>
      <c r="C738" s="5"/>
      <c r="D738" s="5"/>
      <c r="K738" s="5"/>
    </row>
    <row r="739" ht="15.75" customHeight="1">
      <c r="A739" s="5"/>
      <c r="B739" s="5"/>
      <c r="C739" s="5"/>
      <c r="D739" s="5"/>
      <c r="K739" s="5"/>
    </row>
    <row r="740" ht="15.75" customHeight="1">
      <c r="A740" s="5"/>
      <c r="B740" s="5"/>
      <c r="C740" s="5"/>
      <c r="D740" s="5"/>
      <c r="K740" s="5"/>
    </row>
    <row r="741" ht="15.75" customHeight="1">
      <c r="A741" s="5"/>
      <c r="B741" s="5"/>
      <c r="C741" s="5"/>
      <c r="D741" s="5"/>
      <c r="K741" s="5"/>
    </row>
    <row r="742" ht="15.75" customHeight="1">
      <c r="A742" s="5"/>
      <c r="B742" s="5"/>
      <c r="C742" s="5"/>
      <c r="D742" s="5"/>
      <c r="K742" s="5"/>
    </row>
    <row r="743" ht="15.75" customHeight="1">
      <c r="A743" s="5"/>
      <c r="B743" s="5"/>
      <c r="C743" s="5"/>
      <c r="D743" s="5"/>
      <c r="K743" s="5"/>
    </row>
    <row r="744" ht="15.75" customHeight="1">
      <c r="A744" s="5"/>
      <c r="B744" s="5"/>
      <c r="C744" s="5"/>
      <c r="D744" s="5"/>
      <c r="K744" s="5"/>
    </row>
    <row r="745" ht="15.75" customHeight="1">
      <c r="A745" s="5"/>
      <c r="B745" s="5"/>
      <c r="C745" s="5"/>
      <c r="D745" s="5"/>
      <c r="K745" s="5"/>
    </row>
    <row r="746" ht="15.75" customHeight="1">
      <c r="A746" s="5"/>
      <c r="B746" s="5"/>
      <c r="C746" s="5"/>
      <c r="D746" s="5"/>
      <c r="K746" s="5"/>
    </row>
    <row r="747" ht="15.75" customHeight="1">
      <c r="A747" s="5"/>
      <c r="B747" s="5"/>
      <c r="C747" s="5"/>
      <c r="D747" s="5"/>
      <c r="K747" s="5"/>
    </row>
    <row r="748" ht="15.75" customHeight="1">
      <c r="A748" s="5"/>
      <c r="B748" s="5"/>
      <c r="C748" s="5"/>
      <c r="D748" s="5"/>
      <c r="K748" s="5"/>
    </row>
    <row r="749" ht="15.75" customHeight="1">
      <c r="A749" s="5"/>
      <c r="B749" s="5"/>
      <c r="C749" s="5"/>
      <c r="D749" s="5"/>
      <c r="K749" s="5"/>
    </row>
    <row r="750" ht="15.75" customHeight="1">
      <c r="A750" s="5"/>
      <c r="B750" s="5"/>
      <c r="C750" s="5"/>
      <c r="D750" s="5"/>
      <c r="K750" s="5"/>
    </row>
    <row r="751" ht="15.75" customHeight="1">
      <c r="A751" s="5"/>
      <c r="B751" s="5"/>
      <c r="C751" s="5"/>
      <c r="D751" s="5"/>
      <c r="K751" s="5"/>
    </row>
    <row r="752" ht="15.75" customHeight="1">
      <c r="A752" s="5"/>
      <c r="B752" s="5"/>
      <c r="C752" s="5"/>
      <c r="D752" s="5"/>
      <c r="K752" s="5"/>
    </row>
    <row r="753" ht="15.75" customHeight="1">
      <c r="A753" s="5"/>
      <c r="B753" s="5"/>
      <c r="C753" s="5"/>
      <c r="D753" s="5"/>
      <c r="K753" s="5"/>
    </row>
    <row r="754" ht="15.75" customHeight="1">
      <c r="A754" s="5"/>
      <c r="B754" s="5"/>
      <c r="C754" s="5"/>
      <c r="D754" s="5"/>
      <c r="K754" s="5"/>
    </row>
    <row r="755" ht="15.75" customHeight="1">
      <c r="A755" s="5"/>
      <c r="B755" s="5"/>
      <c r="C755" s="5"/>
      <c r="D755" s="5"/>
      <c r="K755" s="5"/>
    </row>
    <row r="756" ht="15.75" customHeight="1">
      <c r="A756" s="5"/>
      <c r="B756" s="5"/>
      <c r="C756" s="5"/>
      <c r="D756" s="5"/>
      <c r="K756" s="5"/>
    </row>
    <row r="757" ht="15.75" customHeight="1">
      <c r="A757" s="5"/>
      <c r="B757" s="5"/>
      <c r="C757" s="5"/>
      <c r="D757" s="5"/>
      <c r="K757" s="5"/>
    </row>
    <row r="758" ht="15.75" customHeight="1">
      <c r="A758" s="5"/>
      <c r="B758" s="5"/>
      <c r="C758" s="5"/>
      <c r="D758" s="5"/>
      <c r="K758" s="5"/>
    </row>
    <row r="759" ht="15.75" customHeight="1">
      <c r="A759" s="5"/>
      <c r="B759" s="5"/>
      <c r="C759" s="5"/>
      <c r="D759" s="5"/>
      <c r="K759" s="5"/>
    </row>
    <row r="760" ht="15.75" customHeight="1">
      <c r="A760" s="5"/>
      <c r="B760" s="5"/>
      <c r="C760" s="5"/>
      <c r="D760" s="5"/>
      <c r="K760" s="5"/>
    </row>
    <row r="761" ht="15.75" customHeight="1">
      <c r="A761" s="5"/>
      <c r="B761" s="5"/>
      <c r="C761" s="5"/>
      <c r="D761" s="5"/>
      <c r="K761" s="5"/>
    </row>
    <row r="762" ht="15.75" customHeight="1">
      <c r="A762" s="5"/>
      <c r="B762" s="5"/>
      <c r="C762" s="5"/>
      <c r="D762" s="5"/>
      <c r="K762" s="5"/>
    </row>
    <row r="763" ht="15.75" customHeight="1">
      <c r="A763" s="5"/>
      <c r="B763" s="5"/>
      <c r="C763" s="5"/>
      <c r="D763" s="5"/>
      <c r="K763" s="5"/>
    </row>
    <row r="764" ht="15.75" customHeight="1">
      <c r="A764" s="5"/>
      <c r="B764" s="5"/>
      <c r="C764" s="5"/>
      <c r="D764" s="5"/>
      <c r="K764" s="5"/>
    </row>
    <row r="765" ht="15.75" customHeight="1">
      <c r="A765" s="5"/>
      <c r="B765" s="5"/>
      <c r="C765" s="5"/>
      <c r="D765" s="5"/>
      <c r="K765" s="5"/>
    </row>
    <row r="766" ht="15.75" customHeight="1">
      <c r="A766" s="5"/>
      <c r="B766" s="5"/>
      <c r="C766" s="5"/>
      <c r="D766" s="5"/>
      <c r="K766" s="5"/>
    </row>
    <row r="767" ht="15.75" customHeight="1">
      <c r="A767" s="5"/>
      <c r="B767" s="5"/>
      <c r="C767" s="5"/>
      <c r="D767" s="5"/>
      <c r="K767" s="5"/>
    </row>
    <row r="768" ht="15.75" customHeight="1">
      <c r="A768" s="5"/>
      <c r="B768" s="5"/>
      <c r="C768" s="5"/>
      <c r="D768" s="5"/>
      <c r="K768" s="5"/>
    </row>
    <row r="769" ht="15.75" customHeight="1">
      <c r="A769" s="5"/>
      <c r="B769" s="5"/>
      <c r="C769" s="5"/>
      <c r="D769" s="5"/>
      <c r="K769" s="5"/>
    </row>
    <row r="770" ht="15.75" customHeight="1">
      <c r="A770" s="5"/>
      <c r="B770" s="5"/>
      <c r="C770" s="5"/>
      <c r="D770" s="5"/>
      <c r="K770" s="5"/>
    </row>
    <row r="771" ht="15.75" customHeight="1">
      <c r="A771" s="5"/>
      <c r="B771" s="5"/>
      <c r="C771" s="5"/>
      <c r="D771" s="5"/>
      <c r="K771" s="5"/>
    </row>
    <row r="772" ht="15.75" customHeight="1">
      <c r="A772" s="5"/>
      <c r="B772" s="5"/>
      <c r="C772" s="5"/>
      <c r="D772" s="5"/>
      <c r="K772" s="5"/>
    </row>
    <row r="773" ht="15.75" customHeight="1">
      <c r="A773" s="5"/>
      <c r="B773" s="5"/>
      <c r="C773" s="5"/>
      <c r="D773" s="5"/>
      <c r="K773" s="5"/>
    </row>
    <row r="774" ht="15.75" customHeight="1">
      <c r="A774" s="5"/>
      <c r="B774" s="5"/>
      <c r="C774" s="5"/>
      <c r="D774" s="5"/>
      <c r="K774" s="5"/>
    </row>
    <row r="775" ht="15.75" customHeight="1">
      <c r="A775" s="5"/>
      <c r="B775" s="5"/>
      <c r="C775" s="5"/>
      <c r="D775" s="5"/>
      <c r="K775" s="5"/>
    </row>
    <row r="776" ht="15.75" customHeight="1">
      <c r="A776" s="5"/>
      <c r="B776" s="5"/>
      <c r="C776" s="5"/>
      <c r="D776" s="5"/>
      <c r="K776" s="5"/>
    </row>
    <row r="777" ht="15.75" customHeight="1">
      <c r="A777" s="5"/>
      <c r="B777" s="5"/>
      <c r="C777" s="5"/>
      <c r="D777" s="5"/>
      <c r="K777" s="5"/>
    </row>
    <row r="778" ht="15.75" customHeight="1">
      <c r="A778" s="5"/>
      <c r="B778" s="5"/>
      <c r="C778" s="5"/>
      <c r="D778" s="5"/>
      <c r="K778" s="5"/>
    </row>
    <row r="779" ht="15.75" customHeight="1">
      <c r="A779" s="5"/>
      <c r="B779" s="5"/>
      <c r="C779" s="5"/>
      <c r="D779" s="5"/>
      <c r="K779" s="5"/>
    </row>
    <row r="780" ht="15.75" customHeight="1">
      <c r="A780" s="5"/>
      <c r="B780" s="5"/>
      <c r="C780" s="5"/>
      <c r="D780" s="5"/>
      <c r="K780" s="5"/>
    </row>
    <row r="781" ht="15.75" customHeight="1">
      <c r="A781" s="5"/>
      <c r="B781" s="5"/>
      <c r="C781" s="5"/>
      <c r="D781" s="5"/>
      <c r="K781" s="5"/>
    </row>
    <row r="782" ht="15.75" customHeight="1">
      <c r="A782" s="5"/>
      <c r="B782" s="5"/>
      <c r="C782" s="5"/>
      <c r="D782" s="5"/>
      <c r="K782" s="5"/>
    </row>
    <row r="783" ht="15.75" customHeight="1">
      <c r="A783" s="5"/>
      <c r="B783" s="5"/>
      <c r="C783" s="5"/>
      <c r="D783" s="5"/>
      <c r="K783" s="5"/>
    </row>
    <row r="784" ht="15.75" customHeight="1">
      <c r="A784" s="5"/>
      <c r="B784" s="5"/>
      <c r="C784" s="5"/>
      <c r="D784" s="5"/>
      <c r="K784" s="5"/>
    </row>
    <row r="785" ht="15.75" customHeight="1">
      <c r="A785" s="5"/>
      <c r="B785" s="5"/>
      <c r="C785" s="5"/>
      <c r="D785" s="5"/>
      <c r="K785" s="5"/>
    </row>
    <row r="786" ht="15.75" customHeight="1">
      <c r="A786" s="5"/>
      <c r="B786" s="5"/>
      <c r="C786" s="5"/>
      <c r="D786" s="5"/>
      <c r="K786" s="5"/>
    </row>
    <row r="787" ht="15.75" customHeight="1">
      <c r="A787" s="5"/>
      <c r="B787" s="5"/>
      <c r="C787" s="5"/>
      <c r="D787" s="5"/>
      <c r="K787" s="5"/>
    </row>
    <row r="788" ht="15.75" customHeight="1">
      <c r="A788" s="5"/>
      <c r="B788" s="5"/>
      <c r="C788" s="5"/>
      <c r="D788" s="5"/>
      <c r="K788" s="5"/>
    </row>
    <row r="789" ht="15.75" customHeight="1">
      <c r="A789" s="5"/>
      <c r="B789" s="5"/>
      <c r="C789" s="5"/>
      <c r="D789" s="5"/>
      <c r="K789" s="5"/>
    </row>
    <row r="790" ht="15.75" customHeight="1">
      <c r="A790" s="5"/>
      <c r="B790" s="5"/>
      <c r="C790" s="5"/>
      <c r="D790" s="5"/>
      <c r="K790" s="5"/>
    </row>
    <row r="791" ht="15.75" customHeight="1">
      <c r="A791" s="5"/>
      <c r="B791" s="5"/>
      <c r="C791" s="5"/>
      <c r="D791" s="5"/>
      <c r="K791" s="5"/>
    </row>
    <row r="792" ht="15.75" customHeight="1">
      <c r="A792" s="5"/>
      <c r="B792" s="5"/>
      <c r="C792" s="5"/>
      <c r="D792" s="5"/>
      <c r="K792" s="5"/>
    </row>
    <row r="793" ht="15.75" customHeight="1">
      <c r="A793" s="5"/>
      <c r="B793" s="5"/>
      <c r="C793" s="5"/>
      <c r="D793" s="5"/>
      <c r="K793" s="5"/>
    </row>
    <row r="794" ht="15.75" customHeight="1">
      <c r="A794" s="5"/>
      <c r="B794" s="5"/>
      <c r="C794" s="5"/>
      <c r="D794" s="5"/>
      <c r="K794" s="5"/>
    </row>
    <row r="795" ht="15.75" customHeight="1">
      <c r="A795" s="5"/>
      <c r="B795" s="5"/>
      <c r="C795" s="5"/>
      <c r="D795" s="5"/>
      <c r="K795" s="5"/>
    </row>
    <row r="796" ht="15.75" customHeight="1">
      <c r="A796" s="5"/>
      <c r="B796" s="5"/>
      <c r="C796" s="5"/>
      <c r="D796" s="5"/>
      <c r="K796" s="5"/>
    </row>
    <row r="797" ht="15.75" customHeight="1">
      <c r="A797" s="5"/>
      <c r="B797" s="5"/>
      <c r="C797" s="5"/>
      <c r="D797" s="5"/>
      <c r="K797" s="5"/>
    </row>
    <row r="798" ht="15.75" customHeight="1">
      <c r="A798" s="5"/>
      <c r="B798" s="5"/>
      <c r="C798" s="5"/>
      <c r="D798" s="5"/>
      <c r="K798" s="5"/>
    </row>
    <row r="799" ht="15.75" customHeight="1">
      <c r="A799" s="5"/>
      <c r="B799" s="5"/>
      <c r="C799" s="5"/>
      <c r="D799" s="5"/>
      <c r="K799" s="5"/>
    </row>
    <row r="800" ht="15.75" customHeight="1">
      <c r="A800" s="5"/>
      <c r="B800" s="5"/>
      <c r="C800" s="5"/>
      <c r="D800" s="5"/>
      <c r="K800" s="5"/>
    </row>
    <row r="801" ht="15.75" customHeight="1">
      <c r="A801" s="5"/>
      <c r="B801" s="5"/>
      <c r="C801" s="5"/>
      <c r="D801" s="5"/>
      <c r="K801" s="5"/>
    </row>
    <row r="802" ht="15.75" customHeight="1">
      <c r="A802" s="5"/>
      <c r="B802" s="5"/>
      <c r="C802" s="5"/>
      <c r="D802" s="5"/>
      <c r="K802" s="5"/>
    </row>
    <row r="803" ht="15.75" customHeight="1">
      <c r="A803" s="5"/>
      <c r="B803" s="5"/>
      <c r="C803" s="5"/>
      <c r="D803" s="5"/>
      <c r="K803" s="5"/>
    </row>
    <row r="804" ht="15.75" customHeight="1">
      <c r="A804" s="5"/>
      <c r="B804" s="5"/>
      <c r="C804" s="5"/>
      <c r="D804" s="5"/>
      <c r="K804" s="5"/>
    </row>
    <row r="805" ht="15.75" customHeight="1">
      <c r="A805" s="5"/>
      <c r="B805" s="5"/>
      <c r="C805" s="5"/>
      <c r="D805" s="5"/>
      <c r="K805" s="5"/>
    </row>
    <row r="806" ht="15.75" customHeight="1">
      <c r="A806" s="5"/>
      <c r="B806" s="5"/>
      <c r="C806" s="5"/>
      <c r="D806" s="5"/>
      <c r="K806" s="5"/>
    </row>
    <row r="807" ht="15.75" customHeight="1">
      <c r="A807" s="5"/>
      <c r="B807" s="5"/>
      <c r="C807" s="5"/>
      <c r="D807" s="5"/>
      <c r="K807" s="5"/>
    </row>
    <row r="808" ht="15.75" customHeight="1">
      <c r="A808" s="5"/>
      <c r="B808" s="5"/>
      <c r="C808" s="5"/>
      <c r="D808" s="5"/>
      <c r="K808" s="5"/>
    </row>
    <row r="809" ht="15.75" customHeight="1">
      <c r="A809" s="5"/>
      <c r="B809" s="5"/>
      <c r="C809" s="5"/>
      <c r="D809" s="5"/>
      <c r="K809" s="5"/>
    </row>
    <row r="810" ht="15.75" customHeight="1">
      <c r="A810" s="5"/>
      <c r="B810" s="5"/>
      <c r="C810" s="5"/>
      <c r="D810" s="5"/>
      <c r="K810" s="5"/>
    </row>
    <row r="811" ht="15.75" customHeight="1">
      <c r="A811" s="5"/>
      <c r="B811" s="5"/>
      <c r="C811" s="5"/>
      <c r="D811" s="5"/>
      <c r="K811" s="5"/>
    </row>
    <row r="812" ht="15.75" customHeight="1">
      <c r="A812" s="5"/>
      <c r="B812" s="5"/>
      <c r="C812" s="5"/>
      <c r="D812" s="5"/>
      <c r="K812" s="5"/>
    </row>
    <row r="813" ht="15.75" customHeight="1">
      <c r="A813" s="5"/>
      <c r="B813" s="5"/>
      <c r="C813" s="5"/>
      <c r="D813" s="5"/>
      <c r="K813" s="5"/>
    </row>
    <row r="814" ht="15.75" customHeight="1">
      <c r="A814" s="5"/>
      <c r="B814" s="5"/>
      <c r="C814" s="5"/>
      <c r="D814" s="5"/>
      <c r="K814" s="5"/>
    </row>
    <row r="815" ht="15.75" customHeight="1">
      <c r="A815" s="5"/>
      <c r="B815" s="5"/>
      <c r="C815" s="5"/>
      <c r="D815" s="5"/>
      <c r="K815" s="5"/>
    </row>
    <row r="816" ht="15.75" customHeight="1">
      <c r="A816" s="5"/>
      <c r="B816" s="5"/>
      <c r="C816" s="5"/>
      <c r="D816" s="5"/>
      <c r="K816" s="5"/>
    </row>
    <row r="817" ht="15.75" customHeight="1">
      <c r="A817" s="5"/>
      <c r="B817" s="5"/>
      <c r="C817" s="5"/>
      <c r="D817" s="5"/>
      <c r="K817" s="5"/>
    </row>
    <row r="818" ht="15.75" customHeight="1">
      <c r="A818" s="5"/>
      <c r="B818" s="5"/>
      <c r="C818" s="5"/>
      <c r="D818" s="5"/>
      <c r="K818" s="5"/>
    </row>
    <row r="819" ht="15.75" customHeight="1">
      <c r="A819" s="5"/>
      <c r="B819" s="5"/>
      <c r="C819" s="5"/>
      <c r="D819" s="5"/>
      <c r="K819" s="5"/>
    </row>
    <row r="820" ht="15.75" customHeight="1">
      <c r="A820" s="5"/>
      <c r="B820" s="5"/>
      <c r="C820" s="5"/>
      <c r="D820" s="5"/>
      <c r="K820" s="5"/>
    </row>
    <row r="821" ht="15.75" customHeight="1">
      <c r="A821" s="5"/>
      <c r="B821" s="5"/>
      <c r="C821" s="5"/>
      <c r="D821" s="5"/>
      <c r="K821" s="5"/>
    </row>
    <row r="822" ht="15.75" customHeight="1">
      <c r="A822" s="5"/>
      <c r="B822" s="5"/>
      <c r="C822" s="5"/>
      <c r="D822" s="5"/>
      <c r="K822" s="5"/>
    </row>
    <row r="823" ht="15.75" customHeight="1">
      <c r="A823" s="5"/>
      <c r="B823" s="5"/>
      <c r="C823" s="5"/>
      <c r="D823" s="5"/>
      <c r="K823" s="5"/>
    </row>
    <row r="824" ht="15.75" customHeight="1">
      <c r="A824" s="5"/>
      <c r="B824" s="5"/>
      <c r="C824" s="5"/>
      <c r="D824" s="5"/>
      <c r="K824" s="5"/>
    </row>
    <row r="825" ht="15.75" customHeight="1">
      <c r="A825" s="5"/>
      <c r="B825" s="5"/>
      <c r="C825" s="5"/>
      <c r="D825" s="5"/>
      <c r="K825" s="5"/>
    </row>
    <row r="826" ht="15.75" customHeight="1">
      <c r="A826" s="5"/>
      <c r="B826" s="5"/>
      <c r="C826" s="5"/>
      <c r="D826" s="5"/>
      <c r="K826" s="5"/>
    </row>
    <row r="827" ht="15.75" customHeight="1">
      <c r="A827" s="5"/>
      <c r="B827" s="5"/>
      <c r="C827" s="5"/>
      <c r="D827" s="5"/>
      <c r="K827" s="5"/>
    </row>
    <row r="828" ht="15.75" customHeight="1">
      <c r="A828" s="5"/>
      <c r="B828" s="5"/>
      <c r="C828" s="5"/>
      <c r="D828" s="5"/>
      <c r="K828" s="5"/>
    </row>
    <row r="829" ht="15.75" customHeight="1">
      <c r="A829" s="5"/>
      <c r="B829" s="5"/>
      <c r="C829" s="5"/>
      <c r="D829" s="5"/>
      <c r="K829" s="5"/>
    </row>
    <row r="830" ht="15.75" customHeight="1">
      <c r="A830" s="5"/>
      <c r="B830" s="5"/>
      <c r="C830" s="5"/>
      <c r="D830" s="5"/>
      <c r="K830" s="5"/>
    </row>
    <row r="831" ht="15.75" customHeight="1">
      <c r="A831" s="5"/>
      <c r="B831" s="5"/>
      <c r="C831" s="5"/>
      <c r="D831" s="5"/>
      <c r="K831" s="5"/>
    </row>
    <row r="832" ht="15.75" customHeight="1">
      <c r="A832" s="5"/>
      <c r="B832" s="5"/>
      <c r="C832" s="5"/>
      <c r="D832" s="5"/>
      <c r="K832" s="5"/>
    </row>
    <row r="833" ht="15.75" customHeight="1">
      <c r="A833" s="5"/>
      <c r="B833" s="5"/>
      <c r="C833" s="5"/>
      <c r="D833" s="5"/>
      <c r="K833" s="5"/>
    </row>
    <row r="834" ht="15.75" customHeight="1">
      <c r="A834" s="5"/>
      <c r="B834" s="5"/>
      <c r="C834" s="5"/>
      <c r="D834" s="5"/>
      <c r="K834" s="5"/>
    </row>
    <row r="835" ht="15.75" customHeight="1">
      <c r="A835" s="5"/>
      <c r="B835" s="5"/>
      <c r="C835" s="5"/>
      <c r="D835" s="5"/>
      <c r="K835" s="5"/>
    </row>
    <row r="836" ht="15.75" customHeight="1">
      <c r="A836" s="5"/>
      <c r="B836" s="5"/>
      <c r="C836" s="5"/>
      <c r="D836" s="5"/>
      <c r="K836" s="5"/>
    </row>
    <row r="837" ht="15.75" customHeight="1">
      <c r="A837" s="5"/>
      <c r="B837" s="5"/>
      <c r="C837" s="5"/>
      <c r="D837" s="5"/>
      <c r="K837" s="5"/>
    </row>
    <row r="838" ht="15.75" customHeight="1">
      <c r="A838" s="5"/>
      <c r="B838" s="5"/>
      <c r="C838" s="5"/>
      <c r="D838" s="5"/>
      <c r="K838" s="5"/>
    </row>
    <row r="839" ht="15.75" customHeight="1">
      <c r="A839" s="5"/>
      <c r="B839" s="5"/>
      <c r="C839" s="5"/>
      <c r="D839" s="5"/>
      <c r="K839" s="5"/>
    </row>
    <row r="840" ht="15.75" customHeight="1">
      <c r="A840" s="5"/>
      <c r="B840" s="5"/>
      <c r="C840" s="5"/>
      <c r="D840" s="5"/>
      <c r="K840" s="5"/>
    </row>
    <row r="841" ht="15.75" customHeight="1">
      <c r="A841" s="5"/>
      <c r="B841" s="5"/>
      <c r="C841" s="5"/>
      <c r="D841" s="5"/>
      <c r="K841" s="5"/>
    </row>
    <row r="842" ht="15.75" customHeight="1">
      <c r="A842" s="5"/>
      <c r="B842" s="5"/>
      <c r="C842" s="5"/>
      <c r="D842" s="5"/>
      <c r="K842" s="5"/>
    </row>
    <row r="843" ht="15.75" customHeight="1">
      <c r="A843" s="5"/>
      <c r="B843" s="5"/>
      <c r="C843" s="5"/>
      <c r="D843" s="5"/>
      <c r="K843" s="5"/>
    </row>
    <row r="844" ht="15.75" customHeight="1">
      <c r="A844" s="5"/>
      <c r="B844" s="5"/>
      <c r="C844" s="5"/>
      <c r="D844" s="5"/>
      <c r="K844" s="5"/>
    </row>
    <row r="845" ht="15.75" customHeight="1">
      <c r="A845" s="5"/>
      <c r="B845" s="5"/>
      <c r="C845" s="5"/>
      <c r="D845" s="5"/>
      <c r="K845" s="5"/>
    </row>
    <row r="846" ht="15.75" customHeight="1">
      <c r="A846" s="5"/>
      <c r="B846" s="5"/>
      <c r="C846" s="5"/>
      <c r="D846" s="5"/>
      <c r="K846" s="5"/>
    </row>
    <row r="847" ht="15.75" customHeight="1">
      <c r="A847" s="5"/>
      <c r="B847" s="5"/>
      <c r="C847" s="5"/>
      <c r="D847" s="5"/>
      <c r="K847" s="5"/>
    </row>
    <row r="848" ht="15.75" customHeight="1">
      <c r="A848" s="5"/>
      <c r="B848" s="5"/>
      <c r="C848" s="5"/>
      <c r="D848" s="5"/>
      <c r="K848" s="5"/>
    </row>
    <row r="849" ht="15.75" customHeight="1">
      <c r="A849" s="5"/>
      <c r="B849" s="5"/>
      <c r="C849" s="5"/>
      <c r="D849" s="5"/>
      <c r="K849" s="5"/>
    </row>
    <row r="850" ht="15.75" customHeight="1">
      <c r="A850" s="5"/>
      <c r="B850" s="5"/>
      <c r="C850" s="5"/>
      <c r="D850" s="5"/>
      <c r="K850" s="5"/>
    </row>
    <row r="851" ht="15.75" customHeight="1">
      <c r="A851" s="5"/>
      <c r="B851" s="5"/>
      <c r="C851" s="5"/>
      <c r="D851" s="5"/>
      <c r="K851" s="5"/>
    </row>
    <row r="852" ht="15.75" customHeight="1">
      <c r="A852" s="5"/>
      <c r="B852" s="5"/>
      <c r="C852" s="5"/>
      <c r="D852" s="5"/>
      <c r="K852" s="5"/>
    </row>
    <row r="853" ht="15.75" customHeight="1">
      <c r="A853" s="5"/>
      <c r="B853" s="5"/>
      <c r="C853" s="5"/>
      <c r="D853" s="5"/>
      <c r="K853" s="5"/>
    </row>
    <row r="854" ht="15.75" customHeight="1">
      <c r="A854" s="5"/>
      <c r="B854" s="5"/>
      <c r="C854" s="5"/>
      <c r="D854" s="5"/>
      <c r="K854" s="5"/>
    </row>
    <row r="855" ht="15.75" customHeight="1">
      <c r="A855" s="5"/>
      <c r="B855" s="5"/>
      <c r="C855" s="5"/>
      <c r="D855" s="5"/>
      <c r="K855" s="5"/>
    </row>
    <row r="856" ht="15.75" customHeight="1">
      <c r="A856" s="5"/>
      <c r="B856" s="5"/>
      <c r="C856" s="5"/>
      <c r="D856" s="5"/>
      <c r="K856" s="5"/>
    </row>
    <row r="857" ht="15.75" customHeight="1">
      <c r="A857" s="5"/>
      <c r="B857" s="5"/>
      <c r="C857" s="5"/>
      <c r="D857" s="5"/>
      <c r="K857" s="5"/>
    </row>
    <row r="858" ht="15.75" customHeight="1">
      <c r="A858" s="5"/>
      <c r="B858" s="5"/>
      <c r="C858" s="5"/>
      <c r="D858" s="5"/>
      <c r="K858" s="5"/>
    </row>
    <row r="859" ht="15.75" customHeight="1">
      <c r="A859" s="5"/>
      <c r="B859" s="5"/>
      <c r="C859" s="5"/>
      <c r="D859" s="5"/>
      <c r="K859" s="5"/>
    </row>
    <row r="860" ht="15.75" customHeight="1">
      <c r="A860" s="5"/>
      <c r="B860" s="5"/>
      <c r="C860" s="5"/>
      <c r="D860" s="5"/>
      <c r="K860" s="5"/>
    </row>
    <row r="861" ht="15.75" customHeight="1">
      <c r="A861" s="5"/>
      <c r="B861" s="5"/>
      <c r="C861" s="5"/>
      <c r="D861" s="5"/>
      <c r="K861" s="5"/>
    </row>
    <row r="862" ht="15.75" customHeight="1">
      <c r="A862" s="5"/>
      <c r="B862" s="5"/>
      <c r="C862" s="5"/>
      <c r="D862" s="5"/>
      <c r="K862" s="5"/>
    </row>
    <row r="863" ht="15.75" customHeight="1">
      <c r="A863" s="5"/>
      <c r="B863" s="5"/>
      <c r="C863" s="5"/>
      <c r="D863" s="5"/>
      <c r="K863" s="5"/>
    </row>
    <row r="864" ht="15.75" customHeight="1">
      <c r="A864" s="5"/>
      <c r="B864" s="5"/>
      <c r="C864" s="5"/>
      <c r="D864" s="5"/>
      <c r="K864" s="5"/>
    </row>
    <row r="865" ht="15.75" customHeight="1">
      <c r="A865" s="5"/>
      <c r="B865" s="5"/>
      <c r="C865" s="5"/>
      <c r="D865" s="5"/>
      <c r="K865" s="5"/>
    </row>
    <row r="866" ht="15.75" customHeight="1">
      <c r="A866" s="5"/>
      <c r="B866" s="5"/>
      <c r="C866" s="5"/>
      <c r="D866" s="5"/>
      <c r="K866" s="5"/>
    </row>
    <row r="867" ht="15.75" customHeight="1">
      <c r="A867" s="5"/>
      <c r="B867" s="5"/>
      <c r="C867" s="5"/>
      <c r="D867" s="5"/>
      <c r="K867" s="5"/>
    </row>
    <row r="868" ht="15.75" customHeight="1">
      <c r="A868" s="5"/>
      <c r="B868" s="5"/>
      <c r="C868" s="5"/>
      <c r="D868" s="5"/>
      <c r="K868" s="5"/>
    </row>
    <row r="869" ht="15.75" customHeight="1">
      <c r="A869" s="5"/>
      <c r="B869" s="5"/>
      <c r="C869" s="5"/>
      <c r="D869" s="5"/>
      <c r="K869" s="5"/>
    </row>
    <row r="870" ht="15.75" customHeight="1">
      <c r="A870" s="5"/>
      <c r="B870" s="5"/>
      <c r="C870" s="5"/>
      <c r="D870" s="5"/>
      <c r="K870" s="5"/>
    </row>
    <row r="871" ht="15.75" customHeight="1">
      <c r="A871" s="5"/>
      <c r="B871" s="5"/>
      <c r="C871" s="5"/>
      <c r="D871" s="5"/>
      <c r="K871" s="5"/>
    </row>
    <row r="872" ht="15.75" customHeight="1">
      <c r="A872" s="5"/>
      <c r="B872" s="5"/>
      <c r="C872" s="5"/>
      <c r="D872" s="5"/>
      <c r="K872" s="5"/>
    </row>
    <row r="873" ht="15.75" customHeight="1">
      <c r="A873" s="5"/>
      <c r="B873" s="5"/>
      <c r="C873" s="5"/>
      <c r="D873" s="5"/>
      <c r="K873" s="5"/>
    </row>
    <row r="874" ht="15.75" customHeight="1">
      <c r="A874" s="5"/>
      <c r="B874" s="5"/>
      <c r="C874" s="5"/>
      <c r="D874" s="5"/>
      <c r="K874" s="5"/>
    </row>
    <row r="875" ht="15.75" customHeight="1">
      <c r="A875" s="5"/>
      <c r="B875" s="5"/>
      <c r="C875" s="5"/>
      <c r="D875" s="5"/>
      <c r="K875" s="5"/>
    </row>
    <row r="876" ht="15.75" customHeight="1">
      <c r="A876" s="5"/>
      <c r="B876" s="5"/>
      <c r="C876" s="5"/>
      <c r="D876" s="5"/>
      <c r="K876" s="5"/>
    </row>
    <row r="877" ht="15.75" customHeight="1">
      <c r="A877" s="5"/>
      <c r="B877" s="5"/>
      <c r="C877" s="5"/>
      <c r="D877" s="5"/>
      <c r="K877" s="5"/>
    </row>
    <row r="878" ht="15.75" customHeight="1">
      <c r="A878" s="5"/>
      <c r="B878" s="5"/>
      <c r="C878" s="5"/>
      <c r="D878" s="5"/>
      <c r="K878" s="5"/>
    </row>
    <row r="879" ht="15.75" customHeight="1">
      <c r="A879" s="5"/>
      <c r="B879" s="5"/>
      <c r="C879" s="5"/>
      <c r="D879" s="5"/>
      <c r="K879" s="5"/>
    </row>
    <row r="880" ht="15.75" customHeight="1">
      <c r="A880" s="5"/>
      <c r="B880" s="5"/>
      <c r="C880" s="5"/>
      <c r="D880" s="5"/>
      <c r="K880" s="5"/>
    </row>
    <row r="881" ht="15.75" customHeight="1">
      <c r="A881" s="5"/>
      <c r="B881" s="5"/>
      <c r="C881" s="5"/>
      <c r="D881" s="5"/>
      <c r="K881" s="5"/>
    </row>
    <row r="882" ht="15.75" customHeight="1">
      <c r="A882" s="5"/>
      <c r="B882" s="5"/>
      <c r="C882" s="5"/>
      <c r="D882" s="5"/>
      <c r="K882" s="5"/>
    </row>
    <row r="883" ht="15.75" customHeight="1">
      <c r="A883" s="5"/>
      <c r="B883" s="5"/>
      <c r="C883" s="5"/>
      <c r="D883" s="5"/>
      <c r="K883" s="5"/>
    </row>
    <row r="884" ht="15.75" customHeight="1">
      <c r="A884" s="5"/>
      <c r="B884" s="5"/>
      <c r="C884" s="5"/>
      <c r="D884" s="5"/>
      <c r="K884" s="5"/>
    </row>
    <row r="885" ht="15.75" customHeight="1">
      <c r="A885" s="5"/>
      <c r="B885" s="5"/>
      <c r="C885" s="5"/>
      <c r="D885" s="5"/>
      <c r="K885" s="5"/>
    </row>
    <row r="886" ht="15.75" customHeight="1">
      <c r="A886" s="5"/>
      <c r="B886" s="5"/>
      <c r="C886" s="5"/>
      <c r="D886" s="5"/>
      <c r="K886" s="5"/>
    </row>
    <row r="887" ht="15.75" customHeight="1">
      <c r="A887" s="5"/>
      <c r="B887" s="5"/>
      <c r="C887" s="5"/>
      <c r="D887" s="5"/>
      <c r="K887" s="5"/>
    </row>
    <row r="888" ht="15.75" customHeight="1">
      <c r="A888" s="5"/>
      <c r="B888" s="5"/>
      <c r="C888" s="5"/>
      <c r="D888" s="5"/>
      <c r="K888" s="5"/>
    </row>
    <row r="889" ht="15.75" customHeight="1">
      <c r="A889" s="5"/>
      <c r="B889" s="5"/>
      <c r="C889" s="5"/>
      <c r="D889" s="5"/>
      <c r="K889" s="5"/>
    </row>
    <row r="890" ht="15.75" customHeight="1">
      <c r="A890" s="5"/>
      <c r="B890" s="5"/>
      <c r="C890" s="5"/>
      <c r="D890" s="5"/>
      <c r="K890" s="5"/>
    </row>
    <row r="891" ht="15.75" customHeight="1">
      <c r="A891" s="5"/>
      <c r="B891" s="5"/>
      <c r="C891" s="5"/>
      <c r="D891" s="5"/>
      <c r="K891" s="5"/>
    </row>
    <row r="892" ht="15.75" customHeight="1">
      <c r="A892" s="5"/>
      <c r="B892" s="5"/>
      <c r="C892" s="5"/>
      <c r="D892" s="5"/>
      <c r="K892" s="5"/>
    </row>
    <row r="893" ht="15.75" customHeight="1">
      <c r="A893" s="5"/>
      <c r="B893" s="5"/>
      <c r="C893" s="5"/>
      <c r="D893" s="5"/>
      <c r="K893" s="5"/>
    </row>
    <row r="894" ht="15.75" customHeight="1">
      <c r="A894" s="5"/>
      <c r="B894" s="5"/>
      <c r="C894" s="5"/>
      <c r="D894" s="5"/>
      <c r="K894" s="5"/>
    </row>
    <row r="895" ht="15.75" customHeight="1">
      <c r="A895" s="5"/>
      <c r="B895" s="5"/>
      <c r="C895" s="5"/>
      <c r="D895" s="5"/>
      <c r="K895" s="5"/>
    </row>
    <row r="896" ht="15.75" customHeight="1">
      <c r="A896" s="5"/>
      <c r="B896" s="5"/>
      <c r="C896" s="5"/>
      <c r="D896" s="5"/>
      <c r="K896" s="5"/>
    </row>
    <row r="897" ht="15.75" customHeight="1">
      <c r="A897" s="5"/>
      <c r="B897" s="5"/>
      <c r="C897" s="5"/>
      <c r="D897" s="5"/>
      <c r="K897" s="5"/>
    </row>
    <row r="898" ht="15.75" customHeight="1">
      <c r="A898" s="5"/>
      <c r="B898" s="5"/>
      <c r="C898" s="5"/>
      <c r="D898" s="5"/>
      <c r="K898" s="5"/>
    </row>
    <row r="899" ht="15.75" customHeight="1">
      <c r="A899" s="5"/>
      <c r="B899" s="5"/>
      <c r="C899" s="5"/>
      <c r="D899" s="5"/>
      <c r="K899" s="5"/>
    </row>
    <row r="900" ht="15.75" customHeight="1">
      <c r="A900" s="5"/>
      <c r="B900" s="5"/>
      <c r="C900" s="5"/>
      <c r="D900" s="5"/>
      <c r="K900" s="5"/>
    </row>
    <row r="901" ht="15.75" customHeight="1">
      <c r="A901" s="5"/>
      <c r="B901" s="5"/>
      <c r="C901" s="5"/>
      <c r="D901" s="5"/>
      <c r="K901" s="5"/>
    </row>
    <row r="902" ht="15.75" customHeight="1">
      <c r="A902" s="5"/>
      <c r="B902" s="5"/>
      <c r="C902" s="5"/>
      <c r="D902" s="5"/>
      <c r="K902" s="5"/>
    </row>
    <row r="903" ht="15.75" customHeight="1">
      <c r="A903" s="5"/>
      <c r="B903" s="5"/>
      <c r="C903" s="5"/>
      <c r="D903" s="5"/>
      <c r="K903" s="5"/>
    </row>
    <row r="904" ht="15.75" customHeight="1">
      <c r="A904" s="5"/>
      <c r="B904" s="5"/>
      <c r="C904" s="5"/>
      <c r="D904" s="5"/>
      <c r="K904" s="5"/>
    </row>
    <row r="905" ht="15.75" customHeight="1">
      <c r="A905" s="5"/>
      <c r="B905" s="5"/>
      <c r="C905" s="5"/>
      <c r="D905" s="5"/>
      <c r="K905" s="5"/>
    </row>
    <row r="906" ht="15.75" customHeight="1">
      <c r="A906" s="5"/>
      <c r="B906" s="5"/>
      <c r="C906" s="5"/>
      <c r="D906" s="5"/>
      <c r="K906" s="5"/>
    </row>
    <row r="907" ht="15.75" customHeight="1">
      <c r="A907" s="5"/>
      <c r="B907" s="5"/>
      <c r="C907" s="5"/>
      <c r="D907" s="5"/>
      <c r="K907" s="5"/>
    </row>
    <row r="908" ht="15.75" customHeight="1">
      <c r="A908" s="5"/>
      <c r="B908" s="5"/>
      <c r="C908" s="5"/>
      <c r="D908" s="5"/>
      <c r="K908" s="5"/>
    </row>
    <row r="909" ht="15.75" customHeight="1">
      <c r="A909" s="5"/>
      <c r="B909" s="5"/>
      <c r="C909" s="5"/>
      <c r="D909" s="5"/>
      <c r="K909" s="5"/>
    </row>
    <row r="910" ht="15.75" customHeight="1">
      <c r="A910" s="5"/>
      <c r="B910" s="5"/>
      <c r="C910" s="5"/>
      <c r="D910" s="5"/>
      <c r="K910" s="5"/>
    </row>
    <row r="911" ht="15.75" customHeight="1">
      <c r="A911" s="5"/>
      <c r="B911" s="5"/>
      <c r="C911" s="5"/>
      <c r="D911" s="5"/>
      <c r="K911" s="5"/>
    </row>
    <row r="912" ht="15.75" customHeight="1">
      <c r="A912" s="5"/>
      <c r="B912" s="5"/>
      <c r="C912" s="5"/>
      <c r="D912" s="5"/>
      <c r="K912" s="5"/>
    </row>
    <row r="913" ht="15.75" customHeight="1">
      <c r="A913" s="5"/>
      <c r="B913" s="5"/>
      <c r="C913" s="5"/>
      <c r="D913" s="5"/>
      <c r="K913" s="5"/>
    </row>
    <row r="914" ht="15.75" customHeight="1">
      <c r="A914" s="5"/>
      <c r="B914" s="5"/>
      <c r="C914" s="5"/>
      <c r="D914" s="5"/>
      <c r="K914" s="5"/>
    </row>
    <row r="915" ht="15.75" customHeight="1">
      <c r="A915" s="5"/>
      <c r="B915" s="5"/>
      <c r="C915" s="5"/>
      <c r="D915" s="5"/>
      <c r="K915" s="5"/>
    </row>
    <row r="916" ht="15.75" customHeight="1">
      <c r="A916" s="5"/>
      <c r="B916" s="5"/>
      <c r="C916" s="5"/>
      <c r="D916" s="5"/>
      <c r="K916" s="5"/>
    </row>
    <row r="917" ht="15.75" customHeight="1">
      <c r="A917" s="5"/>
      <c r="B917" s="5"/>
      <c r="C917" s="5"/>
      <c r="D917" s="5"/>
      <c r="K917" s="5"/>
    </row>
    <row r="918" ht="15.75" customHeight="1">
      <c r="A918" s="5"/>
      <c r="B918" s="5"/>
      <c r="C918" s="5"/>
      <c r="D918" s="5"/>
      <c r="K918" s="5"/>
    </row>
    <row r="919" ht="15.75" customHeight="1">
      <c r="A919" s="5"/>
      <c r="B919" s="5"/>
      <c r="C919" s="5"/>
      <c r="D919" s="5"/>
      <c r="K919" s="5"/>
    </row>
    <row r="920" ht="15.75" customHeight="1">
      <c r="A920" s="5"/>
      <c r="B920" s="5"/>
      <c r="C920" s="5"/>
      <c r="D920" s="5"/>
      <c r="K920" s="5"/>
    </row>
    <row r="921" ht="15.75" customHeight="1">
      <c r="A921" s="5"/>
      <c r="B921" s="5"/>
      <c r="C921" s="5"/>
      <c r="D921" s="5"/>
      <c r="K921" s="5"/>
    </row>
    <row r="922" ht="15.75" customHeight="1">
      <c r="A922" s="5"/>
      <c r="B922" s="5"/>
      <c r="C922" s="5"/>
      <c r="D922" s="5"/>
      <c r="K922" s="5"/>
    </row>
    <row r="923" ht="15.75" customHeight="1">
      <c r="A923" s="5"/>
      <c r="B923" s="5"/>
      <c r="C923" s="5"/>
      <c r="D923" s="5"/>
      <c r="K923" s="5"/>
    </row>
    <row r="924" ht="15.75" customHeight="1">
      <c r="A924" s="5"/>
      <c r="B924" s="5"/>
      <c r="C924" s="5"/>
      <c r="D924" s="5"/>
      <c r="K924" s="5"/>
    </row>
    <row r="925" ht="15.75" customHeight="1">
      <c r="A925" s="5"/>
      <c r="B925" s="5"/>
      <c r="C925" s="5"/>
      <c r="D925" s="5"/>
      <c r="K925" s="5"/>
    </row>
    <row r="926" ht="15.75" customHeight="1">
      <c r="A926" s="5"/>
      <c r="B926" s="5"/>
      <c r="C926" s="5"/>
      <c r="D926" s="5"/>
      <c r="K926" s="5"/>
    </row>
    <row r="927" ht="15.75" customHeight="1">
      <c r="A927" s="5"/>
      <c r="B927" s="5"/>
      <c r="C927" s="5"/>
      <c r="D927" s="5"/>
      <c r="K927" s="5"/>
    </row>
    <row r="928" ht="15.75" customHeight="1">
      <c r="A928" s="5"/>
      <c r="B928" s="5"/>
      <c r="C928" s="5"/>
      <c r="D928" s="5"/>
      <c r="K928" s="5"/>
    </row>
    <row r="929" ht="15.75" customHeight="1">
      <c r="A929" s="5"/>
      <c r="B929" s="5"/>
      <c r="C929" s="5"/>
      <c r="D929" s="5"/>
      <c r="K929" s="5"/>
    </row>
    <row r="930" ht="15.75" customHeight="1">
      <c r="A930" s="5"/>
      <c r="B930" s="5"/>
      <c r="C930" s="5"/>
      <c r="D930" s="5"/>
      <c r="K930" s="5"/>
    </row>
    <row r="931" ht="15.75" customHeight="1">
      <c r="A931" s="5"/>
      <c r="B931" s="5"/>
      <c r="C931" s="5"/>
      <c r="D931" s="5"/>
      <c r="K931" s="5"/>
    </row>
    <row r="932" ht="15.75" customHeight="1">
      <c r="A932" s="5"/>
      <c r="B932" s="5"/>
      <c r="C932" s="5"/>
      <c r="D932" s="5"/>
      <c r="K932" s="5"/>
    </row>
    <row r="933" ht="15.75" customHeight="1">
      <c r="A933" s="5"/>
      <c r="B933" s="5"/>
      <c r="C933" s="5"/>
      <c r="D933" s="5"/>
      <c r="K933" s="5"/>
    </row>
    <row r="934" ht="15.75" customHeight="1">
      <c r="A934" s="5"/>
      <c r="B934" s="5"/>
      <c r="C934" s="5"/>
      <c r="D934" s="5"/>
      <c r="K934" s="5"/>
    </row>
    <row r="935" ht="15.75" customHeight="1">
      <c r="A935" s="5"/>
      <c r="B935" s="5"/>
      <c r="C935" s="5"/>
      <c r="D935" s="5"/>
      <c r="K935" s="5"/>
    </row>
    <row r="936" ht="15.75" customHeight="1">
      <c r="A936" s="5"/>
      <c r="B936" s="5"/>
      <c r="C936" s="5"/>
      <c r="D936" s="5"/>
      <c r="K936" s="5"/>
    </row>
    <row r="937" ht="15.75" customHeight="1">
      <c r="A937" s="5"/>
      <c r="B937" s="5"/>
      <c r="C937" s="5"/>
      <c r="D937" s="5"/>
      <c r="K937" s="5"/>
    </row>
    <row r="938" ht="15.75" customHeight="1">
      <c r="A938" s="5"/>
      <c r="B938" s="5"/>
      <c r="C938" s="5"/>
      <c r="D938" s="5"/>
      <c r="K938" s="5"/>
    </row>
    <row r="939" ht="15.75" customHeight="1">
      <c r="A939" s="5"/>
      <c r="B939" s="5"/>
      <c r="C939" s="5"/>
      <c r="D939" s="5"/>
      <c r="K939" s="5"/>
    </row>
    <row r="940" ht="15.75" customHeight="1">
      <c r="A940" s="5"/>
      <c r="B940" s="5"/>
      <c r="C940" s="5"/>
      <c r="D940" s="5"/>
      <c r="K940" s="5"/>
    </row>
    <row r="941" ht="15.75" customHeight="1">
      <c r="A941" s="5"/>
      <c r="B941" s="5"/>
      <c r="C941" s="5"/>
      <c r="D941" s="5"/>
      <c r="K941" s="5"/>
    </row>
    <row r="942" ht="15.75" customHeight="1">
      <c r="A942" s="5"/>
      <c r="B942" s="5"/>
      <c r="C942" s="5"/>
      <c r="D942" s="5"/>
      <c r="K942" s="5"/>
    </row>
    <row r="943" ht="15.75" customHeight="1">
      <c r="A943" s="5"/>
      <c r="B943" s="5"/>
      <c r="C943" s="5"/>
      <c r="D943" s="5"/>
      <c r="K943" s="5"/>
    </row>
    <row r="944" ht="15.75" customHeight="1">
      <c r="A944" s="5"/>
      <c r="B944" s="5"/>
      <c r="C944" s="5"/>
      <c r="D944" s="5"/>
      <c r="K944" s="5"/>
    </row>
    <row r="945" ht="15.75" customHeight="1">
      <c r="A945" s="5"/>
      <c r="B945" s="5"/>
      <c r="C945" s="5"/>
      <c r="D945" s="5"/>
      <c r="K945" s="5"/>
    </row>
    <row r="946" ht="15.75" customHeight="1">
      <c r="A946" s="5"/>
      <c r="B946" s="5"/>
      <c r="C946" s="5"/>
      <c r="D946" s="5"/>
      <c r="K946" s="5"/>
    </row>
    <row r="947" ht="15.75" customHeight="1">
      <c r="A947" s="5"/>
      <c r="B947" s="5"/>
      <c r="C947" s="5"/>
      <c r="D947" s="5"/>
      <c r="K947" s="5"/>
    </row>
    <row r="948" ht="15.75" customHeight="1">
      <c r="A948" s="5"/>
      <c r="B948" s="5"/>
      <c r="C948" s="5"/>
      <c r="D948" s="5"/>
      <c r="K948" s="5"/>
    </row>
    <row r="949" ht="15.75" customHeight="1">
      <c r="A949" s="5"/>
      <c r="B949" s="5"/>
      <c r="C949" s="5"/>
      <c r="D949" s="5"/>
      <c r="K949" s="5"/>
    </row>
    <row r="950" ht="15.75" customHeight="1">
      <c r="A950" s="5"/>
      <c r="B950" s="5"/>
      <c r="C950" s="5"/>
      <c r="D950" s="5"/>
      <c r="K950" s="5"/>
    </row>
    <row r="951" ht="15.75" customHeight="1">
      <c r="A951" s="5"/>
      <c r="B951" s="5"/>
      <c r="C951" s="5"/>
      <c r="D951" s="5"/>
      <c r="K951" s="5"/>
    </row>
    <row r="952" ht="15.75" customHeight="1">
      <c r="A952" s="5"/>
      <c r="B952" s="5"/>
      <c r="C952" s="5"/>
      <c r="D952" s="5"/>
      <c r="K952" s="5"/>
    </row>
    <row r="953" ht="15.75" customHeight="1">
      <c r="A953" s="5"/>
      <c r="B953" s="5"/>
      <c r="C953" s="5"/>
      <c r="D953" s="5"/>
      <c r="K953" s="5"/>
    </row>
    <row r="954" ht="15.75" customHeight="1">
      <c r="A954" s="5"/>
      <c r="B954" s="5"/>
      <c r="C954" s="5"/>
      <c r="D954" s="5"/>
      <c r="K954" s="5"/>
    </row>
    <row r="955" ht="15.75" customHeight="1">
      <c r="A955" s="5"/>
      <c r="B955" s="5"/>
      <c r="C955" s="5"/>
      <c r="D955" s="5"/>
      <c r="K955" s="5"/>
    </row>
    <row r="956" ht="15.75" customHeight="1">
      <c r="A956" s="5"/>
      <c r="B956" s="5"/>
      <c r="C956" s="5"/>
      <c r="D956" s="5"/>
      <c r="K956" s="5"/>
    </row>
    <row r="957" ht="15.75" customHeight="1">
      <c r="A957" s="5"/>
      <c r="B957" s="5"/>
      <c r="C957" s="5"/>
      <c r="D957" s="5"/>
      <c r="K957" s="5"/>
    </row>
    <row r="958" ht="15.75" customHeight="1">
      <c r="A958" s="5"/>
      <c r="B958" s="5"/>
      <c r="C958" s="5"/>
      <c r="D958" s="5"/>
      <c r="K958" s="5"/>
    </row>
    <row r="959" ht="15.75" customHeight="1">
      <c r="A959" s="5"/>
      <c r="B959" s="5"/>
      <c r="C959" s="5"/>
      <c r="D959" s="5"/>
      <c r="K959" s="5"/>
    </row>
    <row r="960" ht="15.75" customHeight="1">
      <c r="A960" s="5"/>
      <c r="B960" s="5"/>
      <c r="C960" s="5"/>
      <c r="D960" s="5"/>
      <c r="K960" s="5"/>
    </row>
    <row r="961" ht="15.75" customHeight="1">
      <c r="A961" s="5"/>
      <c r="B961" s="5"/>
      <c r="C961" s="5"/>
      <c r="D961" s="5"/>
      <c r="K961" s="5"/>
    </row>
    <row r="962" ht="15.75" customHeight="1">
      <c r="A962" s="5"/>
      <c r="B962" s="5"/>
      <c r="C962" s="5"/>
      <c r="D962" s="5"/>
      <c r="K962" s="5"/>
    </row>
    <row r="963" ht="15.75" customHeight="1">
      <c r="A963" s="5"/>
      <c r="B963" s="5"/>
      <c r="C963" s="5"/>
      <c r="D963" s="5"/>
      <c r="K963" s="5"/>
    </row>
    <row r="964" ht="15.75" customHeight="1">
      <c r="A964" s="5"/>
      <c r="B964" s="5"/>
      <c r="C964" s="5"/>
      <c r="D964" s="5"/>
      <c r="K964" s="5"/>
    </row>
    <row r="965" ht="15.75" customHeight="1">
      <c r="A965" s="5"/>
      <c r="B965" s="5"/>
      <c r="C965" s="5"/>
      <c r="D965" s="5"/>
      <c r="K965" s="5"/>
    </row>
    <row r="966" ht="15.75" customHeight="1">
      <c r="A966" s="5"/>
      <c r="B966" s="5"/>
      <c r="C966" s="5"/>
      <c r="D966" s="5"/>
      <c r="K966" s="5"/>
    </row>
    <row r="967" ht="15.75" customHeight="1">
      <c r="A967" s="5"/>
      <c r="B967" s="5"/>
      <c r="C967" s="5"/>
      <c r="D967" s="5"/>
      <c r="K967" s="5"/>
    </row>
    <row r="968" ht="15.75" customHeight="1">
      <c r="A968" s="5"/>
      <c r="B968" s="5"/>
      <c r="C968" s="5"/>
      <c r="D968" s="5"/>
      <c r="K968" s="5"/>
    </row>
    <row r="969" ht="15.75" customHeight="1">
      <c r="A969" s="5"/>
      <c r="B969" s="5"/>
      <c r="C969" s="5"/>
      <c r="D969" s="5"/>
      <c r="K969" s="5"/>
    </row>
    <row r="970" ht="15.75" customHeight="1">
      <c r="A970" s="5"/>
      <c r="B970" s="5"/>
      <c r="C970" s="5"/>
      <c r="D970" s="5"/>
      <c r="K970" s="5"/>
    </row>
    <row r="971" ht="15.75" customHeight="1">
      <c r="A971" s="5"/>
      <c r="B971" s="5"/>
      <c r="C971" s="5"/>
      <c r="D971" s="5"/>
      <c r="K971" s="5"/>
    </row>
    <row r="972" ht="15.75" customHeight="1">
      <c r="A972" s="5"/>
      <c r="B972" s="5"/>
      <c r="C972" s="5"/>
      <c r="D972" s="5"/>
      <c r="K972" s="5"/>
    </row>
    <row r="973" ht="15.75" customHeight="1">
      <c r="A973" s="5"/>
      <c r="B973" s="5"/>
      <c r="C973" s="5"/>
      <c r="D973" s="5"/>
      <c r="K973" s="5"/>
    </row>
    <row r="974" ht="15.75" customHeight="1">
      <c r="A974" s="5"/>
      <c r="B974" s="5"/>
      <c r="C974" s="5"/>
      <c r="D974" s="5"/>
      <c r="K974" s="5"/>
    </row>
    <row r="975" ht="15.75" customHeight="1">
      <c r="A975" s="5"/>
      <c r="B975" s="5"/>
      <c r="C975" s="5"/>
      <c r="D975" s="5"/>
      <c r="K975" s="5"/>
    </row>
    <row r="976" ht="15.75" customHeight="1">
      <c r="A976" s="5"/>
      <c r="B976" s="5"/>
      <c r="C976" s="5"/>
      <c r="D976" s="5"/>
      <c r="K976" s="5"/>
    </row>
    <row r="977" ht="15.75" customHeight="1">
      <c r="A977" s="5"/>
      <c r="B977" s="5"/>
      <c r="C977" s="5"/>
      <c r="D977" s="5"/>
      <c r="K977" s="5"/>
    </row>
    <row r="978" ht="15.75" customHeight="1">
      <c r="A978" s="5"/>
      <c r="B978" s="5"/>
      <c r="C978" s="5"/>
      <c r="D978" s="5"/>
      <c r="K978" s="5"/>
    </row>
    <row r="979" ht="15.75" customHeight="1">
      <c r="A979" s="5"/>
      <c r="B979" s="5"/>
      <c r="C979" s="5"/>
      <c r="D979" s="5"/>
      <c r="K979" s="5"/>
    </row>
    <row r="980" ht="15.75" customHeight="1">
      <c r="A980" s="5"/>
      <c r="B980" s="5"/>
      <c r="C980" s="5"/>
      <c r="D980" s="5"/>
      <c r="K980" s="5"/>
    </row>
    <row r="981" ht="15.75" customHeight="1">
      <c r="A981" s="5"/>
      <c r="B981" s="5"/>
      <c r="C981" s="5"/>
      <c r="D981" s="5"/>
      <c r="K981" s="5"/>
    </row>
    <row r="982" ht="15.75" customHeight="1">
      <c r="A982" s="5"/>
      <c r="B982" s="5"/>
      <c r="C982" s="5"/>
      <c r="D982" s="5"/>
      <c r="K982" s="5"/>
    </row>
    <row r="983" ht="15.75" customHeight="1">
      <c r="A983" s="5"/>
      <c r="B983" s="5"/>
      <c r="C983" s="5"/>
      <c r="D983" s="5"/>
      <c r="K983" s="5"/>
    </row>
    <row r="984" ht="15.75" customHeight="1">
      <c r="A984" s="5"/>
      <c r="B984" s="5"/>
      <c r="C984" s="5"/>
      <c r="D984" s="5"/>
      <c r="K984" s="5"/>
    </row>
    <row r="985" ht="15.75" customHeight="1">
      <c r="A985" s="5"/>
      <c r="B985" s="5"/>
      <c r="C985" s="5"/>
      <c r="D985" s="5"/>
      <c r="K985" s="5"/>
    </row>
    <row r="986" ht="15.75" customHeight="1">
      <c r="A986" s="5"/>
      <c r="B986" s="5"/>
      <c r="C986" s="5"/>
      <c r="D986" s="5"/>
      <c r="K986" s="5"/>
    </row>
    <row r="987" ht="15.75" customHeight="1">
      <c r="A987" s="5"/>
      <c r="B987" s="5"/>
      <c r="C987" s="5"/>
      <c r="D987" s="5"/>
      <c r="K987" s="5"/>
    </row>
    <row r="988" ht="15.75" customHeight="1">
      <c r="A988" s="5"/>
      <c r="B988" s="5"/>
      <c r="C988" s="5"/>
      <c r="D988" s="5"/>
      <c r="K988" s="5"/>
    </row>
    <row r="989" ht="15.75" customHeight="1">
      <c r="A989" s="5"/>
      <c r="B989" s="5"/>
      <c r="C989" s="5"/>
      <c r="D989" s="5"/>
      <c r="K989" s="5"/>
    </row>
    <row r="990" ht="15.75" customHeight="1">
      <c r="A990" s="5"/>
      <c r="B990" s="5"/>
      <c r="C990" s="5"/>
      <c r="D990" s="5"/>
      <c r="K990" s="5"/>
    </row>
    <row r="991" ht="15.75" customHeight="1">
      <c r="A991" s="5"/>
      <c r="B991" s="5"/>
      <c r="C991" s="5"/>
      <c r="D991" s="5"/>
      <c r="K991" s="5"/>
    </row>
    <row r="992" ht="15.75" customHeight="1">
      <c r="A992" s="5"/>
      <c r="B992" s="5"/>
      <c r="C992" s="5"/>
      <c r="D992" s="5"/>
      <c r="K992" s="5"/>
    </row>
    <row r="993" ht="15.75" customHeight="1">
      <c r="A993" s="5"/>
      <c r="B993" s="5"/>
      <c r="C993" s="5"/>
      <c r="D993" s="5"/>
      <c r="K993" s="5"/>
    </row>
    <row r="994" ht="15.75" customHeight="1">
      <c r="A994" s="5"/>
      <c r="B994" s="5"/>
      <c r="C994" s="5"/>
      <c r="D994" s="5"/>
      <c r="K994" s="5"/>
    </row>
    <row r="995" ht="15.75" customHeight="1">
      <c r="A995" s="5"/>
      <c r="B995" s="5"/>
      <c r="C995" s="5"/>
      <c r="D995" s="5"/>
      <c r="K995" s="5"/>
    </row>
    <row r="996" ht="15.75" customHeight="1">
      <c r="A996" s="5"/>
      <c r="B996" s="5"/>
      <c r="C996" s="5"/>
      <c r="D996" s="5"/>
      <c r="K996" s="5"/>
    </row>
    <row r="997" ht="15.75" customHeight="1">
      <c r="A997" s="5"/>
      <c r="B997" s="5"/>
      <c r="C997" s="5"/>
      <c r="D997" s="5"/>
      <c r="K997" s="5"/>
    </row>
    <row r="998" ht="15.75" customHeight="1">
      <c r="A998" s="5"/>
      <c r="B998" s="5"/>
      <c r="C998" s="5"/>
      <c r="D998" s="5"/>
      <c r="K998" s="5"/>
    </row>
    <row r="999" ht="15.75" customHeight="1">
      <c r="A999" s="5"/>
      <c r="B999" s="5"/>
      <c r="C999" s="5"/>
      <c r="D999" s="5"/>
      <c r="K999" s="5"/>
    </row>
    <row r="1000" ht="15.75" customHeight="1">
      <c r="A1000" s="5"/>
      <c r="B1000" s="5"/>
      <c r="C1000" s="5"/>
      <c r="D1000" s="5"/>
      <c r="K1000" s="5"/>
    </row>
  </sheetData>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25"/>
    <col customWidth="1" min="2" max="2" width="10.38"/>
    <col customWidth="1" min="3" max="3" width="20.25"/>
    <col customWidth="1" min="4" max="4" width="36.25"/>
    <col customWidth="1" min="5" max="6" width="12.63"/>
  </cols>
  <sheetData>
    <row r="1" ht="15.75" customHeight="1">
      <c r="A1" s="32" t="s">
        <v>813</v>
      </c>
      <c r="B1" s="33" t="s">
        <v>633</v>
      </c>
      <c r="C1" s="32" t="s">
        <v>634</v>
      </c>
      <c r="D1" s="32" t="s">
        <v>635</v>
      </c>
      <c r="E1" s="39" t="s">
        <v>814</v>
      </c>
      <c r="F1" s="32"/>
      <c r="G1" s="35"/>
      <c r="H1" s="35"/>
      <c r="I1" s="35"/>
      <c r="J1" s="35"/>
      <c r="K1" s="35"/>
      <c r="L1" s="35"/>
      <c r="M1" s="35"/>
      <c r="N1" s="35"/>
      <c r="O1" s="35"/>
      <c r="P1" s="35"/>
      <c r="Q1" s="35"/>
      <c r="R1" s="35"/>
      <c r="S1" s="35"/>
      <c r="T1" s="35"/>
      <c r="U1" s="35"/>
      <c r="V1" s="35"/>
      <c r="W1" s="35"/>
      <c r="X1" s="35"/>
      <c r="Y1" s="35"/>
      <c r="Z1" s="35"/>
    </row>
    <row r="2" ht="15.75" customHeight="1">
      <c r="A2" s="36" t="s">
        <v>143</v>
      </c>
      <c r="B2" s="37" t="s">
        <v>140</v>
      </c>
      <c r="C2" s="36" t="s">
        <v>696</v>
      </c>
      <c r="D2" s="36" t="s">
        <v>815</v>
      </c>
      <c r="E2" s="80">
        <v>0.0</v>
      </c>
      <c r="F2" s="36"/>
      <c r="G2" s="5"/>
      <c r="H2" s="5"/>
      <c r="I2" s="5"/>
      <c r="J2" s="5"/>
      <c r="K2" s="5"/>
      <c r="L2" s="5"/>
      <c r="M2" s="5"/>
      <c r="N2" s="5"/>
      <c r="O2" s="5"/>
      <c r="P2" s="5"/>
      <c r="Q2" s="5"/>
      <c r="R2" s="5"/>
      <c r="S2" s="5"/>
      <c r="T2" s="5"/>
      <c r="U2" s="5"/>
      <c r="V2" s="5"/>
      <c r="W2" s="5"/>
      <c r="X2" s="5"/>
      <c r="Y2" s="5"/>
      <c r="Z2" s="5"/>
    </row>
    <row r="3" ht="15.75" customHeight="1">
      <c r="A3" s="36" t="s">
        <v>143</v>
      </c>
      <c r="B3" s="37" t="s">
        <v>140</v>
      </c>
      <c r="C3" s="36" t="s">
        <v>694</v>
      </c>
      <c r="D3" s="36" t="s">
        <v>695</v>
      </c>
      <c r="E3" s="80">
        <v>0.25</v>
      </c>
      <c r="F3" s="36"/>
      <c r="G3" s="5"/>
      <c r="H3" s="5"/>
      <c r="I3" s="5"/>
      <c r="J3" s="5"/>
      <c r="K3" s="5"/>
      <c r="L3" s="5"/>
      <c r="M3" s="5"/>
      <c r="N3" s="5"/>
      <c r="O3" s="5"/>
      <c r="P3" s="5"/>
      <c r="Q3" s="5"/>
      <c r="R3" s="5"/>
      <c r="S3" s="5"/>
      <c r="T3" s="5"/>
      <c r="U3" s="5"/>
      <c r="V3" s="5"/>
      <c r="W3" s="5"/>
      <c r="X3" s="5"/>
      <c r="Y3" s="5"/>
      <c r="Z3" s="5"/>
    </row>
    <row r="4" ht="15.75" customHeight="1">
      <c r="A4" s="36" t="s">
        <v>143</v>
      </c>
      <c r="B4" s="37" t="s">
        <v>140</v>
      </c>
      <c r="C4" s="36" t="s">
        <v>691</v>
      </c>
      <c r="D4" s="36" t="s">
        <v>816</v>
      </c>
      <c r="E4" s="80">
        <v>0.5</v>
      </c>
      <c r="F4" s="36"/>
      <c r="G4" s="5"/>
      <c r="H4" s="5"/>
      <c r="I4" s="5"/>
      <c r="J4" s="5"/>
      <c r="K4" s="5"/>
      <c r="L4" s="5"/>
      <c r="M4" s="5"/>
      <c r="N4" s="5"/>
      <c r="O4" s="5"/>
      <c r="P4" s="5"/>
      <c r="Q4" s="5"/>
      <c r="R4" s="5"/>
      <c r="S4" s="5"/>
      <c r="T4" s="5"/>
      <c r="U4" s="5"/>
      <c r="V4" s="5"/>
      <c r="W4" s="5"/>
      <c r="X4" s="5"/>
      <c r="Y4" s="5"/>
      <c r="Z4" s="5"/>
    </row>
    <row r="5" ht="15.75" customHeight="1">
      <c r="A5" s="36" t="s">
        <v>143</v>
      </c>
      <c r="B5" s="37" t="s">
        <v>140</v>
      </c>
      <c r="C5" s="36" t="s">
        <v>689</v>
      </c>
      <c r="D5" s="36" t="s">
        <v>817</v>
      </c>
      <c r="E5" s="80">
        <v>0.75</v>
      </c>
      <c r="F5" s="36"/>
      <c r="G5" s="5"/>
      <c r="H5" s="5"/>
      <c r="I5" s="5"/>
      <c r="J5" s="5"/>
      <c r="K5" s="5"/>
      <c r="L5" s="5"/>
      <c r="M5" s="5"/>
      <c r="N5" s="5"/>
      <c r="O5" s="5"/>
      <c r="P5" s="5"/>
      <c r="Q5" s="5"/>
      <c r="R5" s="5"/>
      <c r="S5" s="5"/>
      <c r="T5" s="5"/>
      <c r="U5" s="5"/>
      <c r="V5" s="5"/>
      <c r="W5" s="5"/>
      <c r="X5" s="5"/>
      <c r="Y5" s="5"/>
      <c r="Z5" s="5"/>
    </row>
    <row r="6" ht="15.75" customHeight="1">
      <c r="A6" s="36" t="s">
        <v>143</v>
      </c>
      <c r="B6" s="37" t="s">
        <v>140</v>
      </c>
      <c r="C6" s="36" t="s">
        <v>657</v>
      </c>
      <c r="D6" s="36" t="s">
        <v>818</v>
      </c>
      <c r="E6" s="80">
        <v>1.0</v>
      </c>
      <c r="F6" s="36"/>
      <c r="G6" s="5"/>
      <c r="H6" s="5"/>
      <c r="I6" s="5"/>
      <c r="J6" s="5"/>
      <c r="K6" s="5"/>
      <c r="L6" s="5"/>
      <c r="M6" s="5"/>
      <c r="N6" s="5"/>
      <c r="O6" s="5"/>
      <c r="P6" s="5"/>
      <c r="Q6" s="5"/>
      <c r="R6" s="5"/>
      <c r="S6" s="5"/>
      <c r="T6" s="5"/>
      <c r="U6" s="5"/>
      <c r="V6" s="5"/>
      <c r="W6" s="5"/>
      <c r="X6" s="5"/>
      <c r="Y6" s="5"/>
      <c r="Z6" s="5"/>
    </row>
    <row r="7" ht="15.75" customHeight="1">
      <c r="A7" s="36" t="s">
        <v>222</v>
      </c>
      <c r="B7" s="37" t="s">
        <v>220</v>
      </c>
      <c r="C7" s="36" t="s">
        <v>819</v>
      </c>
      <c r="D7" s="36" t="s">
        <v>820</v>
      </c>
      <c r="E7" s="80">
        <v>0.0</v>
      </c>
      <c r="F7" s="36"/>
      <c r="G7" s="5"/>
      <c r="H7" s="5"/>
      <c r="I7" s="5"/>
      <c r="J7" s="5"/>
      <c r="K7" s="5"/>
      <c r="L7" s="5"/>
      <c r="M7" s="5"/>
      <c r="N7" s="5"/>
      <c r="O7" s="5"/>
      <c r="P7" s="5"/>
      <c r="Q7" s="5"/>
      <c r="R7" s="5"/>
      <c r="S7" s="5"/>
      <c r="T7" s="5"/>
      <c r="U7" s="5"/>
      <c r="V7" s="5"/>
      <c r="W7" s="5"/>
      <c r="X7" s="5"/>
      <c r="Y7" s="5"/>
      <c r="Z7" s="5"/>
    </row>
    <row r="8" ht="15.75" customHeight="1">
      <c r="A8" s="36" t="s">
        <v>222</v>
      </c>
      <c r="B8" s="37" t="s">
        <v>220</v>
      </c>
      <c r="C8" s="36" t="s">
        <v>821</v>
      </c>
      <c r="D8" s="36" t="s">
        <v>822</v>
      </c>
      <c r="E8" s="80">
        <v>0.25</v>
      </c>
      <c r="F8" s="36"/>
      <c r="G8" s="5"/>
      <c r="H8" s="5"/>
      <c r="I8" s="5"/>
      <c r="J8" s="5"/>
      <c r="K8" s="5"/>
      <c r="L8" s="5"/>
      <c r="M8" s="5"/>
      <c r="N8" s="5"/>
      <c r="O8" s="5"/>
      <c r="P8" s="5"/>
      <c r="Q8" s="5"/>
      <c r="R8" s="5"/>
      <c r="S8" s="5"/>
      <c r="T8" s="5"/>
      <c r="U8" s="5"/>
      <c r="V8" s="5"/>
      <c r="W8" s="5"/>
      <c r="X8" s="5"/>
      <c r="Y8" s="5"/>
      <c r="Z8" s="5"/>
    </row>
    <row r="9" ht="15.75" customHeight="1">
      <c r="A9" s="36" t="s">
        <v>222</v>
      </c>
      <c r="B9" s="37" t="s">
        <v>220</v>
      </c>
      <c r="C9" s="36" t="s">
        <v>823</v>
      </c>
      <c r="D9" s="36" t="s">
        <v>824</v>
      </c>
      <c r="E9" s="80">
        <v>0.5</v>
      </c>
      <c r="F9" s="36"/>
      <c r="G9" s="5"/>
      <c r="H9" s="5"/>
      <c r="I9" s="5"/>
      <c r="J9" s="5"/>
      <c r="K9" s="5"/>
      <c r="L9" s="5"/>
      <c r="M9" s="5"/>
      <c r="N9" s="5"/>
      <c r="O9" s="5"/>
      <c r="P9" s="5"/>
      <c r="Q9" s="5"/>
      <c r="R9" s="5"/>
      <c r="S9" s="5"/>
      <c r="T9" s="5"/>
      <c r="U9" s="5"/>
      <c r="V9" s="5"/>
      <c r="W9" s="5"/>
      <c r="X9" s="5"/>
      <c r="Y9" s="5"/>
      <c r="Z9" s="5"/>
    </row>
    <row r="10" ht="15.75" customHeight="1">
      <c r="A10" s="36" t="s">
        <v>222</v>
      </c>
      <c r="B10" s="37" t="s">
        <v>220</v>
      </c>
      <c r="C10" s="36" t="s">
        <v>825</v>
      </c>
      <c r="D10" s="36" t="s">
        <v>826</v>
      </c>
      <c r="E10" s="80">
        <v>0.75</v>
      </c>
      <c r="F10" s="36"/>
      <c r="G10" s="5"/>
      <c r="H10" s="5"/>
      <c r="I10" s="5"/>
      <c r="J10" s="5"/>
      <c r="K10" s="5"/>
      <c r="L10" s="5"/>
      <c r="M10" s="5"/>
      <c r="N10" s="5"/>
      <c r="O10" s="5"/>
      <c r="P10" s="5"/>
      <c r="Q10" s="5"/>
      <c r="R10" s="5"/>
      <c r="S10" s="5"/>
      <c r="T10" s="5"/>
      <c r="U10" s="5"/>
      <c r="V10" s="5"/>
      <c r="W10" s="5"/>
      <c r="X10" s="5"/>
      <c r="Y10" s="5"/>
      <c r="Z10" s="5"/>
    </row>
    <row r="11" ht="15.75" customHeight="1">
      <c r="A11" s="36" t="s">
        <v>222</v>
      </c>
      <c r="B11" s="37" t="s">
        <v>220</v>
      </c>
      <c r="C11" s="36" t="s">
        <v>827</v>
      </c>
      <c r="D11" s="36" t="s">
        <v>828</v>
      </c>
      <c r="E11" s="80">
        <v>1.0</v>
      </c>
      <c r="F11" s="36"/>
      <c r="G11" s="5"/>
      <c r="H11" s="5"/>
      <c r="I11" s="5"/>
      <c r="J11" s="5"/>
      <c r="K11" s="5"/>
      <c r="L11" s="5"/>
      <c r="M11" s="5"/>
      <c r="N11" s="5"/>
      <c r="O11" s="5"/>
      <c r="P11" s="5"/>
      <c r="Q11" s="5"/>
      <c r="R11" s="5"/>
      <c r="S11" s="5"/>
      <c r="T11" s="5"/>
      <c r="U11" s="5"/>
      <c r="V11" s="5"/>
      <c r="W11" s="5"/>
      <c r="X11" s="5"/>
      <c r="Y11" s="5"/>
      <c r="Z11" s="5"/>
    </row>
    <row r="12" ht="15.75" customHeight="1">
      <c r="A12" s="36" t="s">
        <v>219</v>
      </c>
      <c r="B12" s="37" t="s">
        <v>217</v>
      </c>
      <c r="C12" s="36" t="s">
        <v>829</v>
      </c>
      <c r="D12" s="36" t="s">
        <v>830</v>
      </c>
      <c r="E12" s="80">
        <v>0.0</v>
      </c>
      <c r="F12" s="36"/>
      <c r="G12" s="5"/>
      <c r="H12" s="5"/>
      <c r="I12" s="5"/>
      <c r="J12" s="5"/>
      <c r="K12" s="5"/>
      <c r="L12" s="5"/>
      <c r="M12" s="5"/>
      <c r="N12" s="5"/>
      <c r="O12" s="5"/>
      <c r="P12" s="5"/>
      <c r="Q12" s="5"/>
      <c r="R12" s="5"/>
      <c r="S12" s="5"/>
      <c r="T12" s="5"/>
      <c r="U12" s="5"/>
      <c r="V12" s="5"/>
      <c r="W12" s="5"/>
      <c r="X12" s="5"/>
      <c r="Y12" s="5"/>
      <c r="Z12" s="5"/>
    </row>
    <row r="13" ht="15.75" customHeight="1">
      <c r="A13" s="36" t="s">
        <v>219</v>
      </c>
      <c r="B13" s="37" t="s">
        <v>217</v>
      </c>
      <c r="C13" s="36" t="s">
        <v>831</v>
      </c>
      <c r="D13" s="36" t="s">
        <v>832</v>
      </c>
      <c r="E13" s="80">
        <v>0.25</v>
      </c>
      <c r="F13" s="36"/>
      <c r="G13" s="5"/>
      <c r="H13" s="5"/>
      <c r="I13" s="5"/>
      <c r="J13" s="5"/>
      <c r="K13" s="5"/>
      <c r="L13" s="5"/>
      <c r="M13" s="5"/>
      <c r="N13" s="5"/>
      <c r="O13" s="5"/>
      <c r="P13" s="5"/>
      <c r="Q13" s="5"/>
      <c r="R13" s="5"/>
      <c r="S13" s="5"/>
      <c r="T13" s="5"/>
      <c r="U13" s="5"/>
      <c r="V13" s="5"/>
      <c r="W13" s="5"/>
      <c r="X13" s="5"/>
      <c r="Y13" s="5"/>
      <c r="Z13" s="5"/>
    </row>
    <row r="14" ht="15.75" customHeight="1">
      <c r="A14" s="36" t="s">
        <v>219</v>
      </c>
      <c r="B14" s="37" t="s">
        <v>217</v>
      </c>
      <c r="C14" s="36" t="s">
        <v>833</v>
      </c>
      <c r="D14" s="36" t="s">
        <v>834</v>
      </c>
      <c r="E14" s="80">
        <v>0.5</v>
      </c>
      <c r="F14" s="36"/>
      <c r="G14" s="5"/>
      <c r="H14" s="5"/>
      <c r="I14" s="5"/>
      <c r="J14" s="5"/>
      <c r="K14" s="5"/>
      <c r="L14" s="5"/>
      <c r="M14" s="5"/>
      <c r="N14" s="5"/>
      <c r="O14" s="5"/>
      <c r="P14" s="5"/>
      <c r="Q14" s="5"/>
      <c r="R14" s="5"/>
      <c r="S14" s="5"/>
      <c r="T14" s="5"/>
      <c r="U14" s="5"/>
      <c r="V14" s="5"/>
      <c r="W14" s="5"/>
      <c r="X14" s="5"/>
      <c r="Y14" s="5"/>
      <c r="Z14" s="5"/>
    </row>
    <row r="15" ht="15.75" customHeight="1">
      <c r="A15" s="36" t="s">
        <v>219</v>
      </c>
      <c r="B15" s="37" t="s">
        <v>217</v>
      </c>
      <c r="C15" s="36" t="s">
        <v>835</v>
      </c>
      <c r="D15" s="36" t="s">
        <v>836</v>
      </c>
      <c r="E15" s="80">
        <v>0.75</v>
      </c>
      <c r="F15" s="36"/>
      <c r="G15" s="5"/>
      <c r="H15" s="5"/>
      <c r="I15" s="5"/>
      <c r="J15" s="5"/>
      <c r="K15" s="5"/>
      <c r="L15" s="5"/>
      <c r="M15" s="5"/>
      <c r="N15" s="5"/>
      <c r="O15" s="5"/>
      <c r="P15" s="5"/>
      <c r="Q15" s="5"/>
      <c r="R15" s="5"/>
      <c r="S15" s="5"/>
      <c r="T15" s="5"/>
      <c r="U15" s="5"/>
      <c r="V15" s="5"/>
      <c r="W15" s="5"/>
      <c r="X15" s="5"/>
      <c r="Y15" s="5"/>
      <c r="Z15" s="5"/>
    </row>
    <row r="16" ht="20.25" customHeight="1">
      <c r="A16" s="36" t="s">
        <v>219</v>
      </c>
      <c r="B16" s="37" t="s">
        <v>217</v>
      </c>
      <c r="C16" s="36" t="s">
        <v>837</v>
      </c>
      <c r="D16" s="36" t="s">
        <v>838</v>
      </c>
      <c r="E16" s="80">
        <v>1.0</v>
      </c>
      <c r="F16" s="36"/>
      <c r="G16" s="5"/>
      <c r="H16" s="5"/>
      <c r="I16" s="5"/>
      <c r="J16" s="5"/>
      <c r="K16" s="5"/>
      <c r="L16" s="5"/>
      <c r="M16" s="5"/>
      <c r="N16" s="5"/>
      <c r="O16" s="5"/>
      <c r="P16" s="5"/>
      <c r="Q16" s="5"/>
      <c r="R16" s="5"/>
      <c r="S16" s="5"/>
      <c r="T16" s="5"/>
      <c r="U16" s="5"/>
      <c r="V16" s="5"/>
      <c r="W16" s="5"/>
      <c r="X16" s="5"/>
      <c r="Y16" s="5"/>
      <c r="Z16" s="5"/>
    </row>
    <row r="17" ht="15.75" customHeight="1">
      <c r="A17" s="36" t="s">
        <v>216</v>
      </c>
      <c r="B17" s="37" t="s">
        <v>214</v>
      </c>
      <c r="C17" s="36" t="s">
        <v>839</v>
      </c>
      <c r="D17" s="36" t="s">
        <v>840</v>
      </c>
      <c r="E17" s="80">
        <v>0.0</v>
      </c>
      <c r="F17" s="36"/>
      <c r="G17" s="5"/>
      <c r="H17" s="5"/>
      <c r="I17" s="5"/>
      <c r="J17" s="5"/>
      <c r="K17" s="5"/>
      <c r="L17" s="5"/>
      <c r="M17" s="5"/>
      <c r="N17" s="5"/>
      <c r="O17" s="5"/>
      <c r="P17" s="5"/>
      <c r="Q17" s="5"/>
      <c r="R17" s="5"/>
      <c r="S17" s="5"/>
      <c r="T17" s="5"/>
      <c r="U17" s="5"/>
      <c r="V17" s="5"/>
      <c r="W17" s="5"/>
      <c r="X17" s="5"/>
      <c r="Y17" s="5"/>
      <c r="Z17" s="5"/>
    </row>
    <row r="18" ht="15.75" customHeight="1">
      <c r="A18" s="36" t="s">
        <v>216</v>
      </c>
      <c r="B18" s="37" t="s">
        <v>214</v>
      </c>
      <c r="C18" s="36" t="s">
        <v>841</v>
      </c>
      <c r="D18" s="36" t="s">
        <v>842</v>
      </c>
      <c r="E18" s="80">
        <v>0.2</v>
      </c>
      <c r="F18" s="36"/>
      <c r="G18" s="5"/>
      <c r="H18" s="5"/>
      <c r="I18" s="5"/>
      <c r="J18" s="5"/>
      <c r="K18" s="5"/>
      <c r="L18" s="5"/>
      <c r="M18" s="5"/>
      <c r="N18" s="5"/>
      <c r="O18" s="5"/>
      <c r="P18" s="5"/>
      <c r="Q18" s="5"/>
      <c r="R18" s="5"/>
      <c r="S18" s="5"/>
      <c r="T18" s="5"/>
      <c r="U18" s="5"/>
      <c r="V18" s="5"/>
      <c r="W18" s="5"/>
      <c r="X18" s="5"/>
      <c r="Y18" s="5"/>
      <c r="Z18" s="5"/>
    </row>
    <row r="19" ht="15.75" customHeight="1">
      <c r="A19" s="36" t="s">
        <v>216</v>
      </c>
      <c r="B19" s="37" t="s">
        <v>214</v>
      </c>
      <c r="C19" s="36" t="s">
        <v>843</v>
      </c>
      <c r="D19" s="36" t="s">
        <v>844</v>
      </c>
      <c r="E19" s="80">
        <v>0.35</v>
      </c>
      <c r="F19" s="36"/>
      <c r="G19" s="5"/>
      <c r="H19" s="5"/>
      <c r="I19" s="5"/>
      <c r="J19" s="5"/>
      <c r="K19" s="5"/>
      <c r="L19" s="5"/>
      <c r="M19" s="5"/>
      <c r="N19" s="5"/>
      <c r="O19" s="5"/>
      <c r="P19" s="5"/>
      <c r="Q19" s="5"/>
      <c r="R19" s="5"/>
      <c r="S19" s="5"/>
      <c r="T19" s="5"/>
      <c r="U19" s="5"/>
      <c r="V19" s="5"/>
      <c r="W19" s="5"/>
      <c r="X19" s="5"/>
      <c r="Y19" s="5"/>
      <c r="Z19" s="5"/>
    </row>
    <row r="20" ht="15.75" customHeight="1">
      <c r="A20" s="36" t="s">
        <v>216</v>
      </c>
      <c r="B20" s="37" t="s">
        <v>214</v>
      </c>
      <c r="C20" s="36" t="s">
        <v>845</v>
      </c>
      <c r="D20" s="36" t="s">
        <v>846</v>
      </c>
      <c r="E20" s="80">
        <v>0.55</v>
      </c>
      <c r="F20" s="36"/>
      <c r="G20" s="5"/>
      <c r="H20" s="5"/>
      <c r="I20" s="5"/>
      <c r="J20" s="5"/>
      <c r="K20" s="5"/>
      <c r="L20" s="5"/>
      <c r="M20" s="5"/>
      <c r="N20" s="5"/>
      <c r="O20" s="5"/>
      <c r="P20" s="5"/>
      <c r="Q20" s="5"/>
      <c r="R20" s="5"/>
      <c r="S20" s="5"/>
      <c r="T20" s="5"/>
      <c r="U20" s="5"/>
      <c r="V20" s="5"/>
      <c r="W20" s="5"/>
      <c r="X20" s="5"/>
      <c r="Y20" s="5"/>
      <c r="Z20" s="5"/>
    </row>
    <row r="21" ht="15.75" customHeight="1">
      <c r="A21" s="36" t="s">
        <v>216</v>
      </c>
      <c r="B21" s="37" t="s">
        <v>214</v>
      </c>
      <c r="C21" s="36" t="s">
        <v>847</v>
      </c>
      <c r="D21" s="36" t="s">
        <v>848</v>
      </c>
      <c r="E21" s="80">
        <v>0.75</v>
      </c>
      <c r="F21" s="36"/>
      <c r="G21" s="5"/>
      <c r="H21" s="5"/>
      <c r="I21" s="5"/>
      <c r="J21" s="5"/>
      <c r="K21" s="5"/>
      <c r="L21" s="5"/>
      <c r="M21" s="5"/>
      <c r="N21" s="5"/>
      <c r="O21" s="5"/>
      <c r="P21" s="5"/>
      <c r="Q21" s="5"/>
      <c r="R21" s="5"/>
      <c r="S21" s="5"/>
      <c r="T21" s="5"/>
      <c r="U21" s="5"/>
      <c r="V21" s="5"/>
      <c r="W21" s="5"/>
      <c r="X21" s="5"/>
      <c r="Y21" s="5"/>
      <c r="Z21" s="5"/>
    </row>
    <row r="22" ht="15.75" customHeight="1">
      <c r="A22" s="36" t="s">
        <v>216</v>
      </c>
      <c r="B22" s="37" t="s">
        <v>214</v>
      </c>
      <c r="C22" s="36" t="s">
        <v>849</v>
      </c>
      <c r="D22" s="36" t="s">
        <v>850</v>
      </c>
      <c r="E22" s="80">
        <v>1.0</v>
      </c>
      <c r="F22" s="36"/>
      <c r="G22" s="5"/>
      <c r="H22" s="5"/>
      <c r="I22" s="5"/>
      <c r="J22" s="5"/>
      <c r="K22" s="5"/>
      <c r="L22" s="5"/>
      <c r="M22" s="5"/>
      <c r="N22" s="5"/>
      <c r="O22" s="5"/>
      <c r="P22" s="5"/>
      <c r="Q22" s="5"/>
      <c r="R22" s="5"/>
      <c r="S22" s="5"/>
      <c r="T22" s="5"/>
      <c r="U22" s="5"/>
      <c r="V22" s="5"/>
      <c r="W22" s="5"/>
      <c r="X22" s="5"/>
      <c r="Y22" s="5"/>
      <c r="Z22" s="5"/>
    </row>
    <row r="23" ht="15.75" customHeight="1">
      <c r="A23" s="36" t="s">
        <v>216</v>
      </c>
      <c r="B23" s="37" t="s">
        <v>217</v>
      </c>
      <c r="C23" s="36" t="s">
        <v>851</v>
      </c>
      <c r="D23" s="36" t="s">
        <v>852</v>
      </c>
      <c r="E23" s="80">
        <v>0.0</v>
      </c>
      <c r="F23" s="36"/>
      <c r="G23" s="5"/>
      <c r="H23" s="5"/>
      <c r="I23" s="5"/>
      <c r="J23" s="5"/>
      <c r="K23" s="5"/>
      <c r="L23" s="5"/>
      <c r="M23" s="5"/>
      <c r="N23" s="5"/>
      <c r="O23" s="5"/>
      <c r="P23" s="5"/>
      <c r="Q23" s="5"/>
      <c r="R23" s="5"/>
      <c r="S23" s="5"/>
      <c r="T23" s="5"/>
      <c r="U23" s="5"/>
      <c r="V23" s="5"/>
      <c r="W23" s="5"/>
      <c r="X23" s="5"/>
      <c r="Y23" s="5"/>
      <c r="Z23" s="5"/>
    </row>
    <row r="24" ht="15.75" customHeight="1">
      <c r="A24" s="36" t="s">
        <v>225</v>
      </c>
      <c r="B24" s="37" t="s">
        <v>223</v>
      </c>
      <c r="C24" s="36" t="s">
        <v>853</v>
      </c>
      <c r="D24" s="36" t="s">
        <v>840</v>
      </c>
      <c r="E24" s="80">
        <v>0.0</v>
      </c>
      <c r="F24" s="36"/>
      <c r="G24" s="5"/>
      <c r="H24" s="5"/>
      <c r="I24" s="5"/>
      <c r="J24" s="5"/>
      <c r="K24" s="5"/>
      <c r="L24" s="5"/>
      <c r="M24" s="5"/>
      <c r="N24" s="5"/>
      <c r="O24" s="5"/>
      <c r="P24" s="5"/>
      <c r="Q24" s="5"/>
      <c r="R24" s="5"/>
      <c r="S24" s="5"/>
      <c r="T24" s="5"/>
      <c r="U24" s="5"/>
      <c r="V24" s="5"/>
      <c r="W24" s="5"/>
      <c r="X24" s="5"/>
      <c r="Y24" s="5"/>
      <c r="Z24" s="5"/>
    </row>
    <row r="25" ht="15.75" customHeight="1">
      <c r="A25" s="36" t="s">
        <v>225</v>
      </c>
      <c r="B25" s="37" t="s">
        <v>223</v>
      </c>
      <c r="C25" s="36" t="s">
        <v>854</v>
      </c>
      <c r="D25" s="36" t="s">
        <v>855</v>
      </c>
      <c r="E25" s="80">
        <v>0.6</v>
      </c>
      <c r="F25" s="36"/>
      <c r="G25" s="5"/>
      <c r="H25" s="5"/>
      <c r="I25" s="5"/>
      <c r="J25" s="5"/>
      <c r="K25" s="5"/>
      <c r="L25" s="5"/>
      <c r="M25" s="5"/>
      <c r="N25" s="5"/>
      <c r="O25" s="5"/>
      <c r="P25" s="5"/>
      <c r="Q25" s="5"/>
      <c r="R25" s="5"/>
      <c r="S25" s="5"/>
      <c r="T25" s="5"/>
      <c r="U25" s="5"/>
      <c r="V25" s="5"/>
      <c r="W25" s="5"/>
      <c r="X25" s="5"/>
      <c r="Y25" s="5"/>
      <c r="Z25" s="5"/>
    </row>
    <row r="26" ht="15.75" customHeight="1">
      <c r="A26" s="36" t="s">
        <v>225</v>
      </c>
      <c r="B26" s="37" t="s">
        <v>223</v>
      </c>
      <c r="C26" s="36" t="s">
        <v>856</v>
      </c>
      <c r="D26" s="36" t="s">
        <v>857</v>
      </c>
      <c r="E26" s="80">
        <v>0.6</v>
      </c>
      <c r="F26" s="36"/>
      <c r="G26" s="5"/>
      <c r="H26" s="5"/>
      <c r="I26" s="5"/>
      <c r="J26" s="5"/>
      <c r="K26" s="5"/>
      <c r="L26" s="5"/>
      <c r="M26" s="5"/>
      <c r="N26" s="5"/>
      <c r="O26" s="5"/>
      <c r="P26" s="5"/>
      <c r="Q26" s="5"/>
      <c r="R26" s="5"/>
      <c r="S26" s="5"/>
      <c r="T26" s="5"/>
      <c r="U26" s="5"/>
      <c r="V26" s="5"/>
      <c r="W26" s="5"/>
      <c r="X26" s="5"/>
      <c r="Y26" s="5"/>
      <c r="Z26" s="5"/>
    </row>
    <row r="27" ht="15.75" customHeight="1">
      <c r="A27" s="36" t="s">
        <v>225</v>
      </c>
      <c r="B27" s="37" t="s">
        <v>223</v>
      </c>
      <c r="C27" s="36" t="s">
        <v>858</v>
      </c>
      <c r="D27" s="36" t="s">
        <v>859</v>
      </c>
      <c r="E27" s="80">
        <v>0.9</v>
      </c>
      <c r="F27" s="36"/>
      <c r="G27" s="5"/>
      <c r="H27" s="5"/>
      <c r="I27" s="5"/>
      <c r="J27" s="5"/>
      <c r="K27" s="5"/>
      <c r="L27" s="5"/>
      <c r="M27" s="5"/>
      <c r="N27" s="5"/>
      <c r="O27" s="5"/>
      <c r="P27" s="5"/>
      <c r="Q27" s="5"/>
      <c r="R27" s="5"/>
      <c r="S27" s="5"/>
      <c r="T27" s="5"/>
      <c r="U27" s="5"/>
      <c r="V27" s="5"/>
      <c r="W27" s="5"/>
      <c r="X27" s="5"/>
      <c r="Y27" s="5"/>
      <c r="Z27" s="5"/>
    </row>
    <row r="28" ht="15.75" customHeight="1">
      <c r="A28" s="36" t="s">
        <v>225</v>
      </c>
      <c r="B28" s="37" t="s">
        <v>223</v>
      </c>
      <c r="C28" s="36" t="s">
        <v>700</v>
      </c>
      <c r="D28" s="36" t="s">
        <v>860</v>
      </c>
      <c r="E28" s="80">
        <v>0.4</v>
      </c>
      <c r="F28" s="36"/>
      <c r="G28" s="5"/>
      <c r="H28" s="5"/>
      <c r="I28" s="5"/>
      <c r="J28" s="5"/>
      <c r="K28" s="5"/>
      <c r="L28" s="5"/>
      <c r="M28" s="5"/>
      <c r="N28" s="5"/>
      <c r="O28" s="5"/>
      <c r="P28" s="5"/>
      <c r="Q28" s="5"/>
      <c r="R28" s="5"/>
      <c r="S28" s="5"/>
      <c r="T28" s="5"/>
      <c r="U28" s="5"/>
      <c r="V28" s="5"/>
      <c r="W28" s="5"/>
      <c r="X28" s="5"/>
      <c r="Y28" s="5"/>
      <c r="Z28" s="5"/>
    </row>
    <row r="29" ht="15.75" customHeight="1">
      <c r="A29" s="36" t="s">
        <v>225</v>
      </c>
      <c r="B29" s="37" t="s">
        <v>223</v>
      </c>
      <c r="C29" s="36" t="s">
        <v>861</v>
      </c>
      <c r="D29" s="36" t="s">
        <v>852</v>
      </c>
      <c r="E29" s="80">
        <v>0.0</v>
      </c>
      <c r="F29" s="36"/>
      <c r="G29" s="5"/>
      <c r="H29" s="5"/>
      <c r="I29" s="5"/>
      <c r="J29" s="5"/>
      <c r="K29" s="5"/>
      <c r="L29" s="5"/>
      <c r="M29" s="5"/>
      <c r="N29" s="5"/>
      <c r="O29" s="5"/>
      <c r="P29" s="5"/>
      <c r="Q29" s="5"/>
      <c r="R29" s="5"/>
      <c r="S29" s="5"/>
      <c r="T29" s="5"/>
      <c r="U29" s="5"/>
      <c r="V29" s="5"/>
      <c r="W29" s="5"/>
      <c r="X29" s="5"/>
      <c r="Y29" s="5"/>
      <c r="Z29" s="5"/>
    </row>
    <row r="30" ht="15.75" customHeight="1">
      <c r="A30" s="5" t="s">
        <v>228</v>
      </c>
      <c r="B30" s="81" t="s">
        <v>226</v>
      </c>
      <c r="C30" s="5" t="s">
        <v>853</v>
      </c>
      <c r="D30" s="5" t="s">
        <v>840</v>
      </c>
      <c r="E30" s="82">
        <v>0.0</v>
      </c>
      <c r="F30" s="5"/>
      <c r="G30" s="5"/>
      <c r="H30" s="5"/>
      <c r="I30" s="5"/>
      <c r="J30" s="5"/>
      <c r="K30" s="5"/>
      <c r="L30" s="5"/>
      <c r="M30" s="5"/>
      <c r="N30" s="5"/>
      <c r="O30" s="5"/>
      <c r="P30" s="5"/>
      <c r="Q30" s="5"/>
      <c r="R30" s="5"/>
      <c r="S30" s="5"/>
      <c r="T30" s="5"/>
      <c r="U30" s="5"/>
      <c r="V30" s="5"/>
      <c r="W30" s="5"/>
      <c r="X30" s="5"/>
      <c r="Y30" s="5"/>
      <c r="Z30" s="5"/>
    </row>
    <row r="31" ht="15.75" customHeight="1">
      <c r="A31" s="5" t="s">
        <v>228</v>
      </c>
      <c r="B31" s="81" t="s">
        <v>226</v>
      </c>
      <c r="C31" s="5" t="s">
        <v>862</v>
      </c>
      <c r="D31" s="5" t="s">
        <v>863</v>
      </c>
      <c r="E31" s="82">
        <v>1.0</v>
      </c>
      <c r="F31" s="5"/>
      <c r="G31" s="5"/>
      <c r="H31" s="5"/>
      <c r="I31" s="5"/>
      <c r="J31" s="5"/>
      <c r="K31" s="5"/>
      <c r="L31" s="5"/>
      <c r="M31" s="5"/>
      <c r="N31" s="5"/>
      <c r="O31" s="5"/>
      <c r="P31" s="5"/>
      <c r="Q31" s="5"/>
      <c r="R31" s="5"/>
      <c r="S31" s="5"/>
      <c r="T31" s="5"/>
      <c r="U31" s="5"/>
      <c r="V31" s="5"/>
      <c r="W31" s="5"/>
      <c r="X31" s="5"/>
      <c r="Y31" s="5"/>
      <c r="Z31" s="5"/>
    </row>
    <row r="32" ht="15.75" customHeight="1">
      <c r="A32" s="5" t="s">
        <v>228</v>
      </c>
      <c r="B32" s="81" t="s">
        <v>226</v>
      </c>
      <c r="C32" s="5" t="s">
        <v>864</v>
      </c>
      <c r="D32" s="5" t="s">
        <v>865</v>
      </c>
      <c r="E32" s="82">
        <v>1.0</v>
      </c>
      <c r="F32" s="5"/>
      <c r="G32" s="5"/>
      <c r="H32" s="5"/>
      <c r="I32" s="5"/>
      <c r="J32" s="5"/>
      <c r="K32" s="5"/>
      <c r="L32" s="5"/>
      <c r="M32" s="5"/>
      <c r="N32" s="5"/>
      <c r="O32" s="5"/>
      <c r="P32" s="5"/>
      <c r="Q32" s="5"/>
      <c r="R32" s="5"/>
      <c r="S32" s="5"/>
      <c r="T32" s="5"/>
      <c r="U32" s="5"/>
      <c r="V32" s="5"/>
      <c r="W32" s="5"/>
      <c r="X32" s="5"/>
      <c r="Y32" s="5"/>
      <c r="Z32" s="5"/>
    </row>
    <row r="33" ht="15.75" customHeight="1">
      <c r="A33" s="5" t="s">
        <v>228</v>
      </c>
      <c r="B33" s="81" t="s">
        <v>226</v>
      </c>
      <c r="C33" s="5" t="s">
        <v>866</v>
      </c>
      <c r="D33" s="5" t="s">
        <v>867</v>
      </c>
      <c r="E33" s="82">
        <v>0.6</v>
      </c>
      <c r="F33" s="5"/>
      <c r="G33" s="5"/>
      <c r="H33" s="5"/>
      <c r="I33" s="5"/>
      <c r="J33" s="5"/>
      <c r="K33" s="5"/>
      <c r="L33" s="5"/>
      <c r="M33" s="5"/>
      <c r="N33" s="5"/>
      <c r="O33" s="5"/>
      <c r="P33" s="5"/>
      <c r="Q33" s="5"/>
      <c r="R33" s="5"/>
      <c r="S33" s="5"/>
      <c r="T33" s="5"/>
      <c r="U33" s="5"/>
      <c r="V33" s="5"/>
      <c r="W33" s="5"/>
      <c r="X33" s="5"/>
      <c r="Y33" s="5"/>
      <c r="Z33" s="5"/>
    </row>
    <row r="34" ht="15.75" customHeight="1">
      <c r="A34" s="5" t="s">
        <v>228</v>
      </c>
      <c r="B34" s="81" t="s">
        <v>226</v>
      </c>
      <c r="C34" s="5" t="s">
        <v>861</v>
      </c>
      <c r="D34" s="5" t="s">
        <v>852</v>
      </c>
      <c r="E34" s="82">
        <v>0.0</v>
      </c>
      <c r="F34" s="5"/>
      <c r="G34" s="5"/>
      <c r="H34" s="5"/>
      <c r="I34" s="5"/>
      <c r="J34" s="5"/>
      <c r="K34" s="5"/>
      <c r="L34" s="5"/>
      <c r="M34" s="5"/>
      <c r="N34" s="5"/>
      <c r="O34" s="5"/>
      <c r="P34" s="5"/>
      <c r="Q34" s="5"/>
      <c r="R34" s="5"/>
      <c r="S34" s="5"/>
      <c r="T34" s="5"/>
      <c r="U34" s="5"/>
      <c r="V34" s="5"/>
      <c r="W34" s="5"/>
      <c r="X34" s="5"/>
      <c r="Y34" s="5"/>
      <c r="Z34" s="5"/>
    </row>
    <row r="35" ht="15.75" customHeight="1">
      <c r="A35" s="5"/>
      <c r="B35" s="5"/>
      <c r="C35" s="5"/>
      <c r="D35" s="5"/>
    </row>
    <row r="36" ht="15.75" customHeight="1">
      <c r="A36" s="5"/>
      <c r="B36" s="5"/>
      <c r="C36" s="5"/>
      <c r="D36" s="5"/>
    </row>
    <row r="37" ht="15.75" customHeight="1">
      <c r="A37" s="5"/>
      <c r="B37" s="5"/>
      <c r="C37" s="5"/>
      <c r="D37" s="5"/>
    </row>
    <row r="38" ht="15.75" customHeight="1">
      <c r="A38" s="5"/>
      <c r="B38" s="5"/>
      <c r="C38" s="5"/>
      <c r="D38" s="5"/>
    </row>
    <row r="39" ht="15.75" customHeight="1">
      <c r="A39" s="5"/>
      <c r="B39" s="5"/>
      <c r="C39" s="5"/>
      <c r="D39" s="5"/>
    </row>
    <row r="40" ht="15.75" customHeight="1">
      <c r="A40" s="5"/>
      <c r="B40" s="5"/>
      <c r="C40" s="5"/>
      <c r="D40" s="5"/>
    </row>
    <row r="41" ht="15.75" customHeight="1">
      <c r="A41" s="5"/>
      <c r="B41" s="5"/>
      <c r="C41" s="5"/>
      <c r="D41" s="5"/>
    </row>
    <row r="42" ht="15.75" customHeight="1">
      <c r="A42" s="5"/>
      <c r="B42" s="5"/>
      <c r="C42" s="5"/>
      <c r="D42" s="5"/>
    </row>
    <row r="43" ht="15.75" customHeight="1">
      <c r="A43" s="5"/>
      <c r="B43" s="5"/>
      <c r="C43" s="5"/>
      <c r="D43" s="5"/>
    </row>
    <row r="44" ht="15.75" customHeight="1">
      <c r="A44" s="5"/>
      <c r="B44" s="5"/>
      <c r="C44" s="5"/>
      <c r="D44" s="5"/>
    </row>
    <row r="45" ht="15.75" customHeight="1">
      <c r="A45" s="5"/>
      <c r="B45" s="5"/>
      <c r="C45" s="5"/>
      <c r="D45" s="5"/>
    </row>
    <row r="46" ht="15.75" customHeight="1">
      <c r="A46" s="5"/>
      <c r="B46" s="5"/>
      <c r="C46" s="5"/>
      <c r="D46" s="5"/>
    </row>
    <row r="47" ht="15.75" customHeight="1">
      <c r="A47" s="5"/>
      <c r="B47" s="5"/>
      <c r="C47" s="5"/>
      <c r="D47" s="5"/>
    </row>
    <row r="48" ht="15.75" customHeight="1">
      <c r="A48" s="5"/>
      <c r="B48" s="5"/>
      <c r="C48" s="5"/>
      <c r="D48" s="5"/>
    </row>
    <row r="49" ht="15.75" customHeight="1">
      <c r="A49" s="5"/>
      <c r="B49" s="5"/>
      <c r="C49" s="5"/>
      <c r="D49" s="5"/>
    </row>
    <row r="50" ht="15.75" customHeight="1">
      <c r="A50" s="5"/>
      <c r="B50" s="5"/>
      <c r="C50" s="5"/>
      <c r="D50" s="5"/>
    </row>
    <row r="51" ht="15.75" customHeight="1">
      <c r="A51" s="5"/>
      <c r="B51" s="5"/>
      <c r="C51" s="5"/>
      <c r="D51" s="5"/>
    </row>
    <row r="52" ht="15.75" customHeight="1">
      <c r="A52" s="5"/>
      <c r="B52" s="5"/>
      <c r="C52" s="5"/>
      <c r="D52" s="5"/>
    </row>
    <row r="53" ht="15.75" customHeight="1">
      <c r="A53" s="5"/>
      <c r="B53" s="5"/>
      <c r="C53" s="5"/>
      <c r="D53" s="5"/>
    </row>
    <row r="54" ht="15.75" customHeight="1">
      <c r="A54" s="5"/>
      <c r="B54" s="5"/>
      <c r="C54" s="5"/>
      <c r="D54" s="5"/>
    </row>
    <row r="55" ht="15.75" customHeight="1">
      <c r="A55" s="5"/>
      <c r="B55" s="5"/>
      <c r="C55" s="5"/>
      <c r="D55" s="5"/>
    </row>
    <row r="56" ht="15.75" customHeight="1">
      <c r="A56" s="5"/>
      <c r="B56" s="5"/>
      <c r="C56" s="5"/>
      <c r="D56" s="5"/>
    </row>
    <row r="57" ht="15.75" customHeight="1">
      <c r="A57" s="5"/>
      <c r="B57" s="5"/>
      <c r="C57" s="5"/>
      <c r="D57" s="5"/>
    </row>
    <row r="58" ht="15.75" customHeight="1">
      <c r="A58" s="5"/>
      <c r="B58" s="5"/>
      <c r="C58" s="5"/>
      <c r="D58" s="5"/>
    </row>
    <row r="59" ht="15.75" customHeight="1">
      <c r="A59" s="5"/>
      <c r="B59" s="5"/>
      <c r="C59" s="5"/>
      <c r="D59" s="5"/>
    </row>
    <row r="60" ht="15.75" customHeight="1">
      <c r="A60" s="5"/>
      <c r="B60" s="5"/>
      <c r="C60" s="5"/>
      <c r="D60" s="5"/>
    </row>
    <row r="61" ht="15.75" customHeight="1">
      <c r="A61" s="5"/>
      <c r="B61" s="5"/>
      <c r="C61" s="5"/>
      <c r="D61" s="5"/>
    </row>
    <row r="62" ht="15.75" customHeight="1">
      <c r="A62" s="5"/>
      <c r="B62" s="5"/>
      <c r="C62" s="5"/>
      <c r="D62" s="5"/>
    </row>
    <row r="63" ht="15.75" customHeight="1">
      <c r="A63" s="5"/>
      <c r="B63" s="5"/>
      <c r="C63" s="5"/>
      <c r="D63" s="5"/>
    </row>
    <row r="64" ht="15.75" customHeight="1">
      <c r="A64" s="5"/>
      <c r="B64" s="5"/>
      <c r="C64" s="5"/>
      <c r="D64" s="5"/>
    </row>
    <row r="65" ht="15.75" customHeight="1">
      <c r="A65" s="5"/>
      <c r="B65" s="5"/>
      <c r="C65" s="5"/>
      <c r="D65" s="5"/>
    </row>
    <row r="66" ht="15.75" customHeight="1">
      <c r="A66" s="5"/>
      <c r="B66" s="5"/>
      <c r="C66" s="5"/>
      <c r="D66" s="5"/>
    </row>
    <row r="67" ht="15.75" customHeight="1">
      <c r="A67" s="5"/>
      <c r="B67" s="5"/>
      <c r="C67" s="5"/>
      <c r="D67" s="5"/>
    </row>
    <row r="68" ht="15.75" customHeight="1">
      <c r="A68" s="5"/>
      <c r="B68" s="5"/>
      <c r="C68" s="5"/>
      <c r="D68" s="5"/>
    </row>
    <row r="69" ht="15.75" customHeight="1">
      <c r="A69" s="5"/>
      <c r="B69" s="5"/>
      <c r="C69" s="5"/>
      <c r="D69" s="5"/>
    </row>
    <row r="70" ht="15.75" customHeight="1">
      <c r="A70" s="5"/>
      <c r="B70" s="5"/>
      <c r="C70" s="5"/>
      <c r="D70" s="5"/>
    </row>
    <row r="71" ht="15.75" customHeight="1">
      <c r="A71" s="5"/>
      <c r="B71" s="5"/>
      <c r="C71" s="5"/>
      <c r="D71" s="5"/>
    </row>
    <row r="72" ht="15.75" customHeight="1">
      <c r="A72" s="5"/>
      <c r="B72" s="5"/>
      <c r="C72" s="5"/>
      <c r="D72" s="5"/>
    </row>
    <row r="73" ht="15.75" customHeight="1">
      <c r="A73" s="5"/>
      <c r="B73" s="5"/>
      <c r="C73" s="5"/>
      <c r="D73" s="5"/>
    </row>
    <row r="74" ht="15.75" customHeight="1">
      <c r="A74" s="5"/>
      <c r="B74" s="5"/>
      <c r="C74" s="5"/>
      <c r="D74" s="5"/>
    </row>
    <row r="75" ht="15.75" customHeight="1">
      <c r="A75" s="5"/>
      <c r="B75" s="5"/>
      <c r="C75" s="5"/>
      <c r="D75" s="5"/>
    </row>
    <row r="76" ht="15.75" customHeight="1">
      <c r="A76" s="5"/>
      <c r="B76" s="5"/>
      <c r="C76" s="5"/>
      <c r="D76" s="5"/>
    </row>
    <row r="77" ht="15.75" customHeight="1">
      <c r="A77" s="5"/>
      <c r="B77" s="5"/>
      <c r="C77" s="5"/>
      <c r="D77" s="5"/>
    </row>
    <row r="78" ht="15.75" customHeight="1">
      <c r="A78" s="5"/>
      <c r="B78" s="5"/>
      <c r="C78" s="5"/>
      <c r="D78" s="5"/>
    </row>
    <row r="79" ht="15.75" customHeight="1">
      <c r="A79" s="5"/>
      <c r="B79" s="5"/>
      <c r="C79" s="5"/>
      <c r="D79" s="5"/>
    </row>
    <row r="80" ht="15.75" customHeight="1">
      <c r="A80" s="5"/>
      <c r="B80" s="5"/>
      <c r="C80" s="5"/>
      <c r="D80" s="5"/>
    </row>
    <row r="81" ht="15.75" customHeight="1">
      <c r="A81" s="5"/>
      <c r="B81" s="5"/>
      <c r="C81" s="5"/>
      <c r="D81" s="5"/>
    </row>
    <row r="82" ht="15.75" customHeight="1">
      <c r="A82" s="5"/>
      <c r="B82" s="5"/>
      <c r="C82" s="5"/>
      <c r="D82" s="5"/>
    </row>
    <row r="83" ht="15.75" customHeight="1">
      <c r="A83" s="5"/>
      <c r="B83" s="5"/>
      <c r="C83" s="5"/>
      <c r="D83" s="5"/>
    </row>
    <row r="84" ht="15.75" customHeight="1">
      <c r="A84" s="5"/>
      <c r="B84" s="5"/>
      <c r="C84" s="5"/>
      <c r="D84" s="5"/>
    </row>
    <row r="85" ht="15.75" customHeight="1">
      <c r="A85" s="5"/>
      <c r="B85" s="5"/>
      <c r="C85" s="5"/>
      <c r="D85" s="5"/>
    </row>
    <row r="86" ht="15.75" customHeight="1">
      <c r="A86" s="5"/>
      <c r="B86" s="5"/>
      <c r="C86" s="5"/>
      <c r="D86" s="5"/>
    </row>
    <row r="87" ht="15.75" customHeight="1">
      <c r="A87" s="5"/>
      <c r="B87" s="5"/>
      <c r="C87" s="5"/>
      <c r="D87" s="5"/>
    </row>
    <row r="88" ht="15.75" customHeight="1">
      <c r="A88" s="5"/>
      <c r="B88" s="5"/>
      <c r="C88" s="5"/>
      <c r="D88" s="5"/>
    </row>
    <row r="89" ht="15.75" customHeight="1">
      <c r="A89" s="5"/>
      <c r="B89" s="5"/>
      <c r="C89" s="5"/>
      <c r="D89" s="5"/>
    </row>
    <row r="90" ht="15.75" customHeight="1">
      <c r="A90" s="5"/>
      <c r="B90" s="5"/>
      <c r="C90" s="5"/>
      <c r="D90" s="5"/>
    </row>
    <row r="91" ht="15.75" customHeight="1">
      <c r="A91" s="5"/>
      <c r="B91" s="5"/>
      <c r="C91" s="5"/>
      <c r="D91" s="5"/>
    </row>
    <row r="92" ht="15.75" customHeight="1">
      <c r="A92" s="5"/>
      <c r="B92" s="5"/>
      <c r="C92" s="5"/>
      <c r="D92" s="5"/>
    </row>
    <row r="93" ht="15.75" customHeight="1">
      <c r="A93" s="5"/>
      <c r="B93" s="5"/>
      <c r="C93" s="5"/>
      <c r="D93" s="5"/>
    </row>
    <row r="94" ht="15.75" customHeight="1">
      <c r="A94" s="5"/>
      <c r="B94" s="5"/>
      <c r="C94" s="5"/>
      <c r="D94" s="5"/>
    </row>
    <row r="95" ht="15.75" customHeight="1">
      <c r="A95" s="5"/>
      <c r="B95" s="5"/>
      <c r="C95" s="5"/>
      <c r="D95" s="5"/>
    </row>
    <row r="96" ht="15.75" customHeight="1">
      <c r="A96" s="5"/>
      <c r="B96" s="5"/>
      <c r="C96" s="5"/>
      <c r="D96" s="5"/>
    </row>
    <row r="97" ht="15.75" customHeight="1">
      <c r="A97" s="5"/>
      <c r="B97" s="5"/>
      <c r="C97" s="5"/>
      <c r="D97" s="5"/>
    </row>
    <row r="98" ht="15.75" customHeight="1">
      <c r="A98" s="5"/>
      <c r="B98" s="5"/>
      <c r="C98" s="5"/>
      <c r="D98" s="5"/>
    </row>
    <row r="99" ht="15.75" customHeight="1">
      <c r="A99" s="5"/>
      <c r="B99" s="5"/>
      <c r="C99" s="5"/>
      <c r="D99" s="5"/>
    </row>
    <row r="100" ht="15.75" customHeight="1">
      <c r="A100" s="5"/>
      <c r="B100" s="5"/>
      <c r="C100" s="5"/>
      <c r="D100" s="5"/>
    </row>
    <row r="101" ht="15.75" customHeight="1">
      <c r="A101" s="5"/>
      <c r="B101" s="5"/>
      <c r="C101" s="5"/>
      <c r="D101" s="5"/>
    </row>
    <row r="102" ht="15.75" customHeight="1">
      <c r="A102" s="5"/>
      <c r="B102" s="5"/>
      <c r="C102" s="5"/>
      <c r="D102" s="5"/>
    </row>
    <row r="103" ht="15.75" customHeight="1">
      <c r="A103" s="5"/>
      <c r="B103" s="5"/>
      <c r="C103" s="5"/>
      <c r="D103" s="5"/>
    </row>
    <row r="104" ht="15.75" customHeight="1">
      <c r="A104" s="5"/>
      <c r="B104" s="5"/>
      <c r="C104" s="5"/>
      <c r="D104" s="5"/>
    </row>
    <row r="105" ht="15.75" customHeight="1">
      <c r="A105" s="5"/>
      <c r="B105" s="5"/>
      <c r="C105" s="5"/>
      <c r="D105" s="5"/>
    </row>
    <row r="106" ht="15.75" customHeight="1">
      <c r="A106" s="5"/>
      <c r="B106" s="5"/>
      <c r="C106" s="5"/>
      <c r="D106" s="5"/>
    </row>
    <row r="107" ht="15.75" customHeight="1">
      <c r="A107" s="5"/>
      <c r="B107" s="5"/>
      <c r="C107" s="5"/>
      <c r="D107" s="5"/>
    </row>
    <row r="108" ht="15.75" customHeight="1">
      <c r="A108" s="5"/>
      <c r="B108" s="5"/>
      <c r="C108" s="5"/>
      <c r="D108" s="5"/>
    </row>
    <row r="109" ht="15.75" customHeight="1">
      <c r="A109" s="5"/>
      <c r="B109" s="5"/>
      <c r="C109" s="5"/>
      <c r="D109" s="5"/>
    </row>
    <row r="110" ht="15.75" customHeight="1">
      <c r="A110" s="5"/>
      <c r="B110" s="5"/>
      <c r="C110" s="5"/>
      <c r="D110" s="5"/>
    </row>
    <row r="111" ht="15.75" customHeight="1">
      <c r="A111" s="5"/>
      <c r="B111" s="5"/>
      <c r="C111" s="5"/>
      <c r="D111" s="5"/>
    </row>
    <row r="112" ht="15.75" customHeight="1">
      <c r="A112" s="5"/>
      <c r="B112" s="5"/>
      <c r="C112" s="5"/>
      <c r="D112" s="5"/>
    </row>
    <row r="113" ht="15.75" customHeight="1">
      <c r="A113" s="5"/>
      <c r="B113" s="5"/>
      <c r="C113" s="5"/>
      <c r="D113" s="5"/>
    </row>
    <row r="114" ht="15.75" customHeight="1">
      <c r="A114" s="5"/>
      <c r="B114" s="5"/>
      <c r="C114" s="5"/>
      <c r="D114" s="5"/>
    </row>
    <row r="115" ht="15.75" customHeight="1">
      <c r="A115" s="5"/>
      <c r="B115" s="5"/>
      <c r="C115" s="5"/>
      <c r="D115" s="5"/>
    </row>
    <row r="116" ht="15.75" customHeight="1">
      <c r="A116" s="5"/>
      <c r="B116" s="5"/>
      <c r="C116" s="5"/>
      <c r="D116" s="5"/>
    </row>
    <row r="117" ht="15.75" customHeight="1">
      <c r="A117" s="5"/>
      <c r="B117" s="5"/>
      <c r="C117" s="5"/>
      <c r="D117" s="5"/>
    </row>
    <row r="118" ht="15.75" customHeight="1">
      <c r="A118" s="5"/>
      <c r="B118" s="5"/>
      <c r="C118" s="5"/>
      <c r="D118" s="5"/>
    </row>
    <row r="119" ht="15.75" customHeight="1">
      <c r="A119" s="5"/>
      <c r="B119" s="5"/>
      <c r="C119" s="5"/>
      <c r="D119" s="5"/>
    </row>
    <row r="120" ht="15.75" customHeight="1">
      <c r="A120" s="5"/>
      <c r="B120" s="5"/>
      <c r="C120" s="5"/>
      <c r="D120" s="5"/>
    </row>
    <row r="121" ht="15.75" customHeight="1">
      <c r="A121" s="5"/>
      <c r="B121" s="5"/>
      <c r="C121" s="5"/>
      <c r="D121" s="5"/>
    </row>
    <row r="122" ht="15.75" customHeight="1">
      <c r="A122" s="5"/>
      <c r="B122" s="5"/>
      <c r="C122" s="5"/>
      <c r="D122" s="5"/>
    </row>
    <row r="123" ht="15.75" customHeight="1">
      <c r="A123" s="5"/>
      <c r="B123" s="5"/>
      <c r="C123" s="5"/>
      <c r="D123" s="5"/>
    </row>
    <row r="124" ht="15.75" customHeight="1">
      <c r="A124" s="5"/>
      <c r="B124" s="5"/>
      <c r="C124" s="5"/>
      <c r="D124" s="5"/>
    </row>
    <row r="125" ht="15.75" customHeight="1">
      <c r="A125" s="5"/>
      <c r="B125" s="5"/>
      <c r="C125" s="5"/>
      <c r="D125" s="5"/>
    </row>
    <row r="126" ht="15.75" customHeight="1">
      <c r="A126" s="5"/>
      <c r="B126" s="5"/>
      <c r="C126" s="5"/>
      <c r="D126" s="5"/>
    </row>
    <row r="127" ht="15.75" customHeight="1">
      <c r="A127" s="5"/>
      <c r="B127" s="5"/>
      <c r="C127" s="5"/>
      <c r="D127" s="5"/>
    </row>
    <row r="128" ht="15.75" customHeight="1">
      <c r="A128" s="5"/>
      <c r="B128" s="5"/>
      <c r="C128" s="5"/>
      <c r="D128" s="5"/>
    </row>
    <row r="129" ht="15.75" customHeight="1">
      <c r="A129" s="5"/>
      <c r="B129" s="5"/>
      <c r="C129" s="5"/>
      <c r="D129" s="5"/>
    </row>
    <row r="130" ht="15.75" customHeight="1">
      <c r="A130" s="5"/>
      <c r="B130" s="5"/>
      <c r="C130" s="5"/>
      <c r="D130" s="5"/>
    </row>
    <row r="131" ht="15.75" customHeight="1">
      <c r="A131" s="5"/>
      <c r="B131" s="5"/>
      <c r="C131" s="5"/>
      <c r="D131" s="5"/>
    </row>
    <row r="132" ht="15.75" customHeight="1">
      <c r="A132" s="5"/>
      <c r="B132" s="5"/>
      <c r="C132" s="5"/>
      <c r="D132" s="5"/>
    </row>
    <row r="133" ht="15.75" customHeight="1">
      <c r="A133" s="5"/>
      <c r="B133" s="5"/>
      <c r="C133" s="5"/>
      <c r="D133" s="5"/>
    </row>
    <row r="134" ht="15.75" customHeight="1">
      <c r="A134" s="5"/>
      <c r="B134" s="5"/>
      <c r="C134" s="5"/>
      <c r="D134" s="5"/>
    </row>
    <row r="135" ht="15.75" customHeight="1">
      <c r="A135" s="5"/>
      <c r="B135" s="5"/>
      <c r="C135" s="5"/>
      <c r="D135" s="5"/>
    </row>
    <row r="136" ht="15.75" customHeight="1">
      <c r="A136" s="5"/>
      <c r="B136" s="5"/>
      <c r="C136" s="5"/>
      <c r="D136" s="5"/>
    </row>
    <row r="137" ht="15.75" customHeight="1">
      <c r="A137" s="5"/>
      <c r="B137" s="5"/>
      <c r="C137" s="5"/>
      <c r="D137" s="5"/>
    </row>
    <row r="138" ht="15.75" customHeight="1">
      <c r="A138" s="5"/>
      <c r="B138" s="5"/>
      <c r="C138" s="5"/>
      <c r="D138" s="5"/>
    </row>
    <row r="139" ht="15.75" customHeight="1">
      <c r="A139" s="5"/>
      <c r="B139" s="5"/>
      <c r="C139" s="5"/>
      <c r="D139" s="5"/>
    </row>
    <row r="140" ht="15.75" customHeight="1">
      <c r="A140" s="5"/>
      <c r="B140" s="5"/>
      <c r="C140" s="5"/>
      <c r="D140" s="5"/>
    </row>
    <row r="141" ht="15.75" customHeight="1">
      <c r="A141" s="5"/>
      <c r="B141" s="5"/>
      <c r="C141" s="5"/>
      <c r="D141" s="5"/>
    </row>
    <row r="142" ht="15.75" customHeight="1">
      <c r="A142" s="5"/>
      <c r="B142" s="5"/>
      <c r="C142" s="5"/>
      <c r="D142" s="5"/>
    </row>
    <row r="143" ht="15.75" customHeight="1">
      <c r="A143" s="5"/>
      <c r="B143" s="5"/>
      <c r="C143" s="5"/>
      <c r="D143" s="5"/>
    </row>
    <row r="144" ht="15.75" customHeight="1">
      <c r="A144" s="5"/>
      <c r="B144" s="5"/>
      <c r="C144" s="5"/>
      <c r="D144" s="5"/>
    </row>
    <row r="145" ht="15.75" customHeight="1">
      <c r="A145" s="5"/>
      <c r="B145" s="5"/>
      <c r="C145" s="5"/>
      <c r="D145" s="5"/>
    </row>
    <row r="146" ht="15.75" customHeight="1">
      <c r="A146" s="5"/>
      <c r="B146" s="5"/>
      <c r="C146" s="5"/>
      <c r="D146" s="5"/>
    </row>
    <row r="147" ht="15.75" customHeight="1">
      <c r="A147" s="5"/>
      <c r="B147" s="5"/>
      <c r="C147" s="5"/>
      <c r="D147" s="5"/>
    </row>
    <row r="148" ht="15.75" customHeight="1">
      <c r="A148" s="5"/>
      <c r="B148" s="5"/>
      <c r="C148" s="5"/>
      <c r="D148" s="5"/>
    </row>
    <row r="149" ht="15.75" customHeight="1">
      <c r="A149" s="5"/>
      <c r="B149" s="5"/>
      <c r="C149" s="5"/>
      <c r="D149" s="5"/>
    </row>
    <row r="150" ht="15.75" customHeight="1">
      <c r="A150" s="5"/>
      <c r="B150" s="5"/>
      <c r="C150" s="5"/>
      <c r="D150" s="5"/>
    </row>
    <row r="151" ht="15.75" customHeight="1">
      <c r="A151" s="5"/>
      <c r="B151" s="5"/>
      <c r="C151" s="5"/>
      <c r="D151" s="5"/>
    </row>
    <row r="152" ht="15.75" customHeight="1">
      <c r="A152" s="5"/>
      <c r="B152" s="5"/>
      <c r="C152" s="5"/>
      <c r="D152" s="5"/>
    </row>
    <row r="153" ht="15.75" customHeight="1">
      <c r="A153" s="5"/>
      <c r="B153" s="5"/>
      <c r="C153" s="5"/>
      <c r="D153" s="5"/>
    </row>
    <row r="154" ht="15.75" customHeight="1">
      <c r="A154" s="5"/>
      <c r="B154" s="5"/>
      <c r="C154" s="5"/>
      <c r="D154" s="5"/>
    </row>
    <row r="155" ht="15.75" customHeight="1">
      <c r="A155" s="5"/>
      <c r="B155" s="5"/>
      <c r="C155" s="5"/>
      <c r="D155" s="5"/>
    </row>
    <row r="156" ht="15.75" customHeight="1">
      <c r="A156" s="5"/>
      <c r="B156" s="5"/>
      <c r="C156" s="5"/>
      <c r="D156" s="5"/>
    </row>
    <row r="157" ht="15.75" customHeight="1">
      <c r="A157" s="5"/>
      <c r="B157" s="5"/>
      <c r="C157" s="5"/>
      <c r="D157" s="5"/>
    </row>
    <row r="158" ht="15.75" customHeight="1">
      <c r="A158" s="5"/>
      <c r="B158" s="5"/>
      <c r="C158" s="5"/>
      <c r="D158" s="5"/>
    </row>
    <row r="159" ht="15.75" customHeight="1">
      <c r="A159" s="5"/>
      <c r="B159" s="5"/>
      <c r="C159" s="5"/>
      <c r="D159" s="5"/>
    </row>
    <row r="160" ht="15.75" customHeight="1">
      <c r="A160" s="5"/>
      <c r="B160" s="5"/>
      <c r="C160" s="5"/>
      <c r="D160" s="5"/>
    </row>
    <row r="161" ht="15.75" customHeight="1">
      <c r="A161" s="5"/>
      <c r="B161" s="5"/>
      <c r="C161" s="5"/>
      <c r="D161" s="5"/>
    </row>
    <row r="162" ht="15.75" customHeight="1">
      <c r="A162" s="5"/>
      <c r="B162" s="5"/>
      <c r="C162" s="5"/>
      <c r="D162" s="5"/>
    </row>
    <row r="163" ht="15.75" customHeight="1">
      <c r="A163" s="5"/>
      <c r="B163" s="5"/>
      <c r="C163" s="5"/>
      <c r="D163" s="5"/>
    </row>
    <row r="164" ht="15.75" customHeight="1">
      <c r="A164" s="5"/>
      <c r="B164" s="5"/>
      <c r="C164" s="5"/>
      <c r="D164" s="5"/>
    </row>
    <row r="165" ht="15.75" customHeight="1">
      <c r="A165" s="5"/>
      <c r="B165" s="5"/>
      <c r="C165" s="5"/>
      <c r="D165" s="5"/>
    </row>
    <row r="166" ht="15.75" customHeight="1">
      <c r="A166" s="5"/>
      <c r="B166" s="5"/>
      <c r="C166" s="5"/>
      <c r="D166" s="5"/>
    </row>
    <row r="167" ht="15.75" customHeight="1">
      <c r="A167" s="5"/>
      <c r="B167" s="5"/>
      <c r="C167" s="5"/>
      <c r="D167" s="5"/>
    </row>
    <row r="168" ht="15.75" customHeight="1">
      <c r="A168" s="5"/>
      <c r="B168" s="5"/>
      <c r="C168" s="5"/>
      <c r="D168" s="5"/>
    </row>
    <row r="169" ht="15.75" customHeight="1">
      <c r="A169" s="5"/>
      <c r="B169" s="5"/>
      <c r="C169" s="5"/>
      <c r="D169" s="5"/>
    </row>
    <row r="170" ht="15.75" customHeight="1">
      <c r="A170" s="5"/>
      <c r="B170" s="5"/>
      <c r="C170" s="5"/>
      <c r="D170" s="5"/>
    </row>
    <row r="171" ht="15.75" customHeight="1">
      <c r="A171" s="5"/>
      <c r="B171" s="5"/>
      <c r="C171" s="5"/>
      <c r="D171" s="5"/>
    </row>
    <row r="172" ht="15.75" customHeight="1">
      <c r="A172" s="5"/>
      <c r="B172" s="5"/>
      <c r="C172" s="5"/>
      <c r="D172" s="5"/>
    </row>
    <row r="173" ht="15.75" customHeight="1">
      <c r="A173" s="5"/>
      <c r="B173" s="5"/>
      <c r="C173" s="5"/>
      <c r="D173" s="5"/>
    </row>
    <row r="174" ht="15.75" customHeight="1">
      <c r="A174" s="5"/>
      <c r="B174" s="5"/>
      <c r="C174" s="5"/>
      <c r="D174" s="5"/>
    </row>
    <row r="175" ht="15.75" customHeight="1">
      <c r="A175" s="5"/>
      <c r="B175" s="5"/>
      <c r="C175" s="5"/>
      <c r="D175" s="5"/>
    </row>
    <row r="176" ht="15.75" customHeight="1">
      <c r="A176" s="5"/>
      <c r="B176" s="5"/>
      <c r="C176" s="5"/>
      <c r="D176" s="5"/>
    </row>
    <row r="177" ht="15.75" customHeight="1">
      <c r="A177" s="5"/>
      <c r="B177" s="5"/>
      <c r="C177" s="5"/>
      <c r="D177" s="5"/>
    </row>
    <row r="178" ht="15.75" customHeight="1">
      <c r="A178" s="5"/>
      <c r="B178" s="5"/>
      <c r="C178" s="5"/>
      <c r="D178" s="5"/>
    </row>
    <row r="179" ht="15.75" customHeight="1">
      <c r="A179" s="5"/>
      <c r="B179" s="5"/>
      <c r="C179" s="5"/>
      <c r="D179" s="5"/>
    </row>
    <row r="180" ht="15.75" customHeight="1">
      <c r="A180" s="5"/>
      <c r="B180" s="5"/>
      <c r="C180" s="5"/>
      <c r="D180" s="5"/>
    </row>
    <row r="181" ht="15.75" customHeight="1">
      <c r="A181" s="5"/>
      <c r="B181" s="5"/>
      <c r="C181" s="5"/>
      <c r="D181" s="5"/>
    </row>
    <row r="182" ht="15.75" customHeight="1">
      <c r="A182" s="5"/>
      <c r="B182" s="5"/>
      <c r="C182" s="5"/>
      <c r="D182" s="5"/>
    </row>
    <row r="183" ht="15.75" customHeight="1">
      <c r="A183" s="5"/>
      <c r="B183" s="5"/>
      <c r="C183" s="5"/>
      <c r="D183" s="5"/>
    </row>
    <row r="184" ht="15.75" customHeight="1">
      <c r="A184" s="5"/>
      <c r="B184" s="5"/>
      <c r="C184" s="5"/>
      <c r="D184" s="5"/>
    </row>
    <row r="185" ht="15.75" customHeight="1">
      <c r="A185" s="5"/>
      <c r="B185" s="5"/>
      <c r="C185" s="5"/>
      <c r="D185" s="5"/>
    </row>
    <row r="186" ht="15.75" customHeight="1">
      <c r="A186" s="5"/>
      <c r="B186" s="5"/>
      <c r="C186" s="5"/>
      <c r="D186" s="5"/>
    </row>
    <row r="187" ht="15.75" customHeight="1">
      <c r="A187" s="5"/>
      <c r="B187" s="5"/>
      <c r="C187" s="5"/>
      <c r="D187" s="5"/>
    </row>
    <row r="188" ht="15.75" customHeight="1">
      <c r="A188" s="5"/>
      <c r="B188" s="5"/>
      <c r="C188" s="5"/>
      <c r="D188" s="5"/>
    </row>
    <row r="189" ht="15.75" customHeight="1">
      <c r="A189" s="5"/>
      <c r="B189" s="5"/>
      <c r="C189" s="5"/>
      <c r="D189" s="5"/>
    </row>
    <row r="190" ht="15.75" customHeight="1">
      <c r="A190" s="5"/>
      <c r="B190" s="5"/>
      <c r="C190" s="5"/>
      <c r="D190" s="5"/>
    </row>
    <row r="191" ht="15.75" customHeight="1">
      <c r="A191" s="5"/>
      <c r="B191" s="5"/>
      <c r="C191" s="5"/>
      <c r="D191" s="5"/>
    </row>
    <row r="192" ht="15.75" customHeight="1">
      <c r="A192" s="5"/>
      <c r="B192" s="5"/>
      <c r="C192" s="5"/>
      <c r="D192" s="5"/>
    </row>
    <row r="193" ht="15.75" customHeight="1">
      <c r="A193" s="5"/>
      <c r="B193" s="5"/>
      <c r="C193" s="5"/>
      <c r="D193" s="5"/>
    </row>
    <row r="194" ht="15.75" customHeight="1">
      <c r="A194" s="5"/>
      <c r="B194" s="5"/>
      <c r="C194" s="5"/>
      <c r="D194" s="5"/>
    </row>
    <row r="195" ht="15.75" customHeight="1">
      <c r="A195" s="5"/>
      <c r="B195" s="5"/>
      <c r="C195" s="5"/>
      <c r="D195" s="5"/>
    </row>
    <row r="196" ht="15.75" customHeight="1">
      <c r="A196" s="5"/>
      <c r="B196" s="5"/>
      <c r="C196" s="5"/>
      <c r="D196" s="5"/>
    </row>
    <row r="197" ht="15.75" customHeight="1">
      <c r="A197" s="5"/>
      <c r="B197" s="5"/>
      <c r="C197" s="5"/>
      <c r="D197" s="5"/>
    </row>
    <row r="198" ht="15.75" customHeight="1">
      <c r="A198" s="5"/>
      <c r="B198" s="5"/>
      <c r="C198" s="5"/>
      <c r="D198" s="5"/>
    </row>
    <row r="199" ht="15.75" customHeight="1">
      <c r="A199" s="5"/>
      <c r="B199" s="5"/>
      <c r="C199" s="5"/>
      <c r="D199" s="5"/>
    </row>
    <row r="200" ht="15.75" customHeight="1">
      <c r="A200" s="5"/>
      <c r="B200" s="5"/>
      <c r="C200" s="5"/>
      <c r="D200" s="5"/>
    </row>
    <row r="201" ht="15.75" customHeight="1">
      <c r="A201" s="5"/>
      <c r="B201" s="5"/>
      <c r="C201" s="5"/>
      <c r="D201" s="5"/>
    </row>
    <row r="202" ht="15.75" customHeight="1">
      <c r="A202" s="5"/>
      <c r="B202" s="5"/>
      <c r="C202" s="5"/>
      <c r="D202" s="5"/>
    </row>
    <row r="203" ht="15.75" customHeight="1">
      <c r="A203" s="5"/>
      <c r="B203" s="5"/>
      <c r="C203" s="5"/>
      <c r="D203" s="5"/>
    </row>
    <row r="204" ht="15.75" customHeight="1">
      <c r="A204" s="5"/>
      <c r="B204" s="5"/>
      <c r="C204" s="5"/>
      <c r="D204" s="5"/>
    </row>
    <row r="205" ht="15.75" customHeight="1">
      <c r="A205" s="5"/>
      <c r="B205" s="5"/>
      <c r="C205" s="5"/>
      <c r="D205" s="5"/>
    </row>
    <row r="206" ht="15.75" customHeight="1">
      <c r="A206" s="5"/>
      <c r="B206" s="5"/>
      <c r="C206" s="5"/>
      <c r="D206" s="5"/>
    </row>
    <row r="207" ht="15.75" customHeight="1">
      <c r="A207" s="5"/>
      <c r="B207" s="5"/>
      <c r="C207" s="5"/>
      <c r="D207" s="5"/>
    </row>
    <row r="208" ht="15.75" customHeight="1">
      <c r="A208" s="5"/>
      <c r="B208" s="5"/>
      <c r="C208" s="5"/>
      <c r="D208" s="5"/>
    </row>
    <row r="209" ht="15.75" customHeight="1">
      <c r="A209" s="5"/>
      <c r="B209" s="5"/>
      <c r="C209" s="5"/>
      <c r="D209" s="5"/>
    </row>
    <row r="210" ht="15.75" customHeight="1">
      <c r="A210" s="5"/>
      <c r="B210" s="5"/>
      <c r="C210" s="5"/>
      <c r="D210" s="5"/>
    </row>
    <row r="211" ht="15.75" customHeight="1">
      <c r="A211" s="5"/>
      <c r="B211" s="5"/>
      <c r="C211" s="5"/>
      <c r="D211" s="5"/>
    </row>
    <row r="212" ht="15.75" customHeight="1">
      <c r="A212" s="5"/>
      <c r="B212" s="5"/>
      <c r="C212" s="5"/>
      <c r="D212" s="5"/>
    </row>
    <row r="213" ht="15.75" customHeight="1">
      <c r="A213" s="5"/>
      <c r="B213" s="5"/>
      <c r="C213" s="5"/>
      <c r="D213" s="5"/>
    </row>
    <row r="214" ht="15.75" customHeight="1">
      <c r="A214" s="5"/>
      <c r="B214" s="5"/>
      <c r="C214" s="5"/>
      <c r="D214" s="5"/>
    </row>
    <row r="215" ht="15.75" customHeight="1">
      <c r="A215" s="5"/>
      <c r="B215" s="5"/>
      <c r="C215" s="5"/>
      <c r="D215" s="5"/>
    </row>
    <row r="216" ht="15.75" customHeight="1">
      <c r="A216" s="5"/>
      <c r="B216" s="5"/>
      <c r="C216" s="5"/>
      <c r="D216" s="5"/>
    </row>
    <row r="217" ht="15.75" customHeight="1">
      <c r="A217" s="5"/>
      <c r="B217" s="5"/>
      <c r="C217" s="5"/>
      <c r="D217" s="5"/>
    </row>
    <row r="218" ht="15.75" customHeight="1">
      <c r="A218" s="5"/>
      <c r="B218" s="5"/>
      <c r="C218" s="5"/>
      <c r="D218" s="5"/>
    </row>
    <row r="219" ht="15.75" customHeight="1">
      <c r="A219" s="5"/>
      <c r="B219" s="5"/>
      <c r="C219" s="5"/>
      <c r="D219" s="5"/>
    </row>
    <row r="220" ht="15.75" customHeight="1">
      <c r="A220" s="5"/>
      <c r="B220" s="5"/>
      <c r="C220" s="5"/>
      <c r="D220" s="5"/>
    </row>
    <row r="221" ht="15.75" customHeight="1">
      <c r="A221" s="5"/>
      <c r="B221" s="5"/>
      <c r="C221" s="5"/>
      <c r="D221" s="5"/>
    </row>
    <row r="222" ht="15.75" customHeight="1">
      <c r="A222" s="5"/>
      <c r="B222" s="5"/>
      <c r="C222" s="5"/>
      <c r="D222" s="5"/>
    </row>
    <row r="223" ht="15.75" customHeight="1">
      <c r="A223" s="5"/>
      <c r="B223" s="5"/>
      <c r="C223" s="5"/>
      <c r="D223" s="5"/>
    </row>
    <row r="224" ht="15.75" customHeight="1">
      <c r="A224" s="5"/>
      <c r="B224" s="5"/>
      <c r="C224" s="5"/>
      <c r="D224" s="5"/>
    </row>
    <row r="225" ht="15.75" customHeight="1">
      <c r="A225" s="5"/>
      <c r="B225" s="5"/>
      <c r="C225" s="5"/>
      <c r="D225" s="5"/>
    </row>
    <row r="226" ht="15.75" customHeight="1">
      <c r="A226" s="5"/>
      <c r="B226" s="5"/>
      <c r="C226" s="5"/>
      <c r="D226" s="5"/>
    </row>
    <row r="227" ht="15.75" customHeight="1">
      <c r="A227" s="5"/>
      <c r="B227" s="5"/>
      <c r="C227" s="5"/>
      <c r="D227" s="5"/>
    </row>
    <row r="228" ht="15.75" customHeight="1">
      <c r="A228" s="5"/>
      <c r="B228" s="5"/>
      <c r="C228" s="5"/>
      <c r="D228" s="5"/>
    </row>
    <row r="229" ht="15.75" customHeight="1">
      <c r="A229" s="5"/>
      <c r="B229" s="5"/>
      <c r="C229" s="5"/>
      <c r="D229" s="5"/>
    </row>
    <row r="230" ht="15.75" customHeight="1">
      <c r="A230" s="5"/>
      <c r="B230" s="5"/>
      <c r="C230" s="5"/>
      <c r="D230" s="5"/>
    </row>
    <row r="231" ht="15.75" customHeight="1">
      <c r="A231" s="5"/>
      <c r="B231" s="5"/>
      <c r="C231" s="5"/>
      <c r="D231" s="5"/>
    </row>
    <row r="232" ht="15.75" customHeight="1">
      <c r="A232" s="5"/>
      <c r="B232" s="5"/>
      <c r="C232" s="5"/>
      <c r="D232" s="5"/>
    </row>
    <row r="233" ht="15.75" customHeight="1">
      <c r="A233" s="5"/>
      <c r="B233" s="5"/>
      <c r="C233" s="5"/>
      <c r="D233" s="5"/>
    </row>
    <row r="234" ht="15.75" customHeight="1">
      <c r="A234" s="5"/>
      <c r="B234" s="5"/>
      <c r="C234" s="5"/>
      <c r="D234" s="5"/>
    </row>
    <row r="235" ht="15.75" customHeight="1">
      <c r="A235" s="5"/>
      <c r="B235" s="5"/>
      <c r="C235" s="5"/>
      <c r="D235" s="5"/>
    </row>
    <row r="236" ht="15.75" customHeight="1">
      <c r="A236" s="5"/>
      <c r="B236" s="5"/>
      <c r="C236" s="5"/>
      <c r="D236" s="5"/>
    </row>
    <row r="237" ht="15.75" customHeight="1">
      <c r="A237" s="5"/>
      <c r="B237" s="5"/>
      <c r="C237" s="5"/>
      <c r="D237" s="5"/>
    </row>
    <row r="238" ht="15.75" customHeight="1">
      <c r="A238" s="5"/>
      <c r="B238" s="5"/>
      <c r="C238" s="5"/>
      <c r="D238" s="5"/>
    </row>
    <row r="239" ht="15.75" customHeight="1">
      <c r="A239" s="5"/>
      <c r="B239" s="5"/>
      <c r="C239" s="5"/>
      <c r="D239" s="5"/>
    </row>
    <row r="240" ht="15.75" customHeight="1">
      <c r="A240" s="5"/>
      <c r="B240" s="5"/>
      <c r="C240" s="5"/>
      <c r="D240" s="5"/>
    </row>
    <row r="241" ht="15.75" customHeight="1">
      <c r="A241" s="5"/>
      <c r="B241" s="5"/>
      <c r="C241" s="5"/>
      <c r="D241" s="5"/>
    </row>
    <row r="242" ht="15.75" customHeight="1">
      <c r="A242" s="5"/>
      <c r="B242" s="5"/>
      <c r="C242" s="5"/>
      <c r="D242" s="5"/>
    </row>
    <row r="243" ht="15.75" customHeight="1">
      <c r="A243" s="5"/>
      <c r="B243" s="5"/>
      <c r="C243" s="5"/>
      <c r="D243" s="5"/>
    </row>
    <row r="244" ht="15.75" customHeight="1">
      <c r="A244" s="5"/>
      <c r="B244" s="5"/>
      <c r="C244" s="5"/>
      <c r="D244" s="5"/>
    </row>
    <row r="245" ht="15.75" customHeight="1">
      <c r="A245" s="5"/>
      <c r="B245" s="5"/>
      <c r="C245" s="5"/>
      <c r="D245" s="5"/>
    </row>
    <row r="246" ht="15.75" customHeight="1">
      <c r="A246" s="5"/>
      <c r="B246" s="5"/>
      <c r="C246" s="5"/>
      <c r="D246" s="5"/>
    </row>
    <row r="247" ht="15.75" customHeight="1">
      <c r="A247" s="5"/>
      <c r="B247" s="5"/>
      <c r="C247" s="5"/>
      <c r="D247" s="5"/>
    </row>
    <row r="248" ht="15.75" customHeight="1">
      <c r="A248" s="5"/>
      <c r="B248" s="5"/>
      <c r="C248" s="5"/>
      <c r="D248" s="5"/>
    </row>
    <row r="249" ht="15.75" customHeight="1">
      <c r="A249" s="5"/>
      <c r="B249" s="5"/>
      <c r="C249" s="5"/>
      <c r="D249" s="5"/>
    </row>
    <row r="250" ht="15.75" customHeight="1">
      <c r="A250" s="5"/>
      <c r="B250" s="5"/>
      <c r="C250" s="5"/>
      <c r="D250" s="5"/>
    </row>
    <row r="251" ht="15.75" customHeight="1">
      <c r="A251" s="5"/>
      <c r="B251" s="5"/>
      <c r="C251" s="5"/>
      <c r="D251" s="5"/>
    </row>
    <row r="252" ht="15.75" customHeight="1">
      <c r="A252" s="5"/>
      <c r="B252" s="5"/>
      <c r="C252" s="5"/>
      <c r="D252" s="5"/>
    </row>
    <row r="253" ht="15.75" customHeight="1">
      <c r="A253" s="5"/>
      <c r="B253" s="5"/>
      <c r="C253" s="5"/>
      <c r="D253" s="5"/>
    </row>
    <row r="254" ht="15.75" customHeight="1">
      <c r="A254" s="5"/>
      <c r="B254" s="5"/>
      <c r="C254" s="5"/>
      <c r="D254" s="5"/>
    </row>
    <row r="255" ht="15.75" customHeight="1">
      <c r="A255" s="5"/>
      <c r="B255" s="5"/>
      <c r="C255" s="5"/>
      <c r="D255" s="5"/>
    </row>
    <row r="256" ht="15.75" customHeight="1">
      <c r="A256" s="5"/>
      <c r="B256" s="5"/>
      <c r="C256" s="5"/>
      <c r="D256" s="5"/>
    </row>
    <row r="257" ht="15.75" customHeight="1">
      <c r="A257" s="5"/>
      <c r="B257" s="5"/>
      <c r="C257" s="5"/>
      <c r="D257" s="5"/>
    </row>
    <row r="258" ht="15.75" customHeight="1">
      <c r="A258" s="5"/>
      <c r="B258" s="5"/>
      <c r="C258" s="5"/>
      <c r="D258" s="5"/>
    </row>
    <row r="259" ht="15.75" customHeight="1">
      <c r="A259" s="5"/>
      <c r="B259" s="5"/>
      <c r="C259" s="5"/>
      <c r="D259" s="5"/>
    </row>
    <row r="260" ht="15.75" customHeight="1">
      <c r="A260" s="5"/>
      <c r="B260" s="5"/>
      <c r="C260" s="5"/>
      <c r="D260" s="5"/>
    </row>
    <row r="261" ht="15.75" customHeight="1">
      <c r="A261" s="5"/>
      <c r="B261" s="5"/>
      <c r="C261" s="5"/>
      <c r="D261" s="5"/>
    </row>
    <row r="262" ht="15.75" customHeight="1">
      <c r="A262" s="5"/>
      <c r="B262" s="5"/>
      <c r="C262" s="5"/>
      <c r="D262" s="5"/>
    </row>
    <row r="263" ht="15.75" customHeight="1">
      <c r="A263" s="5"/>
      <c r="B263" s="5"/>
      <c r="C263" s="5"/>
      <c r="D263" s="5"/>
    </row>
    <row r="264" ht="15.75" customHeight="1">
      <c r="A264" s="5"/>
      <c r="B264" s="5"/>
      <c r="C264" s="5"/>
      <c r="D264" s="5"/>
    </row>
    <row r="265" ht="15.75" customHeight="1">
      <c r="A265" s="5"/>
      <c r="B265" s="5"/>
      <c r="C265" s="5"/>
      <c r="D265" s="5"/>
    </row>
    <row r="266" ht="15.75" customHeight="1">
      <c r="A266" s="5"/>
      <c r="B266" s="5"/>
      <c r="C266" s="5"/>
      <c r="D266" s="5"/>
    </row>
    <row r="267" ht="15.75" customHeight="1">
      <c r="A267" s="5"/>
      <c r="B267" s="5"/>
      <c r="C267" s="5"/>
      <c r="D267" s="5"/>
    </row>
    <row r="268" ht="15.75" customHeight="1">
      <c r="A268" s="5"/>
      <c r="B268" s="5"/>
      <c r="C268" s="5"/>
      <c r="D268" s="5"/>
    </row>
    <row r="269" ht="15.75" customHeight="1">
      <c r="A269" s="5"/>
      <c r="B269" s="5"/>
      <c r="C269" s="5"/>
      <c r="D269" s="5"/>
    </row>
    <row r="270" ht="15.75" customHeight="1">
      <c r="A270" s="5"/>
      <c r="B270" s="5"/>
      <c r="C270" s="5"/>
      <c r="D270" s="5"/>
    </row>
    <row r="271" ht="15.75" customHeight="1">
      <c r="A271" s="5"/>
      <c r="B271" s="5"/>
      <c r="C271" s="5"/>
      <c r="D271" s="5"/>
    </row>
    <row r="272" ht="15.75" customHeight="1">
      <c r="A272" s="5"/>
      <c r="B272" s="5"/>
      <c r="C272" s="5"/>
      <c r="D272" s="5"/>
    </row>
    <row r="273" ht="15.75" customHeight="1">
      <c r="A273" s="5"/>
      <c r="B273" s="5"/>
      <c r="C273" s="5"/>
      <c r="D273" s="5"/>
    </row>
    <row r="274" ht="15.75" customHeight="1">
      <c r="A274" s="5"/>
      <c r="B274" s="5"/>
      <c r="C274" s="5"/>
      <c r="D274" s="5"/>
    </row>
    <row r="275" ht="15.75" customHeight="1">
      <c r="A275" s="5"/>
      <c r="B275" s="5"/>
      <c r="C275" s="5"/>
      <c r="D275" s="5"/>
    </row>
    <row r="276" ht="15.75" customHeight="1">
      <c r="A276" s="5"/>
      <c r="B276" s="5"/>
      <c r="C276" s="5"/>
      <c r="D276" s="5"/>
    </row>
    <row r="277" ht="15.75" customHeight="1">
      <c r="A277" s="5"/>
      <c r="B277" s="5"/>
      <c r="C277" s="5"/>
      <c r="D277" s="5"/>
    </row>
    <row r="278" ht="15.75" customHeight="1">
      <c r="A278" s="5"/>
      <c r="B278" s="5"/>
      <c r="C278" s="5"/>
      <c r="D278" s="5"/>
    </row>
    <row r="279" ht="15.75" customHeight="1">
      <c r="A279" s="5"/>
      <c r="B279" s="5"/>
      <c r="C279" s="5"/>
      <c r="D279" s="5"/>
    </row>
    <row r="280" ht="15.75" customHeight="1">
      <c r="A280" s="5"/>
      <c r="B280" s="5"/>
      <c r="C280" s="5"/>
      <c r="D280" s="5"/>
    </row>
    <row r="281" ht="15.75" customHeight="1">
      <c r="A281" s="5"/>
      <c r="B281" s="5"/>
      <c r="C281" s="5"/>
      <c r="D281" s="5"/>
    </row>
    <row r="282" ht="15.75" customHeight="1">
      <c r="A282" s="5"/>
      <c r="B282" s="5"/>
      <c r="C282" s="5"/>
      <c r="D282" s="5"/>
    </row>
    <row r="283" ht="15.75" customHeight="1">
      <c r="A283" s="5"/>
      <c r="B283" s="5"/>
      <c r="C283" s="5"/>
      <c r="D283" s="5"/>
    </row>
    <row r="284" ht="15.75" customHeight="1">
      <c r="A284" s="5"/>
      <c r="B284" s="5"/>
      <c r="C284" s="5"/>
      <c r="D284" s="5"/>
    </row>
    <row r="285" ht="15.75" customHeight="1">
      <c r="A285" s="5"/>
      <c r="B285" s="5"/>
      <c r="C285" s="5"/>
      <c r="D285" s="5"/>
    </row>
    <row r="286" ht="15.75" customHeight="1">
      <c r="A286" s="5"/>
      <c r="B286" s="5"/>
      <c r="C286" s="5"/>
      <c r="D286" s="5"/>
    </row>
    <row r="287" ht="15.75" customHeight="1">
      <c r="A287" s="5"/>
      <c r="B287" s="5"/>
      <c r="C287" s="5"/>
      <c r="D287" s="5"/>
    </row>
    <row r="288" ht="15.75" customHeight="1">
      <c r="A288" s="5"/>
      <c r="B288" s="5"/>
      <c r="C288" s="5"/>
      <c r="D288" s="5"/>
    </row>
    <row r="289" ht="15.75" customHeight="1">
      <c r="A289" s="5"/>
      <c r="B289" s="5"/>
      <c r="C289" s="5"/>
      <c r="D289" s="5"/>
    </row>
    <row r="290" ht="15.75" customHeight="1">
      <c r="A290" s="5"/>
      <c r="B290" s="5"/>
      <c r="C290" s="5"/>
      <c r="D290" s="5"/>
    </row>
    <row r="291" ht="15.75" customHeight="1">
      <c r="A291" s="5"/>
      <c r="B291" s="5"/>
      <c r="C291" s="5"/>
      <c r="D291" s="5"/>
    </row>
    <row r="292" ht="15.75" customHeight="1">
      <c r="A292" s="5"/>
      <c r="B292" s="5"/>
      <c r="C292" s="5"/>
      <c r="D292" s="5"/>
    </row>
    <row r="293" ht="15.75" customHeight="1">
      <c r="A293" s="5"/>
      <c r="B293" s="5"/>
      <c r="C293" s="5"/>
      <c r="D293" s="5"/>
    </row>
    <row r="294" ht="15.75" customHeight="1">
      <c r="A294" s="5"/>
      <c r="B294" s="5"/>
      <c r="C294" s="5"/>
      <c r="D294" s="5"/>
    </row>
    <row r="295" ht="15.75" customHeight="1">
      <c r="A295" s="5"/>
      <c r="B295" s="5"/>
      <c r="C295" s="5"/>
      <c r="D295" s="5"/>
    </row>
    <row r="296" ht="15.75" customHeight="1">
      <c r="A296" s="5"/>
      <c r="B296" s="5"/>
      <c r="C296" s="5"/>
      <c r="D296" s="5"/>
    </row>
    <row r="297" ht="15.75" customHeight="1">
      <c r="A297" s="5"/>
      <c r="B297" s="5"/>
      <c r="C297" s="5"/>
      <c r="D297" s="5"/>
    </row>
    <row r="298" ht="15.75" customHeight="1">
      <c r="A298" s="5"/>
      <c r="B298" s="5"/>
      <c r="C298" s="5"/>
      <c r="D298" s="5"/>
    </row>
    <row r="299" ht="15.75" customHeight="1">
      <c r="A299" s="5"/>
      <c r="B299" s="5"/>
      <c r="C299" s="5"/>
      <c r="D299" s="5"/>
    </row>
    <row r="300" ht="15.75" customHeight="1">
      <c r="A300" s="5"/>
      <c r="B300" s="5"/>
      <c r="C300" s="5"/>
      <c r="D300" s="5"/>
    </row>
    <row r="301" ht="15.75" customHeight="1">
      <c r="A301" s="5"/>
      <c r="B301" s="5"/>
      <c r="C301" s="5"/>
      <c r="D301" s="5"/>
    </row>
    <row r="302" ht="15.75" customHeight="1">
      <c r="A302" s="5"/>
      <c r="B302" s="5"/>
      <c r="C302" s="5"/>
      <c r="D302" s="5"/>
    </row>
    <row r="303" ht="15.75" customHeight="1">
      <c r="A303" s="5"/>
      <c r="B303" s="5"/>
      <c r="C303" s="5"/>
      <c r="D303" s="5"/>
    </row>
    <row r="304" ht="15.75" customHeight="1">
      <c r="A304" s="5"/>
      <c r="B304" s="5"/>
      <c r="C304" s="5"/>
      <c r="D304" s="5"/>
    </row>
    <row r="305" ht="15.75" customHeight="1">
      <c r="A305" s="5"/>
      <c r="B305" s="5"/>
      <c r="C305" s="5"/>
      <c r="D305" s="5"/>
    </row>
    <row r="306" ht="15.75" customHeight="1">
      <c r="A306" s="5"/>
      <c r="B306" s="5"/>
      <c r="C306" s="5"/>
      <c r="D306" s="5"/>
    </row>
    <row r="307" ht="15.75" customHeight="1">
      <c r="A307" s="5"/>
      <c r="B307" s="5"/>
      <c r="C307" s="5"/>
      <c r="D307" s="5"/>
    </row>
    <row r="308" ht="15.75" customHeight="1">
      <c r="A308" s="5"/>
      <c r="B308" s="5"/>
      <c r="C308" s="5"/>
      <c r="D308" s="5"/>
    </row>
    <row r="309" ht="15.75" customHeight="1">
      <c r="A309" s="5"/>
      <c r="B309" s="5"/>
      <c r="C309" s="5"/>
      <c r="D309" s="5"/>
    </row>
    <row r="310" ht="15.75" customHeight="1">
      <c r="A310" s="5"/>
      <c r="B310" s="5"/>
      <c r="C310" s="5"/>
      <c r="D310" s="5"/>
    </row>
    <row r="311" ht="15.75" customHeight="1">
      <c r="A311" s="5"/>
      <c r="B311" s="5"/>
      <c r="C311" s="5"/>
      <c r="D311" s="5"/>
    </row>
    <row r="312" ht="15.75" customHeight="1">
      <c r="A312" s="5"/>
      <c r="B312" s="5"/>
      <c r="C312" s="5"/>
      <c r="D312" s="5"/>
    </row>
    <row r="313" ht="15.75" customHeight="1">
      <c r="A313" s="5"/>
      <c r="B313" s="5"/>
      <c r="C313" s="5"/>
      <c r="D313" s="5"/>
    </row>
    <row r="314" ht="15.75" customHeight="1">
      <c r="A314" s="5"/>
      <c r="B314" s="5"/>
      <c r="C314" s="5"/>
      <c r="D314" s="5"/>
    </row>
    <row r="315" ht="15.75" customHeight="1">
      <c r="A315" s="5"/>
      <c r="B315" s="5"/>
      <c r="C315" s="5"/>
      <c r="D315" s="5"/>
    </row>
    <row r="316" ht="15.75" customHeight="1">
      <c r="A316" s="5"/>
      <c r="B316" s="5"/>
      <c r="C316" s="5"/>
      <c r="D316" s="5"/>
    </row>
    <row r="317" ht="15.75" customHeight="1">
      <c r="A317" s="5"/>
      <c r="B317" s="5"/>
      <c r="C317" s="5"/>
      <c r="D317" s="5"/>
    </row>
    <row r="318" ht="15.75" customHeight="1">
      <c r="A318" s="5"/>
      <c r="B318" s="5"/>
      <c r="C318" s="5"/>
      <c r="D318" s="5"/>
    </row>
    <row r="319" ht="15.75" customHeight="1">
      <c r="A319" s="5"/>
      <c r="B319" s="5"/>
      <c r="C319" s="5"/>
      <c r="D319" s="5"/>
    </row>
    <row r="320" ht="15.75" customHeight="1">
      <c r="A320" s="5"/>
      <c r="B320" s="5"/>
      <c r="C320" s="5"/>
      <c r="D320" s="5"/>
    </row>
    <row r="321" ht="15.75" customHeight="1">
      <c r="A321" s="5"/>
      <c r="B321" s="5"/>
      <c r="C321" s="5"/>
      <c r="D321" s="5"/>
    </row>
    <row r="322" ht="15.75" customHeight="1">
      <c r="A322" s="5"/>
      <c r="B322" s="5"/>
      <c r="C322" s="5"/>
      <c r="D322" s="5"/>
    </row>
    <row r="323" ht="15.75" customHeight="1">
      <c r="A323" s="5"/>
      <c r="B323" s="5"/>
      <c r="C323" s="5"/>
      <c r="D323" s="5"/>
    </row>
    <row r="324" ht="15.75" customHeight="1">
      <c r="A324" s="5"/>
      <c r="B324" s="5"/>
      <c r="C324" s="5"/>
      <c r="D324" s="5"/>
    </row>
    <row r="325" ht="15.75" customHeight="1">
      <c r="A325" s="5"/>
      <c r="B325" s="5"/>
      <c r="C325" s="5"/>
      <c r="D325" s="5"/>
    </row>
    <row r="326" ht="15.75" customHeight="1">
      <c r="A326" s="5"/>
      <c r="B326" s="5"/>
      <c r="C326" s="5"/>
      <c r="D326" s="5"/>
    </row>
    <row r="327" ht="15.75" customHeight="1">
      <c r="A327" s="5"/>
      <c r="B327" s="5"/>
      <c r="C327" s="5"/>
      <c r="D327" s="5"/>
    </row>
    <row r="328" ht="15.75" customHeight="1">
      <c r="A328" s="5"/>
      <c r="B328" s="5"/>
      <c r="C328" s="5"/>
      <c r="D328" s="5"/>
    </row>
    <row r="329" ht="15.75" customHeight="1">
      <c r="A329" s="5"/>
      <c r="B329" s="5"/>
      <c r="C329" s="5"/>
      <c r="D329" s="5"/>
    </row>
    <row r="330" ht="15.75" customHeight="1">
      <c r="A330" s="5"/>
      <c r="B330" s="5"/>
      <c r="C330" s="5"/>
      <c r="D330" s="5"/>
    </row>
    <row r="331" ht="15.75" customHeight="1">
      <c r="A331" s="5"/>
      <c r="B331" s="5"/>
      <c r="C331" s="5"/>
      <c r="D331" s="5"/>
    </row>
    <row r="332" ht="15.75" customHeight="1">
      <c r="A332" s="5"/>
      <c r="B332" s="5"/>
      <c r="C332" s="5"/>
      <c r="D332" s="5"/>
    </row>
    <row r="333" ht="15.75" customHeight="1">
      <c r="A333" s="5"/>
      <c r="B333" s="5"/>
      <c r="C333" s="5"/>
      <c r="D333" s="5"/>
    </row>
    <row r="334" ht="15.75" customHeight="1">
      <c r="A334" s="5"/>
      <c r="B334" s="5"/>
      <c r="C334" s="5"/>
      <c r="D334" s="5"/>
    </row>
    <row r="335" ht="15.75" customHeight="1">
      <c r="A335" s="5"/>
      <c r="B335" s="5"/>
      <c r="C335" s="5"/>
      <c r="D335" s="5"/>
    </row>
    <row r="336" ht="15.75" customHeight="1">
      <c r="A336" s="5"/>
      <c r="B336" s="5"/>
      <c r="C336" s="5"/>
      <c r="D336" s="5"/>
    </row>
    <row r="337" ht="15.75" customHeight="1">
      <c r="A337" s="5"/>
      <c r="B337" s="5"/>
      <c r="C337" s="5"/>
      <c r="D337" s="5"/>
    </row>
    <row r="338" ht="15.75" customHeight="1">
      <c r="A338" s="5"/>
      <c r="B338" s="5"/>
      <c r="C338" s="5"/>
      <c r="D338" s="5"/>
    </row>
    <row r="339" ht="15.75" customHeight="1">
      <c r="A339" s="5"/>
      <c r="B339" s="5"/>
      <c r="C339" s="5"/>
      <c r="D339" s="5"/>
    </row>
    <row r="340" ht="15.75" customHeight="1">
      <c r="A340" s="5"/>
      <c r="B340" s="5"/>
      <c r="C340" s="5"/>
      <c r="D340" s="5"/>
    </row>
    <row r="341" ht="15.75" customHeight="1">
      <c r="A341" s="5"/>
      <c r="B341" s="5"/>
      <c r="C341" s="5"/>
      <c r="D341" s="5"/>
    </row>
    <row r="342" ht="15.75" customHeight="1">
      <c r="A342" s="5"/>
      <c r="B342" s="5"/>
      <c r="C342" s="5"/>
      <c r="D342" s="5"/>
    </row>
    <row r="343" ht="15.75" customHeight="1">
      <c r="A343" s="5"/>
      <c r="B343" s="5"/>
      <c r="C343" s="5"/>
      <c r="D343" s="5"/>
    </row>
    <row r="344" ht="15.75" customHeight="1">
      <c r="A344" s="5"/>
      <c r="B344" s="5"/>
      <c r="C344" s="5"/>
      <c r="D344" s="5"/>
    </row>
    <row r="345" ht="15.75" customHeight="1">
      <c r="A345" s="5"/>
      <c r="B345" s="5"/>
      <c r="C345" s="5"/>
      <c r="D345" s="5"/>
    </row>
    <row r="346" ht="15.75" customHeight="1">
      <c r="A346" s="5"/>
      <c r="B346" s="5"/>
      <c r="C346" s="5"/>
      <c r="D346" s="5"/>
    </row>
    <row r="347" ht="15.75" customHeight="1">
      <c r="A347" s="5"/>
      <c r="B347" s="5"/>
      <c r="C347" s="5"/>
      <c r="D347" s="5"/>
    </row>
    <row r="348" ht="15.75" customHeight="1">
      <c r="A348" s="5"/>
      <c r="B348" s="5"/>
      <c r="C348" s="5"/>
      <c r="D348" s="5"/>
    </row>
    <row r="349" ht="15.75" customHeight="1">
      <c r="A349" s="5"/>
      <c r="B349" s="5"/>
      <c r="C349" s="5"/>
      <c r="D349" s="5"/>
    </row>
    <row r="350" ht="15.75" customHeight="1">
      <c r="A350" s="5"/>
      <c r="B350" s="5"/>
      <c r="C350" s="5"/>
      <c r="D350" s="5"/>
    </row>
    <row r="351" ht="15.75" customHeight="1">
      <c r="A351" s="5"/>
      <c r="B351" s="5"/>
      <c r="C351" s="5"/>
      <c r="D351" s="5"/>
    </row>
    <row r="352" ht="15.75" customHeight="1">
      <c r="A352" s="5"/>
      <c r="B352" s="5"/>
      <c r="C352" s="5"/>
      <c r="D352" s="5"/>
    </row>
    <row r="353" ht="15.75" customHeight="1">
      <c r="A353" s="5"/>
      <c r="B353" s="5"/>
      <c r="C353" s="5"/>
      <c r="D353" s="5"/>
    </row>
    <row r="354" ht="15.75" customHeight="1">
      <c r="A354" s="5"/>
      <c r="B354" s="5"/>
      <c r="C354" s="5"/>
      <c r="D354" s="5"/>
    </row>
    <row r="355" ht="15.75" customHeight="1">
      <c r="A355" s="5"/>
      <c r="B355" s="5"/>
      <c r="C355" s="5"/>
      <c r="D355" s="5"/>
    </row>
    <row r="356" ht="15.75" customHeight="1">
      <c r="A356" s="5"/>
      <c r="B356" s="5"/>
      <c r="C356" s="5"/>
      <c r="D356" s="5"/>
    </row>
    <row r="357" ht="15.75" customHeight="1">
      <c r="A357" s="5"/>
      <c r="B357" s="5"/>
      <c r="C357" s="5"/>
      <c r="D357" s="5"/>
    </row>
    <row r="358" ht="15.75" customHeight="1">
      <c r="A358" s="5"/>
      <c r="B358" s="5"/>
      <c r="C358" s="5"/>
      <c r="D358" s="5"/>
    </row>
    <row r="359" ht="15.75" customHeight="1">
      <c r="A359" s="5"/>
      <c r="B359" s="5"/>
      <c r="C359" s="5"/>
      <c r="D359" s="5"/>
    </row>
    <row r="360" ht="15.75" customHeight="1">
      <c r="A360" s="5"/>
      <c r="B360" s="5"/>
      <c r="C360" s="5"/>
      <c r="D360" s="5"/>
    </row>
    <row r="361" ht="15.75" customHeight="1">
      <c r="A361" s="5"/>
      <c r="B361" s="5"/>
      <c r="C361" s="5"/>
      <c r="D361" s="5"/>
    </row>
    <row r="362" ht="15.75" customHeight="1">
      <c r="A362" s="5"/>
      <c r="B362" s="5"/>
      <c r="C362" s="5"/>
      <c r="D362" s="5"/>
    </row>
    <row r="363" ht="15.75" customHeight="1">
      <c r="A363" s="5"/>
      <c r="B363" s="5"/>
      <c r="C363" s="5"/>
      <c r="D363" s="5"/>
    </row>
    <row r="364" ht="15.75" customHeight="1">
      <c r="A364" s="5"/>
      <c r="B364" s="5"/>
      <c r="C364" s="5"/>
      <c r="D364" s="5"/>
    </row>
    <row r="365" ht="15.75" customHeight="1">
      <c r="A365" s="5"/>
      <c r="B365" s="5"/>
      <c r="C365" s="5"/>
      <c r="D365" s="5"/>
    </row>
    <row r="366" ht="15.75" customHeight="1">
      <c r="A366" s="5"/>
      <c r="B366" s="5"/>
      <c r="C366" s="5"/>
      <c r="D366" s="5"/>
    </row>
    <row r="367" ht="15.75" customHeight="1">
      <c r="A367" s="5"/>
      <c r="B367" s="5"/>
      <c r="C367" s="5"/>
      <c r="D367" s="5"/>
    </row>
    <row r="368" ht="15.75" customHeight="1">
      <c r="A368" s="5"/>
      <c r="B368" s="5"/>
      <c r="C368" s="5"/>
      <c r="D368" s="5"/>
    </row>
    <row r="369" ht="15.75" customHeight="1">
      <c r="A369" s="5"/>
      <c r="B369" s="5"/>
      <c r="C369" s="5"/>
      <c r="D369" s="5"/>
    </row>
    <row r="370" ht="15.75" customHeight="1">
      <c r="A370" s="5"/>
      <c r="B370" s="5"/>
      <c r="C370" s="5"/>
      <c r="D370" s="5"/>
    </row>
    <row r="371" ht="15.75" customHeight="1">
      <c r="A371" s="5"/>
      <c r="B371" s="5"/>
      <c r="C371" s="5"/>
      <c r="D371" s="5"/>
    </row>
    <row r="372" ht="15.75" customHeight="1">
      <c r="A372" s="5"/>
      <c r="B372" s="5"/>
      <c r="C372" s="5"/>
      <c r="D372" s="5"/>
    </row>
    <row r="373" ht="15.75" customHeight="1">
      <c r="A373" s="5"/>
      <c r="B373" s="5"/>
      <c r="C373" s="5"/>
      <c r="D373" s="5"/>
    </row>
    <row r="374" ht="15.75" customHeight="1">
      <c r="A374" s="5"/>
      <c r="B374" s="5"/>
      <c r="C374" s="5"/>
      <c r="D374" s="5"/>
    </row>
    <row r="375" ht="15.75" customHeight="1">
      <c r="A375" s="5"/>
      <c r="B375" s="5"/>
      <c r="C375" s="5"/>
      <c r="D375" s="5"/>
    </row>
    <row r="376" ht="15.75" customHeight="1">
      <c r="A376" s="5"/>
      <c r="B376" s="5"/>
      <c r="C376" s="5"/>
      <c r="D376" s="5"/>
    </row>
    <row r="377" ht="15.75" customHeight="1">
      <c r="A377" s="5"/>
      <c r="B377" s="5"/>
      <c r="C377" s="5"/>
      <c r="D377" s="5"/>
    </row>
    <row r="378" ht="15.75" customHeight="1">
      <c r="A378" s="5"/>
      <c r="B378" s="5"/>
      <c r="C378" s="5"/>
      <c r="D378" s="5"/>
    </row>
    <row r="379" ht="15.75" customHeight="1">
      <c r="A379" s="5"/>
      <c r="B379" s="5"/>
      <c r="C379" s="5"/>
      <c r="D379" s="5"/>
    </row>
    <row r="380" ht="15.75" customHeight="1">
      <c r="A380" s="5"/>
      <c r="B380" s="5"/>
      <c r="C380" s="5"/>
      <c r="D380" s="5"/>
    </row>
    <row r="381" ht="15.75" customHeight="1">
      <c r="A381" s="5"/>
      <c r="B381" s="5"/>
      <c r="C381" s="5"/>
      <c r="D381" s="5"/>
    </row>
    <row r="382" ht="15.75" customHeight="1">
      <c r="A382" s="5"/>
      <c r="B382" s="5"/>
      <c r="C382" s="5"/>
      <c r="D382" s="5"/>
    </row>
    <row r="383" ht="15.75" customHeight="1">
      <c r="A383" s="5"/>
      <c r="B383" s="5"/>
      <c r="C383" s="5"/>
      <c r="D383" s="5"/>
    </row>
    <row r="384" ht="15.75" customHeight="1">
      <c r="A384" s="5"/>
      <c r="B384" s="5"/>
      <c r="C384" s="5"/>
      <c r="D384" s="5"/>
    </row>
    <row r="385" ht="15.75" customHeight="1">
      <c r="A385" s="5"/>
      <c r="B385" s="5"/>
      <c r="C385" s="5"/>
      <c r="D385" s="5"/>
    </row>
    <row r="386" ht="15.75" customHeight="1">
      <c r="A386" s="5"/>
      <c r="B386" s="5"/>
      <c r="C386" s="5"/>
      <c r="D386" s="5"/>
    </row>
    <row r="387" ht="15.75" customHeight="1">
      <c r="A387" s="5"/>
      <c r="B387" s="5"/>
      <c r="C387" s="5"/>
      <c r="D387" s="5"/>
    </row>
    <row r="388" ht="15.75" customHeight="1">
      <c r="A388" s="5"/>
      <c r="B388" s="5"/>
      <c r="C388" s="5"/>
      <c r="D388" s="5"/>
    </row>
    <row r="389" ht="15.75" customHeight="1">
      <c r="A389" s="5"/>
      <c r="B389" s="5"/>
      <c r="C389" s="5"/>
      <c r="D389" s="5"/>
    </row>
    <row r="390" ht="15.75" customHeight="1">
      <c r="A390" s="5"/>
      <c r="B390" s="5"/>
      <c r="C390" s="5"/>
      <c r="D390" s="5"/>
    </row>
    <row r="391" ht="15.75" customHeight="1">
      <c r="A391" s="5"/>
      <c r="B391" s="5"/>
      <c r="C391" s="5"/>
      <c r="D391" s="5"/>
    </row>
    <row r="392" ht="15.75" customHeight="1">
      <c r="A392" s="5"/>
      <c r="B392" s="5"/>
      <c r="C392" s="5"/>
      <c r="D392" s="5"/>
    </row>
    <row r="393" ht="15.75" customHeight="1">
      <c r="A393" s="5"/>
      <c r="B393" s="5"/>
      <c r="C393" s="5"/>
      <c r="D393" s="5"/>
    </row>
    <row r="394" ht="15.75" customHeight="1">
      <c r="A394" s="5"/>
      <c r="B394" s="5"/>
      <c r="C394" s="5"/>
      <c r="D394" s="5"/>
    </row>
    <row r="395" ht="15.75" customHeight="1">
      <c r="A395" s="5"/>
      <c r="B395" s="5"/>
      <c r="C395" s="5"/>
      <c r="D395" s="5"/>
    </row>
    <row r="396" ht="15.75" customHeight="1">
      <c r="A396" s="5"/>
      <c r="B396" s="5"/>
      <c r="C396" s="5"/>
      <c r="D396" s="5"/>
    </row>
    <row r="397" ht="15.75" customHeight="1">
      <c r="A397" s="5"/>
      <c r="B397" s="5"/>
      <c r="C397" s="5"/>
      <c r="D397" s="5"/>
    </row>
    <row r="398" ht="15.75" customHeight="1">
      <c r="A398" s="5"/>
      <c r="B398" s="5"/>
      <c r="C398" s="5"/>
      <c r="D398" s="5"/>
    </row>
    <row r="399" ht="15.75" customHeight="1">
      <c r="A399" s="5"/>
      <c r="B399" s="5"/>
      <c r="C399" s="5"/>
      <c r="D399" s="5"/>
    </row>
    <row r="400" ht="15.75" customHeight="1">
      <c r="A400" s="5"/>
      <c r="B400" s="5"/>
      <c r="C400" s="5"/>
      <c r="D400" s="5"/>
    </row>
    <row r="401" ht="15.75" customHeight="1">
      <c r="A401" s="5"/>
      <c r="B401" s="5"/>
      <c r="C401" s="5"/>
      <c r="D401" s="5"/>
    </row>
    <row r="402" ht="15.75" customHeight="1">
      <c r="A402" s="5"/>
      <c r="B402" s="5"/>
      <c r="C402" s="5"/>
      <c r="D402" s="5"/>
    </row>
    <row r="403" ht="15.75" customHeight="1">
      <c r="A403" s="5"/>
      <c r="B403" s="5"/>
      <c r="C403" s="5"/>
      <c r="D403" s="5"/>
    </row>
    <row r="404" ht="15.75" customHeight="1">
      <c r="A404" s="5"/>
      <c r="B404" s="5"/>
      <c r="C404" s="5"/>
      <c r="D404" s="5"/>
    </row>
    <row r="405" ht="15.75" customHeight="1">
      <c r="A405" s="5"/>
      <c r="B405" s="5"/>
      <c r="C405" s="5"/>
      <c r="D405" s="5"/>
    </row>
    <row r="406" ht="15.75" customHeight="1">
      <c r="A406" s="5"/>
      <c r="B406" s="5"/>
      <c r="C406" s="5"/>
      <c r="D406" s="5"/>
    </row>
    <row r="407" ht="15.75" customHeight="1">
      <c r="A407" s="5"/>
      <c r="B407" s="5"/>
      <c r="C407" s="5"/>
      <c r="D407" s="5"/>
    </row>
    <row r="408" ht="15.75" customHeight="1">
      <c r="A408" s="5"/>
      <c r="B408" s="5"/>
      <c r="C408" s="5"/>
      <c r="D408" s="5"/>
    </row>
    <row r="409" ht="15.75" customHeight="1">
      <c r="A409" s="5"/>
      <c r="B409" s="5"/>
      <c r="C409" s="5"/>
      <c r="D409" s="5"/>
    </row>
    <row r="410" ht="15.75" customHeight="1">
      <c r="A410" s="5"/>
      <c r="B410" s="5"/>
      <c r="C410" s="5"/>
      <c r="D410" s="5"/>
    </row>
    <row r="411" ht="15.75" customHeight="1">
      <c r="A411" s="5"/>
      <c r="B411" s="5"/>
      <c r="C411" s="5"/>
      <c r="D411" s="5"/>
    </row>
    <row r="412" ht="15.75" customHeight="1">
      <c r="A412" s="5"/>
      <c r="B412" s="5"/>
      <c r="C412" s="5"/>
      <c r="D412" s="5"/>
    </row>
    <row r="413" ht="15.75" customHeight="1">
      <c r="A413" s="5"/>
      <c r="B413" s="5"/>
      <c r="C413" s="5"/>
      <c r="D413" s="5"/>
    </row>
    <row r="414" ht="15.75" customHeight="1">
      <c r="A414" s="5"/>
      <c r="B414" s="5"/>
      <c r="C414" s="5"/>
      <c r="D414" s="5"/>
    </row>
    <row r="415" ht="15.75" customHeight="1">
      <c r="A415" s="5"/>
      <c r="B415" s="5"/>
      <c r="C415" s="5"/>
      <c r="D415" s="5"/>
    </row>
    <row r="416" ht="15.75" customHeight="1">
      <c r="A416" s="5"/>
      <c r="B416" s="5"/>
      <c r="C416" s="5"/>
      <c r="D416" s="5"/>
    </row>
    <row r="417" ht="15.75" customHeight="1">
      <c r="A417" s="5"/>
      <c r="B417" s="5"/>
      <c r="C417" s="5"/>
      <c r="D417" s="5"/>
    </row>
    <row r="418" ht="15.75" customHeight="1">
      <c r="A418" s="5"/>
      <c r="B418" s="5"/>
      <c r="C418" s="5"/>
      <c r="D418" s="5"/>
    </row>
    <row r="419" ht="15.75" customHeight="1">
      <c r="A419" s="5"/>
      <c r="B419" s="5"/>
      <c r="C419" s="5"/>
      <c r="D419" s="5"/>
    </row>
    <row r="420" ht="15.75" customHeight="1">
      <c r="A420" s="5"/>
      <c r="B420" s="5"/>
      <c r="C420" s="5"/>
      <c r="D420" s="5"/>
    </row>
    <row r="421" ht="15.75" customHeight="1">
      <c r="A421" s="5"/>
      <c r="B421" s="5"/>
      <c r="C421" s="5"/>
      <c r="D421" s="5"/>
    </row>
    <row r="422" ht="15.75" customHeight="1">
      <c r="A422" s="5"/>
      <c r="B422" s="5"/>
      <c r="C422" s="5"/>
      <c r="D422" s="5"/>
    </row>
    <row r="423" ht="15.75" customHeight="1">
      <c r="A423" s="5"/>
      <c r="B423" s="5"/>
      <c r="C423" s="5"/>
      <c r="D423" s="5"/>
    </row>
    <row r="424" ht="15.75" customHeight="1">
      <c r="A424" s="5"/>
      <c r="B424" s="5"/>
      <c r="C424" s="5"/>
      <c r="D424" s="5"/>
    </row>
    <row r="425" ht="15.75" customHeight="1">
      <c r="A425" s="5"/>
      <c r="B425" s="5"/>
      <c r="C425" s="5"/>
      <c r="D425" s="5"/>
    </row>
    <row r="426" ht="15.75" customHeight="1">
      <c r="A426" s="5"/>
      <c r="B426" s="5"/>
      <c r="C426" s="5"/>
      <c r="D426" s="5"/>
    </row>
    <row r="427" ht="15.75" customHeight="1">
      <c r="A427" s="5"/>
      <c r="B427" s="5"/>
      <c r="C427" s="5"/>
      <c r="D427" s="5"/>
    </row>
    <row r="428" ht="15.75" customHeight="1">
      <c r="A428" s="5"/>
      <c r="B428" s="5"/>
      <c r="C428" s="5"/>
      <c r="D428" s="5"/>
    </row>
    <row r="429" ht="15.75" customHeight="1">
      <c r="A429" s="5"/>
      <c r="B429" s="5"/>
      <c r="C429" s="5"/>
      <c r="D429" s="5"/>
    </row>
    <row r="430" ht="15.75" customHeight="1">
      <c r="A430" s="5"/>
      <c r="B430" s="5"/>
      <c r="C430" s="5"/>
      <c r="D430" s="5"/>
    </row>
    <row r="431" ht="15.75" customHeight="1">
      <c r="A431" s="5"/>
      <c r="B431" s="5"/>
      <c r="C431" s="5"/>
      <c r="D431" s="5"/>
    </row>
    <row r="432" ht="15.75" customHeight="1">
      <c r="A432" s="5"/>
      <c r="B432" s="5"/>
      <c r="C432" s="5"/>
      <c r="D432" s="5"/>
    </row>
    <row r="433" ht="15.75" customHeight="1">
      <c r="A433" s="5"/>
      <c r="B433" s="5"/>
      <c r="C433" s="5"/>
      <c r="D433" s="5"/>
    </row>
    <row r="434" ht="15.75" customHeight="1">
      <c r="A434" s="5"/>
      <c r="B434" s="5"/>
      <c r="C434" s="5"/>
      <c r="D434" s="5"/>
    </row>
    <row r="435" ht="15.75" customHeight="1">
      <c r="A435" s="5"/>
      <c r="B435" s="5"/>
      <c r="C435" s="5"/>
      <c r="D435" s="5"/>
    </row>
    <row r="436" ht="15.75" customHeight="1">
      <c r="A436" s="5"/>
      <c r="B436" s="5"/>
      <c r="C436" s="5"/>
      <c r="D436" s="5"/>
    </row>
    <row r="437" ht="15.75" customHeight="1">
      <c r="A437" s="5"/>
      <c r="B437" s="5"/>
      <c r="C437" s="5"/>
      <c r="D437" s="5"/>
    </row>
    <row r="438" ht="15.75" customHeight="1">
      <c r="A438" s="5"/>
      <c r="B438" s="5"/>
      <c r="C438" s="5"/>
      <c r="D438" s="5"/>
    </row>
    <row r="439" ht="15.75" customHeight="1">
      <c r="A439" s="5"/>
      <c r="B439" s="5"/>
      <c r="C439" s="5"/>
      <c r="D439" s="5"/>
    </row>
    <row r="440" ht="15.75" customHeight="1">
      <c r="A440" s="5"/>
      <c r="B440" s="5"/>
      <c r="C440" s="5"/>
      <c r="D440" s="5"/>
    </row>
    <row r="441" ht="15.75" customHeight="1">
      <c r="A441" s="5"/>
      <c r="B441" s="5"/>
      <c r="C441" s="5"/>
      <c r="D441" s="5"/>
    </row>
    <row r="442" ht="15.75" customHeight="1">
      <c r="A442" s="5"/>
      <c r="B442" s="5"/>
      <c r="C442" s="5"/>
      <c r="D442" s="5"/>
    </row>
    <row r="443" ht="15.75" customHeight="1">
      <c r="A443" s="5"/>
      <c r="B443" s="5"/>
      <c r="C443" s="5"/>
      <c r="D443" s="5"/>
    </row>
    <row r="444" ht="15.75" customHeight="1">
      <c r="A444" s="5"/>
      <c r="B444" s="5"/>
      <c r="C444" s="5"/>
      <c r="D444" s="5"/>
    </row>
    <row r="445" ht="15.75" customHeight="1">
      <c r="A445" s="5"/>
      <c r="B445" s="5"/>
      <c r="C445" s="5"/>
      <c r="D445" s="5"/>
    </row>
    <row r="446" ht="15.75" customHeight="1">
      <c r="A446" s="5"/>
      <c r="B446" s="5"/>
      <c r="C446" s="5"/>
      <c r="D446" s="5"/>
    </row>
    <row r="447" ht="15.75" customHeight="1">
      <c r="A447" s="5"/>
      <c r="B447" s="5"/>
      <c r="C447" s="5"/>
      <c r="D447" s="5"/>
    </row>
    <row r="448" ht="15.75" customHeight="1">
      <c r="A448" s="5"/>
      <c r="B448" s="5"/>
      <c r="C448" s="5"/>
      <c r="D448" s="5"/>
    </row>
    <row r="449" ht="15.75" customHeight="1">
      <c r="A449" s="5"/>
      <c r="B449" s="5"/>
      <c r="C449" s="5"/>
      <c r="D449" s="5"/>
    </row>
    <row r="450" ht="15.75" customHeight="1">
      <c r="A450" s="5"/>
      <c r="B450" s="5"/>
      <c r="C450" s="5"/>
      <c r="D450" s="5"/>
    </row>
    <row r="451" ht="15.75" customHeight="1">
      <c r="A451" s="5"/>
      <c r="B451" s="5"/>
      <c r="C451" s="5"/>
      <c r="D451" s="5"/>
    </row>
    <row r="452" ht="15.75" customHeight="1">
      <c r="A452" s="5"/>
      <c r="B452" s="5"/>
      <c r="C452" s="5"/>
      <c r="D452" s="5"/>
    </row>
    <row r="453" ht="15.75" customHeight="1">
      <c r="A453" s="5"/>
      <c r="B453" s="5"/>
      <c r="C453" s="5"/>
      <c r="D453" s="5"/>
    </row>
    <row r="454" ht="15.75" customHeight="1">
      <c r="A454" s="5"/>
      <c r="B454" s="5"/>
      <c r="C454" s="5"/>
      <c r="D454" s="5"/>
    </row>
    <row r="455" ht="15.75" customHeight="1">
      <c r="A455" s="5"/>
      <c r="B455" s="5"/>
      <c r="C455" s="5"/>
      <c r="D455" s="5"/>
    </row>
    <row r="456" ht="15.75" customHeight="1">
      <c r="A456" s="5"/>
      <c r="B456" s="5"/>
      <c r="C456" s="5"/>
      <c r="D456" s="5"/>
    </row>
    <row r="457" ht="15.75" customHeight="1">
      <c r="A457" s="5"/>
      <c r="B457" s="5"/>
      <c r="C457" s="5"/>
      <c r="D457" s="5"/>
    </row>
    <row r="458" ht="15.75" customHeight="1">
      <c r="A458" s="5"/>
      <c r="B458" s="5"/>
      <c r="C458" s="5"/>
      <c r="D458" s="5"/>
    </row>
    <row r="459" ht="15.75" customHeight="1">
      <c r="A459" s="5"/>
      <c r="B459" s="5"/>
      <c r="C459" s="5"/>
      <c r="D459" s="5"/>
    </row>
    <row r="460" ht="15.75" customHeight="1">
      <c r="A460" s="5"/>
      <c r="B460" s="5"/>
      <c r="C460" s="5"/>
      <c r="D460" s="5"/>
    </row>
    <row r="461" ht="15.75" customHeight="1">
      <c r="A461" s="5"/>
      <c r="B461" s="5"/>
      <c r="C461" s="5"/>
      <c r="D461" s="5"/>
    </row>
    <row r="462" ht="15.75" customHeight="1">
      <c r="A462" s="5"/>
      <c r="B462" s="5"/>
      <c r="C462" s="5"/>
      <c r="D462" s="5"/>
    </row>
    <row r="463" ht="15.75" customHeight="1">
      <c r="A463" s="5"/>
      <c r="B463" s="5"/>
      <c r="C463" s="5"/>
      <c r="D463" s="5"/>
    </row>
    <row r="464" ht="15.75" customHeight="1">
      <c r="A464" s="5"/>
      <c r="B464" s="5"/>
      <c r="C464" s="5"/>
      <c r="D464" s="5"/>
    </row>
    <row r="465" ht="15.75" customHeight="1">
      <c r="A465" s="5"/>
      <c r="B465" s="5"/>
      <c r="C465" s="5"/>
      <c r="D465" s="5"/>
    </row>
    <row r="466" ht="15.75" customHeight="1">
      <c r="A466" s="5"/>
      <c r="B466" s="5"/>
      <c r="C466" s="5"/>
      <c r="D466" s="5"/>
    </row>
    <row r="467" ht="15.75" customHeight="1">
      <c r="A467" s="5"/>
      <c r="B467" s="5"/>
      <c r="C467" s="5"/>
      <c r="D467" s="5"/>
    </row>
    <row r="468" ht="15.75" customHeight="1">
      <c r="A468" s="5"/>
      <c r="B468" s="5"/>
      <c r="C468" s="5"/>
      <c r="D468" s="5"/>
    </row>
    <row r="469" ht="15.75" customHeight="1">
      <c r="A469" s="5"/>
      <c r="B469" s="5"/>
      <c r="C469" s="5"/>
      <c r="D469" s="5"/>
    </row>
    <row r="470" ht="15.75" customHeight="1">
      <c r="A470" s="5"/>
      <c r="B470" s="5"/>
      <c r="C470" s="5"/>
      <c r="D470" s="5"/>
    </row>
    <row r="471" ht="15.75" customHeight="1">
      <c r="A471" s="5"/>
      <c r="B471" s="5"/>
      <c r="C471" s="5"/>
      <c r="D471" s="5"/>
    </row>
    <row r="472" ht="15.75" customHeight="1">
      <c r="A472" s="5"/>
      <c r="B472" s="5"/>
      <c r="C472" s="5"/>
      <c r="D472" s="5"/>
    </row>
    <row r="473" ht="15.75" customHeight="1">
      <c r="A473" s="5"/>
      <c r="B473" s="5"/>
      <c r="C473" s="5"/>
      <c r="D473" s="5"/>
    </row>
    <row r="474" ht="15.75" customHeight="1">
      <c r="A474" s="5"/>
      <c r="B474" s="5"/>
      <c r="C474" s="5"/>
      <c r="D474" s="5"/>
    </row>
    <row r="475" ht="15.75" customHeight="1">
      <c r="A475" s="5"/>
      <c r="B475" s="5"/>
      <c r="C475" s="5"/>
      <c r="D475" s="5"/>
    </row>
    <row r="476" ht="15.75" customHeight="1">
      <c r="A476" s="5"/>
      <c r="B476" s="5"/>
      <c r="C476" s="5"/>
      <c r="D476" s="5"/>
    </row>
    <row r="477" ht="15.75" customHeight="1">
      <c r="A477" s="5"/>
      <c r="B477" s="5"/>
      <c r="C477" s="5"/>
      <c r="D477" s="5"/>
    </row>
    <row r="478" ht="15.75" customHeight="1">
      <c r="A478" s="5"/>
      <c r="B478" s="5"/>
      <c r="C478" s="5"/>
      <c r="D478" s="5"/>
    </row>
    <row r="479" ht="15.75" customHeight="1">
      <c r="A479" s="5"/>
      <c r="B479" s="5"/>
      <c r="C479" s="5"/>
      <c r="D479" s="5"/>
    </row>
    <row r="480" ht="15.75" customHeight="1">
      <c r="A480" s="5"/>
      <c r="B480" s="5"/>
      <c r="C480" s="5"/>
      <c r="D480" s="5"/>
    </row>
    <row r="481" ht="15.75" customHeight="1">
      <c r="A481" s="5"/>
      <c r="B481" s="5"/>
      <c r="C481" s="5"/>
      <c r="D481" s="5"/>
    </row>
    <row r="482" ht="15.75" customHeight="1">
      <c r="A482" s="5"/>
      <c r="B482" s="5"/>
      <c r="C482" s="5"/>
      <c r="D482" s="5"/>
    </row>
    <row r="483" ht="15.75" customHeight="1">
      <c r="A483" s="5"/>
      <c r="B483" s="5"/>
      <c r="C483" s="5"/>
      <c r="D483" s="5"/>
    </row>
    <row r="484" ht="15.75" customHeight="1">
      <c r="A484" s="5"/>
      <c r="B484" s="5"/>
      <c r="C484" s="5"/>
      <c r="D484" s="5"/>
    </row>
    <row r="485" ht="15.75" customHeight="1">
      <c r="A485" s="5"/>
      <c r="B485" s="5"/>
      <c r="C485" s="5"/>
      <c r="D485" s="5"/>
    </row>
    <row r="486" ht="15.75" customHeight="1">
      <c r="A486" s="5"/>
      <c r="B486" s="5"/>
      <c r="C486" s="5"/>
      <c r="D486" s="5"/>
    </row>
    <row r="487" ht="15.75" customHeight="1">
      <c r="A487" s="5"/>
      <c r="B487" s="5"/>
      <c r="C487" s="5"/>
      <c r="D487" s="5"/>
    </row>
    <row r="488" ht="15.75" customHeight="1">
      <c r="A488" s="5"/>
      <c r="B488" s="5"/>
      <c r="C488" s="5"/>
      <c r="D488" s="5"/>
    </row>
    <row r="489" ht="15.75" customHeight="1">
      <c r="A489" s="5"/>
      <c r="B489" s="5"/>
      <c r="C489" s="5"/>
      <c r="D489" s="5"/>
    </row>
    <row r="490" ht="15.75" customHeight="1">
      <c r="A490" s="5"/>
      <c r="B490" s="5"/>
      <c r="C490" s="5"/>
      <c r="D490" s="5"/>
    </row>
    <row r="491" ht="15.75" customHeight="1">
      <c r="A491" s="5"/>
      <c r="B491" s="5"/>
      <c r="C491" s="5"/>
      <c r="D491" s="5"/>
    </row>
    <row r="492" ht="15.75" customHeight="1">
      <c r="A492" s="5"/>
      <c r="B492" s="5"/>
      <c r="C492" s="5"/>
      <c r="D492" s="5"/>
    </row>
    <row r="493" ht="15.75" customHeight="1">
      <c r="A493" s="5"/>
      <c r="B493" s="5"/>
      <c r="C493" s="5"/>
      <c r="D493" s="5"/>
    </row>
    <row r="494" ht="15.75" customHeight="1">
      <c r="A494" s="5"/>
      <c r="B494" s="5"/>
      <c r="C494" s="5"/>
      <c r="D494" s="5"/>
    </row>
    <row r="495" ht="15.75" customHeight="1">
      <c r="A495" s="5"/>
      <c r="B495" s="5"/>
      <c r="C495" s="5"/>
      <c r="D495" s="5"/>
    </row>
    <row r="496" ht="15.75" customHeight="1">
      <c r="A496" s="5"/>
      <c r="B496" s="5"/>
      <c r="C496" s="5"/>
      <c r="D496" s="5"/>
    </row>
    <row r="497" ht="15.75" customHeight="1">
      <c r="A497" s="5"/>
      <c r="B497" s="5"/>
      <c r="C497" s="5"/>
      <c r="D497" s="5"/>
    </row>
    <row r="498" ht="15.75" customHeight="1">
      <c r="A498" s="5"/>
      <c r="B498" s="5"/>
      <c r="C498" s="5"/>
      <c r="D498" s="5"/>
    </row>
    <row r="499" ht="15.75" customHeight="1">
      <c r="A499" s="5"/>
      <c r="B499" s="5"/>
      <c r="C499" s="5"/>
      <c r="D499" s="5"/>
    </row>
    <row r="500" ht="15.75" customHeight="1">
      <c r="A500" s="5"/>
      <c r="B500" s="5"/>
      <c r="C500" s="5"/>
      <c r="D500" s="5"/>
    </row>
    <row r="501" ht="15.75" customHeight="1">
      <c r="A501" s="5"/>
      <c r="B501" s="5"/>
      <c r="C501" s="5"/>
      <c r="D501" s="5"/>
    </row>
    <row r="502" ht="15.75" customHeight="1">
      <c r="A502" s="5"/>
      <c r="B502" s="5"/>
      <c r="C502" s="5"/>
      <c r="D502" s="5"/>
    </row>
    <row r="503" ht="15.75" customHeight="1">
      <c r="A503" s="5"/>
      <c r="B503" s="5"/>
      <c r="C503" s="5"/>
      <c r="D503" s="5"/>
    </row>
    <row r="504" ht="15.75" customHeight="1">
      <c r="A504" s="5"/>
      <c r="B504" s="5"/>
      <c r="C504" s="5"/>
      <c r="D504" s="5"/>
    </row>
    <row r="505" ht="15.75" customHeight="1">
      <c r="A505" s="5"/>
      <c r="B505" s="5"/>
      <c r="C505" s="5"/>
      <c r="D505" s="5"/>
    </row>
    <row r="506" ht="15.75" customHeight="1">
      <c r="A506" s="5"/>
      <c r="B506" s="5"/>
      <c r="C506" s="5"/>
      <c r="D506" s="5"/>
    </row>
    <row r="507" ht="15.75" customHeight="1">
      <c r="A507" s="5"/>
      <c r="B507" s="5"/>
      <c r="C507" s="5"/>
      <c r="D507" s="5"/>
    </row>
    <row r="508" ht="15.75" customHeight="1">
      <c r="A508" s="5"/>
      <c r="B508" s="5"/>
      <c r="C508" s="5"/>
      <c r="D508" s="5"/>
    </row>
    <row r="509" ht="15.75" customHeight="1">
      <c r="A509" s="5"/>
      <c r="B509" s="5"/>
      <c r="C509" s="5"/>
      <c r="D509" s="5"/>
    </row>
    <row r="510" ht="15.75" customHeight="1">
      <c r="A510" s="5"/>
      <c r="B510" s="5"/>
      <c r="C510" s="5"/>
      <c r="D510" s="5"/>
    </row>
    <row r="511" ht="15.75" customHeight="1">
      <c r="A511" s="5"/>
      <c r="B511" s="5"/>
      <c r="C511" s="5"/>
      <c r="D511" s="5"/>
    </row>
    <row r="512" ht="15.75" customHeight="1">
      <c r="A512" s="5"/>
      <c r="B512" s="5"/>
      <c r="C512" s="5"/>
      <c r="D512" s="5"/>
    </row>
    <row r="513" ht="15.75" customHeight="1">
      <c r="A513" s="5"/>
      <c r="B513" s="5"/>
      <c r="C513" s="5"/>
      <c r="D513" s="5"/>
    </row>
    <row r="514" ht="15.75" customHeight="1">
      <c r="A514" s="5"/>
      <c r="B514" s="5"/>
      <c r="C514" s="5"/>
      <c r="D514" s="5"/>
    </row>
    <row r="515" ht="15.75" customHeight="1">
      <c r="A515" s="5"/>
      <c r="B515" s="5"/>
      <c r="C515" s="5"/>
      <c r="D515" s="5"/>
    </row>
    <row r="516" ht="15.75" customHeight="1">
      <c r="A516" s="5"/>
      <c r="B516" s="5"/>
      <c r="C516" s="5"/>
      <c r="D516" s="5"/>
    </row>
    <row r="517" ht="15.75" customHeight="1">
      <c r="A517" s="5"/>
      <c r="B517" s="5"/>
      <c r="C517" s="5"/>
      <c r="D517" s="5"/>
    </row>
    <row r="518" ht="15.75" customHeight="1">
      <c r="A518" s="5"/>
      <c r="B518" s="5"/>
      <c r="C518" s="5"/>
      <c r="D518" s="5"/>
    </row>
    <row r="519" ht="15.75" customHeight="1">
      <c r="A519" s="5"/>
      <c r="B519" s="5"/>
      <c r="C519" s="5"/>
      <c r="D519" s="5"/>
    </row>
    <row r="520" ht="15.75" customHeight="1">
      <c r="A520" s="5"/>
      <c r="B520" s="5"/>
      <c r="C520" s="5"/>
      <c r="D520" s="5"/>
    </row>
    <row r="521" ht="15.75" customHeight="1">
      <c r="A521" s="5"/>
      <c r="B521" s="5"/>
      <c r="C521" s="5"/>
      <c r="D521" s="5"/>
    </row>
    <row r="522" ht="15.75" customHeight="1">
      <c r="A522" s="5"/>
      <c r="B522" s="5"/>
      <c r="C522" s="5"/>
      <c r="D522" s="5"/>
    </row>
    <row r="523" ht="15.75" customHeight="1">
      <c r="A523" s="5"/>
      <c r="B523" s="5"/>
      <c r="C523" s="5"/>
      <c r="D523" s="5"/>
    </row>
    <row r="524" ht="15.75" customHeight="1">
      <c r="A524" s="5"/>
      <c r="B524" s="5"/>
      <c r="C524" s="5"/>
      <c r="D524" s="5"/>
    </row>
    <row r="525" ht="15.75" customHeight="1">
      <c r="A525" s="5"/>
      <c r="B525" s="5"/>
      <c r="C525" s="5"/>
      <c r="D525" s="5"/>
    </row>
    <row r="526" ht="15.75" customHeight="1">
      <c r="A526" s="5"/>
      <c r="B526" s="5"/>
      <c r="C526" s="5"/>
      <c r="D526" s="5"/>
    </row>
    <row r="527" ht="15.75" customHeight="1">
      <c r="A527" s="5"/>
      <c r="B527" s="5"/>
      <c r="C527" s="5"/>
      <c r="D527" s="5"/>
    </row>
    <row r="528" ht="15.75" customHeight="1">
      <c r="A528" s="5"/>
      <c r="B528" s="5"/>
      <c r="C528" s="5"/>
      <c r="D528" s="5"/>
    </row>
    <row r="529" ht="15.75" customHeight="1">
      <c r="A529" s="5"/>
      <c r="B529" s="5"/>
      <c r="C529" s="5"/>
      <c r="D529" s="5"/>
    </row>
    <row r="530" ht="15.75" customHeight="1">
      <c r="A530" s="5"/>
      <c r="B530" s="5"/>
      <c r="C530" s="5"/>
      <c r="D530" s="5"/>
    </row>
    <row r="531" ht="15.75" customHeight="1">
      <c r="A531" s="5"/>
      <c r="B531" s="5"/>
      <c r="C531" s="5"/>
      <c r="D531" s="5"/>
    </row>
    <row r="532" ht="15.75" customHeight="1">
      <c r="A532" s="5"/>
      <c r="B532" s="5"/>
      <c r="C532" s="5"/>
      <c r="D532" s="5"/>
    </row>
    <row r="533" ht="15.75" customHeight="1">
      <c r="A533" s="5"/>
      <c r="B533" s="5"/>
      <c r="C533" s="5"/>
      <c r="D533" s="5"/>
    </row>
    <row r="534" ht="15.75" customHeight="1">
      <c r="A534" s="5"/>
      <c r="B534" s="5"/>
      <c r="C534" s="5"/>
      <c r="D534" s="5"/>
    </row>
    <row r="535" ht="15.75" customHeight="1">
      <c r="A535" s="5"/>
      <c r="B535" s="5"/>
      <c r="C535" s="5"/>
      <c r="D535" s="5"/>
    </row>
    <row r="536" ht="15.75" customHeight="1">
      <c r="A536" s="5"/>
      <c r="B536" s="5"/>
      <c r="C536" s="5"/>
      <c r="D536" s="5"/>
    </row>
    <row r="537" ht="15.75" customHeight="1">
      <c r="A537" s="5"/>
      <c r="B537" s="5"/>
      <c r="C537" s="5"/>
      <c r="D537" s="5"/>
    </row>
    <row r="538" ht="15.75" customHeight="1">
      <c r="A538" s="5"/>
      <c r="B538" s="5"/>
      <c r="C538" s="5"/>
      <c r="D538" s="5"/>
    </row>
    <row r="539" ht="15.75" customHeight="1">
      <c r="A539" s="5"/>
      <c r="B539" s="5"/>
      <c r="C539" s="5"/>
      <c r="D539" s="5"/>
    </row>
    <row r="540" ht="15.75" customHeight="1">
      <c r="A540" s="5"/>
      <c r="B540" s="5"/>
      <c r="C540" s="5"/>
      <c r="D540" s="5"/>
    </row>
    <row r="541" ht="15.75" customHeight="1">
      <c r="A541" s="5"/>
      <c r="B541" s="5"/>
      <c r="C541" s="5"/>
      <c r="D541" s="5"/>
    </row>
    <row r="542" ht="15.75" customHeight="1">
      <c r="A542" s="5"/>
      <c r="B542" s="5"/>
      <c r="C542" s="5"/>
      <c r="D542" s="5"/>
    </row>
    <row r="543" ht="15.75" customHeight="1">
      <c r="A543" s="5"/>
      <c r="B543" s="5"/>
      <c r="C543" s="5"/>
      <c r="D543" s="5"/>
    </row>
    <row r="544" ht="15.75" customHeight="1">
      <c r="A544" s="5"/>
      <c r="B544" s="5"/>
      <c r="C544" s="5"/>
      <c r="D544" s="5"/>
    </row>
    <row r="545" ht="15.75" customHeight="1">
      <c r="A545" s="5"/>
      <c r="B545" s="5"/>
      <c r="C545" s="5"/>
      <c r="D545" s="5"/>
    </row>
    <row r="546" ht="15.75" customHeight="1">
      <c r="A546" s="5"/>
      <c r="B546" s="5"/>
      <c r="C546" s="5"/>
      <c r="D546" s="5"/>
    </row>
    <row r="547" ht="15.75" customHeight="1">
      <c r="A547" s="5"/>
      <c r="B547" s="5"/>
      <c r="C547" s="5"/>
      <c r="D547" s="5"/>
    </row>
    <row r="548" ht="15.75" customHeight="1">
      <c r="A548" s="5"/>
      <c r="B548" s="5"/>
      <c r="C548" s="5"/>
      <c r="D548" s="5"/>
    </row>
    <row r="549" ht="15.75" customHeight="1">
      <c r="A549" s="5"/>
      <c r="B549" s="5"/>
      <c r="C549" s="5"/>
      <c r="D549" s="5"/>
    </row>
    <row r="550" ht="15.75" customHeight="1">
      <c r="A550" s="5"/>
      <c r="B550" s="5"/>
      <c r="C550" s="5"/>
      <c r="D550" s="5"/>
    </row>
    <row r="551" ht="15.75" customHeight="1">
      <c r="A551" s="5"/>
      <c r="B551" s="5"/>
      <c r="C551" s="5"/>
      <c r="D551" s="5"/>
    </row>
    <row r="552" ht="15.75" customHeight="1">
      <c r="A552" s="5"/>
      <c r="B552" s="5"/>
      <c r="C552" s="5"/>
      <c r="D552" s="5"/>
    </row>
    <row r="553" ht="15.75" customHeight="1">
      <c r="A553" s="5"/>
      <c r="B553" s="5"/>
      <c r="C553" s="5"/>
      <c r="D553" s="5"/>
    </row>
    <row r="554" ht="15.75" customHeight="1">
      <c r="A554" s="5"/>
      <c r="B554" s="5"/>
      <c r="C554" s="5"/>
      <c r="D554" s="5"/>
    </row>
    <row r="555" ht="15.75" customHeight="1">
      <c r="A555" s="5"/>
      <c r="B555" s="5"/>
      <c r="C555" s="5"/>
      <c r="D555" s="5"/>
    </row>
    <row r="556" ht="15.75" customHeight="1">
      <c r="A556" s="5"/>
      <c r="B556" s="5"/>
      <c r="C556" s="5"/>
      <c r="D556" s="5"/>
    </row>
    <row r="557" ht="15.75" customHeight="1">
      <c r="A557" s="5"/>
      <c r="B557" s="5"/>
      <c r="C557" s="5"/>
      <c r="D557" s="5"/>
    </row>
    <row r="558" ht="15.75" customHeight="1">
      <c r="A558" s="5"/>
      <c r="B558" s="5"/>
      <c r="C558" s="5"/>
      <c r="D558" s="5"/>
    </row>
    <row r="559" ht="15.75" customHeight="1">
      <c r="A559" s="5"/>
      <c r="B559" s="5"/>
      <c r="C559" s="5"/>
      <c r="D559" s="5"/>
    </row>
    <row r="560" ht="15.75" customHeight="1">
      <c r="A560" s="5"/>
      <c r="B560" s="5"/>
      <c r="C560" s="5"/>
      <c r="D560" s="5"/>
    </row>
    <row r="561" ht="15.75" customHeight="1">
      <c r="A561" s="5"/>
      <c r="B561" s="5"/>
      <c r="C561" s="5"/>
      <c r="D561" s="5"/>
    </row>
    <row r="562" ht="15.75" customHeight="1">
      <c r="A562" s="5"/>
      <c r="B562" s="5"/>
      <c r="C562" s="5"/>
      <c r="D562" s="5"/>
    </row>
    <row r="563" ht="15.75" customHeight="1">
      <c r="A563" s="5"/>
      <c r="B563" s="5"/>
      <c r="C563" s="5"/>
      <c r="D563" s="5"/>
    </row>
    <row r="564" ht="15.75" customHeight="1">
      <c r="A564" s="5"/>
      <c r="B564" s="5"/>
      <c r="C564" s="5"/>
      <c r="D564" s="5"/>
    </row>
    <row r="565" ht="15.75" customHeight="1">
      <c r="A565" s="5"/>
      <c r="B565" s="5"/>
      <c r="C565" s="5"/>
      <c r="D565" s="5"/>
    </row>
    <row r="566" ht="15.75" customHeight="1">
      <c r="A566" s="5"/>
      <c r="B566" s="5"/>
      <c r="C566" s="5"/>
      <c r="D566" s="5"/>
    </row>
    <row r="567" ht="15.75" customHeight="1">
      <c r="A567" s="5"/>
      <c r="B567" s="5"/>
      <c r="C567" s="5"/>
      <c r="D567" s="5"/>
    </row>
    <row r="568" ht="15.75" customHeight="1">
      <c r="A568" s="5"/>
      <c r="B568" s="5"/>
      <c r="C568" s="5"/>
      <c r="D568" s="5"/>
    </row>
    <row r="569" ht="15.75" customHeight="1">
      <c r="A569" s="5"/>
      <c r="B569" s="5"/>
      <c r="C569" s="5"/>
      <c r="D569" s="5"/>
    </row>
    <row r="570" ht="15.75" customHeight="1">
      <c r="A570" s="5"/>
      <c r="B570" s="5"/>
      <c r="C570" s="5"/>
      <c r="D570" s="5"/>
    </row>
    <row r="571" ht="15.75" customHeight="1">
      <c r="A571" s="5"/>
      <c r="B571" s="5"/>
      <c r="C571" s="5"/>
      <c r="D571" s="5"/>
    </row>
    <row r="572" ht="15.75" customHeight="1">
      <c r="A572" s="5"/>
      <c r="B572" s="5"/>
      <c r="C572" s="5"/>
      <c r="D572" s="5"/>
    </row>
    <row r="573" ht="15.75" customHeight="1">
      <c r="A573" s="5"/>
      <c r="B573" s="5"/>
      <c r="C573" s="5"/>
      <c r="D573" s="5"/>
    </row>
    <row r="574" ht="15.75" customHeight="1">
      <c r="A574" s="5"/>
      <c r="B574" s="5"/>
      <c r="C574" s="5"/>
      <c r="D574" s="5"/>
    </row>
    <row r="575" ht="15.75" customHeight="1">
      <c r="A575" s="5"/>
      <c r="B575" s="5"/>
      <c r="C575" s="5"/>
      <c r="D575" s="5"/>
    </row>
    <row r="576" ht="15.75" customHeight="1">
      <c r="A576" s="5"/>
      <c r="B576" s="5"/>
      <c r="C576" s="5"/>
      <c r="D576" s="5"/>
    </row>
    <row r="577" ht="15.75" customHeight="1">
      <c r="A577" s="5"/>
      <c r="B577" s="5"/>
      <c r="C577" s="5"/>
      <c r="D577" s="5"/>
    </row>
    <row r="578" ht="15.75" customHeight="1">
      <c r="A578" s="5"/>
      <c r="B578" s="5"/>
      <c r="C578" s="5"/>
      <c r="D578" s="5"/>
    </row>
    <row r="579" ht="15.75" customHeight="1">
      <c r="A579" s="5"/>
      <c r="B579" s="5"/>
      <c r="C579" s="5"/>
      <c r="D579" s="5"/>
    </row>
    <row r="580" ht="15.75" customHeight="1">
      <c r="A580" s="5"/>
      <c r="B580" s="5"/>
      <c r="C580" s="5"/>
      <c r="D580" s="5"/>
    </row>
    <row r="581" ht="15.75" customHeight="1">
      <c r="A581" s="5"/>
      <c r="B581" s="5"/>
      <c r="C581" s="5"/>
      <c r="D581" s="5"/>
    </row>
    <row r="582" ht="15.75" customHeight="1">
      <c r="A582" s="5"/>
      <c r="B582" s="5"/>
      <c r="C582" s="5"/>
      <c r="D582" s="5"/>
    </row>
    <row r="583" ht="15.75" customHeight="1">
      <c r="A583" s="5"/>
      <c r="B583" s="5"/>
      <c r="C583" s="5"/>
      <c r="D583" s="5"/>
    </row>
    <row r="584" ht="15.75" customHeight="1">
      <c r="A584" s="5"/>
      <c r="B584" s="5"/>
      <c r="C584" s="5"/>
      <c r="D584" s="5"/>
    </row>
    <row r="585" ht="15.75" customHeight="1">
      <c r="A585" s="5"/>
      <c r="B585" s="5"/>
      <c r="C585" s="5"/>
      <c r="D585" s="5"/>
    </row>
    <row r="586" ht="15.75" customHeight="1">
      <c r="A586" s="5"/>
      <c r="B586" s="5"/>
      <c r="C586" s="5"/>
      <c r="D586" s="5"/>
    </row>
    <row r="587" ht="15.75" customHeight="1">
      <c r="A587" s="5"/>
      <c r="B587" s="5"/>
      <c r="C587" s="5"/>
      <c r="D587" s="5"/>
    </row>
    <row r="588" ht="15.75" customHeight="1">
      <c r="A588" s="5"/>
      <c r="B588" s="5"/>
      <c r="C588" s="5"/>
      <c r="D588" s="5"/>
    </row>
    <row r="589" ht="15.75" customHeight="1">
      <c r="A589" s="5"/>
      <c r="B589" s="5"/>
      <c r="C589" s="5"/>
      <c r="D589" s="5"/>
    </row>
    <row r="590" ht="15.75" customHeight="1">
      <c r="A590" s="5"/>
      <c r="B590" s="5"/>
      <c r="C590" s="5"/>
      <c r="D590" s="5"/>
    </row>
    <row r="591" ht="15.75" customHeight="1">
      <c r="A591" s="5"/>
      <c r="B591" s="5"/>
      <c r="C591" s="5"/>
      <c r="D591" s="5"/>
    </row>
    <row r="592" ht="15.75" customHeight="1">
      <c r="A592" s="5"/>
      <c r="B592" s="5"/>
      <c r="C592" s="5"/>
      <c r="D592" s="5"/>
    </row>
    <row r="593" ht="15.75" customHeight="1">
      <c r="A593" s="5"/>
      <c r="B593" s="5"/>
      <c r="C593" s="5"/>
      <c r="D593" s="5"/>
    </row>
    <row r="594" ht="15.75" customHeight="1">
      <c r="A594" s="5"/>
      <c r="B594" s="5"/>
      <c r="C594" s="5"/>
      <c r="D594" s="5"/>
    </row>
    <row r="595" ht="15.75" customHeight="1">
      <c r="A595" s="5"/>
      <c r="B595" s="5"/>
      <c r="C595" s="5"/>
      <c r="D595" s="5"/>
    </row>
    <row r="596" ht="15.75" customHeight="1">
      <c r="A596" s="5"/>
      <c r="B596" s="5"/>
      <c r="C596" s="5"/>
      <c r="D596" s="5"/>
    </row>
    <row r="597" ht="15.75" customHeight="1">
      <c r="A597" s="5"/>
      <c r="B597" s="5"/>
      <c r="C597" s="5"/>
      <c r="D597" s="5"/>
    </row>
    <row r="598" ht="15.75" customHeight="1">
      <c r="A598" s="5"/>
      <c r="B598" s="5"/>
      <c r="C598" s="5"/>
      <c r="D598" s="5"/>
    </row>
    <row r="599" ht="15.75" customHeight="1">
      <c r="A599" s="5"/>
      <c r="B599" s="5"/>
      <c r="C599" s="5"/>
      <c r="D599" s="5"/>
    </row>
    <row r="600" ht="15.75" customHeight="1">
      <c r="A600" s="5"/>
      <c r="B600" s="5"/>
      <c r="C600" s="5"/>
      <c r="D600" s="5"/>
    </row>
    <row r="601" ht="15.75" customHeight="1">
      <c r="A601" s="5"/>
      <c r="B601" s="5"/>
      <c r="C601" s="5"/>
      <c r="D601" s="5"/>
    </row>
    <row r="602" ht="15.75" customHeight="1">
      <c r="A602" s="5"/>
      <c r="B602" s="5"/>
      <c r="C602" s="5"/>
      <c r="D602" s="5"/>
    </row>
    <row r="603" ht="15.75" customHeight="1">
      <c r="A603" s="5"/>
      <c r="B603" s="5"/>
      <c r="C603" s="5"/>
      <c r="D603" s="5"/>
    </row>
    <row r="604" ht="15.75" customHeight="1">
      <c r="A604" s="5"/>
      <c r="B604" s="5"/>
      <c r="C604" s="5"/>
      <c r="D604" s="5"/>
    </row>
    <row r="605" ht="15.75" customHeight="1">
      <c r="A605" s="5"/>
      <c r="B605" s="5"/>
      <c r="C605" s="5"/>
      <c r="D605" s="5"/>
    </row>
    <row r="606" ht="15.75" customHeight="1">
      <c r="A606" s="5"/>
      <c r="B606" s="5"/>
      <c r="C606" s="5"/>
      <c r="D606" s="5"/>
    </row>
    <row r="607" ht="15.75" customHeight="1">
      <c r="A607" s="5"/>
      <c r="B607" s="5"/>
      <c r="C607" s="5"/>
      <c r="D607" s="5"/>
    </row>
    <row r="608" ht="15.75" customHeight="1">
      <c r="A608" s="5"/>
      <c r="B608" s="5"/>
      <c r="C608" s="5"/>
      <c r="D608" s="5"/>
    </row>
    <row r="609" ht="15.75" customHeight="1">
      <c r="A609" s="5"/>
      <c r="B609" s="5"/>
      <c r="C609" s="5"/>
      <c r="D609" s="5"/>
    </row>
    <row r="610" ht="15.75" customHeight="1">
      <c r="A610" s="5"/>
      <c r="B610" s="5"/>
      <c r="C610" s="5"/>
      <c r="D610" s="5"/>
    </row>
    <row r="611" ht="15.75" customHeight="1">
      <c r="A611" s="5"/>
      <c r="B611" s="5"/>
      <c r="C611" s="5"/>
      <c r="D611" s="5"/>
    </row>
    <row r="612" ht="15.75" customHeight="1">
      <c r="A612" s="5"/>
      <c r="B612" s="5"/>
      <c r="C612" s="5"/>
      <c r="D612" s="5"/>
    </row>
    <row r="613" ht="15.75" customHeight="1">
      <c r="A613" s="5"/>
      <c r="B613" s="5"/>
      <c r="C613" s="5"/>
      <c r="D613" s="5"/>
    </row>
    <row r="614" ht="15.75" customHeight="1">
      <c r="A614" s="5"/>
      <c r="B614" s="5"/>
      <c r="C614" s="5"/>
      <c r="D614" s="5"/>
    </row>
    <row r="615" ht="15.75" customHeight="1">
      <c r="A615" s="5"/>
      <c r="B615" s="5"/>
      <c r="C615" s="5"/>
      <c r="D615" s="5"/>
    </row>
    <row r="616" ht="15.75" customHeight="1">
      <c r="A616" s="5"/>
      <c r="B616" s="5"/>
      <c r="C616" s="5"/>
      <c r="D616" s="5"/>
    </row>
    <row r="617" ht="15.75" customHeight="1">
      <c r="A617" s="5"/>
      <c r="B617" s="5"/>
      <c r="C617" s="5"/>
      <c r="D617" s="5"/>
    </row>
    <row r="618" ht="15.75" customHeight="1">
      <c r="A618" s="5"/>
      <c r="B618" s="5"/>
      <c r="C618" s="5"/>
      <c r="D618" s="5"/>
    </row>
    <row r="619" ht="15.75" customHeight="1">
      <c r="A619" s="5"/>
      <c r="B619" s="5"/>
      <c r="C619" s="5"/>
      <c r="D619" s="5"/>
    </row>
    <row r="620" ht="15.75" customHeight="1">
      <c r="A620" s="5"/>
      <c r="B620" s="5"/>
      <c r="C620" s="5"/>
      <c r="D620" s="5"/>
    </row>
    <row r="621" ht="15.75" customHeight="1">
      <c r="A621" s="5"/>
      <c r="B621" s="5"/>
      <c r="C621" s="5"/>
      <c r="D621" s="5"/>
    </row>
    <row r="622" ht="15.75" customHeight="1">
      <c r="A622" s="5"/>
      <c r="B622" s="5"/>
      <c r="C622" s="5"/>
      <c r="D622" s="5"/>
    </row>
    <row r="623" ht="15.75" customHeight="1">
      <c r="A623" s="5"/>
      <c r="B623" s="5"/>
      <c r="C623" s="5"/>
      <c r="D623" s="5"/>
    </row>
    <row r="624" ht="15.75" customHeight="1">
      <c r="A624" s="5"/>
      <c r="B624" s="5"/>
      <c r="C624" s="5"/>
      <c r="D624" s="5"/>
    </row>
    <row r="625" ht="15.75" customHeight="1">
      <c r="A625" s="5"/>
      <c r="B625" s="5"/>
      <c r="C625" s="5"/>
      <c r="D625" s="5"/>
    </row>
    <row r="626" ht="15.75" customHeight="1">
      <c r="A626" s="5"/>
      <c r="B626" s="5"/>
      <c r="C626" s="5"/>
      <c r="D626" s="5"/>
    </row>
    <row r="627" ht="15.75" customHeight="1">
      <c r="A627" s="5"/>
      <c r="B627" s="5"/>
      <c r="C627" s="5"/>
      <c r="D627" s="5"/>
    </row>
    <row r="628" ht="15.75" customHeight="1">
      <c r="A628" s="5"/>
      <c r="B628" s="5"/>
      <c r="C628" s="5"/>
      <c r="D628" s="5"/>
    </row>
    <row r="629" ht="15.75" customHeight="1">
      <c r="A629" s="5"/>
      <c r="B629" s="5"/>
      <c r="C629" s="5"/>
      <c r="D629" s="5"/>
    </row>
    <row r="630" ht="15.75" customHeight="1">
      <c r="A630" s="5"/>
      <c r="B630" s="5"/>
      <c r="C630" s="5"/>
      <c r="D630" s="5"/>
    </row>
    <row r="631" ht="15.75" customHeight="1">
      <c r="A631" s="5"/>
      <c r="B631" s="5"/>
      <c r="C631" s="5"/>
      <c r="D631" s="5"/>
    </row>
    <row r="632" ht="15.75" customHeight="1">
      <c r="A632" s="5"/>
      <c r="B632" s="5"/>
      <c r="C632" s="5"/>
      <c r="D632" s="5"/>
    </row>
    <row r="633" ht="15.75" customHeight="1">
      <c r="A633" s="5"/>
      <c r="B633" s="5"/>
      <c r="C633" s="5"/>
      <c r="D633" s="5"/>
    </row>
    <row r="634" ht="15.75" customHeight="1">
      <c r="A634" s="5"/>
      <c r="B634" s="5"/>
      <c r="C634" s="5"/>
      <c r="D634" s="5"/>
    </row>
    <row r="635" ht="15.75" customHeight="1">
      <c r="A635" s="5"/>
      <c r="B635" s="5"/>
      <c r="C635" s="5"/>
      <c r="D635" s="5"/>
    </row>
    <row r="636" ht="15.75" customHeight="1">
      <c r="A636" s="5"/>
      <c r="B636" s="5"/>
      <c r="C636" s="5"/>
      <c r="D636" s="5"/>
    </row>
    <row r="637" ht="15.75" customHeight="1">
      <c r="A637" s="5"/>
      <c r="B637" s="5"/>
      <c r="C637" s="5"/>
      <c r="D637" s="5"/>
    </row>
    <row r="638" ht="15.75" customHeight="1">
      <c r="A638" s="5"/>
      <c r="B638" s="5"/>
      <c r="C638" s="5"/>
      <c r="D638" s="5"/>
    </row>
    <row r="639" ht="15.75" customHeight="1">
      <c r="A639" s="5"/>
      <c r="B639" s="5"/>
      <c r="C639" s="5"/>
      <c r="D639" s="5"/>
    </row>
    <row r="640" ht="15.75" customHeight="1">
      <c r="A640" s="5"/>
      <c r="B640" s="5"/>
      <c r="C640" s="5"/>
      <c r="D640" s="5"/>
    </row>
    <row r="641" ht="15.75" customHeight="1">
      <c r="A641" s="5"/>
      <c r="B641" s="5"/>
      <c r="C641" s="5"/>
      <c r="D641" s="5"/>
    </row>
    <row r="642" ht="15.75" customHeight="1">
      <c r="A642" s="5"/>
      <c r="B642" s="5"/>
      <c r="C642" s="5"/>
      <c r="D642" s="5"/>
    </row>
    <row r="643" ht="15.75" customHeight="1">
      <c r="A643" s="5"/>
      <c r="B643" s="5"/>
      <c r="C643" s="5"/>
      <c r="D643" s="5"/>
    </row>
    <row r="644" ht="15.75" customHeight="1">
      <c r="A644" s="5"/>
      <c r="B644" s="5"/>
      <c r="C644" s="5"/>
      <c r="D644" s="5"/>
    </row>
    <row r="645" ht="15.75" customHeight="1">
      <c r="A645" s="5"/>
      <c r="B645" s="5"/>
      <c r="C645" s="5"/>
      <c r="D645" s="5"/>
    </row>
    <row r="646" ht="15.75" customHeight="1">
      <c r="A646" s="5"/>
      <c r="B646" s="5"/>
      <c r="C646" s="5"/>
      <c r="D646" s="5"/>
    </row>
    <row r="647" ht="15.75" customHeight="1">
      <c r="A647" s="5"/>
      <c r="B647" s="5"/>
      <c r="C647" s="5"/>
      <c r="D647" s="5"/>
    </row>
    <row r="648" ht="15.75" customHeight="1">
      <c r="A648" s="5"/>
      <c r="B648" s="5"/>
      <c r="C648" s="5"/>
      <c r="D648" s="5"/>
    </row>
    <row r="649" ht="15.75" customHeight="1">
      <c r="A649" s="5"/>
      <c r="B649" s="5"/>
      <c r="C649" s="5"/>
      <c r="D649" s="5"/>
    </row>
    <row r="650" ht="15.75" customHeight="1">
      <c r="A650" s="5"/>
      <c r="B650" s="5"/>
      <c r="C650" s="5"/>
      <c r="D650" s="5"/>
    </row>
    <row r="651" ht="15.75" customHeight="1">
      <c r="A651" s="5"/>
      <c r="B651" s="5"/>
      <c r="C651" s="5"/>
      <c r="D651" s="5"/>
    </row>
    <row r="652" ht="15.75" customHeight="1">
      <c r="A652" s="5"/>
      <c r="B652" s="5"/>
      <c r="C652" s="5"/>
      <c r="D652" s="5"/>
    </row>
    <row r="653" ht="15.75" customHeight="1">
      <c r="A653" s="5"/>
      <c r="B653" s="5"/>
      <c r="C653" s="5"/>
      <c r="D653" s="5"/>
    </row>
    <row r="654" ht="15.75" customHeight="1">
      <c r="A654" s="5"/>
      <c r="B654" s="5"/>
      <c r="C654" s="5"/>
      <c r="D654" s="5"/>
    </row>
    <row r="655" ht="15.75" customHeight="1">
      <c r="A655" s="5"/>
      <c r="B655" s="5"/>
      <c r="C655" s="5"/>
      <c r="D655" s="5"/>
    </row>
    <row r="656" ht="15.75" customHeight="1">
      <c r="A656" s="5"/>
      <c r="B656" s="5"/>
      <c r="C656" s="5"/>
      <c r="D656" s="5"/>
    </row>
    <row r="657" ht="15.75" customHeight="1">
      <c r="A657" s="5"/>
      <c r="B657" s="5"/>
      <c r="C657" s="5"/>
      <c r="D657" s="5"/>
    </row>
    <row r="658" ht="15.75" customHeight="1">
      <c r="A658" s="5"/>
      <c r="B658" s="5"/>
      <c r="C658" s="5"/>
      <c r="D658" s="5"/>
    </row>
    <row r="659" ht="15.75" customHeight="1">
      <c r="A659" s="5"/>
      <c r="B659" s="5"/>
      <c r="C659" s="5"/>
      <c r="D659" s="5"/>
    </row>
    <row r="660" ht="15.75" customHeight="1">
      <c r="A660" s="5"/>
      <c r="B660" s="5"/>
      <c r="C660" s="5"/>
      <c r="D660" s="5"/>
    </row>
    <row r="661" ht="15.75" customHeight="1">
      <c r="A661" s="5"/>
      <c r="B661" s="5"/>
      <c r="C661" s="5"/>
      <c r="D661" s="5"/>
    </row>
    <row r="662" ht="15.75" customHeight="1">
      <c r="A662" s="5"/>
      <c r="B662" s="5"/>
      <c r="C662" s="5"/>
      <c r="D662" s="5"/>
    </row>
    <row r="663" ht="15.75" customHeight="1">
      <c r="A663" s="5"/>
      <c r="B663" s="5"/>
      <c r="C663" s="5"/>
      <c r="D663" s="5"/>
    </row>
    <row r="664" ht="15.75" customHeight="1">
      <c r="A664" s="5"/>
      <c r="B664" s="5"/>
      <c r="C664" s="5"/>
      <c r="D664" s="5"/>
    </row>
    <row r="665" ht="15.75" customHeight="1">
      <c r="A665" s="5"/>
      <c r="B665" s="5"/>
      <c r="C665" s="5"/>
      <c r="D665" s="5"/>
    </row>
    <row r="666" ht="15.75" customHeight="1">
      <c r="A666" s="5"/>
      <c r="B666" s="5"/>
      <c r="C666" s="5"/>
      <c r="D666" s="5"/>
    </row>
    <row r="667" ht="15.75" customHeight="1">
      <c r="A667" s="5"/>
      <c r="B667" s="5"/>
      <c r="C667" s="5"/>
      <c r="D667" s="5"/>
    </row>
    <row r="668" ht="15.75" customHeight="1">
      <c r="A668" s="5"/>
      <c r="B668" s="5"/>
      <c r="C668" s="5"/>
      <c r="D668" s="5"/>
    </row>
    <row r="669" ht="15.75" customHeight="1">
      <c r="A669" s="5"/>
      <c r="B669" s="5"/>
      <c r="C669" s="5"/>
      <c r="D669" s="5"/>
    </row>
    <row r="670" ht="15.75" customHeight="1">
      <c r="A670" s="5"/>
      <c r="B670" s="5"/>
      <c r="C670" s="5"/>
      <c r="D670" s="5"/>
    </row>
    <row r="671" ht="15.75" customHeight="1">
      <c r="A671" s="5"/>
      <c r="B671" s="5"/>
      <c r="C671" s="5"/>
      <c r="D671" s="5"/>
    </row>
    <row r="672" ht="15.75" customHeight="1">
      <c r="A672" s="5"/>
      <c r="B672" s="5"/>
      <c r="C672" s="5"/>
      <c r="D672" s="5"/>
    </row>
    <row r="673" ht="15.75" customHeight="1">
      <c r="A673" s="5"/>
      <c r="B673" s="5"/>
      <c r="C673" s="5"/>
      <c r="D673" s="5"/>
    </row>
    <row r="674" ht="15.75" customHeight="1">
      <c r="A674" s="5"/>
      <c r="B674" s="5"/>
      <c r="C674" s="5"/>
      <c r="D674" s="5"/>
    </row>
    <row r="675" ht="15.75" customHeight="1">
      <c r="A675" s="5"/>
      <c r="B675" s="5"/>
      <c r="C675" s="5"/>
      <c r="D675" s="5"/>
    </row>
    <row r="676" ht="15.75" customHeight="1">
      <c r="A676" s="5"/>
      <c r="B676" s="5"/>
      <c r="C676" s="5"/>
      <c r="D676" s="5"/>
    </row>
    <row r="677" ht="15.75" customHeight="1">
      <c r="A677" s="5"/>
      <c r="B677" s="5"/>
      <c r="C677" s="5"/>
      <c r="D677" s="5"/>
    </row>
    <row r="678" ht="15.75" customHeight="1">
      <c r="A678" s="5"/>
      <c r="B678" s="5"/>
      <c r="C678" s="5"/>
      <c r="D678" s="5"/>
    </row>
    <row r="679" ht="15.75" customHeight="1">
      <c r="A679" s="5"/>
      <c r="B679" s="5"/>
      <c r="C679" s="5"/>
      <c r="D679" s="5"/>
    </row>
    <row r="680" ht="15.75" customHeight="1">
      <c r="A680" s="5"/>
      <c r="B680" s="5"/>
      <c r="C680" s="5"/>
      <c r="D680" s="5"/>
    </row>
    <row r="681" ht="15.75" customHeight="1">
      <c r="A681" s="5"/>
      <c r="B681" s="5"/>
      <c r="C681" s="5"/>
      <c r="D681" s="5"/>
    </row>
    <row r="682" ht="15.75" customHeight="1">
      <c r="A682" s="5"/>
      <c r="B682" s="5"/>
      <c r="C682" s="5"/>
      <c r="D682" s="5"/>
    </row>
    <row r="683" ht="15.75" customHeight="1">
      <c r="A683" s="5"/>
      <c r="B683" s="5"/>
      <c r="C683" s="5"/>
      <c r="D683" s="5"/>
    </row>
    <row r="684" ht="15.75" customHeight="1">
      <c r="A684" s="5"/>
      <c r="B684" s="5"/>
      <c r="C684" s="5"/>
      <c r="D684" s="5"/>
    </row>
    <row r="685" ht="15.75" customHeight="1">
      <c r="A685" s="5"/>
      <c r="B685" s="5"/>
      <c r="C685" s="5"/>
      <c r="D685" s="5"/>
    </row>
    <row r="686" ht="15.75" customHeight="1">
      <c r="A686" s="5"/>
      <c r="B686" s="5"/>
      <c r="C686" s="5"/>
      <c r="D686" s="5"/>
    </row>
    <row r="687" ht="15.75" customHeight="1">
      <c r="A687" s="5"/>
      <c r="B687" s="5"/>
      <c r="C687" s="5"/>
      <c r="D687" s="5"/>
    </row>
    <row r="688" ht="15.75" customHeight="1">
      <c r="A688" s="5"/>
      <c r="B688" s="5"/>
      <c r="C688" s="5"/>
      <c r="D688" s="5"/>
    </row>
    <row r="689" ht="15.75" customHeight="1">
      <c r="A689" s="5"/>
      <c r="B689" s="5"/>
      <c r="C689" s="5"/>
      <c r="D689" s="5"/>
    </row>
    <row r="690" ht="15.75" customHeight="1">
      <c r="A690" s="5"/>
      <c r="B690" s="5"/>
      <c r="C690" s="5"/>
      <c r="D690" s="5"/>
    </row>
    <row r="691" ht="15.75" customHeight="1">
      <c r="A691" s="5"/>
      <c r="B691" s="5"/>
      <c r="C691" s="5"/>
      <c r="D691" s="5"/>
    </row>
    <row r="692" ht="15.75" customHeight="1">
      <c r="A692" s="5"/>
      <c r="B692" s="5"/>
      <c r="C692" s="5"/>
      <c r="D692" s="5"/>
    </row>
    <row r="693" ht="15.75" customHeight="1">
      <c r="A693" s="5"/>
      <c r="B693" s="5"/>
      <c r="C693" s="5"/>
      <c r="D693" s="5"/>
    </row>
    <row r="694" ht="15.75" customHeight="1">
      <c r="A694" s="5"/>
      <c r="B694" s="5"/>
      <c r="C694" s="5"/>
      <c r="D694" s="5"/>
    </row>
    <row r="695" ht="15.75" customHeight="1">
      <c r="A695" s="5"/>
      <c r="B695" s="5"/>
      <c r="C695" s="5"/>
      <c r="D695" s="5"/>
    </row>
    <row r="696" ht="15.75" customHeight="1">
      <c r="A696" s="5"/>
      <c r="B696" s="5"/>
      <c r="C696" s="5"/>
      <c r="D696" s="5"/>
    </row>
    <row r="697" ht="15.75" customHeight="1">
      <c r="A697" s="5"/>
      <c r="B697" s="5"/>
      <c r="C697" s="5"/>
      <c r="D697" s="5"/>
    </row>
    <row r="698" ht="15.75" customHeight="1">
      <c r="A698" s="5"/>
      <c r="B698" s="5"/>
      <c r="C698" s="5"/>
      <c r="D698" s="5"/>
    </row>
    <row r="699" ht="15.75" customHeight="1">
      <c r="A699" s="5"/>
      <c r="B699" s="5"/>
      <c r="C699" s="5"/>
      <c r="D699" s="5"/>
    </row>
    <row r="700" ht="15.75" customHeight="1">
      <c r="A700" s="5"/>
      <c r="B700" s="5"/>
      <c r="C700" s="5"/>
      <c r="D700" s="5"/>
    </row>
    <row r="701" ht="15.75" customHeight="1">
      <c r="A701" s="5"/>
      <c r="B701" s="5"/>
      <c r="C701" s="5"/>
      <c r="D701" s="5"/>
    </row>
    <row r="702" ht="15.75" customHeight="1">
      <c r="A702" s="5"/>
      <c r="B702" s="5"/>
      <c r="C702" s="5"/>
      <c r="D702" s="5"/>
    </row>
    <row r="703" ht="15.75" customHeight="1">
      <c r="A703" s="5"/>
      <c r="B703" s="5"/>
      <c r="C703" s="5"/>
      <c r="D703" s="5"/>
    </row>
    <row r="704" ht="15.75" customHeight="1">
      <c r="A704" s="5"/>
      <c r="B704" s="5"/>
      <c r="C704" s="5"/>
      <c r="D704" s="5"/>
    </row>
    <row r="705" ht="15.75" customHeight="1">
      <c r="A705" s="5"/>
      <c r="B705" s="5"/>
      <c r="C705" s="5"/>
      <c r="D705" s="5"/>
    </row>
    <row r="706" ht="15.75" customHeight="1">
      <c r="A706" s="5"/>
      <c r="B706" s="5"/>
      <c r="C706" s="5"/>
      <c r="D706" s="5"/>
    </row>
    <row r="707" ht="15.75" customHeight="1">
      <c r="A707" s="5"/>
      <c r="B707" s="5"/>
      <c r="C707" s="5"/>
      <c r="D707" s="5"/>
    </row>
    <row r="708" ht="15.75" customHeight="1">
      <c r="A708" s="5"/>
      <c r="B708" s="5"/>
      <c r="C708" s="5"/>
      <c r="D708" s="5"/>
    </row>
    <row r="709" ht="15.75" customHeight="1">
      <c r="A709" s="5"/>
      <c r="B709" s="5"/>
      <c r="C709" s="5"/>
      <c r="D709" s="5"/>
    </row>
    <row r="710" ht="15.75" customHeight="1">
      <c r="A710" s="5"/>
      <c r="B710" s="5"/>
      <c r="C710" s="5"/>
      <c r="D710" s="5"/>
    </row>
    <row r="711" ht="15.75" customHeight="1">
      <c r="A711" s="5"/>
      <c r="B711" s="5"/>
      <c r="C711" s="5"/>
      <c r="D711" s="5"/>
    </row>
    <row r="712" ht="15.75" customHeight="1">
      <c r="A712" s="5"/>
      <c r="B712" s="5"/>
      <c r="C712" s="5"/>
      <c r="D712" s="5"/>
    </row>
    <row r="713" ht="15.75" customHeight="1">
      <c r="A713" s="5"/>
      <c r="B713" s="5"/>
      <c r="C713" s="5"/>
      <c r="D713" s="5"/>
    </row>
    <row r="714" ht="15.75" customHeight="1">
      <c r="A714" s="5"/>
      <c r="B714" s="5"/>
      <c r="C714" s="5"/>
      <c r="D714" s="5"/>
    </row>
    <row r="715" ht="15.75" customHeight="1">
      <c r="A715" s="5"/>
      <c r="B715" s="5"/>
      <c r="C715" s="5"/>
      <c r="D715" s="5"/>
    </row>
    <row r="716" ht="15.75" customHeight="1">
      <c r="A716" s="5"/>
      <c r="B716" s="5"/>
      <c r="C716" s="5"/>
      <c r="D716" s="5"/>
    </row>
    <row r="717" ht="15.75" customHeight="1">
      <c r="A717" s="5"/>
      <c r="B717" s="5"/>
      <c r="C717" s="5"/>
      <c r="D717" s="5"/>
    </row>
    <row r="718" ht="15.75" customHeight="1">
      <c r="A718" s="5"/>
      <c r="B718" s="5"/>
      <c r="C718" s="5"/>
      <c r="D718" s="5"/>
    </row>
    <row r="719" ht="15.75" customHeight="1">
      <c r="A719" s="5"/>
      <c r="B719" s="5"/>
      <c r="C719" s="5"/>
      <c r="D719" s="5"/>
    </row>
    <row r="720" ht="15.75" customHeight="1">
      <c r="A720" s="5"/>
      <c r="B720" s="5"/>
      <c r="C720" s="5"/>
      <c r="D720" s="5"/>
    </row>
    <row r="721" ht="15.75" customHeight="1">
      <c r="A721" s="5"/>
      <c r="B721" s="5"/>
      <c r="C721" s="5"/>
      <c r="D721" s="5"/>
    </row>
    <row r="722" ht="15.75" customHeight="1">
      <c r="A722" s="5"/>
      <c r="B722" s="5"/>
      <c r="C722" s="5"/>
      <c r="D722" s="5"/>
    </row>
    <row r="723" ht="15.75" customHeight="1">
      <c r="A723" s="5"/>
      <c r="B723" s="5"/>
      <c r="C723" s="5"/>
      <c r="D723" s="5"/>
    </row>
    <row r="724" ht="15.75" customHeight="1">
      <c r="A724" s="5"/>
      <c r="B724" s="5"/>
      <c r="C724" s="5"/>
      <c r="D724" s="5"/>
    </row>
    <row r="725" ht="15.75" customHeight="1">
      <c r="A725" s="5"/>
      <c r="B725" s="5"/>
      <c r="C725" s="5"/>
      <c r="D725" s="5"/>
    </row>
    <row r="726" ht="15.75" customHeight="1">
      <c r="A726" s="5"/>
      <c r="B726" s="5"/>
      <c r="C726" s="5"/>
      <c r="D726" s="5"/>
    </row>
    <row r="727" ht="15.75" customHeight="1">
      <c r="A727" s="5"/>
      <c r="B727" s="5"/>
      <c r="C727" s="5"/>
      <c r="D727" s="5"/>
    </row>
    <row r="728" ht="15.75" customHeight="1">
      <c r="A728" s="5"/>
      <c r="B728" s="5"/>
      <c r="C728" s="5"/>
      <c r="D728" s="5"/>
    </row>
    <row r="729" ht="15.75" customHeight="1">
      <c r="A729" s="5"/>
      <c r="B729" s="5"/>
      <c r="C729" s="5"/>
      <c r="D729" s="5"/>
    </row>
    <row r="730" ht="15.75" customHeight="1">
      <c r="A730" s="5"/>
      <c r="B730" s="5"/>
      <c r="C730" s="5"/>
      <c r="D730" s="5"/>
    </row>
    <row r="731" ht="15.75" customHeight="1">
      <c r="A731" s="5"/>
      <c r="B731" s="5"/>
      <c r="C731" s="5"/>
      <c r="D731" s="5"/>
    </row>
    <row r="732" ht="15.75" customHeight="1">
      <c r="A732" s="5"/>
      <c r="B732" s="5"/>
      <c r="C732" s="5"/>
      <c r="D732" s="5"/>
    </row>
    <row r="733" ht="15.75" customHeight="1">
      <c r="A733" s="5"/>
      <c r="B733" s="5"/>
      <c r="C733" s="5"/>
      <c r="D733" s="5"/>
    </row>
    <row r="734" ht="15.75" customHeight="1">
      <c r="A734" s="5"/>
      <c r="B734" s="5"/>
      <c r="C734" s="5"/>
      <c r="D734" s="5"/>
    </row>
    <row r="735" ht="15.75" customHeight="1">
      <c r="A735" s="5"/>
      <c r="B735" s="5"/>
      <c r="C735" s="5"/>
      <c r="D735" s="5"/>
    </row>
    <row r="736" ht="15.75" customHeight="1">
      <c r="A736" s="5"/>
      <c r="B736" s="5"/>
      <c r="C736" s="5"/>
      <c r="D736" s="5"/>
    </row>
    <row r="737" ht="15.75" customHeight="1">
      <c r="A737" s="5"/>
      <c r="B737" s="5"/>
      <c r="C737" s="5"/>
      <c r="D737" s="5"/>
    </row>
    <row r="738" ht="15.75" customHeight="1">
      <c r="A738" s="5"/>
      <c r="B738" s="5"/>
      <c r="C738" s="5"/>
      <c r="D738" s="5"/>
    </row>
    <row r="739" ht="15.75" customHeight="1">
      <c r="A739" s="5"/>
      <c r="B739" s="5"/>
      <c r="C739" s="5"/>
      <c r="D739" s="5"/>
    </row>
    <row r="740" ht="15.75" customHeight="1">
      <c r="A740" s="5"/>
      <c r="B740" s="5"/>
      <c r="C740" s="5"/>
      <c r="D740" s="5"/>
    </row>
    <row r="741" ht="15.75" customHeight="1">
      <c r="A741" s="5"/>
      <c r="B741" s="5"/>
      <c r="C741" s="5"/>
      <c r="D741" s="5"/>
    </row>
    <row r="742" ht="15.75" customHeight="1">
      <c r="A742" s="5"/>
      <c r="B742" s="5"/>
      <c r="C742" s="5"/>
      <c r="D742" s="5"/>
    </row>
    <row r="743" ht="15.75" customHeight="1">
      <c r="A743" s="5"/>
      <c r="B743" s="5"/>
      <c r="C743" s="5"/>
      <c r="D743" s="5"/>
    </row>
    <row r="744" ht="15.75" customHeight="1">
      <c r="A744" s="5"/>
      <c r="B744" s="5"/>
      <c r="C744" s="5"/>
      <c r="D744" s="5"/>
    </row>
    <row r="745" ht="15.75" customHeight="1">
      <c r="A745" s="5"/>
      <c r="B745" s="5"/>
      <c r="C745" s="5"/>
      <c r="D745" s="5"/>
    </row>
    <row r="746" ht="15.75" customHeight="1">
      <c r="A746" s="5"/>
      <c r="B746" s="5"/>
      <c r="C746" s="5"/>
      <c r="D746" s="5"/>
    </row>
    <row r="747" ht="15.75" customHeight="1">
      <c r="A747" s="5"/>
      <c r="B747" s="5"/>
      <c r="C747" s="5"/>
      <c r="D747" s="5"/>
    </row>
    <row r="748" ht="15.75" customHeight="1">
      <c r="A748" s="5"/>
      <c r="B748" s="5"/>
      <c r="C748" s="5"/>
      <c r="D748" s="5"/>
    </row>
    <row r="749" ht="15.75" customHeight="1">
      <c r="A749" s="5"/>
      <c r="B749" s="5"/>
      <c r="C749" s="5"/>
      <c r="D749" s="5"/>
    </row>
    <row r="750" ht="15.75" customHeight="1">
      <c r="A750" s="5"/>
      <c r="B750" s="5"/>
      <c r="C750" s="5"/>
      <c r="D750" s="5"/>
    </row>
    <row r="751" ht="15.75" customHeight="1">
      <c r="A751" s="5"/>
      <c r="B751" s="5"/>
      <c r="C751" s="5"/>
      <c r="D751" s="5"/>
    </row>
    <row r="752" ht="15.75" customHeight="1">
      <c r="A752" s="5"/>
      <c r="B752" s="5"/>
      <c r="C752" s="5"/>
      <c r="D752" s="5"/>
    </row>
    <row r="753" ht="15.75" customHeight="1">
      <c r="A753" s="5"/>
      <c r="B753" s="5"/>
      <c r="C753" s="5"/>
      <c r="D753" s="5"/>
    </row>
    <row r="754" ht="15.75" customHeight="1">
      <c r="A754" s="5"/>
      <c r="B754" s="5"/>
      <c r="C754" s="5"/>
      <c r="D754" s="5"/>
    </row>
    <row r="755" ht="15.75" customHeight="1">
      <c r="A755" s="5"/>
      <c r="B755" s="5"/>
      <c r="C755" s="5"/>
      <c r="D755" s="5"/>
    </row>
    <row r="756" ht="15.75" customHeight="1">
      <c r="A756" s="5"/>
      <c r="B756" s="5"/>
      <c r="C756" s="5"/>
      <c r="D756" s="5"/>
    </row>
    <row r="757" ht="15.75" customHeight="1">
      <c r="A757" s="5"/>
      <c r="B757" s="5"/>
      <c r="C757" s="5"/>
      <c r="D757" s="5"/>
    </row>
    <row r="758" ht="15.75" customHeight="1">
      <c r="A758" s="5"/>
      <c r="B758" s="5"/>
      <c r="C758" s="5"/>
      <c r="D758" s="5"/>
    </row>
    <row r="759" ht="15.75" customHeight="1">
      <c r="A759" s="5"/>
      <c r="B759" s="5"/>
      <c r="C759" s="5"/>
      <c r="D759" s="5"/>
    </row>
    <row r="760" ht="15.75" customHeight="1">
      <c r="A760" s="5"/>
      <c r="B760" s="5"/>
      <c r="C760" s="5"/>
      <c r="D760" s="5"/>
    </row>
    <row r="761" ht="15.75" customHeight="1">
      <c r="A761" s="5"/>
      <c r="B761" s="5"/>
      <c r="C761" s="5"/>
      <c r="D761" s="5"/>
    </row>
    <row r="762" ht="15.75" customHeight="1">
      <c r="A762" s="5"/>
      <c r="B762" s="5"/>
      <c r="C762" s="5"/>
      <c r="D762" s="5"/>
    </row>
    <row r="763" ht="15.75" customHeight="1">
      <c r="A763" s="5"/>
      <c r="B763" s="5"/>
      <c r="C763" s="5"/>
      <c r="D763" s="5"/>
    </row>
    <row r="764" ht="15.75" customHeight="1">
      <c r="A764" s="5"/>
      <c r="B764" s="5"/>
      <c r="C764" s="5"/>
      <c r="D764" s="5"/>
    </row>
    <row r="765" ht="15.75" customHeight="1">
      <c r="A765" s="5"/>
      <c r="B765" s="5"/>
      <c r="C765" s="5"/>
      <c r="D765" s="5"/>
    </row>
    <row r="766" ht="15.75" customHeight="1">
      <c r="A766" s="5"/>
      <c r="B766" s="5"/>
      <c r="C766" s="5"/>
      <c r="D766" s="5"/>
    </row>
    <row r="767" ht="15.75" customHeight="1">
      <c r="A767" s="5"/>
      <c r="B767" s="5"/>
      <c r="C767" s="5"/>
      <c r="D767" s="5"/>
    </row>
    <row r="768" ht="15.75" customHeight="1">
      <c r="A768" s="5"/>
      <c r="B768" s="5"/>
      <c r="C768" s="5"/>
      <c r="D768" s="5"/>
    </row>
    <row r="769" ht="15.75" customHeight="1">
      <c r="A769" s="5"/>
      <c r="B769" s="5"/>
      <c r="C769" s="5"/>
      <c r="D769" s="5"/>
    </row>
    <row r="770" ht="15.75" customHeight="1">
      <c r="A770" s="5"/>
      <c r="B770" s="5"/>
      <c r="C770" s="5"/>
      <c r="D770" s="5"/>
    </row>
    <row r="771" ht="15.75" customHeight="1">
      <c r="A771" s="5"/>
      <c r="B771" s="5"/>
      <c r="C771" s="5"/>
      <c r="D771" s="5"/>
    </row>
    <row r="772" ht="15.75" customHeight="1">
      <c r="A772" s="5"/>
      <c r="B772" s="5"/>
      <c r="C772" s="5"/>
      <c r="D772" s="5"/>
    </row>
    <row r="773" ht="15.75" customHeight="1">
      <c r="A773" s="5"/>
      <c r="B773" s="5"/>
      <c r="C773" s="5"/>
      <c r="D773" s="5"/>
    </row>
    <row r="774" ht="15.75" customHeight="1">
      <c r="A774" s="5"/>
      <c r="B774" s="5"/>
      <c r="C774" s="5"/>
      <c r="D774" s="5"/>
    </row>
    <row r="775" ht="15.75" customHeight="1">
      <c r="A775" s="5"/>
      <c r="B775" s="5"/>
      <c r="C775" s="5"/>
      <c r="D775" s="5"/>
    </row>
    <row r="776" ht="15.75" customHeight="1">
      <c r="A776" s="5"/>
      <c r="B776" s="5"/>
      <c r="C776" s="5"/>
      <c r="D776" s="5"/>
    </row>
    <row r="777" ht="15.75" customHeight="1">
      <c r="A777" s="5"/>
      <c r="B777" s="5"/>
      <c r="C777" s="5"/>
      <c r="D777" s="5"/>
    </row>
    <row r="778" ht="15.75" customHeight="1">
      <c r="A778" s="5"/>
      <c r="B778" s="5"/>
      <c r="C778" s="5"/>
      <c r="D778" s="5"/>
    </row>
    <row r="779" ht="15.75" customHeight="1">
      <c r="A779" s="5"/>
      <c r="B779" s="5"/>
      <c r="C779" s="5"/>
      <c r="D779" s="5"/>
    </row>
    <row r="780" ht="15.75" customHeight="1">
      <c r="A780" s="5"/>
      <c r="B780" s="5"/>
      <c r="C780" s="5"/>
      <c r="D780" s="5"/>
    </row>
    <row r="781" ht="15.75" customHeight="1">
      <c r="A781" s="5"/>
      <c r="B781" s="5"/>
      <c r="C781" s="5"/>
      <c r="D781" s="5"/>
    </row>
    <row r="782" ht="15.75" customHeight="1">
      <c r="A782" s="5"/>
      <c r="B782" s="5"/>
      <c r="C782" s="5"/>
      <c r="D782" s="5"/>
    </row>
    <row r="783" ht="15.75" customHeight="1">
      <c r="A783" s="5"/>
      <c r="B783" s="5"/>
      <c r="C783" s="5"/>
      <c r="D783" s="5"/>
    </row>
    <row r="784" ht="15.75" customHeight="1">
      <c r="A784" s="5"/>
      <c r="B784" s="5"/>
      <c r="C784" s="5"/>
      <c r="D784" s="5"/>
    </row>
    <row r="785" ht="15.75" customHeight="1">
      <c r="A785" s="5"/>
      <c r="B785" s="5"/>
      <c r="C785" s="5"/>
      <c r="D785" s="5"/>
    </row>
    <row r="786" ht="15.75" customHeight="1">
      <c r="A786" s="5"/>
      <c r="B786" s="5"/>
      <c r="C786" s="5"/>
      <c r="D786" s="5"/>
    </row>
    <row r="787" ht="15.75" customHeight="1">
      <c r="A787" s="5"/>
      <c r="B787" s="5"/>
      <c r="C787" s="5"/>
      <c r="D787" s="5"/>
    </row>
    <row r="788" ht="15.75" customHeight="1">
      <c r="A788" s="5"/>
      <c r="B788" s="5"/>
      <c r="C788" s="5"/>
      <c r="D788" s="5"/>
    </row>
    <row r="789" ht="15.75" customHeight="1">
      <c r="A789" s="5"/>
      <c r="B789" s="5"/>
      <c r="C789" s="5"/>
      <c r="D789" s="5"/>
    </row>
    <row r="790" ht="15.75" customHeight="1">
      <c r="A790" s="5"/>
      <c r="B790" s="5"/>
      <c r="C790" s="5"/>
      <c r="D790" s="5"/>
    </row>
    <row r="791" ht="15.75" customHeight="1">
      <c r="A791" s="5"/>
      <c r="B791" s="5"/>
      <c r="C791" s="5"/>
      <c r="D791" s="5"/>
    </row>
    <row r="792" ht="15.75" customHeight="1">
      <c r="A792" s="5"/>
      <c r="B792" s="5"/>
      <c r="C792" s="5"/>
      <c r="D792" s="5"/>
    </row>
    <row r="793" ht="15.75" customHeight="1">
      <c r="A793" s="5"/>
      <c r="B793" s="5"/>
      <c r="C793" s="5"/>
      <c r="D793" s="5"/>
    </row>
    <row r="794" ht="15.75" customHeight="1">
      <c r="A794" s="5"/>
      <c r="B794" s="5"/>
      <c r="C794" s="5"/>
      <c r="D794" s="5"/>
    </row>
    <row r="795" ht="15.75" customHeight="1">
      <c r="A795" s="5"/>
      <c r="B795" s="5"/>
      <c r="C795" s="5"/>
      <c r="D795" s="5"/>
    </row>
    <row r="796" ht="15.75" customHeight="1">
      <c r="A796" s="5"/>
      <c r="B796" s="5"/>
      <c r="C796" s="5"/>
      <c r="D796" s="5"/>
    </row>
    <row r="797" ht="15.75" customHeight="1">
      <c r="A797" s="5"/>
      <c r="B797" s="5"/>
      <c r="C797" s="5"/>
      <c r="D797" s="5"/>
    </row>
    <row r="798" ht="15.75" customHeight="1">
      <c r="A798" s="5"/>
      <c r="B798" s="5"/>
      <c r="C798" s="5"/>
      <c r="D798" s="5"/>
    </row>
    <row r="799" ht="15.75" customHeight="1">
      <c r="A799" s="5"/>
      <c r="B799" s="5"/>
      <c r="C799" s="5"/>
      <c r="D799" s="5"/>
    </row>
    <row r="800" ht="15.75" customHeight="1">
      <c r="A800" s="5"/>
      <c r="B800" s="5"/>
      <c r="C800" s="5"/>
      <c r="D800" s="5"/>
    </row>
    <row r="801" ht="15.75" customHeight="1">
      <c r="A801" s="5"/>
      <c r="B801" s="5"/>
      <c r="C801" s="5"/>
      <c r="D801" s="5"/>
    </row>
    <row r="802" ht="15.75" customHeight="1">
      <c r="A802" s="5"/>
      <c r="B802" s="5"/>
      <c r="C802" s="5"/>
      <c r="D802" s="5"/>
    </row>
    <row r="803" ht="15.75" customHeight="1">
      <c r="A803" s="5"/>
      <c r="B803" s="5"/>
      <c r="C803" s="5"/>
      <c r="D803" s="5"/>
    </row>
    <row r="804" ht="15.75" customHeight="1">
      <c r="A804" s="5"/>
      <c r="B804" s="5"/>
      <c r="C804" s="5"/>
      <c r="D804" s="5"/>
    </row>
    <row r="805" ht="15.75" customHeight="1">
      <c r="A805" s="5"/>
      <c r="B805" s="5"/>
      <c r="C805" s="5"/>
      <c r="D805" s="5"/>
    </row>
    <row r="806" ht="15.75" customHeight="1">
      <c r="A806" s="5"/>
      <c r="B806" s="5"/>
      <c r="C806" s="5"/>
      <c r="D806" s="5"/>
    </row>
    <row r="807" ht="15.75" customHeight="1">
      <c r="A807" s="5"/>
      <c r="B807" s="5"/>
      <c r="C807" s="5"/>
      <c r="D807" s="5"/>
    </row>
    <row r="808" ht="15.75" customHeight="1">
      <c r="A808" s="5"/>
      <c r="B808" s="5"/>
      <c r="C808" s="5"/>
      <c r="D808" s="5"/>
    </row>
    <row r="809" ht="15.75" customHeight="1">
      <c r="A809" s="5"/>
      <c r="B809" s="5"/>
      <c r="C809" s="5"/>
      <c r="D809" s="5"/>
    </row>
    <row r="810" ht="15.75" customHeight="1">
      <c r="A810" s="5"/>
      <c r="B810" s="5"/>
      <c r="C810" s="5"/>
      <c r="D810" s="5"/>
    </row>
    <row r="811" ht="15.75" customHeight="1">
      <c r="A811" s="5"/>
      <c r="B811" s="5"/>
      <c r="C811" s="5"/>
      <c r="D811" s="5"/>
    </row>
    <row r="812" ht="15.75" customHeight="1">
      <c r="A812" s="5"/>
      <c r="B812" s="5"/>
      <c r="C812" s="5"/>
      <c r="D812" s="5"/>
    </row>
    <row r="813" ht="15.75" customHeight="1">
      <c r="A813" s="5"/>
      <c r="B813" s="5"/>
      <c r="C813" s="5"/>
      <c r="D813" s="5"/>
    </row>
    <row r="814" ht="15.75" customHeight="1">
      <c r="A814" s="5"/>
      <c r="B814" s="5"/>
      <c r="C814" s="5"/>
      <c r="D814" s="5"/>
    </row>
    <row r="815" ht="15.75" customHeight="1">
      <c r="A815" s="5"/>
      <c r="B815" s="5"/>
      <c r="C815" s="5"/>
      <c r="D815" s="5"/>
    </row>
    <row r="816" ht="15.75" customHeight="1">
      <c r="A816" s="5"/>
      <c r="B816" s="5"/>
      <c r="C816" s="5"/>
      <c r="D816" s="5"/>
    </row>
    <row r="817" ht="15.75" customHeight="1">
      <c r="A817" s="5"/>
      <c r="B817" s="5"/>
      <c r="C817" s="5"/>
      <c r="D817" s="5"/>
    </row>
    <row r="818" ht="15.75" customHeight="1">
      <c r="A818" s="5"/>
      <c r="B818" s="5"/>
      <c r="C818" s="5"/>
      <c r="D818" s="5"/>
    </row>
    <row r="819" ht="15.75" customHeight="1">
      <c r="A819" s="5"/>
      <c r="B819" s="5"/>
      <c r="C819" s="5"/>
      <c r="D819" s="5"/>
    </row>
    <row r="820" ht="15.75" customHeight="1">
      <c r="A820" s="5"/>
      <c r="B820" s="5"/>
      <c r="C820" s="5"/>
      <c r="D820" s="5"/>
    </row>
    <row r="821" ht="15.75" customHeight="1">
      <c r="A821" s="5"/>
      <c r="B821" s="5"/>
      <c r="C821" s="5"/>
      <c r="D821" s="5"/>
    </row>
    <row r="822" ht="15.75" customHeight="1">
      <c r="A822" s="5"/>
      <c r="B822" s="5"/>
      <c r="C822" s="5"/>
      <c r="D822" s="5"/>
    </row>
    <row r="823" ht="15.75" customHeight="1">
      <c r="A823" s="5"/>
      <c r="B823" s="5"/>
      <c r="C823" s="5"/>
      <c r="D823" s="5"/>
    </row>
    <row r="824" ht="15.75" customHeight="1">
      <c r="A824" s="5"/>
      <c r="B824" s="5"/>
      <c r="C824" s="5"/>
      <c r="D824" s="5"/>
    </row>
    <row r="825" ht="15.75" customHeight="1">
      <c r="A825" s="5"/>
      <c r="B825" s="5"/>
      <c r="C825" s="5"/>
      <c r="D825" s="5"/>
    </row>
    <row r="826" ht="15.75" customHeight="1">
      <c r="A826" s="5"/>
      <c r="B826" s="5"/>
      <c r="C826" s="5"/>
      <c r="D826" s="5"/>
    </row>
    <row r="827" ht="15.75" customHeight="1">
      <c r="A827" s="5"/>
      <c r="B827" s="5"/>
      <c r="C827" s="5"/>
      <c r="D827" s="5"/>
    </row>
    <row r="828" ht="15.75" customHeight="1">
      <c r="A828" s="5"/>
      <c r="B828" s="5"/>
      <c r="C828" s="5"/>
      <c r="D828" s="5"/>
    </row>
    <row r="829" ht="15.75" customHeight="1">
      <c r="A829" s="5"/>
      <c r="B829" s="5"/>
      <c r="C829" s="5"/>
      <c r="D829" s="5"/>
    </row>
    <row r="830" ht="15.75" customHeight="1">
      <c r="A830" s="5"/>
      <c r="B830" s="5"/>
      <c r="C830" s="5"/>
      <c r="D830" s="5"/>
    </row>
    <row r="831" ht="15.75" customHeight="1">
      <c r="A831" s="5"/>
      <c r="B831" s="5"/>
      <c r="C831" s="5"/>
      <c r="D831" s="5"/>
    </row>
    <row r="832" ht="15.75" customHeight="1">
      <c r="A832" s="5"/>
      <c r="B832" s="5"/>
      <c r="C832" s="5"/>
      <c r="D832" s="5"/>
    </row>
    <row r="833" ht="15.75" customHeight="1">
      <c r="A833" s="5"/>
      <c r="B833" s="5"/>
      <c r="C833" s="5"/>
      <c r="D833" s="5"/>
    </row>
    <row r="834" ht="15.75" customHeight="1">
      <c r="A834" s="5"/>
      <c r="B834" s="5"/>
      <c r="C834" s="5"/>
      <c r="D834" s="5"/>
    </row>
    <row r="835" ht="15.75" customHeight="1">
      <c r="A835" s="5"/>
      <c r="B835" s="5"/>
      <c r="C835" s="5"/>
      <c r="D835" s="5"/>
    </row>
    <row r="836" ht="15.75" customHeight="1">
      <c r="A836" s="5"/>
      <c r="B836" s="5"/>
      <c r="C836" s="5"/>
      <c r="D836" s="5"/>
    </row>
    <row r="837" ht="15.75" customHeight="1">
      <c r="A837" s="5"/>
      <c r="B837" s="5"/>
      <c r="C837" s="5"/>
      <c r="D837" s="5"/>
    </row>
    <row r="838" ht="15.75" customHeight="1">
      <c r="A838" s="5"/>
      <c r="B838" s="5"/>
      <c r="C838" s="5"/>
      <c r="D838" s="5"/>
    </row>
    <row r="839" ht="15.75" customHeight="1">
      <c r="A839" s="5"/>
      <c r="B839" s="5"/>
      <c r="C839" s="5"/>
      <c r="D839" s="5"/>
    </row>
    <row r="840" ht="15.75" customHeight="1">
      <c r="A840" s="5"/>
      <c r="B840" s="5"/>
      <c r="C840" s="5"/>
      <c r="D840" s="5"/>
    </row>
    <row r="841" ht="15.75" customHeight="1">
      <c r="A841" s="5"/>
      <c r="B841" s="5"/>
      <c r="C841" s="5"/>
      <c r="D841" s="5"/>
    </row>
    <row r="842" ht="15.75" customHeight="1">
      <c r="A842" s="5"/>
      <c r="B842" s="5"/>
      <c r="C842" s="5"/>
      <c r="D842" s="5"/>
    </row>
    <row r="843" ht="15.75" customHeight="1">
      <c r="A843" s="5"/>
      <c r="B843" s="5"/>
      <c r="C843" s="5"/>
      <c r="D843" s="5"/>
    </row>
    <row r="844" ht="15.75" customHeight="1">
      <c r="A844" s="5"/>
      <c r="B844" s="5"/>
      <c r="C844" s="5"/>
      <c r="D844" s="5"/>
    </row>
    <row r="845" ht="15.75" customHeight="1">
      <c r="A845" s="5"/>
      <c r="B845" s="5"/>
      <c r="C845" s="5"/>
      <c r="D845" s="5"/>
    </row>
    <row r="846" ht="15.75" customHeight="1">
      <c r="A846" s="5"/>
      <c r="B846" s="5"/>
      <c r="C846" s="5"/>
      <c r="D846" s="5"/>
    </row>
    <row r="847" ht="15.75" customHeight="1">
      <c r="A847" s="5"/>
      <c r="B847" s="5"/>
      <c r="C847" s="5"/>
      <c r="D847" s="5"/>
    </row>
    <row r="848" ht="15.75" customHeight="1">
      <c r="A848" s="5"/>
      <c r="B848" s="5"/>
      <c r="C848" s="5"/>
      <c r="D848" s="5"/>
    </row>
    <row r="849" ht="15.75" customHeight="1">
      <c r="A849" s="5"/>
      <c r="B849" s="5"/>
      <c r="C849" s="5"/>
      <c r="D849" s="5"/>
    </row>
    <row r="850" ht="15.75" customHeight="1">
      <c r="A850" s="5"/>
      <c r="B850" s="5"/>
      <c r="C850" s="5"/>
      <c r="D850" s="5"/>
    </row>
    <row r="851" ht="15.75" customHeight="1">
      <c r="A851" s="5"/>
      <c r="B851" s="5"/>
      <c r="C851" s="5"/>
      <c r="D851" s="5"/>
    </row>
    <row r="852" ht="15.75" customHeight="1">
      <c r="A852" s="5"/>
      <c r="B852" s="5"/>
      <c r="C852" s="5"/>
      <c r="D852" s="5"/>
    </row>
    <row r="853" ht="15.75" customHeight="1">
      <c r="A853" s="5"/>
      <c r="B853" s="5"/>
      <c r="C853" s="5"/>
      <c r="D853" s="5"/>
    </row>
    <row r="854" ht="15.75" customHeight="1">
      <c r="A854" s="5"/>
      <c r="B854" s="5"/>
      <c r="C854" s="5"/>
      <c r="D854" s="5"/>
    </row>
    <row r="855" ht="15.75" customHeight="1">
      <c r="A855" s="5"/>
      <c r="B855" s="5"/>
      <c r="C855" s="5"/>
      <c r="D855" s="5"/>
    </row>
    <row r="856" ht="15.75" customHeight="1">
      <c r="A856" s="5"/>
      <c r="B856" s="5"/>
      <c r="C856" s="5"/>
      <c r="D856" s="5"/>
    </row>
    <row r="857" ht="15.75" customHeight="1">
      <c r="A857" s="5"/>
      <c r="B857" s="5"/>
      <c r="C857" s="5"/>
      <c r="D857" s="5"/>
    </row>
    <row r="858" ht="15.75" customHeight="1">
      <c r="A858" s="5"/>
      <c r="B858" s="5"/>
      <c r="C858" s="5"/>
      <c r="D858" s="5"/>
    </row>
    <row r="859" ht="15.75" customHeight="1">
      <c r="A859" s="5"/>
      <c r="B859" s="5"/>
      <c r="C859" s="5"/>
      <c r="D859" s="5"/>
    </row>
    <row r="860" ht="15.75" customHeight="1">
      <c r="A860" s="5"/>
      <c r="B860" s="5"/>
      <c r="C860" s="5"/>
      <c r="D860" s="5"/>
    </row>
    <row r="861" ht="15.75" customHeight="1">
      <c r="A861" s="5"/>
      <c r="B861" s="5"/>
      <c r="C861" s="5"/>
      <c r="D861" s="5"/>
    </row>
    <row r="862" ht="15.75" customHeight="1">
      <c r="A862" s="5"/>
      <c r="B862" s="5"/>
      <c r="C862" s="5"/>
      <c r="D862" s="5"/>
    </row>
    <row r="863" ht="15.75" customHeight="1">
      <c r="A863" s="5"/>
      <c r="B863" s="5"/>
      <c r="C863" s="5"/>
      <c r="D863" s="5"/>
    </row>
    <row r="864" ht="15.75" customHeight="1">
      <c r="A864" s="5"/>
      <c r="B864" s="5"/>
      <c r="C864" s="5"/>
      <c r="D864" s="5"/>
    </row>
    <row r="865" ht="15.75" customHeight="1">
      <c r="A865" s="5"/>
      <c r="B865" s="5"/>
      <c r="C865" s="5"/>
      <c r="D865" s="5"/>
    </row>
    <row r="866" ht="15.75" customHeight="1">
      <c r="A866" s="5"/>
      <c r="B866" s="5"/>
      <c r="C866" s="5"/>
      <c r="D866" s="5"/>
    </row>
    <row r="867" ht="15.75" customHeight="1">
      <c r="A867" s="5"/>
      <c r="B867" s="5"/>
      <c r="C867" s="5"/>
      <c r="D867" s="5"/>
    </row>
    <row r="868" ht="15.75" customHeight="1">
      <c r="A868" s="5"/>
      <c r="B868" s="5"/>
      <c r="C868" s="5"/>
      <c r="D868" s="5"/>
    </row>
    <row r="869" ht="15.75" customHeight="1">
      <c r="A869" s="5"/>
      <c r="B869" s="5"/>
      <c r="C869" s="5"/>
      <c r="D869" s="5"/>
    </row>
    <row r="870" ht="15.75" customHeight="1">
      <c r="A870" s="5"/>
      <c r="B870" s="5"/>
      <c r="C870" s="5"/>
      <c r="D870" s="5"/>
    </row>
    <row r="871" ht="15.75" customHeight="1">
      <c r="A871" s="5"/>
      <c r="B871" s="5"/>
      <c r="C871" s="5"/>
      <c r="D871" s="5"/>
    </row>
    <row r="872" ht="15.75" customHeight="1">
      <c r="A872" s="5"/>
      <c r="B872" s="5"/>
      <c r="C872" s="5"/>
      <c r="D872" s="5"/>
    </row>
    <row r="873" ht="15.75" customHeight="1">
      <c r="A873" s="5"/>
      <c r="B873" s="5"/>
      <c r="C873" s="5"/>
      <c r="D873" s="5"/>
    </row>
    <row r="874" ht="15.75" customHeight="1">
      <c r="A874" s="5"/>
      <c r="B874" s="5"/>
      <c r="C874" s="5"/>
      <c r="D874" s="5"/>
    </row>
    <row r="875" ht="15.75" customHeight="1">
      <c r="A875" s="5"/>
      <c r="B875" s="5"/>
      <c r="C875" s="5"/>
      <c r="D875" s="5"/>
    </row>
    <row r="876" ht="15.75" customHeight="1">
      <c r="A876" s="5"/>
      <c r="B876" s="5"/>
      <c r="C876" s="5"/>
      <c r="D876" s="5"/>
    </row>
    <row r="877" ht="15.75" customHeight="1">
      <c r="A877" s="5"/>
      <c r="B877" s="5"/>
      <c r="C877" s="5"/>
      <c r="D877" s="5"/>
    </row>
    <row r="878" ht="15.75" customHeight="1">
      <c r="A878" s="5"/>
      <c r="B878" s="5"/>
      <c r="C878" s="5"/>
      <c r="D878" s="5"/>
    </row>
    <row r="879" ht="15.75" customHeight="1">
      <c r="A879" s="5"/>
      <c r="B879" s="5"/>
      <c r="C879" s="5"/>
      <c r="D879" s="5"/>
    </row>
    <row r="880" ht="15.75" customHeight="1">
      <c r="A880" s="5"/>
      <c r="B880" s="5"/>
      <c r="C880" s="5"/>
      <c r="D880" s="5"/>
    </row>
    <row r="881" ht="15.75" customHeight="1">
      <c r="A881" s="5"/>
      <c r="B881" s="5"/>
      <c r="C881" s="5"/>
      <c r="D881" s="5"/>
    </row>
    <row r="882" ht="15.75" customHeight="1">
      <c r="A882" s="5"/>
      <c r="B882" s="5"/>
      <c r="C882" s="5"/>
      <c r="D882" s="5"/>
    </row>
    <row r="883" ht="15.75" customHeight="1">
      <c r="A883" s="5"/>
      <c r="B883" s="5"/>
      <c r="C883" s="5"/>
      <c r="D883" s="5"/>
    </row>
    <row r="884" ht="15.75" customHeight="1">
      <c r="A884" s="5"/>
      <c r="B884" s="5"/>
      <c r="C884" s="5"/>
      <c r="D884" s="5"/>
    </row>
    <row r="885" ht="15.75" customHeight="1">
      <c r="A885" s="5"/>
      <c r="B885" s="5"/>
      <c r="C885" s="5"/>
      <c r="D885" s="5"/>
    </row>
    <row r="886" ht="15.75" customHeight="1">
      <c r="A886" s="5"/>
      <c r="B886" s="5"/>
      <c r="C886" s="5"/>
      <c r="D886" s="5"/>
    </row>
    <row r="887" ht="15.75" customHeight="1">
      <c r="A887" s="5"/>
      <c r="B887" s="5"/>
      <c r="C887" s="5"/>
      <c r="D887" s="5"/>
    </row>
    <row r="888" ht="15.75" customHeight="1">
      <c r="A888" s="5"/>
      <c r="B888" s="5"/>
      <c r="C888" s="5"/>
      <c r="D888" s="5"/>
    </row>
    <row r="889" ht="15.75" customHeight="1">
      <c r="A889" s="5"/>
      <c r="B889" s="5"/>
      <c r="C889" s="5"/>
      <c r="D889" s="5"/>
    </row>
    <row r="890" ht="15.75" customHeight="1">
      <c r="A890" s="5"/>
      <c r="B890" s="5"/>
      <c r="C890" s="5"/>
      <c r="D890" s="5"/>
    </row>
    <row r="891" ht="15.75" customHeight="1">
      <c r="A891" s="5"/>
      <c r="B891" s="5"/>
      <c r="C891" s="5"/>
      <c r="D891" s="5"/>
    </row>
    <row r="892" ht="15.75" customHeight="1">
      <c r="A892" s="5"/>
      <c r="B892" s="5"/>
      <c r="C892" s="5"/>
      <c r="D892" s="5"/>
    </row>
    <row r="893" ht="15.75" customHeight="1">
      <c r="A893" s="5"/>
      <c r="B893" s="5"/>
      <c r="C893" s="5"/>
      <c r="D893" s="5"/>
    </row>
    <row r="894" ht="15.75" customHeight="1">
      <c r="A894" s="5"/>
      <c r="B894" s="5"/>
      <c r="C894" s="5"/>
      <c r="D894" s="5"/>
    </row>
    <row r="895" ht="15.75" customHeight="1">
      <c r="A895" s="5"/>
      <c r="B895" s="5"/>
      <c r="C895" s="5"/>
      <c r="D895" s="5"/>
    </row>
    <row r="896" ht="15.75" customHeight="1">
      <c r="A896" s="5"/>
      <c r="B896" s="5"/>
      <c r="C896" s="5"/>
      <c r="D896" s="5"/>
    </row>
    <row r="897" ht="15.75" customHeight="1">
      <c r="A897" s="5"/>
      <c r="B897" s="5"/>
      <c r="C897" s="5"/>
      <c r="D897" s="5"/>
    </row>
    <row r="898" ht="15.75" customHeight="1">
      <c r="A898" s="5"/>
      <c r="B898" s="5"/>
      <c r="C898" s="5"/>
      <c r="D898" s="5"/>
    </row>
    <row r="899" ht="15.75" customHeight="1">
      <c r="A899" s="5"/>
      <c r="B899" s="5"/>
      <c r="C899" s="5"/>
      <c r="D899" s="5"/>
    </row>
    <row r="900" ht="15.75" customHeight="1">
      <c r="A900" s="5"/>
      <c r="B900" s="5"/>
      <c r="C900" s="5"/>
      <c r="D900" s="5"/>
    </row>
    <row r="901" ht="15.75" customHeight="1">
      <c r="A901" s="5"/>
      <c r="B901" s="5"/>
      <c r="C901" s="5"/>
      <c r="D901" s="5"/>
    </row>
    <row r="902" ht="15.75" customHeight="1">
      <c r="A902" s="5"/>
      <c r="B902" s="5"/>
      <c r="C902" s="5"/>
      <c r="D902" s="5"/>
    </row>
    <row r="903" ht="15.75" customHeight="1">
      <c r="A903" s="5"/>
      <c r="B903" s="5"/>
      <c r="C903" s="5"/>
      <c r="D903" s="5"/>
    </row>
    <row r="904" ht="15.75" customHeight="1">
      <c r="A904" s="5"/>
      <c r="B904" s="5"/>
      <c r="C904" s="5"/>
      <c r="D904" s="5"/>
    </row>
    <row r="905" ht="15.75" customHeight="1">
      <c r="A905" s="5"/>
      <c r="B905" s="5"/>
      <c r="C905" s="5"/>
      <c r="D905" s="5"/>
    </row>
    <row r="906" ht="15.75" customHeight="1">
      <c r="A906" s="5"/>
      <c r="B906" s="5"/>
      <c r="C906" s="5"/>
      <c r="D906" s="5"/>
    </row>
    <row r="907" ht="15.75" customHeight="1">
      <c r="A907" s="5"/>
      <c r="B907" s="5"/>
      <c r="C907" s="5"/>
      <c r="D907" s="5"/>
    </row>
    <row r="908" ht="15.75" customHeight="1">
      <c r="A908" s="5"/>
      <c r="B908" s="5"/>
      <c r="C908" s="5"/>
      <c r="D908" s="5"/>
    </row>
    <row r="909" ht="15.75" customHeight="1">
      <c r="A909" s="5"/>
      <c r="B909" s="5"/>
      <c r="C909" s="5"/>
      <c r="D909" s="5"/>
    </row>
    <row r="910" ht="15.75" customHeight="1">
      <c r="A910" s="5"/>
      <c r="B910" s="5"/>
      <c r="C910" s="5"/>
      <c r="D910" s="5"/>
    </row>
    <row r="911" ht="15.75" customHeight="1">
      <c r="A911" s="5"/>
      <c r="B911" s="5"/>
      <c r="C911" s="5"/>
      <c r="D911" s="5"/>
    </row>
    <row r="912" ht="15.75" customHeight="1">
      <c r="A912" s="5"/>
      <c r="B912" s="5"/>
      <c r="C912" s="5"/>
      <c r="D912" s="5"/>
    </row>
    <row r="913" ht="15.75" customHeight="1">
      <c r="A913" s="5"/>
      <c r="B913" s="5"/>
      <c r="C913" s="5"/>
      <c r="D913" s="5"/>
    </row>
    <row r="914" ht="15.75" customHeight="1">
      <c r="A914" s="5"/>
      <c r="B914" s="5"/>
      <c r="C914" s="5"/>
      <c r="D914" s="5"/>
    </row>
    <row r="915" ht="15.75" customHeight="1">
      <c r="A915" s="5"/>
      <c r="B915" s="5"/>
      <c r="C915" s="5"/>
      <c r="D915" s="5"/>
    </row>
    <row r="916" ht="15.75" customHeight="1">
      <c r="A916" s="5"/>
      <c r="B916" s="5"/>
      <c r="C916" s="5"/>
      <c r="D916" s="5"/>
    </row>
    <row r="917" ht="15.75" customHeight="1">
      <c r="A917" s="5"/>
      <c r="B917" s="5"/>
      <c r="C917" s="5"/>
      <c r="D917" s="5"/>
    </row>
    <row r="918" ht="15.75" customHeight="1">
      <c r="A918" s="5"/>
      <c r="B918" s="5"/>
      <c r="C918" s="5"/>
      <c r="D918" s="5"/>
    </row>
    <row r="919" ht="15.75" customHeight="1">
      <c r="A919" s="5"/>
      <c r="B919" s="5"/>
      <c r="C919" s="5"/>
      <c r="D919" s="5"/>
    </row>
    <row r="920" ht="15.75" customHeight="1">
      <c r="A920" s="5"/>
      <c r="B920" s="5"/>
      <c r="C920" s="5"/>
      <c r="D920" s="5"/>
    </row>
    <row r="921" ht="15.75" customHeight="1">
      <c r="A921" s="5"/>
      <c r="B921" s="5"/>
      <c r="C921" s="5"/>
      <c r="D921" s="5"/>
    </row>
    <row r="922" ht="15.75" customHeight="1">
      <c r="A922" s="5"/>
      <c r="B922" s="5"/>
      <c r="C922" s="5"/>
      <c r="D922" s="5"/>
    </row>
    <row r="923" ht="15.75" customHeight="1">
      <c r="A923" s="5"/>
      <c r="B923" s="5"/>
      <c r="C923" s="5"/>
      <c r="D923" s="5"/>
    </row>
    <row r="924" ht="15.75" customHeight="1">
      <c r="A924" s="5"/>
      <c r="B924" s="5"/>
      <c r="C924" s="5"/>
      <c r="D924" s="5"/>
    </row>
    <row r="925" ht="15.75" customHeight="1">
      <c r="A925" s="5"/>
      <c r="B925" s="5"/>
      <c r="C925" s="5"/>
      <c r="D925" s="5"/>
    </row>
    <row r="926" ht="15.75" customHeight="1">
      <c r="A926" s="5"/>
      <c r="B926" s="5"/>
      <c r="C926" s="5"/>
      <c r="D926" s="5"/>
    </row>
    <row r="927" ht="15.75" customHeight="1">
      <c r="A927" s="5"/>
      <c r="B927" s="5"/>
      <c r="C927" s="5"/>
      <c r="D927" s="5"/>
    </row>
    <row r="928" ht="15.75" customHeight="1">
      <c r="A928" s="5"/>
      <c r="B928" s="5"/>
      <c r="C928" s="5"/>
      <c r="D928" s="5"/>
    </row>
    <row r="929" ht="15.75" customHeight="1">
      <c r="A929" s="5"/>
      <c r="B929" s="5"/>
      <c r="C929" s="5"/>
      <c r="D929" s="5"/>
    </row>
    <row r="930" ht="15.75" customHeight="1">
      <c r="A930" s="5"/>
      <c r="B930" s="5"/>
      <c r="C930" s="5"/>
      <c r="D930" s="5"/>
    </row>
    <row r="931" ht="15.75" customHeight="1">
      <c r="A931" s="5"/>
      <c r="B931" s="5"/>
      <c r="C931" s="5"/>
      <c r="D931" s="5"/>
    </row>
    <row r="932" ht="15.75" customHeight="1">
      <c r="A932" s="5"/>
      <c r="B932" s="5"/>
      <c r="C932" s="5"/>
      <c r="D932" s="5"/>
    </row>
    <row r="933" ht="15.75" customHeight="1">
      <c r="A933" s="5"/>
      <c r="B933" s="5"/>
      <c r="C933" s="5"/>
      <c r="D933" s="5"/>
    </row>
    <row r="934" ht="15.75" customHeight="1">
      <c r="A934" s="5"/>
      <c r="B934" s="5"/>
      <c r="C934" s="5"/>
      <c r="D934" s="5"/>
    </row>
    <row r="935" ht="15.75" customHeight="1">
      <c r="A935" s="5"/>
      <c r="B935" s="5"/>
      <c r="C935" s="5"/>
      <c r="D935" s="5"/>
    </row>
    <row r="936" ht="15.75" customHeight="1">
      <c r="A936" s="5"/>
      <c r="B936" s="5"/>
      <c r="C936" s="5"/>
      <c r="D936" s="5"/>
    </row>
    <row r="937" ht="15.75" customHeight="1">
      <c r="A937" s="5"/>
      <c r="B937" s="5"/>
      <c r="C937" s="5"/>
      <c r="D937" s="5"/>
    </row>
    <row r="938" ht="15.75" customHeight="1">
      <c r="A938" s="5"/>
      <c r="B938" s="5"/>
      <c r="C938" s="5"/>
      <c r="D938" s="5"/>
    </row>
    <row r="939" ht="15.75" customHeight="1">
      <c r="A939" s="5"/>
      <c r="B939" s="5"/>
      <c r="C939" s="5"/>
      <c r="D939" s="5"/>
    </row>
    <row r="940" ht="15.75" customHeight="1">
      <c r="A940" s="5"/>
      <c r="B940" s="5"/>
      <c r="C940" s="5"/>
      <c r="D940" s="5"/>
    </row>
    <row r="941" ht="15.75" customHeight="1">
      <c r="A941" s="5"/>
      <c r="B941" s="5"/>
      <c r="C941" s="5"/>
      <c r="D941" s="5"/>
    </row>
    <row r="942" ht="15.75" customHeight="1">
      <c r="A942" s="5"/>
      <c r="B942" s="5"/>
      <c r="C942" s="5"/>
      <c r="D942" s="5"/>
    </row>
    <row r="943" ht="15.75" customHeight="1">
      <c r="A943" s="5"/>
      <c r="B943" s="5"/>
      <c r="C943" s="5"/>
      <c r="D943" s="5"/>
    </row>
    <row r="944" ht="15.75" customHeight="1">
      <c r="A944" s="5"/>
      <c r="B944" s="5"/>
      <c r="C944" s="5"/>
      <c r="D944" s="5"/>
    </row>
    <row r="945" ht="15.75" customHeight="1">
      <c r="A945" s="5"/>
      <c r="B945" s="5"/>
      <c r="C945" s="5"/>
      <c r="D945" s="5"/>
    </row>
    <row r="946" ht="15.75" customHeight="1">
      <c r="A946" s="5"/>
      <c r="B946" s="5"/>
      <c r="C946" s="5"/>
      <c r="D946" s="5"/>
    </row>
    <row r="947" ht="15.75" customHeight="1">
      <c r="A947" s="5"/>
      <c r="B947" s="5"/>
      <c r="C947" s="5"/>
      <c r="D947" s="5"/>
    </row>
    <row r="948" ht="15.75" customHeight="1">
      <c r="A948" s="5"/>
      <c r="B948" s="5"/>
      <c r="C948" s="5"/>
      <c r="D948" s="5"/>
    </row>
    <row r="949" ht="15.75" customHeight="1">
      <c r="A949" s="5"/>
      <c r="B949" s="5"/>
      <c r="C949" s="5"/>
      <c r="D949" s="5"/>
    </row>
    <row r="950" ht="15.75" customHeight="1">
      <c r="A950" s="5"/>
      <c r="B950" s="5"/>
      <c r="C950" s="5"/>
      <c r="D950" s="5"/>
    </row>
    <row r="951" ht="15.75" customHeight="1">
      <c r="A951" s="5"/>
      <c r="B951" s="5"/>
      <c r="C951" s="5"/>
      <c r="D951" s="5"/>
    </row>
    <row r="952" ht="15.75" customHeight="1">
      <c r="A952" s="5"/>
      <c r="B952" s="5"/>
      <c r="C952" s="5"/>
      <c r="D952" s="5"/>
    </row>
    <row r="953" ht="15.75" customHeight="1">
      <c r="A953" s="5"/>
      <c r="B953" s="5"/>
      <c r="C953" s="5"/>
      <c r="D953" s="5"/>
    </row>
    <row r="954" ht="15.75" customHeight="1">
      <c r="A954" s="5"/>
      <c r="B954" s="5"/>
      <c r="C954" s="5"/>
      <c r="D954" s="5"/>
    </row>
    <row r="955" ht="15.75" customHeight="1">
      <c r="A955" s="5"/>
      <c r="B955" s="5"/>
      <c r="C955" s="5"/>
      <c r="D955" s="5"/>
    </row>
    <row r="956" ht="15.75" customHeight="1">
      <c r="A956" s="5"/>
      <c r="B956" s="5"/>
      <c r="C956" s="5"/>
      <c r="D956" s="5"/>
    </row>
    <row r="957" ht="15.75" customHeight="1">
      <c r="A957" s="5"/>
      <c r="B957" s="5"/>
      <c r="C957" s="5"/>
      <c r="D957" s="5"/>
    </row>
    <row r="958" ht="15.75" customHeight="1">
      <c r="A958" s="5"/>
      <c r="B958" s="5"/>
      <c r="C958" s="5"/>
      <c r="D958" s="5"/>
    </row>
    <row r="959" ht="15.75" customHeight="1">
      <c r="A959" s="5"/>
      <c r="B959" s="5"/>
      <c r="C959" s="5"/>
      <c r="D959" s="5"/>
    </row>
    <row r="960" ht="15.75" customHeight="1">
      <c r="A960" s="5"/>
      <c r="B960" s="5"/>
      <c r="C960" s="5"/>
      <c r="D960" s="5"/>
    </row>
    <row r="961" ht="15.75" customHeight="1">
      <c r="A961" s="5"/>
      <c r="B961" s="5"/>
      <c r="C961" s="5"/>
      <c r="D961" s="5"/>
    </row>
    <row r="962" ht="15.75" customHeight="1">
      <c r="A962" s="5"/>
      <c r="B962" s="5"/>
      <c r="C962" s="5"/>
      <c r="D962" s="5"/>
    </row>
    <row r="963" ht="15.75" customHeight="1">
      <c r="A963" s="5"/>
      <c r="B963" s="5"/>
      <c r="C963" s="5"/>
      <c r="D963" s="5"/>
    </row>
    <row r="964" ht="15.75" customHeight="1">
      <c r="A964" s="5"/>
      <c r="B964" s="5"/>
      <c r="C964" s="5"/>
      <c r="D964" s="5"/>
    </row>
    <row r="965" ht="15.75" customHeight="1">
      <c r="A965" s="5"/>
      <c r="B965" s="5"/>
      <c r="C965" s="5"/>
      <c r="D965" s="5"/>
    </row>
    <row r="966" ht="15.75" customHeight="1">
      <c r="A966" s="5"/>
      <c r="B966" s="5"/>
      <c r="C966" s="5"/>
      <c r="D966" s="5"/>
    </row>
    <row r="967" ht="15.75" customHeight="1">
      <c r="A967" s="5"/>
      <c r="B967" s="5"/>
      <c r="C967" s="5"/>
      <c r="D967" s="5"/>
    </row>
    <row r="968" ht="15.75" customHeight="1">
      <c r="A968" s="5"/>
      <c r="B968" s="5"/>
      <c r="C968" s="5"/>
      <c r="D968" s="5"/>
    </row>
    <row r="969" ht="15.75" customHeight="1">
      <c r="A969" s="5"/>
      <c r="B969" s="5"/>
      <c r="C969" s="5"/>
      <c r="D969" s="5"/>
    </row>
    <row r="970" ht="15.75" customHeight="1">
      <c r="A970" s="5"/>
      <c r="B970" s="5"/>
      <c r="C970" s="5"/>
      <c r="D970" s="5"/>
    </row>
    <row r="971" ht="15.75" customHeight="1">
      <c r="A971" s="5"/>
      <c r="B971" s="5"/>
      <c r="C971" s="5"/>
      <c r="D971" s="5"/>
    </row>
    <row r="972" ht="15.75" customHeight="1">
      <c r="A972" s="5"/>
      <c r="B972" s="5"/>
      <c r="C972" s="5"/>
      <c r="D972" s="5"/>
    </row>
    <row r="973" ht="15.75" customHeight="1">
      <c r="A973" s="5"/>
      <c r="B973" s="5"/>
      <c r="C973" s="5"/>
      <c r="D973" s="5"/>
    </row>
    <row r="974" ht="15.75" customHeight="1">
      <c r="A974" s="5"/>
      <c r="B974" s="5"/>
      <c r="C974" s="5"/>
      <c r="D974" s="5"/>
    </row>
    <row r="975" ht="15.75" customHeight="1">
      <c r="A975" s="5"/>
      <c r="B975" s="5"/>
      <c r="C975" s="5"/>
      <c r="D975" s="5"/>
    </row>
    <row r="976" ht="15.75" customHeight="1">
      <c r="A976" s="5"/>
      <c r="B976" s="5"/>
      <c r="C976" s="5"/>
      <c r="D976" s="5"/>
    </row>
    <row r="977" ht="15.75" customHeight="1">
      <c r="A977" s="5"/>
      <c r="B977" s="5"/>
      <c r="C977" s="5"/>
      <c r="D977" s="5"/>
    </row>
    <row r="978" ht="15.75" customHeight="1">
      <c r="A978" s="5"/>
      <c r="B978" s="5"/>
      <c r="C978" s="5"/>
      <c r="D978" s="5"/>
    </row>
    <row r="979" ht="15.75" customHeight="1">
      <c r="A979" s="5"/>
      <c r="B979" s="5"/>
      <c r="C979" s="5"/>
      <c r="D979" s="5"/>
    </row>
    <row r="980" ht="15.75" customHeight="1">
      <c r="A980" s="5"/>
      <c r="B980" s="5"/>
      <c r="C980" s="5"/>
      <c r="D980" s="5"/>
    </row>
    <row r="981" ht="15.75" customHeight="1">
      <c r="A981" s="5"/>
      <c r="B981" s="5"/>
      <c r="C981" s="5"/>
      <c r="D981" s="5"/>
    </row>
    <row r="982" ht="15.75" customHeight="1">
      <c r="A982" s="5"/>
      <c r="B982" s="5"/>
      <c r="C982" s="5"/>
      <c r="D982" s="5"/>
    </row>
    <row r="983" ht="15.75" customHeight="1">
      <c r="A983" s="5"/>
      <c r="B983" s="5"/>
      <c r="C983" s="5"/>
      <c r="D983" s="5"/>
    </row>
    <row r="984" ht="15.75" customHeight="1">
      <c r="A984" s="5"/>
      <c r="B984" s="5"/>
      <c r="C984" s="5"/>
      <c r="D984" s="5"/>
    </row>
    <row r="985" ht="15.75" customHeight="1">
      <c r="A985" s="5"/>
      <c r="B985" s="5"/>
      <c r="C985" s="5"/>
      <c r="D985" s="5"/>
    </row>
    <row r="986" ht="15.75" customHeight="1">
      <c r="A986" s="5"/>
      <c r="B986" s="5"/>
      <c r="C986" s="5"/>
      <c r="D986" s="5"/>
    </row>
    <row r="987" ht="15.75" customHeight="1">
      <c r="A987" s="5"/>
      <c r="B987" s="5"/>
      <c r="C987" s="5"/>
      <c r="D987" s="5"/>
    </row>
    <row r="988" ht="15.75" customHeight="1">
      <c r="A988" s="5"/>
      <c r="B988" s="5"/>
      <c r="C988" s="5"/>
      <c r="D988" s="5"/>
    </row>
    <row r="989" ht="15.75" customHeight="1">
      <c r="A989" s="5"/>
      <c r="B989" s="5"/>
      <c r="C989" s="5"/>
      <c r="D989" s="5"/>
    </row>
    <row r="990" ht="15.75" customHeight="1">
      <c r="A990" s="5"/>
      <c r="B990" s="5"/>
      <c r="C990" s="5"/>
      <c r="D990" s="5"/>
    </row>
    <row r="991" ht="15.75" customHeight="1">
      <c r="A991" s="5"/>
      <c r="B991" s="5"/>
      <c r="C991" s="5"/>
      <c r="D991" s="5"/>
    </row>
    <row r="992" ht="15.75" customHeight="1">
      <c r="A992" s="5"/>
      <c r="B992" s="5"/>
      <c r="C992" s="5"/>
      <c r="D992" s="5"/>
    </row>
    <row r="993" ht="15.75" customHeight="1">
      <c r="A993" s="5"/>
      <c r="B993" s="5"/>
      <c r="C993" s="5"/>
      <c r="D993" s="5"/>
    </row>
    <row r="994" ht="15.75" customHeight="1">
      <c r="A994" s="5"/>
      <c r="B994" s="5"/>
      <c r="C994" s="5"/>
      <c r="D994" s="5"/>
    </row>
    <row r="995" ht="15.75" customHeight="1">
      <c r="A995" s="5"/>
      <c r="B995" s="5"/>
      <c r="C995" s="5"/>
      <c r="D995" s="5"/>
    </row>
    <row r="996" ht="15.75" customHeight="1">
      <c r="A996" s="5"/>
      <c r="B996" s="5"/>
      <c r="C996" s="5"/>
      <c r="D996" s="5"/>
    </row>
    <row r="997" ht="15.75" customHeight="1">
      <c r="A997" s="5"/>
      <c r="B997" s="5"/>
      <c r="C997" s="5"/>
      <c r="D997" s="5"/>
    </row>
    <row r="998" ht="15.75" customHeight="1">
      <c r="A998" s="5"/>
      <c r="B998" s="5"/>
      <c r="C998" s="5"/>
      <c r="D998" s="5"/>
    </row>
    <row r="999" ht="15.75" customHeight="1">
      <c r="A999" s="5"/>
      <c r="B999" s="5"/>
      <c r="C999" s="5"/>
      <c r="D999" s="5"/>
    </row>
    <row r="1000" ht="15.75" customHeight="1">
      <c r="A1000" s="5"/>
      <c r="B1000" s="5"/>
      <c r="C1000" s="5"/>
      <c r="D1000" s="5"/>
    </row>
  </sheetData>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5"/>
    <col customWidth="1" min="2" max="2" width="10.38"/>
    <col customWidth="1" min="3" max="3" width="12.63"/>
    <col customWidth="1" min="4" max="4" width="20.88"/>
    <col customWidth="1" min="5" max="6" width="12.63"/>
  </cols>
  <sheetData>
    <row r="1" ht="15.75" customHeight="1">
      <c r="A1" s="32" t="s">
        <v>813</v>
      </c>
      <c r="B1" s="33" t="s">
        <v>633</v>
      </c>
      <c r="C1" s="32" t="s">
        <v>634</v>
      </c>
      <c r="D1" s="32" t="s">
        <v>635</v>
      </c>
      <c r="E1" s="36"/>
      <c r="F1" s="36"/>
      <c r="G1" s="36"/>
      <c r="H1" s="36"/>
      <c r="I1" s="36"/>
      <c r="J1" s="36"/>
      <c r="K1" s="36"/>
      <c r="L1" s="36"/>
      <c r="M1" s="36"/>
      <c r="N1" s="36"/>
      <c r="O1" s="36"/>
      <c r="P1" s="36"/>
      <c r="Q1" s="36"/>
      <c r="R1" s="36"/>
      <c r="S1" s="36"/>
      <c r="T1" s="36"/>
      <c r="U1" s="36"/>
      <c r="V1" s="36"/>
      <c r="W1" s="36"/>
      <c r="X1" s="36"/>
      <c r="Y1" s="36"/>
      <c r="Z1" s="36"/>
    </row>
    <row r="2" ht="15.75" customHeight="1">
      <c r="A2" s="36" t="s">
        <v>244</v>
      </c>
      <c r="B2" s="37" t="s">
        <v>241</v>
      </c>
      <c r="C2" s="36" t="s">
        <v>766</v>
      </c>
      <c r="D2" s="36" t="s">
        <v>868</v>
      </c>
      <c r="E2" s="36"/>
      <c r="F2" s="36"/>
      <c r="G2" s="36"/>
      <c r="H2" s="36"/>
      <c r="I2" s="36"/>
      <c r="J2" s="36"/>
      <c r="K2" s="36"/>
      <c r="L2" s="36"/>
      <c r="M2" s="36"/>
      <c r="N2" s="36"/>
      <c r="O2" s="36"/>
      <c r="P2" s="36"/>
      <c r="Q2" s="36"/>
      <c r="R2" s="36"/>
      <c r="S2" s="36"/>
      <c r="T2" s="36"/>
      <c r="U2" s="36"/>
      <c r="V2" s="36"/>
      <c r="W2" s="36"/>
      <c r="X2" s="36"/>
      <c r="Y2" s="36"/>
      <c r="Z2" s="36"/>
    </row>
    <row r="3" ht="15.75" customHeight="1">
      <c r="A3" s="36" t="s">
        <v>247</v>
      </c>
      <c r="B3" s="37" t="s">
        <v>245</v>
      </c>
      <c r="C3" s="36" t="s">
        <v>766</v>
      </c>
      <c r="D3" s="36" t="s">
        <v>868</v>
      </c>
      <c r="E3" s="36"/>
      <c r="F3" s="36"/>
      <c r="G3" s="36"/>
      <c r="H3" s="36"/>
      <c r="I3" s="36"/>
      <c r="J3" s="36"/>
      <c r="K3" s="36"/>
      <c r="L3" s="36"/>
      <c r="M3" s="36"/>
      <c r="N3" s="36"/>
      <c r="O3" s="36"/>
      <c r="P3" s="36"/>
      <c r="Q3" s="36"/>
      <c r="R3" s="36"/>
      <c r="S3" s="36"/>
      <c r="T3" s="36"/>
      <c r="U3" s="36"/>
      <c r="V3" s="36"/>
      <c r="W3" s="36"/>
      <c r="X3" s="36"/>
      <c r="Y3" s="36"/>
      <c r="Z3" s="36"/>
    </row>
    <row r="4" ht="15.75" customHeight="1">
      <c r="A4" s="36" t="s">
        <v>244</v>
      </c>
      <c r="B4" s="37" t="s">
        <v>241</v>
      </c>
      <c r="C4" s="36" t="s">
        <v>768</v>
      </c>
      <c r="D4" s="36" t="s">
        <v>869</v>
      </c>
      <c r="E4" s="36"/>
      <c r="F4" s="36"/>
      <c r="G4" s="36"/>
      <c r="H4" s="36"/>
      <c r="I4" s="36"/>
      <c r="J4" s="36"/>
      <c r="K4" s="36"/>
      <c r="L4" s="36"/>
      <c r="M4" s="36"/>
      <c r="N4" s="36"/>
      <c r="O4" s="36"/>
      <c r="P4" s="36"/>
      <c r="Q4" s="36"/>
      <c r="R4" s="36"/>
      <c r="S4" s="36"/>
      <c r="T4" s="36"/>
      <c r="U4" s="36"/>
      <c r="V4" s="36"/>
      <c r="W4" s="36"/>
      <c r="X4" s="36"/>
      <c r="Y4" s="36"/>
      <c r="Z4" s="36"/>
    </row>
    <row r="5" ht="15.75" customHeight="1">
      <c r="A5" s="36" t="s">
        <v>247</v>
      </c>
      <c r="B5" s="37" t="s">
        <v>245</v>
      </c>
      <c r="C5" s="36" t="s">
        <v>768</v>
      </c>
      <c r="D5" s="36" t="s">
        <v>869</v>
      </c>
      <c r="E5" s="36"/>
      <c r="F5" s="36"/>
      <c r="G5" s="36"/>
      <c r="H5" s="36"/>
      <c r="I5" s="36"/>
      <c r="J5" s="36"/>
      <c r="K5" s="36"/>
      <c r="L5" s="36"/>
      <c r="M5" s="36"/>
      <c r="N5" s="36"/>
      <c r="O5" s="36"/>
      <c r="P5" s="36"/>
      <c r="Q5" s="36"/>
      <c r="R5" s="36"/>
      <c r="S5" s="36"/>
      <c r="T5" s="36"/>
      <c r="U5" s="36"/>
      <c r="V5" s="36"/>
      <c r="W5" s="36"/>
      <c r="X5" s="36"/>
      <c r="Y5" s="36"/>
      <c r="Z5" s="36"/>
    </row>
    <row r="6" ht="15.75" customHeight="1">
      <c r="A6" s="36" t="s">
        <v>244</v>
      </c>
      <c r="B6" s="37" t="s">
        <v>241</v>
      </c>
      <c r="C6" s="36" t="s">
        <v>758</v>
      </c>
      <c r="D6" s="36" t="s">
        <v>870</v>
      </c>
      <c r="E6" s="36"/>
      <c r="F6" s="36"/>
      <c r="G6" s="36"/>
      <c r="H6" s="36"/>
      <c r="I6" s="36"/>
      <c r="J6" s="36"/>
      <c r="K6" s="36"/>
      <c r="L6" s="36"/>
      <c r="M6" s="36"/>
      <c r="N6" s="36"/>
      <c r="O6" s="36"/>
      <c r="P6" s="36"/>
      <c r="Q6" s="36"/>
      <c r="R6" s="36"/>
      <c r="S6" s="36"/>
      <c r="T6" s="36"/>
      <c r="U6" s="36"/>
      <c r="V6" s="36"/>
      <c r="W6" s="36"/>
      <c r="X6" s="36"/>
      <c r="Y6" s="36"/>
      <c r="Z6" s="36"/>
    </row>
    <row r="7" ht="15.75" customHeight="1">
      <c r="A7" s="36" t="s">
        <v>247</v>
      </c>
      <c r="B7" s="37" t="s">
        <v>245</v>
      </c>
      <c r="C7" s="36" t="s">
        <v>758</v>
      </c>
      <c r="D7" s="36" t="s">
        <v>870</v>
      </c>
      <c r="E7" s="36"/>
      <c r="F7" s="36"/>
      <c r="G7" s="36"/>
      <c r="H7" s="36"/>
      <c r="I7" s="36"/>
      <c r="J7" s="36"/>
      <c r="K7" s="36"/>
      <c r="L7" s="36"/>
      <c r="M7" s="36"/>
      <c r="N7" s="36"/>
      <c r="O7" s="36"/>
      <c r="P7" s="36"/>
      <c r="Q7" s="36"/>
      <c r="R7" s="36"/>
      <c r="S7" s="36"/>
      <c r="T7" s="36"/>
      <c r="U7" s="36"/>
      <c r="V7" s="36"/>
      <c r="W7" s="36"/>
      <c r="X7" s="36"/>
      <c r="Y7" s="36"/>
      <c r="Z7" s="36"/>
    </row>
    <row r="8" ht="15.75" customHeight="1">
      <c r="A8" s="36" t="s">
        <v>244</v>
      </c>
      <c r="B8" s="37" t="s">
        <v>241</v>
      </c>
      <c r="C8" s="36" t="s">
        <v>762</v>
      </c>
      <c r="D8" s="36" t="s">
        <v>871</v>
      </c>
      <c r="E8" s="36"/>
      <c r="F8" s="36"/>
      <c r="G8" s="36"/>
      <c r="H8" s="36"/>
      <c r="I8" s="36"/>
      <c r="J8" s="36"/>
      <c r="K8" s="36"/>
      <c r="L8" s="36"/>
      <c r="M8" s="36"/>
      <c r="N8" s="36"/>
      <c r="O8" s="36"/>
      <c r="P8" s="36"/>
      <c r="Q8" s="36"/>
      <c r="R8" s="36"/>
      <c r="S8" s="36"/>
      <c r="T8" s="36"/>
      <c r="U8" s="36"/>
      <c r="V8" s="36"/>
      <c r="W8" s="36"/>
      <c r="X8" s="36"/>
      <c r="Y8" s="36"/>
      <c r="Z8" s="36"/>
    </row>
    <row r="9" ht="15.75" customHeight="1">
      <c r="A9" s="36" t="s">
        <v>247</v>
      </c>
      <c r="B9" s="37" t="s">
        <v>245</v>
      </c>
      <c r="C9" s="36" t="s">
        <v>762</v>
      </c>
      <c r="D9" s="36" t="s">
        <v>871</v>
      </c>
      <c r="E9" s="36"/>
      <c r="F9" s="36"/>
      <c r="G9" s="36"/>
      <c r="H9" s="36"/>
      <c r="I9" s="36"/>
      <c r="J9" s="36"/>
      <c r="K9" s="36"/>
      <c r="L9" s="36"/>
      <c r="M9" s="36"/>
      <c r="N9" s="36"/>
      <c r="O9" s="36"/>
      <c r="P9" s="36"/>
      <c r="Q9" s="36"/>
      <c r="R9" s="36"/>
      <c r="S9" s="36"/>
      <c r="T9" s="36"/>
      <c r="U9" s="36"/>
      <c r="V9" s="36"/>
      <c r="W9" s="36"/>
      <c r="X9" s="36"/>
      <c r="Y9" s="36"/>
      <c r="Z9" s="36"/>
    </row>
    <row r="10" ht="15.75" customHeight="1">
      <c r="A10" s="36" t="s">
        <v>244</v>
      </c>
      <c r="B10" s="37" t="s">
        <v>241</v>
      </c>
      <c r="C10" s="36" t="s">
        <v>764</v>
      </c>
      <c r="D10" s="36" t="s">
        <v>872</v>
      </c>
      <c r="E10" s="36"/>
      <c r="F10" s="36"/>
      <c r="G10" s="36"/>
      <c r="H10" s="36"/>
      <c r="I10" s="36"/>
      <c r="J10" s="36"/>
      <c r="K10" s="36"/>
      <c r="L10" s="36"/>
      <c r="M10" s="36"/>
      <c r="N10" s="36"/>
      <c r="O10" s="36"/>
      <c r="P10" s="36"/>
      <c r="Q10" s="36"/>
      <c r="R10" s="36"/>
      <c r="S10" s="36"/>
      <c r="T10" s="36"/>
      <c r="U10" s="36"/>
      <c r="V10" s="36"/>
      <c r="W10" s="36"/>
      <c r="X10" s="36"/>
      <c r="Y10" s="36"/>
      <c r="Z10" s="36"/>
    </row>
    <row r="11" ht="15.75" customHeight="1">
      <c r="A11" s="36" t="s">
        <v>247</v>
      </c>
      <c r="B11" s="37" t="s">
        <v>245</v>
      </c>
      <c r="C11" s="36" t="s">
        <v>764</v>
      </c>
      <c r="D11" s="36" t="s">
        <v>872</v>
      </c>
      <c r="E11" s="36"/>
      <c r="F11" s="36"/>
      <c r="G11" s="36"/>
      <c r="H11" s="36"/>
      <c r="I11" s="36"/>
      <c r="J11" s="36"/>
      <c r="K11" s="36"/>
      <c r="L11" s="36"/>
      <c r="M11" s="36"/>
      <c r="N11" s="36"/>
      <c r="O11" s="36"/>
      <c r="P11" s="36"/>
      <c r="Q11" s="36"/>
      <c r="R11" s="36"/>
      <c r="S11" s="36"/>
      <c r="T11" s="36"/>
      <c r="U11" s="36"/>
      <c r="V11" s="36"/>
      <c r="W11" s="36"/>
      <c r="X11" s="36"/>
      <c r="Y11" s="36"/>
      <c r="Z11" s="36"/>
    </row>
    <row r="12" ht="15.75" customHeight="1">
      <c r="A12" s="36" t="s">
        <v>244</v>
      </c>
      <c r="B12" s="37" t="s">
        <v>241</v>
      </c>
      <c r="C12" s="36" t="s">
        <v>760</v>
      </c>
      <c r="D12" s="36" t="s">
        <v>873</v>
      </c>
      <c r="E12" s="36"/>
      <c r="F12" s="36"/>
      <c r="G12" s="36"/>
      <c r="H12" s="36"/>
      <c r="I12" s="36"/>
      <c r="J12" s="36"/>
      <c r="K12" s="36"/>
      <c r="L12" s="36"/>
      <c r="M12" s="36"/>
      <c r="N12" s="36"/>
      <c r="O12" s="36"/>
      <c r="P12" s="36"/>
      <c r="Q12" s="36"/>
      <c r="R12" s="36"/>
      <c r="S12" s="36"/>
      <c r="T12" s="36"/>
      <c r="U12" s="36"/>
      <c r="V12" s="36"/>
      <c r="W12" s="36"/>
      <c r="X12" s="36"/>
      <c r="Y12" s="36"/>
      <c r="Z12" s="36"/>
    </row>
    <row r="13" ht="15.75" customHeight="1">
      <c r="A13" s="36" t="s">
        <v>247</v>
      </c>
      <c r="B13" s="37" t="s">
        <v>245</v>
      </c>
      <c r="C13" s="36" t="s">
        <v>760</v>
      </c>
      <c r="D13" s="36" t="s">
        <v>873</v>
      </c>
      <c r="E13" s="36"/>
      <c r="F13" s="36"/>
      <c r="G13" s="36"/>
      <c r="H13" s="36"/>
      <c r="I13" s="36"/>
      <c r="J13" s="36"/>
      <c r="K13" s="36"/>
      <c r="L13" s="36"/>
      <c r="M13" s="36"/>
      <c r="N13" s="36"/>
      <c r="O13" s="36"/>
      <c r="P13" s="36"/>
      <c r="Q13" s="36"/>
      <c r="R13" s="36"/>
      <c r="S13" s="36"/>
      <c r="T13" s="36"/>
      <c r="U13" s="36"/>
      <c r="V13" s="36"/>
      <c r="W13" s="36"/>
      <c r="X13" s="36"/>
      <c r="Y13" s="36"/>
      <c r="Z13" s="36"/>
    </row>
    <row r="14">
      <c r="A14" s="5"/>
      <c r="B14" s="5"/>
      <c r="D14" s="5"/>
    </row>
    <row r="15">
      <c r="A15" s="5"/>
      <c r="B15" s="5"/>
      <c r="D15" s="5"/>
    </row>
    <row r="16">
      <c r="A16" s="5"/>
      <c r="B16" s="5"/>
      <c r="D16" s="5"/>
    </row>
    <row r="17">
      <c r="A17" s="5"/>
      <c r="B17" s="5"/>
      <c r="D17" s="5"/>
    </row>
    <row r="18">
      <c r="A18" s="5"/>
      <c r="B18" s="5"/>
      <c r="D18" s="5"/>
    </row>
    <row r="19">
      <c r="A19" s="5"/>
      <c r="B19" s="5"/>
      <c r="D19" s="5"/>
    </row>
    <row r="20">
      <c r="A20" s="5"/>
      <c r="B20" s="5"/>
      <c r="D20" s="5"/>
    </row>
    <row r="21" ht="15.75" customHeight="1">
      <c r="A21" s="5"/>
      <c r="B21" s="5"/>
      <c r="D21" s="5"/>
    </row>
    <row r="22" ht="15.75" customHeight="1">
      <c r="A22" s="5"/>
      <c r="B22" s="5"/>
      <c r="D22" s="5"/>
    </row>
    <row r="23" ht="15.75" customHeight="1">
      <c r="A23" s="5"/>
      <c r="B23" s="5"/>
      <c r="D23" s="5"/>
    </row>
    <row r="24" ht="15.75" customHeight="1">
      <c r="A24" s="5"/>
      <c r="B24" s="5"/>
      <c r="D24" s="5"/>
    </row>
    <row r="25" ht="15.75" customHeight="1">
      <c r="A25" s="5"/>
      <c r="B25" s="5"/>
      <c r="D25" s="5"/>
    </row>
    <row r="26" ht="15.75" customHeight="1">
      <c r="A26" s="5"/>
      <c r="B26" s="5"/>
      <c r="D26" s="5"/>
    </row>
    <row r="27" ht="15.75" customHeight="1">
      <c r="A27" s="5"/>
      <c r="B27" s="5"/>
      <c r="D27" s="5"/>
    </row>
    <row r="28" ht="15.75" customHeight="1">
      <c r="A28" s="5"/>
      <c r="B28" s="5"/>
      <c r="D28" s="5"/>
    </row>
    <row r="29" ht="15.75" customHeight="1">
      <c r="A29" s="5"/>
      <c r="B29" s="5"/>
      <c r="D29" s="5"/>
    </row>
    <row r="30" ht="15.75" customHeight="1">
      <c r="A30" s="5"/>
      <c r="B30" s="5"/>
      <c r="D30" s="5"/>
    </row>
    <row r="31" ht="15.75" customHeight="1">
      <c r="A31" s="5"/>
      <c r="B31" s="5"/>
      <c r="D31" s="5"/>
    </row>
    <row r="32" ht="15.75" customHeight="1">
      <c r="A32" s="5"/>
      <c r="B32" s="5"/>
      <c r="D32" s="5"/>
    </row>
    <row r="33" ht="15.75" customHeight="1">
      <c r="A33" s="5"/>
      <c r="B33" s="5"/>
      <c r="D33" s="5"/>
    </row>
    <row r="34" ht="15.75" customHeight="1">
      <c r="A34" s="5"/>
      <c r="B34" s="5"/>
      <c r="D34" s="5"/>
    </row>
    <row r="35" ht="15.75" customHeight="1">
      <c r="A35" s="5"/>
      <c r="B35" s="5"/>
      <c r="D35" s="5"/>
    </row>
    <row r="36" ht="15.75" customHeight="1">
      <c r="A36" s="5"/>
      <c r="B36" s="5"/>
      <c r="D36" s="5"/>
    </row>
    <row r="37" ht="15.75" customHeight="1">
      <c r="A37" s="5"/>
      <c r="B37" s="5"/>
      <c r="D37" s="5"/>
    </row>
    <row r="38" ht="15.75" customHeight="1">
      <c r="A38" s="5"/>
      <c r="B38" s="5"/>
      <c r="D38" s="5"/>
    </row>
    <row r="39" ht="15.75" customHeight="1">
      <c r="A39" s="5"/>
      <c r="B39" s="5"/>
      <c r="D39" s="5"/>
    </row>
    <row r="40" ht="15.75" customHeight="1">
      <c r="A40" s="5"/>
      <c r="B40" s="5"/>
      <c r="D40" s="5"/>
    </row>
    <row r="41" ht="15.75" customHeight="1">
      <c r="A41" s="5"/>
      <c r="B41" s="5"/>
      <c r="D41" s="5"/>
    </row>
    <row r="42" ht="15.75" customHeight="1">
      <c r="A42" s="5"/>
      <c r="B42" s="5"/>
      <c r="D42" s="5"/>
    </row>
    <row r="43" ht="15.75" customHeight="1">
      <c r="A43" s="5"/>
      <c r="B43" s="5"/>
      <c r="D43" s="5"/>
    </row>
    <row r="44" ht="15.75" customHeight="1">
      <c r="A44" s="5"/>
      <c r="B44" s="5"/>
      <c r="D44" s="5"/>
    </row>
    <row r="45" ht="15.75" customHeight="1">
      <c r="A45" s="5"/>
      <c r="B45" s="5"/>
      <c r="D45" s="5"/>
    </row>
    <row r="46" ht="15.75" customHeight="1">
      <c r="A46" s="5"/>
      <c r="B46" s="5"/>
      <c r="D46" s="5"/>
    </row>
    <row r="47" ht="15.75" customHeight="1">
      <c r="A47" s="5"/>
      <c r="B47" s="5"/>
      <c r="D47" s="5"/>
    </row>
    <row r="48" ht="15.75" customHeight="1">
      <c r="A48" s="5"/>
      <c r="B48" s="5"/>
      <c r="D48" s="5"/>
    </row>
    <row r="49" ht="15.75" customHeight="1">
      <c r="A49" s="5"/>
      <c r="B49" s="5"/>
      <c r="D49" s="5"/>
    </row>
    <row r="50" ht="15.75" customHeight="1">
      <c r="A50" s="5"/>
      <c r="B50" s="5"/>
      <c r="D50" s="5"/>
    </row>
    <row r="51" ht="15.75" customHeight="1">
      <c r="A51" s="5"/>
      <c r="B51" s="5"/>
      <c r="D51" s="5"/>
    </row>
    <row r="52" ht="15.75" customHeight="1">
      <c r="A52" s="5"/>
      <c r="B52" s="5"/>
      <c r="D52" s="5"/>
    </row>
    <row r="53" ht="15.75" customHeight="1">
      <c r="A53" s="5"/>
      <c r="B53" s="5"/>
      <c r="D53" s="5"/>
    </row>
    <row r="54" ht="15.75" customHeight="1">
      <c r="A54" s="5"/>
      <c r="B54" s="5"/>
      <c r="D54" s="5"/>
    </row>
    <row r="55" ht="15.75" customHeight="1">
      <c r="A55" s="5"/>
      <c r="B55" s="5"/>
      <c r="D55" s="5"/>
    </row>
    <row r="56" ht="15.75" customHeight="1">
      <c r="A56" s="5"/>
      <c r="B56" s="5"/>
      <c r="D56" s="5"/>
    </row>
    <row r="57" ht="15.75" customHeight="1">
      <c r="A57" s="5"/>
      <c r="B57" s="5"/>
      <c r="D57" s="5"/>
    </row>
    <row r="58" ht="15.75" customHeight="1">
      <c r="A58" s="5"/>
      <c r="B58" s="5"/>
      <c r="D58" s="5"/>
    </row>
    <row r="59" ht="15.75" customHeight="1">
      <c r="A59" s="5"/>
      <c r="B59" s="5"/>
      <c r="D59" s="5"/>
    </row>
    <row r="60" ht="15.75" customHeight="1">
      <c r="A60" s="5"/>
      <c r="B60" s="5"/>
      <c r="D60" s="5"/>
    </row>
    <row r="61" ht="15.75" customHeight="1">
      <c r="A61" s="5"/>
      <c r="B61" s="5"/>
      <c r="D61" s="5"/>
    </row>
    <row r="62" ht="15.75" customHeight="1">
      <c r="A62" s="5"/>
      <c r="B62" s="5"/>
      <c r="D62" s="5"/>
    </row>
    <row r="63" ht="15.75" customHeight="1">
      <c r="A63" s="5"/>
      <c r="B63" s="5"/>
      <c r="D63" s="5"/>
    </row>
    <row r="64" ht="15.75" customHeight="1">
      <c r="A64" s="5"/>
      <c r="B64" s="5"/>
      <c r="D64" s="5"/>
    </row>
    <row r="65" ht="15.75" customHeight="1">
      <c r="A65" s="5"/>
      <c r="B65" s="5"/>
      <c r="D65" s="5"/>
    </row>
    <row r="66" ht="15.75" customHeight="1">
      <c r="A66" s="5"/>
      <c r="B66" s="5"/>
      <c r="D66" s="5"/>
    </row>
    <row r="67" ht="15.75" customHeight="1">
      <c r="A67" s="5"/>
      <c r="B67" s="5"/>
      <c r="D67" s="5"/>
    </row>
    <row r="68" ht="15.75" customHeight="1">
      <c r="A68" s="5"/>
      <c r="B68" s="5"/>
      <c r="D68" s="5"/>
    </row>
    <row r="69" ht="15.75" customHeight="1">
      <c r="A69" s="5"/>
      <c r="B69" s="5"/>
      <c r="D69" s="5"/>
    </row>
    <row r="70" ht="15.75" customHeight="1">
      <c r="A70" s="5"/>
      <c r="B70" s="5"/>
      <c r="D70" s="5"/>
    </row>
    <row r="71" ht="15.75" customHeight="1">
      <c r="A71" s="5"/>
      <c r="B71" s="5"/>
      <c r="D71" s="5"/>
    </row>
    <row r="72" ht="15.75" customHeight="1">
      <c r="A72" s="5"/>
      <c r="B72" s="5"/>
      <c r="D72" s="5"/>
    </row>
    <row r="73" ht="15.75" customHeight="1">
      <c r="A73" s="5"/>
      <c r="B73" s="5"/>
      <c r="D73" s="5"/>
    </row>
    <row r="74" ht="15.75" customHeight="1">
      <c r="A74" s="5"/>
      <c r="B74" s="5"/>
      <c r="D74" s="5"/>
    </row>
    <row r="75" ht="15.75" customHeight="1">
      <c r="A75" s="5"/>
      <c r="B75" s="5"/>
      <c r="D75" s="5"/>
    </row>
    <row r="76" ht="15.75" customHeight="1">
      <c r="A76" s="5"/>
      <c r="B76" s="5"/>
      <c r="D76" s="5"/>
    </row>
    <row r="77" ht="15.75" customHeight="1">
      <c r="A77" s="5"/>
      <c r="B77" s="5"/>
      <c r="D77" s="5"/>
    </row>
    <row r="78" ht="15.75" customHeight="1">
      <c r="A78" s="5"/>
      <c r="B78" s="5"/>
      <c r="D78" s="5"/>
    </row>
    <row r="79" ht="15.75" customHeight="1">
      <c r="A79" s="5"/>
      <c r="B79" s="5"/>
      <c r="D79" s="5"/>
    </row>
    <row r="80" ht="15.75" customHeight="1">
      <c r="A80" s="5"/>
      <c r="B80" s="5"/>
      <c r="D80" s="5"/>
    </row>
    <row r="81" ht="15.75" customHeight="1">
      <c r="A81" s="5"/>
      <c r="B81" s="5"/>
      <c r="D81" s="5"/>
    </row>
    <row r="82" ht="15.75" customHeight="1">
      <c r="A82" s="5"/>
      <c r="B82" s="5"/>
      <c r="D82" s="5"/>
    </row>
    <row r="83" ht="15.75" customHeight="1">
      <c r="A83" s="5"/>
      <c r="B83" s="5"/>
      <c r="D83" s="5"/>
    </row>
    <row r="84" ht="15.75" customHeight="1">
      <c r="A84" s="5"/>
      <c r="B84" s="5"/>
      <c r="D84" s="5"/>
    </row>
    <row r="85" ht="15.75" customHeight="1">
      <c r="A85" s="5"/>
      <c r="B85" s="5"/>
      <c r="D85" s="5"/>
    </row>
    <row r="86" ht="15.75" customHeight="1">
      <c r="A86" s="5"/>
      <c r="B86" s="5"/>
      <c r="D86" s="5"/>
    </row>
    <row r="87" ht="15.75" customHeight="1">
      <c r="A87" s="5"/>
      <c r="B87" s="5"/>
      <c r="D87" s="5"/>
    </row>
    <row r="88" ht="15.75" customHeight="1">
      <c r="A88" s="5"/>
      <c r="B88" s="5"/>
      <c r="D88" s="5"/>
    </row>
    <row r="89" ht="15.75" customHeight="1">
      <c r="A89" s="5"/>
      <c r="B89" s="5"/>
      <c r="D89" s="5"/>
    </row>
    <row r="90" ht="15.75" customHeight="1">
      <c r="A90" s="5"/>
      <c r="B90" s="5"/>
      <c r="D90" s="5"/>
    </row>
    <row r="91" ht="15.75" customHeight="1">
      <c r="A91" s="5"/>
      <c r="B91" s="5"/>
      <c r="D91" s="5"/>
    </row>
    <row r="92" ht="15.75" customHeight="1">
      <c r="A92" s="5"/>
      <c r="B92" s="5"/>
      <c r="D92" s="5"/>
    </row>
    <row r="93" ht="15.75" customHeight="1">
      <c r="A93" s="5"/>
      <c r="B93" s="5"/>
      <c r="D93" s="5"/>
    </row>
    <row r="94" ht="15.75" customHeight="1">
      <c r="A94" s="5"/>
      <c r="B94" s="5"/>
      <c r="D94" s="5"/>
    </row>
    <row r="95" ht="15.75" customHeight="1">
      <c r="A95" s="5"/>
      <c r="B95" s="5"/>
      <c r="D95" s="5"/>
    </row>
    <row r="96" ht="15.75" customHeight="1">
      <c r="A96" s="5"/>
      <c r="B96" s="5"/>
      <c r="D96" s="5"/>
    </row>
    <row r="97" ht="15.75" customHeight="1">
      <c r="A97" s="5"/>
      <c r="B97" s="5"/>
      <c r="D97" s="5"/>
    </row>
    <row r="98" ht="15.75" customHeight="1">
      <c r="A98" s="5"/>
      <c r="B98" s="5"/>
      <c r="D98" s="5"/>
    </row>
    <row r="99" ht="15.75" customHeight="1">
      <c r="A99" s="5"/>
      <c r="B99" s="5"/>
      <c r="D99" s="5"/>
    </row>
    <row r="100" ht="15.75" customHeight="1">
      <c r="A100" s="5"/>
      <c r="B100" s="5"/>
      <c r="D100" s="5"/>
    </row>
    <row r="101" ht="15.75" customHeight="1">
      <c r="A101" s="5"/>
      <c r="B101" s="5"/>
      <c r="D101" s="5"/>
    </row>
    <row r="102" ht="15.75" customHeight="1">
      <c r="A102" s="5"/>
      <c r="B102" s="5"/>
      <c r="D102" s="5"/>
    </row>
    <row r="103" ht="15.75" customHeight="1">
      <c r="A103" s="5"/>
      <c r="B103" s="5"/>
      <c r="D103" s="5"/>
    </row>
    <row r="104" ht="15.75" customHeight="1">
      <c r="A104" s="5"/>
      <c r="B104" s="5"/>
      <c r="D104" s="5"/>
    </row>
    <row r="105" ht="15.75" customHeight="1">
      <c r="A105" s="5"/>
      <c r="B105" s="5"/>
      <c r="D105" s="5"/>
    </row>
    <row r="106" ht="15.75" customHeight="1">
      <c r="A106" s="5"/>
      <c r="B106" s="5"/>
      <c r="D106" s="5"/>
    </row>
    <row r="107" ht="15.75" customHeight="1">
      <c r="A107" s="5"/>
      <c r="B107" s="5"/>
      <c r="D107" s="5"/>
    </row>
    <row r="108" ht="15.75" customHeight="1">
      <c r="A108" s="5"/>
      <c r="B108" s="5"/>
      <c r="D108" s="5"/>
    </row>
    <row r="109" ht="15.75" customHeight="1">
      <c r="A109" s="5"/>
      <c r="B109" s="5"/>
      <c r="D109" s="5"/>
    </row>
    <row r="110" ht="15.75" customHeight="1">
      <c r="A110" s="5"/>
      <c r="B110" s="5"/>
      <c r="D110" s="5"/>
    </row>
    <row r="111" ht="15.75" customHeight="1">
      <c r="A111" s="5"/>
      <c r="B111" s="5"/>
      <c r="D111" s="5"/>
    </row>
    <row r="112" ht="15.75" customHeight="1">
      <c r="A112" s="5"/>
      <c r="B112" s="5"/>
      <c r="D112" s="5"/>
    </row>
    <row r="113" ht="15.75" customHeight="1">
      <c r="A113" s="5"/>
      <c r="B113" s="5"/>
      <c r="D113" s="5"/>
    </row>
    <row r="114" ht="15.75" customHeight="1">
      <c r="A114" s="5"/>
      <c r="B114" s="5"/>
      <c r="D114" s="5"/>
    </row>
    <row r="115" ht="15.75" customHeight="1">
      <c r="A115" s="5"/>
      <c r="B115" s="5"/>
      <c r="D115" s="5"/>
    </row>
    <row r="116" ht="15.75" customHeight="1">
      <c r="A116" s="5"/>
      <c r="B116" s="5"/>
      <c r="D116" s="5"/>
    </row>
    <row r="117" ht="15.75" customHeight="1">
      <c r="A117" s="5"/>
      <c r="B117" s="5"/>
      <c r="D117" s="5"/>
    </row>
    <row r="118" ht="15.75" customHeight="1">
      <c r="A118" s="5"/>
      <c r="B118" s="5"/>
      <c r="D118" s="5"/>
    </row>
    <row r="119" ht="15.75" customHeight="1">
      <c r="A119" s="5"/>
      <c r="B119" s="5"/>
      <c r="D119" s="5"/>
    </row>
    <row r="120" ht="15.75" customHeight="1">
      <c r="A120" s="5"/>
      <c r="B120" s="5"/>
      <c r="D120" s="5"/>
    </row>
    <row r="121" ht="15.75" customHeight="1">
      <c r="A121" s="5"/>
      <c r="B121" s="5"/>
      <c r="D121" s="5"/>
    </row>
    <row r="122" ht="15.75" customHeight="1">
      <c r="A122" s="5"/>
      <c r="B122" s="5"/>
      <c r="D122" s="5"/>
    </row>
    <row r="123" ht="15.75" customHeight="1">
      <c r="A123" s="5"/>
      <c r="B123" s="5"/>
      <c r="D123" s="5"/>
    </row>
    <row r="124" ht="15.75" customHeight="1">
      <c r="A124" s="5"/>
      <c r="B124" s="5"/>
      <c r="D124" s="5"/>
    </row>
    <row r="125" ht="15.75" customHeight="1">
      <c r="A125" s="5"/>
      <c r="B125" s="5"/>
      <c r="D125" s="5"/>
    </row>
    <row r="126" ht="15.75" customHeight="1">
      <c r="A126" s="5"/>
      <c r="B126" s="5"/>
      <c r="D126" s="5"/>
    </row>
    <row r="127" ht="15.75" customHeight="1">
      <c r="A127" s="5"/>
      <c r="B127" s="5"/>
      <c r="D127" s="5"/>
    </row>
    <row r="128" ht="15.75" customHeight="1">
      <c r="A128" s="5"/>
      <c r="B128" s="5"/>
      <c r="D128" s="5"/>
    </row>
    <row r="129" ht="15.75" customHeight="1">
      <c r="A129" s="5"/>
      <c r="B129" s="5"/>
      <c r="D129" s="5"/>
    </row>
    <row r="130" ht="15.75" customHeight="1">
      <c r="A130" s="5"/>
      <c r="B130" s="5"/>
      <c r="D130" s="5"/>
    </row>
    <row r="131" ht="15.75" customHeight="1">
      <c r="A131" s="5"/>
      <c r="B131" s="5"/>
      <c r="D131" s="5"/>
    </row>
    <row r="132" ht="15.75" customHeight="1">
      <c r="A132" s="5"/>
      <c r="B132" s="5"/>
      <c r="D132" s="5"/>
    </row>
    <row r="133" ht="15.75" customHeight="1">
      <c r="A133" s="5"/>
      <c r="B133" s="5"/>
      <c r="D133" s="5"/>
    </row>
    <row r="134" ht="15.75" customHeight="1">
      <c r="A134" s="5"/>
      <c r="B134" s="5"/>
      <c r="D134" s="5"/>
    </row>
    <row r="135" ht="15.75" customHeight="1">
      <c r="A135" s="5"/>
      <c r="B135" s="5"/>
      <c r="D135" s="5"/>
    </row>
    <row r="136" ht="15.75" customHeight="1">
      <c r="A136" s="5"/>
      <c r="B136" s="5"/>
      <c r="D136" s="5"/>
    </row>
    <row r="137" ht="15.75" customHeight="1">
      <c r="A137" s="5"/>
      <c r="B137" s="5"/>
      <c r="D137" s="5"/>
    </row>
    <row r="138" ht="15.75" customHeight="1">
      <c r="A138" s="5"/>
      <c r="B138" s="5"/>
      <c r="D138" s="5"/>
    </row>
    <row r="139" ht="15.75" customHeight="1">
      <c r="A139" s="5"/>
      <c r="B139" s="5"/>
      <c r="D139" s="5"/>
    </row>
    <row r="140" ht="15.75" customHeight="1">
      <c r="A140" s="5"/>
      <c r="B140" s="5"/>
      <c r="D140" s="5"/>
    </row>
    <row r="141" ht="15.75" customHeight="1">
      <c r="A141" s="5"/>
      <c r="B141" s="5"/>
      <c r="D141" s="5"/>
    </row>
    <row r="142" ht="15.75" customHeight="1">
      <c r="A142" s="5"/>
      <c r="B142" s="5"/>
      <c r="D142" s="5"/>
    </row>
    <row r="143" ht="15.75" customHeight="1">
      <c r="A143" s="5"/>
      <c r="B143" s="5"/>
      <c r="D143" s="5"/>
    </row>
    <row r="144" ht="15.75" customHeight="1">
      <c r="A144" s="5"/>
      <c r="B144" s="5"/>
      <c r="D144" s="5"/>
    </row>
    <row r="145" ht="15.75" customHeight="1">
      <c r="A145" s="5"/>
      <c r="B145" s="5"/>
      <c r="D145" s="5"/>
    </row>
    <row r="146" ht="15.75" customHeight="1">
      <c r="A146" s="5"/>
      <c r="B146" s="5"/>
      <c r="D146" s="5"/>
    </row>
    <row r="147" ht="15.75" customHeight="1">
      <c r="A147" s="5"/>
      <c r="B147" s="5"/>
      <c r="D147" s="5"/>
    </row>
    <row r="148" ht="15.75" customHeight="1">
      <c r="A148" s="5"/>
      <c r="B148" s="5"/>
      <c r="D148" s="5"/>
    </row>
    <row r="149" ht="15.75" customHeight="1">
      <c r="A149" s="5"/>
      <c r="B149" s="5"/>
      <c r="D149" s="5"/>
    </row>
    <row r="150" ht="15.75" customHeight="1">
      <c r="A150" s="5"/>
      <c r="B150" s="5"/>
      <c r="D150" s="5"/>
    </row>
    <row r="151" ht="15.75" customHeight="1">
      <c r="A151" s="5"/>
      <c r="B151" s="5"/>
      <c r="D151" s="5"/>
    </row>
    <row r="152" ht="15.75" customHeight="1">
      <c r="A152" s="5"/>
      <c r="B152" s="5"/>
      <c r="D152" s="5"/>
    </row>
    <row r="153" ht="15.75" customHeight="1">
      <c r="A153" s="5"/>
      <c r="B153" s="5"/>
      <c r="D153" s="5"/>
    </row>
    <row r="154" ht="15.75" customHeight="1">
      <c r="A154" s="5"/>
      <c r="B154" s="5"/>
      <c r="D154" s="5"/>
    </row>
    <row r="155" ht="15.75" customHeight="1">
      <c r="A155" s="5"/>
      <c r="B155" s="5"/>
      <c r="D155" s="5"/>
    </row>
    <row r="156" ht="15.75" customHeight="1">
      <c r="A156" s="5"/>
      <c r="B156" s="5"/>
      <c r="D156" s="5"/>
    </row>
    <row r="157" ht="15.75" customHeight="1">
      <c r="A157" s="5"/>
      <c r="B157" s="5"/>
      <c r="D157" s="5"/>
    </row>
    <row r="158" ht="15.75" customHeight="1">
      <c r="A158" s="5"/>
      <c r="B158" s="5"/>
      <c r="D158" s="5"/>
    </row>
    <row r="159" ht="15.75" customHeight="1">
      <c r="A159" s="5"/>
      <c r="B159" s="5"/>
      <c r="D159" s="5"/>
    </row>
    <row r="160" ht="15.75" customHeight="1">
      <c r="A160" s="5"/>
      <c r="B160" s="5"/>
      <c r="D160" s="5"/>
    </row>
    <row r="161" ht="15.75" customHeight="1">
      <c r="A161" s="5"/>
      <c r="B161" s="5"/>
      <c r="D161" s="5"/>
    </row>
    <row r="162" ht="15.75" customHeight="1">
      <c r="A162" s="5"/>
      <c r="B162" s="5"/>
      <c r="D162" s="5"/>
    </row>
    <row r="163" ht="15.75" customHeight="1">
      <c r="A163" s="5"/>
      <c r="B163" s="5"/>
      <c r="D163" s="5"/>
    </row>
    <row r="164" ht="15.75" customHeight="1">
      <c r="A164" s="5"/>
      <c r="B164" s="5"/>
      <c r="D164" s="5"/>
    </row>
    <row r="165" ht="15.75" customHeight="1">
      <c r="A165" s="5"/>
      <c r="B165" s="5"/>
      <c r="D165" s="5"/>
    </row>
    <row r="166" ht="15.75" customHeight="1">
      <c r="A166" s="5"/>
      <c r="B166" s="5"/>
      <c r="D166" s="5"/>
    </row>
    <row r="167" ht="15.75" customHeight="1">
      <c r="A167" s="5"/>
      <c r="B167" s="5"/>
      <c r="D167" s="5"/>
    </row>
    <row r="168" ht="15.75" customHeight="1">
      <c r="A168" s="5"/>
      <c r="B168" s="5"/>
      <c r="D168" s="5"/>
    </row>
    <row r="169" ht="15.75" customHeight="1">
      <c r="A169" s="5"/>
      <c r="B169" s="5"/>
      <c r="D169" s="5"/>
    </row>
    <row r="170" ht="15.75" customHeight="1">
      <c r="A170" s="5"/>
      <c r="B170" s="5"/>
      <c r="D170" s="5"/>
    </row>
    <row r="171" ht="15.75" customHeight="1">
      <c r="A171" s="5"/>
      <c r="B171" s="5"/>
      <c r="D171" s="5"/>
    </row>
    <row r="172" ht="15.75" customHeight="1">
      <c r="A172" s="5"/>
      <c r="B172" s="5"/>
      <c r="D172" s="5"/>
    </row>
    <row r="173" ht="15.75" customHeight="1">
      <c r="A173" s="5"/>
      <c r="B173" s="5"/>
      <c r="D173" s="5"/>
    </row>
    <row r="174" ht="15.75" customHeight="1">
      <c r="A174" s="5"/>
      <c r="B174" s="5"/>
      <c r="D174" s="5"/>
    </row>
    <row r="175" ht="15.75" customHeight="1">
      <c r="A175" s="5"/>
      <c r="B175" s="5"/>
      <c r="D175" s="5"/>
    </row>
    <row r="176" ht="15.75" customHeight="1">
      <c r="A176" s="5"/>
      <c r="B176" s="5"/>
      <c r="D176" s="5"/>
    </row>
    <row r="177" ht="15.75" customHeight="1">
      <c r="A177" s="5"/>
      <c r="B177" s="5"/>
      <c r="D177" s="5"/>
    </row>
    <row r="178" ht="15.75" customHeight="1">
      <c r="A178" s="5"/>
      <c r="B178" s="5"/>
      <c r="D178" s="5"/>
    </row>
    <row r="179" ht="15.75" customHeight="1">
      <c r="A179" s="5"/>
      <c r="B179" s="5"/>
      <c r="D179" s="5"/>
    </row>
    <row r="180" ht="15.75" customHeight="1">
      <c r="A180" s="5"/>
      <c r="B180" s="5"/>
      <c r="D180" s="5"/>
    </row>
    <row r="181" ht="15.75" customHeight="1">
      <c r="A181" s="5"/>
      <c r="B181" s="5"/>
      <c r="D181" s="5"/>
    </row>
    <row r="182" ht="15.75" customHeight="1">
      <c r="A182" s="5"/>
      <c r="B182" s="5"/>
      <c r="D182" s="5"/>
    </row>
    <row r="183" ht="15.75" customHeight="1">
      <c r="A183" s="5"/>
      <c r="B183" s="5"/>
      <c r="D183" s="5"/>
    </row>
    <row r="184" ht="15.75" customHeight="1">
      <c r="A184" s="5"/>
      <c r="B184" s="5"/>
      <c r="D184" s="5"/>
    </row>
    <row r="185" ht="15.75" customHeight="1">
      <c r="A185" s="5"/>
      <c r="B185" s="5"/>
      <c r="D185" s="5"/>
    </row>
    <row r="186" ht="15.75" customHeight="1">
      <c r="A186" s="5"/>
      <c r="B186" s="5"/>
      <c r="D186" s="5"/>
    </row>
    <row r="187" ht="15.75" customHeight="1">
      <c r="A187" s="5"/>
      <c r="B187" s="5"/>
      <c r="D187" s="5"/>
    </row>
    <row r="188" ht="15.75" customHeight="1">
      <c r="A188" s="5"/>
      <c r="B188" s="5"/>
      <c r="D188" s="5"/>
    </row>
    <row r="189" ht="15.75" customHeight="1">
      <c r="A189" s="5"/>
      <c r="B189" s="5"/>
      <c r="D189" s="5"/>
    </row>
    <row r="190" ht="15.75" customHeight="1">
      <c r="A190" s="5"/>
      <c r="B190" s="5"/>
      <c r="D190" s="5"/>
    </row>
    <row r="191" ht="15.75" customHeight="1">
      <c r="A191" s="5"/>
      <c r="B191" s="5"/>
      <c r="D191" s="5"/>
    </row>
    <row r="192" ht="15.75" customHeight="1">
      <c r="A192" s="5"/>
      <c r="B192" s="5"/>
      <c r="D192" s="5"/>
    </row>
    <row r="193" ht="15.75" customHeight="1">
      <c r="A193" s="5"/>
      <c r="B193" s="5"/>
      <c r="D193" s="5"/>
    </row>
    <row r="194" ht="15.75" customHeight="1">
      <c r="A194" s="5"/>
      <c r="B194" s="5"/>
      <c r="D194" s="5"/>
    </row>
    <row r="195" ht="15.75" customHeight="1">
      <c r="A195" s="5"/>
      <c r="B195" s="5"/>
      <c r="D195" s="5"/>
    </row>
    <row r="196" ht="15.75" customHeight="1">
      <c r="A196" s="5"/>
      <c r="B196" s="5"/>
      <c r="D196" s="5"/>
    </row>
    <row r="197" ht="15.75" customHeight="1">
      <c r="A197" s="5"/>
      <c r="B197" s="5"/>
      <c r="D197" s="5"/>
    </row>
    <row r="198" ht="15.75" customHeight="1">
      <c r="A198" s="5"/>
      <c r="B198" s="5"/>
      <c r="D198" s="5"/>
    </row>
    <row r="199" ht="15.75" customHeight="1">
      <c r="A199" s="5"/>
      <c r="B199" s="5"/>
      <c r="D199" s="5"/>
    </row>
    <row r="200" ht="15.75" customHeight="1">
      <c r="A200" s="5"/>
      <c r="B200" s="5"/>
      <c r="D200" s="5"/>
    </row>
    <row r="201" ht="15.75" customHeight="1">
      <c r="A201" s="5"/>
      <c r="B201" s="5"/>
      <c r="D201" s="5"/>
    </row>
    <row r="202" ht="15.75" customHeight="1">
      <c r="A202" s="5"/>
      <c r="B202" s="5"/>
      <c r="D202" s="5"/>
    </row>
    <row r="203" ht="15.75" customHeight="1">
      <c r="A203" s="5"/>
      <c r="B203" s="5"/>
      <c r="D203" s="5"/>
    </row>
    <row r="204" ht="15.75" customHeight="1">
      <c r="A204" s="5"/>
      <c r="B204" s="5"/>
      <c r="D204" s="5"/>
    </row>
    <row r="205" ht="15.75" customHeight="1">
      <c r="A205" s="5"/>
      <c r="B205" s="5"/>
      <c r="D205" s="5"/>
    </row>
    <row r="206" ht="15.75" customHeight="1">
      <c r="A206" s="5"/>
      <c r="B206" s="5"/>
      <c r="D206" s="5"/>
    </row>
    <row r="207" ht="15.75" customHeight="1">
      <c r="A207" s="5"/>
      <c r="B207" s="5"/>
      <c r="D207" s="5"/>
    </row>
    <row r="208" ht="15.75" customHeight="1">
      <c r="A208" s="5"/>
      <c r="B208" s="5"/>
      <c r="D208" s="5"/>
    </row>
    <row r="209" ht="15.75" customHeight="1">
      <c r="A209" s="5"/>
      <c r="B209" s="5"/>
      <c r="D209" s="5"/>
    </row>
    <row r="210" ht="15.75" customHeight="1">
      <c r="A210" s="5"/>
      <c r="B210" s="5"/>
      <c r="D210" s="5"/>
    </row>
    <row r="211" ht="15.75" customHeight="1">
      <c r="A211" s="5"/>
      <c r="B211" s="5"/>
      <c r="D211" s="5"/>
    </row>
    <row r="212" ht="15.75" customHeight="1">
      <c r="A212" s="5"/>
      <c r="B212" s="5"/>
      <c r="D212" s="5"/>
    </row>
    <row r="213" ht="15.75" customHeight="1">
      <c r="A213" s="5"/>
      <c r="B213" s="5"/>
      <c r="D213" s="5"/>
    </row>
    <row r="214" ht="15.75" customHeight="1">
      <c r="A214" s="5"/>
      <c r="B214" s="5"/>
      <c r="D214" s="5"/>
    </row>
    <row r="215" ht="15.75" customHeight="1">
      <c r="A215" s="5"/>
      <c r="B215" s="5"/>
      <c r="D215" s="5"/>
    </row>
    <row r="216" ht="15.75" customHeight="1">
      <c r="A216" s="5"/>
      <c r="B216" s="5"/>
      <c r="D216" s="5"/>
    </row>
    <row r="217" ht="15.75" customHeight="1">
      <c r="A217" s="5"/>
      <c r="B217" s="5"/>
      <c r="D217" s="5"/>
    </row>
    <row r="218" ht="15.75" customHeight="1">
      <c r="A218" s="5"/>
      <c r="B218" s="5"/>
      <c r="D218" s="5"/>
    </row>
    <row r="219" ht="15.75" customHeight="1">
      <c r="A219" s="5"/>
      <c r="B219" s="5"/>
      <c r="D219" s="5"/>
    </row>
    <row r="220" ht="15.75" customHeight="1">
      <c r="A220" s="5"/>
      <c r="B220" s="5"/>
      <c r="D220" s="5"/>
    </row>
    <row r="221" ht="15.75" customHeight="1">
      <c r="A221" s="5"/>
      <c r="B221" s="5"/>
      <c r="D221" s="5"/>
    </row>
    <row r="222" ht="15.75" customHeight="1">
      <c r="A222" s="5"/>
      <c r="B222" s="5"/>
      <c r="D222" s="5"/>
    </row>
    <row r="223" ht="15.75" customHeight="1">
      <c r="A223" s="5"/>
      <c r="B223" s="5"/>
      <c r="D223" s="5"/>
    </row>
    <row r="224" ht="15.75" customHeight="1">
      <c r="A224" s="5"/>
      <c r="B224" s="5"/>
      <c r="D224" s="5"/>
    </row>
    <row r="225" ht="15.75" customHeight="1">
      <c r="A225" s="5"/>
      <c r="B225" s="5"/>
      <c r="D225" s="5"/>
    </row>
    <row r="226" ht="15.75" customHeight="1">
      <c r="A226" s="5"/>
      <c r="B226" s="5"/>
      <c r="D226" s="5"/>
    </row>
    <row r="227" ht="15.75" customHeight="1">
      <c r="A227" s="5"/>
      <c r="B227" s="5"/>
      <c r="D227" s="5"/>
    </row>
    <row r="228" ht="15.75" customHeight="1">
      <c r="A228" s="5"/>
      <c r="B228" s="5"/>
      <c r="D228" s="5"/>
    </row>
    <row r="229" ht="15.75" customHeight="1">
      <c r="A229" s="5"/>
      <c r="B229" s="5"/>
      <c r="D229" s="5"/>
    </row>
    <row r="230" ht="15.75" customHeight="1">
      <c r="A230" s="5"/>
      <c r="B230" s="5"/>
      <c r="D230" s="5"/>
    </row>
    <row r="231" ht="15.75" customHeight="1">
      <c r="A231" s="5"/>
      <c r="B231" s="5"/>
      <c r="D231" s="5"/>
    </row>
    <row r="232" ht="15.75" customHeight="1">
      <c r="A232" s="5"/>
      <c r="B232" s="5"/>
      <c r="D232" s="5"/>
    </row>
    <row r="233" ht="15.75" customHeight="1">
      <c r="A233" s="5"/>
      <c r="B233" s="5"/>
      <c r="D233" s="5"/>
    </row>
    <row r="234" ht="15.75" customHeight="1">
      <c r="A234" s="5"/>
      <c r="B234" s="5"/>
      <c r="D234" s="5"/>
    </row>
    <row r="235" ht="15.75" customHeight="1">
      <c r="A235" s="5"/>
      <c r="B235" s="5"/>
      <c r="D235" s="5"/>
    </row>
    <row r="236" ht="15.75" customHeight="1">
      <c r="A236" s="5"/>
      <c r="B236" s="5"/>
      <c r="D236" s="5"/>
    </row>
    <row r="237" ht="15.75" customHeight="1">
      <c r="A237" s="5"/>
      <c r="B237" s="5"/>
      <c r="D237" s="5"/>
    </row>
    <row r="238" ht="15.75" customHeight="1">
      <c r="A238" s="5"/>
      <c r="B238" s="5"/>
      <c r="D238" s="5"/>
    </row>
    <row r="239" ht="15.75" customHeight="1">
      <c r="A239" s="5"/>
      <c r="B239" s="5"/>
      <c r="D239" s="5"/>
    </row>
    <row r="240" ht="15.75" customHeight="1">
      <c r="A240" s="5"/>
      <c r="B240" s="5"/>
      <c r="D240" s="5"/>
    </row>
    <row r="241" ht="15.75" customHeight="1">
      <c r="A241" s="5"/>
      <c r="B241" s="5"/>
      <c r="D241" s="5"/>
    </row>
    <row r="242" ht="15.75" customHeight="1">
      <c r="A242" s="5"/>
      <c r="B242" s="5"/>
      <c r="D242" s="5"/>
    </row>
    <row r="243" ht="15.75" customHeight="1">
      <c r="A243" s="5"/>
      <c r="B243" s="5"/>
      <c r="D243" s="5"/>
    </row>
    <row r="244" ht="15.75" customHeight="1">
      <c r="A244" s="5"/>
      <c r="B244" s="5"/>
      <c r="D244" s="5"/>
    </row>
    <row r="245" ht="15.75" customHeight="1">
      <c r="A245" s="5"/>
      <c r="B245" s="5"/>
      <c r="D245" s="5"/>
    </row>
    <row r="246" ht="15.75" customHeight="1">
      <c r="A246" s="5"/>
      <c r="B246" s="5"/>
      <c r="D246" s="5"/>
    </row>
    <row r="247" ht="15.75" customHeight="1">
      <c r="A247" s="5"/>
      <c r="B247" s="5"/>
      <c r="D247" s="5"/>
    </row>
    <row r="248" ht="15.75" customHeight="1">
      <c r="A248" s="5"/>
      <c r="B248" s="5"/>
      <c r="D248" s="5"/>
    </row>
    <row r="249" ht="15.75" customHeight="1">
      <c r="A249" s="5"/>
      <c r="B249" s="5"/>
      <c r="D249" s="5"/>
    </row>
    <row r="250" ht="15.75" customHeight="1">
      <c r="A250" s="5"/>
      <c r="B250" s="5"/>
      <c r="D250" s="5"/>
    </row>
    <row r="251" ht="15.75" customHeight="1">
      <c r="A251" s="5"/>
      <c r="B251" s="5"/>
      <c r="D251" s="5"/>
    </row>
    <row r="252" ht="15.75" customHeight="1">
      <c r="A252" s="5"/>
      <c r="B252" s="5"/>
      <c r="D252" s="5"/>
    </row>
    <row r="253" ht="15.75" customHeight="1">
      <c r="A253" s="5"/>
      <c r="B253" s="5"/>
      <c r="D253" s="5"/>
    </row>
    <row r="254" ht="15.75" customHeight="1">
      <c r="A254" s="5"/>
      <c r="B254" s="5"/>
      <c r="D254" s="5"/>
    </row>
    <row r="255" ht="15.75" customHeight="1">
      <c r="A255" s="5"/>
      <c r="B255" s="5"/>
      <c r="D255" s="5"/>
    </row>
    <row r="256" ht="15.75" customHeight="1">
      <c r="A256" s="5"/>
      <c r="B256" s="5"/>
      <c r="D256" s="5"/>
    </row>
    <row r="257" ht="15.75" customHeight="1">
      <c r="A257" s="5"/>
      <c r="B257" s="5"/>
      <c r="D257" s="5"/>
    </row>
    <row r="258" ht="15.75" customHeight="1">
      <c r="A258" s="5"/>
      <c r="B258" s="5"/>
      <c r="D258" s="5"/>
    </row>
    <row r="259" ht="15.75" customHeight="1">
      <c r="A259" s="5"/>
      <c r="B259" s="5"/>
      <c r="D259" s="5"/>
    </row>
    <row r="260" ht="15.75" customHeight="1">
      <c r="A260" s="5"/>
      <c r="B260" s="5"/>
      <c r="D260" s="5"/>
    </row>
    <row r="261" ht="15.75" customHeight="1">
      <c r="A261" s="5"/>
      <c r="B261" s="5"/>
      <c r="D261" s="5"/>
    </row>
    <row r="262" ht="15.75" customHeight="1">
      <c r="A262" s="5"/>
      <c r="B262" s="5"/>
      <c r="D262" s="5"/>
    </row>
    <row r="263" ht="15.75" customHeight="1">
      <c r="A263" s="5"/>
      <c r="B263" s="5"/>
      <c r="D263" s="5"/>
    </row>
    <row r="264" ht="15.75" customHeight="1">
      <c r="A264" s="5"/>
      <c r="B264" s="5"/>
      <c r="D264" s="5"/>
    </row>
    <row r="265" ht="15.75" customHeight="1">
      <c r="A265" s="5"/>
      <c r="B265" s="5"/>
      <c r="D265" s="5"/>
    </row>
    <row r="266" ht="15.75" customHeight="1">
      <c r="A266" s="5"/>
      <c r="B266" s="5"/>
      <c r="D266" s="5"/>
    </row>
    <row r="267" ht="15.75" customHeight="1">
      <c r="A267" s="5"/>
      <c r="B267" s="5"/>
      <c r="D267" s="5"/>
    </row>
    <row r="268" ht="15.75" customHeight="1">
      <c r="A268" s="5"/>
      <c r="B268" s="5"/>
      <c r="D268" s="5"/>
    </row>
    <row r="269" ht="15.75" customHeight="1">
      <c r="A269" s="5"/>
      <c r="B269" s="5"/>
      <c r="D269" s="5"/>
    </row>
    <row r="270" ht="15.75" customHeight="1">
      <c r="A270" s="5"/>
      <c r="B270" s="5"/>
      <c r="D270" s="5"/>
    </row>
    <row r="271" ht="15.75" customHeight="1">
      <c r="A271" s="5"/>
      <c r="B271" s="5"/>
      <c r="D271" s="5"/>
    </row>
    <row r="272" ht="15.75" customHeight="1">
      <c r="A272" s="5"/>
      <c r="B272" s="5"/>
      <c r="D272" s="5"/>
    </row>
    <row r="273" ht="15.75" customHeight="1">
      <c r="A273" s="5"/>
      <c r="B273" s="5"/>
      <c r="D273" s="5"/>
    </row>
    <row r="274" ht="15.75" customHeight="1">
      <c r="A274" s="5"/>
      <c r="B274" s="5"/>
      <c r="D274" s="5"/>
    </row>
    <row r="275" ht="15.75" customHeight="1">
      <c r="A275" s="5"/>
      <c r="B275" s="5"/>
      <c r="D275" s="5"/>
    </row>
    <row r="276" ht="15.75" customHeight="1">
      <c r="A276" s="5"/>
      <c r="B276" s="5"/>
      <c r="D276" s="5"/>
    </row>
    <row r="277" ht="15.75" customHeight="1">
      <c r="A277" s="5"/>
      <c r="B277" s="5"/>
      <c r="D277" s="5"/>
    </row>
    <row r="278" ht="15.75" customHeight="1">
      <c r="A278" s="5"/>
      <c r="B278" s="5"/>
      <c r="D278" s="5"/>
    </row>
    <row r="279" ht="15.75" customHeight="1">
      <c r="A279" s="5"/>
      <c r="B279" s="5"/>
      <c r="D279" s="5"/>
    </row>
    <row r="280" ht="15.75" customHeight="1">
      <c r="A280" s="5"/>
      <c r="B280" s="5"/>
      <c r="D280" s="5"/>
    </row>
    <row r="281" ht="15.75" customHeight="1">
      <c r="A281" s="5"/>
      <c r="B281" s="5"/>
      <c r="D281" s="5"/>
    </row>
    <row r="282" ht="15.75" customHeight="1">
      <c r="A282" s="5"/>
      <c r="B282" s="5"/>
      <c r="D282" s="5"/>
    </row>
    <row r="283" ht="15.75" customHeight="1">
      <c r="A283" s="5"/>
      <c r="B283" s="5"/>
      <c r="D283" s="5"/>
    </row>
    <row r="284" ht="15.75" customHeight="1">
      <c r="A284" s="5"/>
      <c r="B284" s="5"/>
      <c r="D284" s="5"/>
    </row>
    <row r="285" ht="15.75" customHeight="1">
      <c r="A285" s="5"/>
      <c r="B285" s="5"/>
      <c r="D285" s="5"/>
    </row>
    <row r="286" ht="15.75" customHeight="1">
      <c r="A286" s="5"/>
      <c r="B286" s="5"/>
      <c r="D286" s="5"/>
    </row>
    <row r="287" ht="15.75" customHeight="1">
      <c r="A287" s="5"/>
      <c r="B287" s="5"/>
      <c r="D287" s="5"/>
    </row>
    <row r="288" ht="15.75" customHeight="1">
      <c r="A288" s="5"/>
      <c r="B288" s="5"/>
      <c r="D288" s="5"/>
    </row>
    <row r="289" ht="15.75" customHeight="1">
      <c r="A289" s="5"/>
      <c r="B289" s="5"/>
      <c r="D289" s="5"/>
    </row>
    <row r="290" ht="15.75" customHeight="1">
      <c r="A290" s="5"/>
      <c r="B290" s="5"/>
      <c r="D290" s="5"/>
    </row>
    <row r="291" ht="15.75" customHeight="1">
      <c r="A291" s="5"/>
      <c r="B291" s="5"/>
      <c r="D291" s="5"/>
    </row>
    <row r="292" ht="15.75" customHeight="1">
      <c r="A292" s="5"/>
      <c r="B292" s="5"/>
      <c r="D292" s="5"/>
    </row>
    <row r="293" ht="15.75" customHeight="1">
      <c r="A293" s="5"/>
      <c r="B293" s="5"/>
      <c r="D293" s="5"/>
    </row>
    <row r="294" ht="15.75" customHeight="1">
      <c r="A294" s="5"/>
      <c r="B294" s="5"/>
      <c r="D294" s="5"/>
    </row>
    <row r="295" ht="15.75" customHeight="1">
      <c r="A295" s="5"/>
      <c r="B295" s="5"/>
      <c r="D295" s="5"/>
    </row>
    <row r="296" ht="15.75" customHeight="1">
      <c r="A296" s="5"/>
      <c r="B296" s="5"/>
      <c r="D296" s="5"/>
    </row>
    <row r="297" ht="15.75" customHeight="1">
      <c r="A297" s="5"/>
      <c r="B297" s="5"/>
      <c r="D297" s="5"/>
    </row>
    <row r="298" ht="15.75" customHeight="1">
      <c r="A298" s="5"/>
      <c r="B298" s="5"/>
      <c r="D298" s="5"/>
    </row>
    <row r="299" ht="15.75" customHeight="1">
      <c r="A299" s="5"/>
      <c r="B299" s="5"/>
      <c r="D299" s="5"/>
    </row>
    <row r="300" ht="15.75" customHeight="1">
      <c r="A300" s="5"/>
      <c r="B300" s="5"/>
      <c r="D300" s="5"/>
    </row>
    <row r="301" ht="15.75" customHeight="1">
      <c r="A301" s="5"/>
      <c r="B301" s="5"/>
      <c r="D301" s="5"/>
    </row>
    <row r="302" ht="15.75" customHeight="1">
      <c r="A302" s="5"/>
      <c r="B302" s="5"/>
      <c r="D302" s="5"/>
    </row>
    <row r="303" ht="15.75" customHeight="1">
      <c r="A303" s="5"/>
      <c r="B303" s="5"/>
      <c r="D303" s="5"/>
    </row>
    <row r="304" ht="15.75" customHeight="1">
      <c r="A304" s="5"/>
      <c r="B304" s="5"/>
      <c r="D304" s="5"/>
    </row>
    <row r="305" ht="15.75" customHeight="1">
      <c r="A305" s="5"/>
      <c r="B305" s="5"/>
      <c r="D305" s="5"/>
    </row>
    <row r="306" ht="15.75" customHeight="1">
      <c r="A306" s="5"/>
      <c r="B306" s="5"/>
      <c r="D306" s="5"/>
    </row>
    <row r="307" ht="15.75" customHeight="1">
      <c r="A307" s="5"/>
      <c r="B307" s="5"/>
      <c r="D307" s="5"/>
    </row>
    <row r="308" ht="15.75" customHeight="1">
      <c r="A308" s="5"/>
      <c r="B308" s="5"/>
      <c r="D308" s="5"/>
    </row>
    <row r="309" ht="15.75" customHeight="1">
      <c r="A309" s="5"/>
      <c r="B309" s="5"/>
      <c r="D309" s="5"/>
    </row>
    <row r="310" ht="15.75" customHeight="1">
      <c r="A310" s="5"/>
      <c r="B310" s="5"/>
      <c r="D310" s="5"/>
    </row>
    <row r="311" ht="15.75" customHeight="1">
      <c r="A311" s="5"/>
      <c r="B311" s="5"/>
      <c r="D311" s="5"/>
    </row>
    <row r="312" ht="15.75" customHeight="1">
      <c r="A312" s="5"/>
      <c r="B312" s="5"/>
      <c r="D312" s="5"/>
    </row>
    <row r="313" ht="15.75" customHeight="1">
      <c r="A313" s="5"/>
      <c r="B313" s="5"/>
      <c r="D313" s="5"/>
    </row>
    <row r="314" ht="15.75" customHeight="1">
      <c r="A314" s="5"/>
      <c r="B314" s="5"/>
      <c r="D314" s="5"/>
    </row>
    <row r="315" ht="15.75" customHeight="1">
      <c r="A315" s="5"/>
      <c r="B315" s="5"/>
      <c r="D315" s="5"/>
    </row>
    <row r="316" ht="15.75" customHeight="1">
      <c r="A316" s="5"/>
      <c r="B316" s="5"/>
      <c r="D316" s="5"/>
    </row>
    <row r="317" ht="15.75" customHeight="1">
      <c r="A317" s="5"/>
      <c r="B317" s="5"/>
      <c r="D317" s="5"/>
    </row>
    <row r="318" ht="15.75" customHeight="1">
      <c r="A318" s="5"/>
      <c r="B318" s="5"/>
      <c r="D318" s="5"/>
    </row>
    <row r="319" ht="15.75" customHeight="1">
      <c r="A319" s="5"/>
      <c r="B319" s="5"/>
      <c r="D319" s="5"/>
    </row>
    <row r="320" ht="15.75" customHeight="1">
      <c r="A320" s="5"/>
      <c r="B320" s="5"/>
      <c r="D320" s="5"/>
    </row>
    <row r="321" ht="15.75" customHeight="1">
      <c r="A321" s="5"/>
      <c r="B321" s="5"/>
      <c r="D321" s="5"/>
    </row>
    <row r="322" ht="15.75" customHeight="1">
      <c r="A322" s="5"/>
      <c r="B322" s="5"/>
      <c r="D322" s="5"/>
    </row>
    <row r="323" ht="15.75" customHeight="1">
      <c r="A323" s="5"/>
      <c r="B323" s="5"/>
      <c r="D323" s="5"/>
    </row>
    <row r="324" ht="15.75" customHeight="1">
      <c r="A324" s="5"/>
      <c r="B324" s="5"/>
      <c r="D324" s="5"/>
    </row>
    <row r="325" ht="15.75" customHeight="1">
      <c r="A325" s="5"/>
      <c r="B325" s="5"/>
      <c r="D325" s="5"/>
    </row>
    <row r="326" ht="15.75" customHeight="1">
      <c r="A326" s="5"/>
      <c r="B326" s="5"/>
      <c r="D326" s="5"/>
    </row>
    <row r="327" ht="15.75" customHeight="1">
      <c r="A327" s="5"/>
      <c r="B327" s="5"/>
      <c r="D327" s="5"/>
    </row>
    <row r="328" ht="15.75" customHeight="1">
      <c r="A328" s="5"/>
      <c r="B328" s="5"/>
      <c r="D328" s="5"/>
    </row>
    <row r="329" ht="15.75" customHeight="1">
      <c r="A329" s="5"/>
      <c r="B329" s="5"/>
      <c r="D329" s="5"/>
    </row>
    <row r="330" ht="15.75" customHeight="1">
      <c r="A330" s="5"/>
      <c r="B330" s="5"/>
      <c r="D330" s="5"/>
    </row>
    <row r="331" ht="15.75" customHeight="1">
      <c r="A331" s="5"/>
      <c r="B331" s="5"/>
      <c r="D331" s="5"/>
    </row>
    <row r="332" ht="15.75" customHeight="1">
      <c r="A332" s="5"/>
      <c r="B332" s="5"/>
      <c r="D332" s="5"/>
    </row>
    <row r="333" ht="15.75" customHeight="1">
      <c r="A333" s="5"/>
      <c r="B333" s="5"/>
      <c r="D333" s="5"/>
    </row>
    <row r="334" ht="15.75" customHeight="1">
      <c r="A334" s="5"/>
      <c r="B334" s="5"/>
      <c r="D334" s="5"/>
    </row>
    <row r="335" ht="15.75" customHeight="1">
      <c r="A335" s="5"/>
      <c r="B335" s="5"/>
      <c r="D335" s="5"/>
    </row>
    <row r="336" ht="15.75" customHeight="1">
      <c r="A336" s="5"/>
      <c r="B336" s="5"/>
      <c r="D336" s="5"/>
    </row>
    <row r="337" ht="15.75" customHeight="1">
      <c r="A337" s="5"/>
      <c r="B337" s="5"/>
      <c r="D337" s="5"/>
    </row>
    <row r="338" ht="15.75" customHeight="1">
      <c r="A338" s="5"/>
      <c r="B338" s="5"/>
      <c r="D338" s="5"/>
    </row>
    <row r="339" ht="15.75" customHeight="1">
      <c r="A339" s="5"/>
      <c r="B339" s="5"/>
      <c r="D339" s="5"/>
    </row>
    <row r="340" ht="15.75" customHeight="1">
      <c r="A340" s="5"/>
      <c r="B340" s="5"/>
      <c r="D340" s="5"/>
    </row>
    <row r="341" ht="15.75" customHeight="1">
      <c r="A341" s="5"/>
      <c r="B341" s="5"/>
      <c r="D341" s="5"/>
    </row>
    <row r="342" ht="15.75" customHeight="1">
      <c r="A342" s="5"/>
      <c r="B342" s="5"/>
      <c r="D342" s="5"/>
    </row>
    <row r="343" ht="15.75" customHeight="1">
      <c r="A343" s="5"/>
      <c r="B343" s="5"/>
      <c r="D343" s="5"/>
    </row>
    <row r="344" ht="15.75" customHeight="1">
      <c r="A344" s="5"/>
      <c r="B344" s="5"/>
      <c r="D344" s="5"/>
    </row>
    <row r="345" ht="15.75" customHeight="1">
      <c r="A345" s="5"/>
      <c r="B345" s="5"/>
      <c r="D345" s="5"/>
    </row>
    <row r="346" ht="15.75" customHeight="1">
      <c r="A346" s="5"/>
      <c r="B346" s="5"/>
      <c r="D346" s="5"/>
    </row>
    <row r="347" ht="15.75" customHeight="1">
      <c r="A347" s="5"/>
      <c r="B347" s="5"/>
      <c r="D347" s="5"/>
    </row>
    <row r="348" ht="15.75" customHeight="1">
      <c r="A348" s="5"/>
      <c r="B348" s="5"/>
      <c r="D348" s="5"/>
    </row>
    <row r="349" ht="15.75" customHeight="1">
      <c r="A349" s="5"/>
      <c r="B349" s="5"/>
      <c r="D349" s="5"/>
    </row>
    <row r="350" ht="15.75" customHeight="1">
      <c r="A350" s="5"/>
      <c r="B350" s="5"/>
      <c r="D350" s="5"/>
    </row>
    <row r="351" ht="15.75" customHeight="1">
      <c r="A351" s="5"/>
      <c r="B351" s="5"/>
      <c r="D351" s="5"/>
    </row>
    <row r="352" ht="15.75" customHeight="1">
      <c r="A352" s="5"/>
      <c r="B352" s="5"/>
      <c r="D352" s="5"/>
    </row>
    <row r="353" ht="15.75" customHeight="1">
      <c r="A353" s="5"/>
      <c r="B353" s="5"/>
      <c r="D353" s="5"/>
    </row>
    <row r="354" ht="15.75" customHeight="1">
      <c r="A354" s="5"/>
      <c r="B354" s="5"/>
      <c r="D354" s="5"/>
    </row>
    <row r="355" ht="15.75" customHeight="1">
      <c r="A355" s="5"/>
      <c r="B355" s="5"/>
      <c r="D355" s="5"/>
    </row>
    <row r="356" ht="15.75" customHeight="1">
      <c r="A356" s="5"/>
      <c r="B356" s="5"/>
      <c r="D356" s="5"/>
    </row>
    <row r="357" ht="15.75" customHeight="1">
      <c r="A357" s="5"/>
      <c r="B357" s="5"/>
      <c r="D357" s="5"/>
    </row>
    <row r="358" ht="15.75" customHeight="1">
      <c r="A358" s="5"/>
      <c r="B358" s="5"/>
      <c r="D358" s="5"/>
    </row>
    <row r="359" ht="15.75" customHeight="1">
      <c r="A359" s="5"/>
      <c r="B359" s="5"/>
      <c r="D359" s="5"/>
    </row>
    <row r="360" ht="15.75" customHeight="1">
      <c r="A360" s="5"/>
      <c r="B360" s="5"/>
      <c r="D360" s="5"/>
    </row>
    <row r="361" ht="15.75" customHeight="1">
      <c r="A361" s="5"/>
      <c r="B361" s="5"/>
      <c r="D361" s="5"/>
    </row>
    <row r="362" ht="15.75" customHeight="1">
      <c r="A362" s="5"/>
      <c r="B362" s="5"/>
      <c r="D362" s="5"/>
    </row>
    <row r="363" ht="15.75" customHeight="1">
      <c r="A363" s="5"/>
      <c r="B363" s="5"/>
      <c r="D363" s="5"/>
    </row>
    <row r="364" ht="15.75" customHeight="1">
      <c r="A364" s="5"/>
      <c r="B364" s="5"/>
      <c r="D364" s="5"/>
    </row>
    <row r="365" ht="15.75" customHeight="1">
      <c r="A365" s="5"/>
      <c r="B365" s="5"/>
      <c r="D365" s="5"/>
    </row>
    <row r="366" ht="15.75" customHeight="1">
      <c r="A366" s="5"/>
      <c r="B366" s="5"/>
      <c r="D366" s="5"/>
    </row>
    <row r="367" ht="15.75" customHeight="1">
      <c r="A367" s="5"/>
      <c r="B367" s="5"/>
      <c r="D367" s="5"/>
    </row>
    <row r="368" ht="15.75" customHeight="1">
      <c r="A368" s="5"/>
      <c r="B368" s="5"/>
      <c r="D368" s="5"/>
    </row>
    <row r="369" ht="15.75" customHeight="1">
      <c r="A369" s="5"/>
      <c r="B369" s="5"/>
      <c r="D369" s="5"/>
    </row>
    <row r="370" ht="15.75" customHeight="1">
      <c r="A370" s="5"/>
      <c r="B370" s="5"/>
      <c r="D370" s="5"/>
    </row>
    <row r="371" ht="15.75" customHeight="1">
      <c r="A371" s="5"/>
      <c r="B371" s="5"/>
      <c r="D371" s="5"/>
    </row>
    <row r="372" ht="15.75" customHeight="1">
      <c r="A372" s="5"/>
      <c r="B372" s="5"/>
      <c r="D372" s="5"/>
    </row>
    <row r="373" ht="15.75" customHeight="1">
      <c r="A373" s="5"/>
      <c r="B373" s="5"/>
      <c r="D373" s="5"/>
    </row>
    <row r="374" ht="15.75" customHeight="1">
      <c r="A374" s="5"/>
      <c r="B374" s="5"/>
      <c r="D374" s="5"/>
    </row>
    <row r="375" ht="15.75" customHeight="1">
      <c r="A375" s="5"/>
      <c r="B375" s="5"/>
      <c r="D375" s="5"/>
    </row>
    <row r="376" ht="15.75" customHeight="1">
      <c r="A376" s="5"/>
      <c r="B376" s="5"/>
      <c r="D376" s="5"/>
    </row>
    <row r="377" ht="15.75" customHeight="1">
      <c r="A377" s="5"/>
      <c r="B377" s="5"/>
      <c r="D377" s="5"/>
    </row>
    <row r="378" ht="15.75" customHeight="1">
      <c r="A378" s="5"/>
      <c r="B378" s="5"/>
      <c r="D378" s="5"/>
    </row>
    <row r="379" ht="15.75" customHeight="1">
      <c r="A379" s="5"/>
      <c r="B379" s="5"/>
      <c r="D379" s="5"/>
    </row>
    <row r="380" ht="15.75" customHeight="1">
      <c r="A380" s="5"/>
      <c r="B380" s="5"/>
      <c r="D380" s="5"/>
    </row>
    <row r="381" ht="15.75" customHeight="1">
      <c r="A381" s="5"/>
      <c r="B381" s="5"/>
      <c r="D381" s="5"/>
    </row>
    <row r="382" ht="15.75" customHeight="1">
      <c r="A382" s="5"/>
      <c r="B382" s="5"/>
      <c r="D382" s="5"/>
    </row>
    <row r="383" ht="15.75" customHeight="1">
      <c r="A383" s="5"/>
      <c r="B383" s="5"/>
      <c r="D383" s="5"/>
    </row>
    <row r="384" ht="15.75" customHeight="1">
      <c r="A384" s="5"/>
      <c r="B384" s="5"/>
      <c r="D384" s="5"/>
    </row>
    <row r="385" ht="15.75" customHeight="1">
      <c r="A385" s="5"/>
      <c r="B385" s="5"/>
      <c r="D385" s="5"/>
    </row>
    <row r="386" ht="15.75" customHeight="1">
      <c r="A386" s="5"/>
      <c r="B386" s="5"/>
      <c r="D386" s="5"/>
    </row>
    <row r="387" ht="15.75" customHeight="1">
      <c r="A387" s="5"/>
      <c r="B387" s="5"/>
      <c r="D387" s="5"/>
    </row>
    <row r="388" ht="15.75" customHeight="1">
      <c r="A388" s="5"/>
      <c r="B388" s="5"/>
      <c r="D388" s="5"/>
    </row>
    <row r="389" ht="15.75" customHeight="1">
      <c r="A389" s="5"/>
      <c r="B389" s="5"/>
      <c r="D389" s="5"/>
    </row>
    <row r="390" ht="15.75" customHeight="1">
      <c r="A390" s="5"/>
      <c r="B390" s="5"/>
      <c r="D390" s="5"/>
    </row>
    <row r="391" ht="15.75" customHeight="1">
      <c r="A391" s="5"/>
      <c r="B391" s="5"/>
      <c r="D391" s="5"/>
    </row>
    <row r="392" ht="15.75" customHeight="1">
      <c r="A392" s="5"/>
      <c r="B392" s="5"/>
      <c r="D392" s="5"/>
    </row>
    <row r="393" ht="15.75" customHeight="1">
      <c r="A393" s="5"/>
      <c r="B393" s="5"/>
      <c r="D393" s="5"/>
    </row>
    <row r="394" ht="15.75" customHeight="1">
      <c r="A394" s="5"/>
      <c r="B394" s="5"/>
      <c r="D394" s="5"/>
    </row>
    <row r="395" ht="15.75" customHeight="1">
      <c r="A395" s="5"/>
      <c r="B395" s="5"/>
      <c r="D395" s="5"/>
    </row>
    <row r="396" ht="15.75" customHeight="1">
      <c r="A396" s="5"/>
      <c r="B396" s="5"/>
      <c r="D396" s="5"/>
    </row>
    <row r="397" ht="15.75" customHeight="1">
      <c r="A397" s="5"/>
      <c r="B397" s="5"/>
      <c r="D397" s="5"/>
    </row>
    <row r="398" ht="15.75" customHeight="1">
      <c r="A398" s="5"/>
      <c r="B398" s="5"/>
      <c r="D398" s="5"/>
    </row>
    <row r="399" ht="15.75" customHeight="1">
      <c r="A399" s="5"/>
      <c r="B399" s="5"/>
      <c r="D399" s="5"/>
    </row>
    <row r="400" ht="15.75" customHeight="1">
      <c r="A400" s="5"/>
      <c r="B400" s="5"/>
      <c r="D400" s="5"/>
    </row>
    <row r="401" ht="15.75" customHeight="1">
      <c r="A401" s="5"/>
      <c r="B401" s="5"/>
      <c r="D401" s="5"/>
    </row>
    <row r="402" ht="15.75" customHeight="1">
      <c r="A402" s="5"/>
      <c r="B402" s="5"/>
      <c r="D402" s="5"/>
    </row>
    <row r="403" ht="15.75" customHeight="1">
      <c r="A403" s="5"/>
      <c r="B403" s="5"/>
      <c r="D403" s="5"/>
    </row>
    <row r="404" ht="15.75" customHeight="1">
      <c r="A404" s="5"/>
      <c r="B404" s="5"/>
      <c r="D404" s="5"/>
    </row>
    <row r="405" ht="15.75" customHeight="1">
      <c r="A405" s="5"/>
      <c r="B405" s="5"/>
      <c r="D405" s="5"/>
    </row>
    <row r="406" ht="15.75" customHeight="1">
      <c r="A406" s="5"/>
      <c r="B406" s="5"/>
      <c r="D406" s="5"/>
    </row>
    <row r="407" ht="15.75" customHeight="1">
      <c r="A407" s="5"/>
      <c r="B407" s="5"/>
      <c r="D407" s="5"/>
    </row>
    <row r="408" ht="15.75" customHeight="1">
      <c r="A408" s="5"/>
      <c r="B408" s="5"/>
      <c r="D408" s="5"/>
    </row>
    <row r="409" ht="15.75" customHeight="1">
      <c r="A409" s="5"/>
      <c r="B409" s="5"/>
      <c r="D409" s="5"/>
    </row>
    <row r="410" ht="15.75" customHeight="1">
      <c r="A410" s="5"/>
      <c r="B410" s="5"/>
      <c r="D410" s="5"/>
    </row>
    <row r="411" ht="15.75" customHeight="1">
      <c r="A411" s="5"/>
      <c r="B411" s="5"/>
      <c r="D411" s="5"/>
    </row>
    <row r="412" ht="15.75" customHeight="1">
      <c r="A412" s="5"/>
      <c r="B412" s="5"/>
      <c r="D412" s="5"/>
    </row>
    <row r="413" ht="15.75" customHeight="1">
      <c r="A413" s="5"/>
      <c r="B413" s="5"/>
      <c r="D413" s="5"/>
    </row>
    <row r="414" ht="15.75" customHeight="1">
      <c r="A414" s="5"/>
      <c r="B414" s="5"/>
      <c r="D414" s="5"/>
    </row>
    <row r="415" ht="15.75" customHeight="1">
      <c r="A415" s="5"/>
      <c r="B415" s="5"/>
      <c r="D415" s="5"/>
    </row>
    <row r="416" ht="15.75" customHeight="1">
      <c r="A416" s="5"/>
      <c r="B416" s="5"/>
      <c r="D416" s="5"/>
    </row>
    <row r="417" ht="15.75" customHeight="1">
      <c r="A417" s="5"/>
      <c r="B417" s="5"/>
      <c r="D417" s="5"/>
    </row>
    <row r="418" ht="15.75" customHeight="1">
      <c r="A418" s="5"/>
      <c r="B418" s="5"/>
      <c r="D418" s="5"/>
    </row>
    <row r="419" ht="15.75" customHeight="1">
      <c r="A419" s="5"/>
      <c r="B419" s="5"/>
      <c r="D419" s="5"/>
    </row>
    <row r="420" ht="15.75" customHeight="1">
      <c r="A420" s="5"/>
      <c r="B420" s="5"/>
      <c r="D420" s="5"/>
    </row>
    <row r="421" ht="15.75" customHeight="1">
      <c r="A421" s="5"/>
      <c r="B421" s="5"/>
      <c r="D421" s="5"/>
    </row>
    <row r="422" ht="15.75" customHeight="1">
      <c r="A422" s="5"/>
      <c r="B422" s="5"/>
      <c r="D422" s="5"/>
    </row>
    <row r="423" ht="15.75" customHeight="1">
      <c r="A423" s="5"/>
      <c r="B423" s="5"/>
      <c r="D423" s="5"/>
    </row>
    <row r="424" ht="15.75" customHeight="1">
      <c r="A424" s="5"/>
      <c r="B424" s="5"/>
      <c r="D424" s="5"/>
    </row>
    <row r="425" ht="15.75" customHeight="1">
      <c r="A425" s="5"/>
      <c r="B425" s="5"/>
      <c r="D425" s="5"/>
    </row>
    <row r="426" ht="15.75" customHeight="1">
      <c r="A426" s="5"/>
      <c r="B426" s="5"/>
      <c r="D426" s="5"/>
    </row>
    <row r="427" ht="15.75" customHeight="1">
      <c r="A427" s="5"/>
      <c r="B427" s="5"/>
      <c r="D427" s="5"/>
    </row>
    <row r="428" ht="15.75" customHeight="1">
      <c r="A428" s="5"/>
      <c r="B428" s="5"/>
      <c r="D428" s="5"/>
    </row>
    <row r="429" ht="15.75" customHeight="1">
      <c r="A429" s="5"/>
      <c r="B429" s="5"/>
      <c r="D429" s="5"/>
    </row>
    <row r="430" ht="15.75" customHeight="1">
      <c r="A430" s="5"/>
      <c r="B430" s="5"/>
      <c r="D430" s="5"/>
    </row>
    <row r="431" ht="15.75" customHeight="1">
      <c r="A431" s="5"/>
      <c r="B431" s="5"/>
      <c r="D431" s="5"/>
    </row>
    <row r="432" ht="15.75" customHeight="1">
      <c r="A432" s="5"/>
      <c r="B432" s="5"/>
      <c r="D432" s="5"/>
    </row>
    <row r="433" ht="15.75" customHeight="1">
      <c r="A433" s="5"/>
      <c r="B433" s="5"/>
      <c r="D433" s="5"/>
    </row>
    <row r="434" ht="15.75" customHeight="1">
      <c r="A434" s="5"/>
      <c r="B434" s="5"/>
      <c r="D434" s="5"/>
    </row>
    <row r="435" ht="15.75" customHeight="1">
      <c r="A435" s="5"/>
      <c r="B435" s="5"/>
      <c r="D435" s="5"/>
    </row>
    <row r="436" ht="15.75" customHeight="1">
      <c r="A436" s="5"/>
      <c r="B436" s="5"/>
      <c r="D436" s="5"/>
    </row>
    <row r="437" ht="15.75" customHeight="1">
      <c r="A437" s="5"/>
      <c r="B437" s="5"/>
      <c r="D437" s="5"/>
    </row>
    <row r="438" ht="15.75" customHeight="1">
      <c r="A438" s="5"/>
      <c r="B438" s="5"/>
      <c r="D438" s="5"/>
    </row>
    <row r="439" ht="15.75" customHeight="1">
      <c r="A439" s="5"/>
      <c r="B439" s="5"/>
      <c r="D439" s="5"/>
    </row>
    <row r="440" ht="15.75" customHeight="1">
      <c r="A440" s="5"/>
      <c r="B440" s="5"/>
      <c r="D440" s="5"/>
    </row>
    <row r="441" ht="15.75" customHeight="1">
      <c r="A441" s="5"/>
      <c r="B441" s="5"/>
      <c r="D441" s="5"/>
    </row>
    <row r="442" ht="15.75" customHeight="1">
      <c r="A442" s="5"/>
      <c r="B442" s="5"/>
      <c r="D442" s="5"/>
    </row>
    <row r="443" ht="15.75" customHeight="1">
      <c r="A443" s="5"/>
      <c r="B443" s="5"/>
      <c r="D443" s="5"/>
    </row>
    <row r="444" ht="15.75" customHeight="1">
      <c r="A444" s="5"/>
      <c r="B444" s="5"/>
      <c r="D444" s="5"/>
    </row>
    <row r="445" ht="15.75" customHeight="1">
      <c r="A445" s="5"/>
      <c r="B445" s="5"/>
      <c r="D445" s="5"/>
    </row>
    <row r="446" ht="15.75" customHeight="1">
      <c r="A446" s="5"/>
      <c r="B446" s="5"/>
      <c r="D446" s="5"/>
    </row>
    <row r="447" ht="15.75" customHeight="1">
      <c r="A447" s="5"/>
      <c r="B447" s="5"/>
      <c r="D447" s="5"/>
    </row>
    <row r="448" ht="15.75" customHeight="1">
      <c r="A448" s="5"/>
      <c r="B448" s="5"/>
      <c r="D448" s="5"/>
    </row>
    <row r="449" ht="15.75" customHeight="1">
      <c r="A449" s="5"/>
      <c r="B449" s="5"/>
      <c r="D449" s="5"/>
    </row>
    <row r="450" ht="15.75" customHeight="1">
      <c r="A450" s="5"/>
      <c r="B450" s="5"/>
      <c r="D450" s="5"/>
    </row>
    <row r="451" ht="15.75" customHeight="1">
      <c r="A451" s="5"/>
      <c r="B451" s="5"/>
      <c r="D451" s="5"/>
    </row>
    <row r="452" ht="15.75" customHeight="1">
      <c r="A452" s="5"/>
      <c r="B452" s="5"/>
      <c r="D452" s="5"/>
    </row>
    <row r="453" ht="15.75" customHeight="1">
      <c r="A453" s="5"/>
      <c r="B453" s="5"/>
      <c r="D453" s="5"/>
    </row>
    <row r="454" ht="15.75" customHeight="1">
      <c r="A454" s="5"/>
      <c r="B454" s="5"/>
      <c r="D454" s="5"/>
    </row>
    <row r="455" ht="15.75" customHeight="1">
      <c r="A455" s="5"/>
      <c r="B455" s="5"/>
      <c r="D455" s="5"/>
    </row>
    <row r="456" ht="15.75" customHeight="1">
      <c r="A456" s="5"/>
      <c r="B456" s="5"/>
      <c r="D456" s="5"/>
    </row>
    <row r="457" ht="15.75" customHeight="1">
      <c r="A457" s="5"/>
      <c r="B457" s="5"/>
      <c r="D457" s="5"/>
    </row>
    <row r="458" ht="15.75" customHeight="1">
      <c r="A458" s="5"/>
      <c r="B458" s="5"/>
      <c r="D458" s="5"/>
    </row>
    <row r="459" ht="15.75" customHeight="1">
      <c r="A459" s="5"/>
      <c r="B459" s="5"/>
      <c r="D459" s="5"/>
    </row>
    <row r="460" ht="15.75" customHeight="1">
      <c r="A460" s="5"/>
      <c r="B460" s="5"/>
      <c r="D460" s="5"/>
    </row>
    <row r="461" ht="15.75" customHeight="1">
      <c r="A461" s="5"/>
      <c r="B461" s="5"/>
      <c r="D461" s="5"/>
    </row>
    <row r="462" ht="15.75" customHeight="1">
      <c r="A462" s="5"/>
      <c r="B462" s="5"/>
      <c r="D462" s="5"/>
    </row>
    <row r="463" ht="15.75" customHeight="1">
      <c r="A463" s="5"/>
      <c r="B463" s="5"/>
      <c r="D463" s="5"/>
    </row>
    <row r="464" ht="15.75" customHeight="1">
      <c r="A464" s="5"/>
      <c r="B464" s="5"/>
      <c r="D464" s="5"/>
    </row>
    <row r="465" ht="15.75" customHeight="1">
      <c r="A465" s="5"/>
      <c r="B465" s="5"/>
      <c r="D465" s="5"/>
    </row>
    <row r="466" ht="15.75" customHeight="1">
      <c r="A466" s="5"/>
      <c r="B466" s="5"/>
      <c r="D466" s="5"/>
    </row>
    <row r="467" ht="15.75" customHeight="1">
      <c r="A467" s="5"/>
      <c r="B467" s="5"/>
      <c r="D467" s="5"/>
    </row>
    <row r="468" ht="15.75" customHeight="1">
      <c r="A468" s="5"/>
      <c r="B468" s="5"/>
      <c r="D468" s="5"/>
    </row>
    <row r="469" ht="15.75" customHeight="1">
      <c r="A469" s="5"/>
      <c r="B469" s="5"/>
      <c r="D469" s="5"/>
    </row>
    <row r="470" ht="15.75" customHeight="1">
      <c r="A470" s="5"/>
      <c r="B470" s="5"/>
      <c r="D470" s="5"/>
    </row>
    <row r="471" ht="15.75" customHeight="1">
      <c r="A471" s="5"/>
      <c r="B471" s="5"/>
      <c r="D471" s="5"/>
    </row>
    <row r="472" ht="15.75" customHeight="1">
      <c r="A472" s="5"/>
      <c r="B472" s="5"/>
      <c r="D472" s="5"/>
    </row>
    <row r="473" ht="15.75" customHeight="1">
      <c r="A473" s="5"/>
      <c r="B473" s="5"/>
      <c r="D473" s="5"/>
    </row>
    <row r="474" ht="15.75" customHeight="1">
      <c r="A474" s="5"/>
      <c r="B474" s="5"/>
      <c r="D474" s="5"/>
    </row>
    <row r="475" ht="15.75" customHeight="1">
      <c r="A475" s="5"/>
      <c r="B475" s="5"/>
      <c r="D475" s="5"/>
    </row>
    <row r="476" ht="15.75" customHeight="1">
      <c r="A476" s="5"/>
      <c r="B476" s="5"/>
      <c r="D476" s="5"/>
    </row>
    <row r="477" ht="15.75" customHeight="1">
      <c r="A477" s="5"/>
      <c r="B477" s="5"/>
      <c r="D477" s="5"/>
    </row>
    <row r="478" ht="15.75" customHeight="1">
      <c r="A478" s="5"/>
      <c r="B478" s="5"/>
      <c r="D478" s="5"/>
    </row>
    <row r="479" ht="15.75" customHeight="1">
      <c r="A479" s="5"/>
      <c r="B479" s="5"/>
      <c r="D479" s="5"/>
    </row>
    <row r="480" ht="15.75" customHeight="1">
      <c r="A480" s="5"/>
      <c r="B480" s="5"/>
      <c r="D480" s="5"/>
    </row>
    <row r="481" ht="15.75" customHeight="1">
      <c r="A481" s="5"/>
      <c r="B481" s="5"/>
      <c r="D481" s="5"/>
    </row>
    <row r="482" ht="15.75" customHeight="1">
      <c r="A482" s="5"/>
      <c r="B482" s="5"/>
      <c r="D482" s="5"/>
    </row>
    <row r="483" ht="15.75" customHeight="1">
      <c r="A483" s="5"/>
      <c r="B483" s="5"/>
      <c r="D483" s="5"/>
    </row>
    <row r="484" ht="15.75" customHeight="1">
      <c r="A484" s="5"/>
      <c r="B484" s="5"/>
      <c r="D484" s="5"/>
    </row>
    <row r="485" ht="15.75" customHeight="1">
      <c r="A485" s="5"/>
      <c r="B485" s="5"/>
      <c r="D485" s="5"/>
    </row>
    <row r="486" ht="15.75" customHeight="1">
      <c r="A486" s="5"/>
      <c r="B486" s="5"/>
      <c r="D486" s="5"/>
    </row>
    <row r="487" ht="15.75" customHeight="1">
      <c r="A487" s="5"/>
      <c r="B487" s="5"/>
      <c r="D487" s="5"/>
    </row>
    <row r="488" ht="15.75" customHeight="1">
      <c r="A488" s="5"/>
      <c r="B488" s="5"/>
      <c r="D488" s="5"/>
    </row>
    <row r="489" ht="15.75" customHeight="1">
      <c r="A489" s="5"/>
      <c r="B489" s="5"/>
      <c r="D489" s="5"/>
    </row>
    <row r="490" ht="15.75" customHeight="1">
      <c r="A490" s="5"/>
      <c r="B490" s="5"/>
      <c r="D490" s="5"/>
    </row>
    <row r="491" ht="15.75" customHeight="1">
      <c r="A491" s="5"/>
      <c r="B491" s="5"/>
      <c r="D491" s="5"/>
    </row>
    <row r="492" ht="15.75" customHeight="1">
      <c r="A492" s="5"/>
      <c r="B492" s="5"/>
      <c r="D492" s="5"/>
    </row>
    <row r="493" ht="15.75" customHeight="1">
      <c r="A493" s="5"/>
      <c r="B493" s="5"/>
      <c r="D493" s="5"/>
    </row>
    <row r="494" ht="15.75" customHeight="1">
      <c r="A494" s="5"/>
      <c r="B494" s="5"/>
      <c r="D494" s="5"/>
    </row>
    <row r="495" ht="15.75" customHeight="1">
      <c r="A495" s="5"/>
      <c r="B495" s="5"/>
      <c r="D495" s="5"/>
    </row>
    <row r="496" ht="15.75" customHeight="1">
      <c r="A496" s="5"/>
      <c r="B496" s="5"/>
      <c r="D496" s="5"/>
    </row>
    <row r="497" ht="15.75" customHeight="1">
      <c r="A497" s="5"/>
      <c r="B497" s="5"/>
      <c r="D497" s="5"/>
    </row>
    <row r="498" ht="15.75" customHeight="1">
      <c r="A498" s="5"/>
      <c r="B498" s="5"/>
      <c r="D498" s="5"/>
    </row>
    <row r="499" ht="15.75" customHeight="1">
      <c r="A499" s="5"/>
      <c r="B499" s="5"/>
      <c r="D499" s="5"/>
    </row>
    <row r="500" ht="15.75" customHeight="1">
      <c r="A500" s="5"/>
      <c r="B500" s="5"/>
      <c r="D500" s="5"/>
    </row>
    <row r="501" ht="15.75" customHeight="1">
      <c r="A501" s="5"/>
      <c r="B501" s="5"/>
      <c r="D501" s="5"/>
    </row>
    <row r="502" ht="15.75" customHeight="1">
      <c r="A502" s="5"/>
      <c r="B502" s="5"/>
      <c r="D502" s="5"/>
    </row>
    <row r="503" ht="15.75" customHeight="1">
      <c r="A503" s="5"/>
      <c r="B503" s="5"/>
      <c r="D503" s="5"/>
    </row>
    <row r="504" ht="15.75" customHeight="1">
      <c r="A504" s="5"/>
      <c r="B504" s="5"/>
      <c r="D504" s="5"/>
    </row>
    <row r="505" ht="15.75" customHeight="1">
      <c r="A505" s="5"/>
      <c r="B505" s="5"/>
      <c r="D505" s="5"/>
    </row>
    <row r="506" ht="15.75" customHeight="1">
      <c r="A506" s="5"/>
      <c r="B506" s="5"/>
      <c r="D506" s="5"/>
    </row>
    <row r="507" ht="15.75" customHeight="1">
      <c r="A507" s="5"/>
      <c r="B507" s="5"/>
      <c r="D507" s="5"/>
    </row>
    <row r="508" ht="15.75" customHeight="1">
      <c r="A508" s="5"/>
      <c r="B508" s="5"/>
      <c r="D508" s="5"/>
    </row>
    <row r="509" ht="15.75" customHeight="1">
      <c r="A509" s="5"/>
      <c r="B509" s="5"/>
      <c r="D509" s="5"/>
    </row>
    <row r="510" ht="15.75" customHeight="1">
      <c r="A510" s="5"/>
      <c r="B510" s="5"/>
      <c r="D510" s="5"/>
    </row>
    <row r="511" ht="15.75" customHeight="1">
      <c r="A511" s="5"/>
      <c r="B511" s="5"/>
      <c r="D511" s="5"/>
    </row>
    <row r="512" ht="15.75" customHeight="1">
      <c r="A512" s="5"/>
      <c r="B512" s="5"/>
      <c r="D512" s="5"/>
    </row>
    <row r="513" ht="15.75" customHeight="1">
      <c r="A513" s="5"/>
      <c r="B513" s="5"/>
      <c r="D513" s="5"/>
    </row>
    <row r="514" ht="15.75" customHeight="1">
      <c r="A514" s="5"/>
      <c r="B514" s="5"/>
      <c r="D514" s="5"/>
    </row>
    <row r="515" ht="15.75" customHeight="1">
      <c r="A515" s="5"/>
      <c r="B515" s="5"/>
      <c r="D515" s="5"/>
    </row>
    <row r="516" ht="15.75" customHeight="1">
      <c r="A516" s="5"/>
      <c r="B516" s="5"/>
      <c r="D516" s="5"/>
    </row>
    <row r="517" ht="15.75" customHeight="1">
      <c r="A517" s="5"/>
      <c r="B517" s="5"/>
      <c r="D517" s="5"/>
    </row>
    <row r="518" ht="15.75" customHeight="1">
      <c r="A518" s="5"/>
      <c r="B518" s="5"/>
      <c r="D518" s="5"/>
    </row>
    <row r="519" ht="15.75" customHeight="1">
      <c r="A519" s="5"/>
      <c r="B519" s="5"/>
      <c r="D519" s="5"/>
    </row>
    <row r="520" ht="15.75" customHeight="1">
      <c r="A520" s="5"/>
      <c r="B520" s="5"/>
      <c r="D520" s="5"/>
    </row>
    <row r="521" ht="15.75" customHeight="1">
      <c r="A521" s="5"/>
      <c r="B521" s="5"/>
      <c r="D521" s="5"/>
    </row>
    <row r="522" ht="15.75" customHeight="1">
      <c r="A522" s="5"/>
      <c r="B522" s="5"/>
      <c r="D522" s="5"/>
    </row>
    <row r="523" ht="15.75" customHeight="1">
      <c r="A523" s="5"/>
      <c r="B523" s="5"/>
      <c r="D523" s="5"/>
    </row>
    <row r="524" ht="15.75" customHeight="1">
      <c r="A524" s="5"/>
      <c r="B524" s="5"/>
      <c r="D524" s="5"/>
    </row>
    <row r="525" ht="15.75" customHeight="1">
      <c r="A525" s="5"/>
      <c r="B525" s="5"/>
      <c r="D525" s="5"/>
    </row>
    <row r="526" ht="15.75" customHeight="1">
      <c r="A526" s="5"/>
      <c r="B526" s="5"/>
      <c r="D526" s="5"/>
    </row>
    <row r="527" ht="15.75" customHeight="1">
      <c r="A527" s="5"/>
      <c r="B527" s="5"/>
      <c r="D527" s="5"/>
    </row>
    <row r="528" ht="15.75" customHeight="1">
      <c r="A528" s="5"/>
      <c r="B528" s="5"/>
      <c r="D528" s="5"/>
    </row>
    <row r="529" ht="15.75" customHeight="1">
      <c r="A529" s="5"/>
      <c r="B529" s="5"/>
      <c r="D529" s="5"/>
    </row>
    <row r="530" ht="15.75" customHeight="1">
      <c r="A530" s="5"/>
      <c r="B530" s="5"/>
      <c r="D530" s="5"/>
    </row>
    <row r="531" ht="15.75" customHeight="1">
      <c r="A531" s="5"/>
      <c r="B531" s="5"/>
      <c r="D531" s="5"/>
    </row>
    <row r="532" ht="15.75" customHeight="1">
      <c r="A532" s="5"/>
      <c r="B532" s="5"/>
      <c r="D532" s="5"/>
    </row>
    <row r="533" ht="15.75" customHeight="1">
      <c r="A533" s="5"/>
      <c r="B533" s="5"/>
      <c r="D533" s="5"/>
    </row>
    <row r="534" ht="15.75" customHeight="1">
      <c r="A534" s="5"/>
      <c r="B534" s="5"/>
      <c r="D534" s="5"/>
    </row>
    <row r="535" ht="15.75" customHeight="1">
      <c r="A535" s="5"/>
      <c r="B535" s="5"/>
      <c r="D535" s="5"/>
    </row>
    <row r="536" ht="15.75" customHeight="1">
      <c r="A536" s="5"/>
      <c r="B536" s="5"/>
      <c r="D536" s="5"/>
    </row>
    <row r="537" ht="15.75" customHeight="1">
      <c r="A537" s="5"/>
      <c r="B537" s="5"/>
      <c r="D537" s="5"/>
    </row>
    <row r="538" ht="15.75" customHeight="1">
      <c r="A538" s="5"/>
      <c r="B538" s="5"/>
      <c r="D538" s="5"/>
    </row>
    <row r="539" ht="15.75" customHeight="1">
      <c r="A539" s="5"/>
      <c r="B539" s="5"/>
      <c r="D539" s="5"/>
    </row>
    <row r="540" ht="15.75" customHeight="1">
      <c r="A540" s="5"/>
      <c r="B540" s="5"/>
      <c r="D540" s="5"/>
    </row>
    <row r="541" ht="15.75" customHeight="1">
      <c r="A541" s="5"/>
      <c r="B541" s="5"/>
      <c r="D541" s="5"/>
    </row>
    <row r="542" ht="15.75" customHeight="1">
      <c r="A542" s="5"/>
      <c r="B542" s="5"/>
      <c r="D542" s="5"/>
    </row>
    <row r="543" ht="15.75" customHeight="1">
      <c r="A543" s="5"/>
      <c r="B543" s="5"/>
      <c r="D543" s="5"/>
    </row>
    <row r="544" ht="15.75" customHeight="1">
      <c r="A544" s="5"/>
      <c r="B544" s="5"/>
      <c r="D544" s="5"/>
    </row>
    <row r="545" ht="15.75" customHeight="1">
      <c r="A545" s="5"/>
      <c r="B545" s="5"/>
      <c r="D545" s="5"/>
    </row>
    <row r="546" ht="15.75" customHeight="1">
      <c r="A546" s="5"/>
      <c r="B546" s="5"/>
      <c r="D546" s="5"/>
    </row>
    <row r="547" ht="15.75" customHeight="1">
      <c r="A547" s="5"/>
      <c r="B547" s="5"/>
      <c r="D547" s="5"/>
    </row>
    <row r="548" ht="15.75" customHeight="1">
      <c r="A548" s="5"/>
      <c r="B548" s="5"/>
      <c r="D548" s="5"/>
    </row>
    <row r="549" ht="15.75" customHeight="1">
      <c r="A549" s="5"/>
      <c r="B549" s="5"/>
      <c r="D549" s="5"/>
    </row>
    <row r="550" ht="15.75" customHeight="1">
      <c r="A550" s="5"/>
      <c r="B550" s="5"/>
      <c r="D550" s="5"/>
    </row>
    <row r="551" ht="15.75" customHeight="1">
      <c r="A551" s="5"/>
      <c r="B551" s="5"/>
      <c r="D551" s="5"/>
    </row>
    <row r="552" ht="15.75" customHeight="1">
      <c r="A552" s="5"/>
      <c r="B552" s="5"/>
      <c r="D552" s="5"/>
    </row>
    <row r="553" ht="15.75" customHeight="1">
      <c r="A553" s="5"/>
      <c r="B553" s="5"/>
      <c r="D553" s="5"/>
    </row>
    <row r="554" ht="15.75" customHeight="1">
      <c r="A554" s="5"/>
      <c r="B554" s="5"/>
      <c r="D554" s="5"/>
    </row>
    <row r="555" ht="15.75" customHeight="1">
      <c r="A555" s="5"/>
      <c r="B555" s="5"/>
      <c r="D555" s="5"/>
    </row>
    <row r="556" ht="15.75" customHeight="1">
      <c r="A556" s="5"/>
      <c r="B556" s="5"/>
      <c r="D556" s="5"/>
    </row>
    <row r="557" ht="15.75" customHeight="1">
      <c r="A557" s="5"/>
      <c r="B557" s="5"/>
      <c r="D557" s="5"/>
    </row>
    <row r="558" ht="15.75" customHeight="1">
      <c r="A558" s="5"/>
      <c r="B558" s="5"/>
      <c r="D558" s="5"/>
    </row>
    <row r="559" ht="15.75" customHeight="1">
      <c r="A559" s="5"/>
      <c r="B559" s="5"/>
      <c r="D559" s="5"/>
    </row>
    <row r="560" ht="15.75" customHeight="1">
      <c r="A560" s="5"/>
      <c r="B560" s="5"/>
      <c r="D560" s="5"/>
    </row>
    <row r="561" ht="15.75" customHeight="1">
      <c r="A561" s="5"/>
      <c r="B561" s="5"/>
      <c r="D561" s="5"/>
    </row>
    <row r="562" ht="15.75" customHeight="1">
      <c r="A562" s="5"/>
      <c r="B562" s="5"/>
      <c r="D562" s="5"/>
    </row>
    <row r="563" ht="15.75" customHeight="1">
      <c r="A563" s="5"/>
      <c r="B563" s="5"/>
      <c r="D563" s="5"/>
    </row>
    <row r="564" ht="15.75" customHeight="1">
      <c r="A564" s="5"/>
      <c r="B564" s="5"/>
      <c r="D564" s="5"/>
    </row>
    <row r="565" ht="15.75" customHeight="1">
      <c r="A565" s="5"/>
      <c r="B565" s="5"/>
      <c r="D565" s="5"/>
    </row>
    <row r="566" ht="15.75" customHeight="1">
      <c r="A566" s="5"/>
      <c r="B566" s="5"/>
      <c r="D566" s="5"/>
    </row>
    <row r="567" ht="15.75" customHeight="1">
      <c r="A567" s="5"/>
      <c r="B567" s="5"/>
      <c r="D567" s="5"/>
    </row>
    <row r="568" ht="15.75" customHeight="1">
      <c r="A568" s="5"/>
      <c r="B568" s="5"/>
      <c r="D568" s="5"/>
    </row>
    <row r="569" ht="15.75" customHeight="1">
      <c r="A569" s="5"/>
      <c r="B569" s="5"/>
      <c r="D569" s="5"/>
    </row>
    <row r="570" ht="15.75" customHeight="1">
      <c r="A570" s="5"/>
      <c r="B570" s="5"/>
      <c r="D570" s="5"/>
    </row>
    <row r="571" ht="15.75" customHeight="1">
      <c r="A571" s="5"/>
      <c r="B571" s="5"/>
      <c r="D571" s="5"/>
    </row>
    <row r="572" ht="15.75" customHeight="1">
      <c r="A572" s="5"/>
      <c r="B572" s="5"/>
      <c r="D572" s="5"/>
    </row>
    <row r="573" ht="15.75" customHeight="1">
      <c r="A573" s="5"/>
      <c r="B573" s="5"/>
      <c r="D573" s="5"/>
    </row>
    <row r="574" ht="15.75" customHeight="1">
      <c r="A574" s="5"/>
      <c r="B574" s="5"/>
      <c r="D574" s="5"/>
    </row>
    <row r="575" ht="15.75" customHeight="1">
      <c r="A575" s="5"/>
      <c r="B575" s="5"/>
      <c r="D575" s="5"/>
    </row>
    <row r="576" ht="15.75" customHeight="1">
      <c r="A576" s="5"/>
      <c r="B576" s="5"/>
      <c r="D576" s="5"/>
    </row>
    <row r="577" ht="15.75" customHeight="1">
      <c r="A577" s="5"/>
      <c r="B577" s="5"/>
      <c r="D577" s="5"/>
    </row>
    <row r="578" ht="15.75" customHeight="1">
      <c r="A578" s="5"/>
      <c r="B578" s="5"/>
      <c r="D578" s="5"/>
    </row>
    <row r="579" ht="15.75" customHeight="1">
      <c r="A579" s="5"/>
      <c r="B579" s="5"/>
      <c r="D579" s="5"/>
    </row>
    <row r="580" ht="15.75" customHeight="1">
      <c r="A580" s="5"/>
      <c r="B580" s="5"/>
      <c r="D580" s="5"/>
    </row>
    <row r="581" ht="15.75" customHeight="1">
      <c r="A581" s="5"/>
      <c r="B581" s="5"/>
      <c r="D581" s="5"/>
    </row>
    <row r="582" ht="15.75" customHeight="1">
      <c r="A582" s="5"/>
      <c r="B582" s="5"/>
      <c r="D582" s="5"/>
    </row>
    <row r="583" ht="15.75" customHeight="1">
      <c r="A583" s="5"/>
      <c r="B583" s="5"/>
      <c r="D583" s="5"/>
    </row>
    <row r="584" ht="15.75" customHeight="1">
      <c r="A584" s="5"/>
      <c r="B584" s="5"/>
      <c r="D584" s="5"/>
    </row>
    <row r="585" ht="15.75" customHeight="1">
      <c r="A585" s="5"/>
      <c r="B585" s="5"/>
      <c r="D585" s="5"/>
    </row>
    <row r="586" ht="15.75" customHeight="1">
      <c r="A586" s="5"/>
      <c r="B586" s="5"/>
      <c r="D586" s="5"/>
    </row>
    <row r="587" ht="15.75" customHeight="1">
      <c r="A587" s="5"/>
      <c r="B587" s="5"/>
      <c r="D587" s="5"/>
    </row>
    <row r="588" ht="15.75" customHeight="1">
      <c r="A588" s="5"/>
      <c r="B588" s="5"/>
      <c r="D588" s="5"/>
    </row>
    <row r="589" ht="15.75" customHeight="1">
      <c r="A589" s="5"/>
      <c r="B589" s="5"/>
      <c r="D589" s="5"/>
    </row>
    <row r="590" ht="15.75" customHeight="1">
      <c r="A590" s="5"/>
      <c r="B590" s="5"/>
      <c r="D590" s="5"/>
    </row>
    <row r="591" ht="15.75" customHeight="1">
      <c r="A591" s="5"/>
      <c r="B591" s="5"/>
      <c r="D591" s="5"/>
    </row>
    <row r="592" ht="15.75" customHeight="1">
      <c r="A592" s="5"/>
      <c r="B592" s="5"/>
      <c r="D592" s="5"/>
    </row>
    <row r="593" ht="15.75" customHeight="1">
      <c r="A593" s="5"/>
      <c r="B593" s="5"/>
      <c r="D593" s="5"/>
    </row>
    <row r="594" ht="15.75" customHeight="1">
      <c r="A594" s="5"/>
      <c r="B594" s="5"/>
      <c r="D594" s="5"/>
    </row>
    <row r="595" ht="15.75" customHeight="1">
      <c r="A595" s="5"/>
      <c r="B595" s="5"/>
      <c r="D595" s="5"/>
    </row>
    <row r="596" ht="15.75" customHeight="1">
      <c r="A596" s="5"/>
      <c r="B596" s="5"/>
      <c r="D596" s="5"/>
    </row>
    <row r="597" ht="15.75" customHeight="1">
      <c r="A597" s="5"/>
      <c r="B597" s="5"/>
      <c r="D597" s="5"/>
    </row>
    <row r="598" ht="15.75" customHeight="1">
      <c r="A598" s="5"/>
      <c r="B598" s="5"/>
      <c r="D598" s="5"/>
    </row>
    <row r="599" ht="15.75" customHeight="1">
      <c r="A599" s="5"/>
      <c r="B599" s="5"/>
      <c r="D599" s="5"/>
    </row>
    <row r="600" ht="15.75" customHeight="1">
      <c r="A600" s="5"/>
      <c r="B600" s="5"/>
      <c r="D600" s="5"/>
    </row>
    <row r="601" ht="15.75" customHeight="1">
      <c r="A601" s="5"/>
      <c r="B601" s="5"/>
      <c r="D601" s="5"/>
    </row>
    <row r="602" ht="15.75" customHeight="1">
      <c r="A602" s="5"/>
      <c r="B602" s="5"/>
      <c r="D602" s="5"/>
    </row>
    <row r="603" ht="15.75" customHeight="1">
      <c r="A603" s="5"/>
      <c r="B603" s="5"/>
      <c r="D603" s="5"/>
    </row>
    <row r="604" ht="15.75" customHeight="1">
      <c r="A604" s="5"/>
      <c r="B604" s="5"/>
      <c r="D604" s="5"/>
    </row>
    <row r="605" ht="15.75" customHeight="1">
      <c r="A605" s="5"/>
      <c r="B605" s="5"/>
      <c r="D605" s="5"/>
    </row>
    <row r="606" ht="15.75" customHeight="1">
      <c r="A606" s="5"/>
      <c r="B606" s="5"/>
      <c r="D606" s="5"/>
    </row>
    <row r="607" ht="15.75" customHeight="1">
      <c r="A607" s="5"/>
      <c r="B607" s="5"/>
      <c r="D607" s="5"/>
    </row>
    <row r="608" ht="15.75" customHeight="1">
      <c r="A608" s="5"/>
      <c r="B608" s="5"/>
      <c r="D608" s="5"/>
    </row>
    <row r="609" ht="15.75" customHeight="1">
      <c r="A609" s="5"/>
      <c r="B609" s="5"/>
      <c r="D609" s="5"/>
    </row>
    <row r="610" ht="15.75" customHeight="1">
      <c r="A610" s="5"/>
      <c r="B610" s="5"/>
      <c r="D610" s="5"/>
    </row>
    <row r="611" ht="15.75" customHeight="1">
      <c r="A611" s="5"/>
      <c r="B611" s="5"/>
      <c r="D611" s="5"/>
    </row>
    <row r="612" ht="15.75" customHeight="1">
      <c r="A612" s="5"/>
      <c r="B612" s="5"/>
      <c r="D612" s="5"/>
    </row>
    <row r="613" ht="15.75" customHeight="1">
      <c r="A613" s="5"/>
      <c r="B613" s="5"/>
      <c r="D613" s="5"/>
    </row>
    <row r="614" ht="15.75" customHeight="1">
      <c r="A614" s="5"/>
      <c r="B614" s="5"/>
      <c r="D614" s="5"/>
    </row>
    <row r="615" ht="15.75" customHeight="1">
      <c r="A615" s="5"/>
      <c r="B615" s="5"/>
      <c r="D615" s="5"/>
    </row>
    <row r="616" ht="15.75" customHeight="1">
      <c r="A616" s="5"/>
      <c r="B616" s="5"/>
      <c r="D616" s="5"/>
    </row>
    <row r="617" ht="15.75" customHeight="1">
      <c r="A617" s="5"/>
      <c r="B617" s="5"/>
      <c r="D617" s="5"/>
    </row>
    <row r="618" ht="15.75" customHeight="1">
      <c r="A618" s="5"/>
      <c r="B618" s="5"/>
      <c r="D618" s="5"/>
    </row>
    <row r="619" ht="15.75" customHeight="1">
      <c r="A619" s="5"/>
      <c r="B619" s="5"/>
      <c r="D619" s="5"/>
    </row>
    <row r="620" ht="15.75" customHeight="1">
      <c r="A620" s="5"/>
      <c r="B620" s="5"/>
      <c r="D620" s="5"/>
    </row>
    <row r="621" ht="15.75" customHeight="1">
      <c r="A621" s="5"/>
      <c r="B621" s="5"/>
      <c r="D621" s="5"/>
    </row>
    <row r="622" ht="15.75" customHeight="1">
      <c r="A622" s="5"/>
      <c r="B622" s="5"/>
      <c r="D622" s="5"/>
    </row>
    <row r="623" ht="15.75" customHeight="1">
      <c r="A623" s="5"/>
      <c r="B623" s="5"/>
      <c r="D623" s="5"/>
    </row>
    <row r="624" ht="15.75" customHeight="1">
      <c r="A624" s="5"/>
      <c r="B624" s="5"/>
      <c r="D624" s="5"/>
    </row>
    <row r="625" ht="15.75" customHeight="1">
      <c r="A625" s="5"/>
      <c r="B625" s="5"/>
      <c r="D625" s="5"/>
    </row>
    <row r="626" ht="15.75" customHeight="1">
      <c r="A626" s="5"/>
      <c r="B626" s="5"/>
      <c r="D626" s="5"/>
    </row>
    <row r="627" ht="15.75" customHeight="1">
      <c r="A627" s="5"/>
      <c r="B627" s="5"/>
      <c r="D627" s="5"/>
    </row>
    <row r="628" ht="15.75" customHeight="1">
      <c r="A628" s="5"/>
      <c r="B628" s="5"/>
      <c r="D628" s="5"/>
    </row>
    <row r="629" ht="15.75" customHeight="1">
      <c r="A629" s="5"/>
      <c r="B629" s="5"/>
      <c r="D629" s="5"/>
    </row>
    <row r="630" ht="15.75" customHeight="1">
      <c r="A630" s="5"/>
      <c r="B630" s="5"/>
      <c r="D630" s="5"/>
    </row>
    <row r="631" ht="15.75" customHeight="1">
      <c r="A631" s="5"/>
      <c r="B631" s="5"/>
      <c r="D631" s="5"/>
    </row>
    <row r="632" ht="15.75" customHeight="1">
      <c r="A632" s="5"/>
      <c r="B632" s="5"/>
      <c r="D632" s="5"/>
    </row>
    <row r="633" ht="15.75" customHeight="1">
      <c r="A633" s="5"/>
      <c r="B633" s="5"/>
      <c r="D633" s="5"/>
    </row>
    <row r="634" ht="15.75" customHeight="1">
      <c r="A634" s="5"/>
      <c r="B634" s="5"/>
      <c r="D634" s="5"/>
    </row>
    <row r="635" ht="15.75" customHeight="1">
      <c r="A635" s="5"/>
      <c r="B635" s="5"/>
      <c r="D635" s="5"/>
    </row>
    <row r="636" ht="15.75" customHeight="1">
      <c r="A636" s="5"/>
      <c r="B636" s="5"/>
      <c r="D636" s="5"/>
    </row>
    <row r="637" ht="15.75" customHeight="1">
      <c r="A637" s="5"/>
      <c r="B637" s="5"/>
      <c r="D637" s="5"/>
    </row>
    <row r="638" ht="15.75" customHeight="1">
      <c r="A638" s="5"/>
      <c r="B638" s="5"/>
      <c r="D638" s="5"/>
    </row>
    <row r="639" ht="15.75" customHeight="1">
      <c r="A639" s="5"/>
      <c r="B639" s="5"/>
      <c r="D639" s="5"/>
    </row>
    <row r="640" ht="15.75" customHeight="1">
      <c r="A640" s="5"/>
      <c r="B640" s="5"/>
      <c r="D640" s="5"/>
    </row>
    <row r="641" ht="15.75" customHeight="1">
      <c r="A641" s="5"/>
      <c r="B641" s="5"/>
      <c r="D641" s="5"/>
    </row>
    <row r="642" ht="15.75" customHeight="1">
      <c r="A642" s="5"/>
      <c r="B642" s="5"/>
      <c r="D642" s="5"/>
    </row>
    <row r="643" ht="15.75" customHeight="1">
      <c r="A643" s="5"/>
      <c r="B643" s="5"/>
      <c r="D643" s="5"/>
    </row>
    <row r="644" ht="15.75" customHeight="1">
      <c r="A644" s="5"/>
      <c r="B644" s="5"/>
      <c r="D644" s="5"/>
    </row>
    <row r="645" ht="15.75" customHeight="1">
      <c r="A645" s="5"/>
      <c r="B645" s="5"/>
      <c r="D645" s="5"/>
    </row>
    <row r="646" ht="15.75" customHeight="1">
      <c r="A646" s="5"/>
      <c r="B646" s="5"/>
      <c r="D646" s="5"/>
    </row>
    <row r="647" ht="15.75" customHeight="1">
      <c r="A647" s="5"/>
      <c r="B647" s="5"/>
      <c r="D647" s="5"/>
    </row>
    <row r="648" ht="15.75" customHeight="1">
      <c r="A648" s="5"/>
      <c r="B648" s="5"/>
      <c r="D648" s="5"/>
    </row>
    <row r="649" ht="15.75" customHeight="1">
      <c r="A649" s="5"/>
      <c r="B649" s="5"/>
      <c r="D649" s="5"/>
    </row>
    <row r="650" ht="15.75" customHeight="1">
      <c r="A650" s="5"/>
      <c r="B650" s="5"/>
      <c r="D650" s="5"/>
    </row>
    <row r="651" ht="15.75" customHeight="1">
      <c r="A651" s="5"/>
      <c r="B651" s="5"/>
      <c r="D651" s="5"/>
    </row>
    <row r="652" ht="15.75" customHeight="1">
      <c r="A652" s="5"/>
      <c r="B652" s="5"/>
      <c r="D652" s="5"/>
    </row>
    <row r="653" ht="15.75" customHeight="1">
      <c r="A653" s="5"/>
      <c r="B653" s="5"/>
      <c r="D653" s="5"/>
    </row>
    <row r="654" ht="15.75" customHeight="1">
      <c r="A654" s="5"/>
      <c r="B654" s="5"/>
      <c r="D654" s="5"/>
    </row>
    <row r="655" ht="15.75" customHeight="1">
      <c r="A655" s="5"/>
      <c r="B655" s="5"/>
      <c r="D655" s="5"/>
    </row>
    <row r="656" ht="15.75" customHeight="1">
      <c r="A656" s="5"/>
      <c r="B656" s="5"/>
      <c r="D656" s="5"/>
    </row>
    <row r="657" ht="15.75" customHeight="1">
      <c r="A657" s="5"/>
      <c r="B657" s="5"/>
      <c r="D657" s="5"/>
    </row>
    <row r="658" ht="15.75" customHeight="1">
      <c r="A658" s="5"/>
      <c r="B658" s="5"/>
      <c r="D658" s="5"/>
    </row>
    <row r="659" ht="15.75" customHeight="1">
      <c r="A659" s="5"/>
      <c r="B659" s="5"/>
      <c r="D659" s="5"/>
    </row>
    <row r="660" ht="15.75" customHeight="1">
      <c r="A660" s="5"/>
      <c r="B660" s="5"/>
      <c r="D660" s="5"/>
    </row>
    <row r="661" ht="15.75" customHeight="1">
      <c r="A661" s="5"/>
      <c r="B661" s="5"/>
      <c r="D661" s="5"/>
    </row>
    <row r="662" ht="15.75" customHeight="1">
      <c r="A662" s="5"/>
      <c r="B662" s="5"/>
      <c r="D662" s="5"/>
    </row>
    <row r="663" ht="15.75" customHeight="1">
      <c r="A663" s="5"/>
      <c r="B663" s="5"/>
      <c r="D663" s="5"/>
    </row>
    <row r="664" ht="15.75" customHeight="1">
      <c r="A664" s="5"/>
      <c r="B664" s="5"/>
      <c r="D664" s="5"/>
    </row>
    <row r="665" ht="15.75" customHeight="1">
      <c r="A665" s="5"/>
      <c r="B665" s="5"/>
      <c r="D665" s="5"/>
    </row>
    <row r="666" ht="15.75" customHeight="1">
      <c r="A666" s="5"/>
      <c r="B666" s="5"/>
      <c r="D666" s="5"/>
    </row>
    <row r="667" ht="15.75" customHeight="1">
      <c r="A667" s="5"/>
      <c r="B667" s="5"/>
      <c r="D667" s="5"/>
    </row>
    <row r="668" ht="15.75" customHeight="1">
      <c r="A668" s="5"/>
      <c r="B668" s="5"/>
      <c r="D668" s="5"/>
    </row>
    <row r="669" ht="15.75" customHeight="1">
      <c r="A669" s="5"/>
      <c r="B669" s="5"/>
      <c r="D669" s="5"/>
    </row>
    <row r="670" ht="15.75" customHeight="1">
      <c r="A670" s="5"/>
      <c r="B670" s="5"/>
      <c r="D670" s="5"/>
    </row>
    <row r="671" ht="15.75" customHeight="1">
      <c r="A671" s="5"/>
      <c r="B671" s="5"/>
      <c r="D671" s="5"/>
    </row>
    <row r="672" ht="15.75" customHeight="1">
      <c r="A672" s="5"/>
      <c r="B672" s="5"/>
      <c r="D672" s="5"/>
    </row>
    <row r="673" ht="15.75" customHeight="1">
      <c r="A673" s="5"/>
      <c r="B673" s="5"/>
      <c r="D673" s="5"/>
    </row>
    <row r="674" ht="15.75" customHeight="1">
      <c r="A674" s="5"/>
      <c r="B674" s="5"/>
      <c r="D674" s="5"/>
    </row>
    <row r="675" ht="15.75" customHeight="1">
      <c r="A675" s="5"/>
      <c r="B675" s="5"/>
      <c r="D675" s="5"/>
    </row>
    <row r="676" ht="15.75" customHeight="1">
      <c r="A676" s="5"/>
      <c r="B676" s="5"/>
      <c r="D676" s="5"/>
    </row>
    <row r="677" ht="15.75" customHeight="1">
      <c r="A677" s="5"/>
      <c r="B677" s="5"/>
      <c r="D677" s="5"/>
    </row>
    <row r="678" ht="15.75" customHeight="1">
      <c r="A678" s="5"/>
      <c r="B678" s="5"/>
      <c r="D678" s="5"/>
    </row>
    <row r="679" ht="15.75" customHeight="1">
      <c r="A679" s="5"/>
      <c r="B679" s="5"/>
      <c r="D679" s="5"/>
    </row>
    <row r="680" ht="15.75" customHeight="1">
      <c r="A680" s="5"/>
      <c r="B680" s="5"/>
      <c r="D680" s="5"/>
    </row>
    <row r="681" ht="15.75" customHeight="1">
      <c r="A681" s="5"/>
      <c r="B681" s="5"/>
      <c r="D681" s="5"/>
    </row>
    <row r="682" ht="15.75" customHeight="1">
      <c r="A682" s="5"/>
      <c r="B682" s="5"/>
      <c r="D682" s="5"/>
    </row>
    <row r="683" ht="15.75" customHeight="1">
      <c r="A683" s="5"/>
      <c r="B683" s="5"/>
      <c r="D683" s="5"/>
    </row>
    <row r="684" ht="15.75" customHeight="1">
      <c r="A684" s="5"/>
      <c r="B684" s="5"/>
      <c r="D684" s="5"/>
    </row>
    <row r="685" ht="15.75" customHeight="1">
      <c r="A685" s="5"/>
      <c r="B685" s="5"/>
      <c r="D685" s="5"/>
    </row>
    <row r="686" ht="15.75" customHeight="1">
      <c r="A686" s="5"/>
      <c r="B686" s="5"/>
      <c r="D686" s="5"/>
    </row>
    <row r="687" ht="15.75" customHeight="1">
      <c r="A687" s="5"/>
      <c r="B687" s="5"/>
      <c r="D687" s="5"/>
    </row>
    <row r="688" ht="15.75" customHeight="1">
      <c r="A688" s="5"/>
      <c r="B688" s="5"/>
      <c r="D688" s="5"/>
    </row>
    <row r="689" ht="15.75" customHeight="1">
      <c r="A689" s="5"/>
      <c r="B689" s="5"/>
      <c r="D689" s="5"/>
    </row>
    <row r="690" ht="15.75" customHeight="1">
      <c r="A690" s="5"/>
      <c r="B690" s="5"/>
      <c r="D690" s="5"/>
    </row>
    <row r="691" ht="15.75" customHeight="1">
      <c r="A691" s="5"/>
      <c r="B691" s="5"/>
      <c r="D691" s="5"/>
    </row>
    <row r="692" ht="15.75" customHeight="1">
      <c r="A692" s="5"/>
      <c r="B692" s="5"/>
      <c r="D692" s="5"/>
    </row>
    <row r="693" ht="15.75" customHeight="1">
      <c r="A693" s="5"/>
      <c r="B693" s="5"/>
      <c r="D693" s="5"/>
    </row>
    <row r="694" ht="15.75" customHeight="1">
      <c r="A694" s="5"/>
      <c r="B694" s="5"/>
      <c r="D694" s="5"/>
    </row>
    <row r="695" ht="15.75" customHeight="1">
      <c r="A695" s="5"/>
      <c r="B695" s="5"/>
      <c r="D695" s="5"/>
    </row>
    <row r="696" ht="15.75" customHeight="1">
      <c r="A696" s="5"/>
      <c r="B696" s="5"/>
      <c r="D696" s="5"/>
    </row>
    <row r="697" ht="15.75" customHeight="1">
      <c r="A697" s="5"/>
      <c r="B697" s="5"/>
      <c r="D697" s="5"/>
    </row>
    <row r="698" ht="15.75" customHeight="1">
      <c r="A698" s="5"/>
      <c r="B698" s="5"/>
      <c r="D698" s="5"/>
    </row>
    <row r="699" ht="15.75" customHeight="1">
      <c r="A699" s="5"/>
      <c r="B699" s="5"/>
      <c r="D699" s="5"/>
    </row>
    <row r="700" ht="15.75" customHeight="1">
      <c r="A700" s="5"/>
      <c r="B700" s="5"/>
      <c r="D700" s="5"/>
    </row>
    <row r="701" ht="15.75" customHeight="1">
      <c r="A701" s="5"/>
      <c r="B701" s="5"/>
      <c r="D701" s="5"/>
    </row>
    <row r="702" ht="15.75" customHeight="1">
      <c r="A702" s="5"/>
      <c r="B702" s="5"/>
      <c r="D702" s="5"/>
    </row>
    <row r="703" ht="15.75" customHeight="1">
      <c r="A703" s="5"/>
      <c r="B703" s="5"/>
      <c r="D703" s="5"/>
    </row>
    <row r="704" ht="15.75" customHeight="1">
      <c r="A704" s="5"/>
      <c r="B704" s="5"/>
      <c r="D704" s="5"/>
    </row>
    <row r="705" ht="15.75" customHeight="1">
      <c r="A705" s="5"/>
      <c r="B705" s="5"/>
      <c r="D705" s="5"/>
    </row>
    <row r="706" ht="15.75" customHeight="1">
      <c r="A706" s="5"/>
      <c r="B706" s="5"/>
      <c r="D706" s="5"/>
    </row>
    <row r="707" ht="15.75" customHeight="1">
      <c r="A707" s="5"/>
      <c r="B707" s="5"/>
      <c r="D707" s="5"/>
    </row>
    <row r="708" ht="15.75" customHeight="1">
      <c r="A708" s="5"/>
      <c r="B708" s="5"/>
      <c r="D708" s="5"/>
    </row>
    <row r="709" ht="15.75" customHeight="1">
      <c r="A709" s="5"/>
      <c r="B709" s="5"/>
      <c r="D709" s="5"/>
    </row>
    <row r="710" ht="15.75" customHeight="1">
      <c r="A710" s="5"/>
      <c r="B710" s="5"/>
      <c r="D710" s="5"/>
    </row>
    <row r="711" ht="15.75" customHeight="1">
      <c r="A711" s="5"/>
      <c r="B711" s="5"/>
      <c r="D711" s="5"/>
    </row>
    <row r="712" ht="15.75" customHeight="1">
      <c r="A712" s="5"/>
      <c r="B712" s="5"/>
      <c r="D712" s="5"/>
    </row>
    <row r="713" ht="15.75" customHeight="1">
      <c r="A713" s="5"/>
      <c r="B713" s="5"/>
      <c r="D713" s="5"/>
    </row>
    <row r="714" ht="15.75" customHeight="1">
      <c r="A714" s="5"/>
      <c r="B714" s="5"/>
      <c r="D714" s="5"/>
    </row>
    <row r="715" ht="15.75" customHeight="1">
      <c r="A715" s="5"/>
      <c r="B715" s="5"/>
      <c r="D715" s="5"/>
    </row>
    <row r="716" ht="15.75" customHeight="1">
      <c r="A716" s="5"/>
      <c r="B716" s="5"/>
      <c r="D716" s="5"/>
    </row>
    <row r="717" ht="15.75" customHeight="1">
      <c r="A717" s="5"/>
      <c r="B717" s="5"/>
      <c r="D717" s="5"/>
    </row>
    <row r="718" ht="15.75" customHeight="1">
      <c r="A718" s="5"/>
      <c r="B718" s="5"/>
      <c r="D718" s="5"/>
    </row>
    <row r="719" ht="15.75" customHeight="1">
      <c r="A719" s="5"/>
      <c r="B719" s="5"/>
      <c r="D719" s="5"/>
    </row>
    <row r="720" ht="15.75" customHeight="1">
      <c r="A720" s="5"/>
      <c r="B720" s="5"/>
      <c r="D720" s="5"/>
    </row>
    <row r="721" ht="15.75" customHeight="1">
      <c r="A721" s="5"/>
      <c r="B721" s="5"/>
      <c r="D721" s="5"/>
    </row>
    <row r="722" ht="15.75" customHeight="1">
      <c r="A722" s="5"/>
      <c r="B722" s="5"/>
      <c r="D722" s="5"/>
    </row>
    <row r="723" ht="15.75" customHeight="1">
      <c r="A723" s="5"/>
      <c r="B723" s="5"/>
      <c r="D723" s="5"/>
    </row>
    <row r="724" ht="15.75" customHeight="1">
      <c r="A724" s="5"/>
      <c r="B724" s="5"/>
      <c r="D724" s="5"/>
    </row>
    <row r="725" ht="15.75" customHeight="1">
      <c r="A725" s="5"/>
      <c r="B725" s="5"/>
      <c r="D725" s="5"/>
    </row>
    <row r="726" ht="15.75" customHeight="1">
      <c r="A726" s="5"/>
      <c r="B726" s="5"/>
      <c r="D726" s="5"/>
    </row>
    <row r="727" ht="15.75" customHeight="1">
      <c r="A727" s="5"/>
      <c r="B727" s="5"/>
      <c r="D727" s="5"/>
    </row>
    <row r="728" ht="15.75" customHeight="1">
      <c r="A728" s="5"/>
      <c r="B728" s="5"/>
      <c r="D728" s="5"/>
    </row>
    <row r="729" ht="15.75" customHeight="1">
      <c r="A729" s="5"/>
      <c r="B729" s="5"/>
      <c r="D729" s="5"/>
    </row>
    <row r="730" ht="15.75" customHeight="1">
      <c r="A730" s="5"/>
      <c r="B730" s="5"/>
      <c r="D730" s="5"/>
    </row>
    <row r="731" ht="15.75" customHeight="1">
      <c r="A731" s="5"/>
      <c r="B731" s="5"/>
      <c r="D731" s="5"/>
    </row>
    <row r="732" ht="15.75" customHeight="1">
      <c r="A732" s="5"/>
      <c r="B732" s="5"/>
      <c r="D732" s="5"/>
    </row>
    <row r="733" ht="15.75" customHeight="1">
      <c r="A733" s="5"/>
      <c r="B733" s="5"/>
      <c r="D733" s="5"/>
    </row>
    <row r="734" ht="15.75" customHeight="1">
      <c r="A734" s="5"/>
      <c r="B734" s="5"/>
      <c r="D734" s="5"/>
    </row>
    <row r="735" ht="15.75" customHeight="1">
      <c r="A735" s="5"/>
      <c r="B735" s="5"/>
      <c r="D735" s="5"/>
    </row>
    <row r="736" ht="15.75" customHeight="1">
      <c r="A736" s="5"/>
      <c r="B736" s="5"/>
      <c r="D736" s="5"/>
    </row>
    <row r="737" ht="15.75" customHeight="1">
      <c r="A737" s="5"/>
      <c r="B737" s="5"/>
      <c r="D737" s="5"/>
    </row>
    <row r="738" ht="15.75" customHeight="1">
      <c r="A738" s="5"/>
      <c r="B738" s="5"/>
      <c r="D738" s="5"/>
    </row>
    <row r="739" ht="15.75" customHeight="1">
      <c r="A739" s="5"/>
      <c r="B739" s="5"/>
      <c r="D739" s="5"/>
    </row>
    <row r="740" ht="15.75" customHeight="1">
      <c r="A740" s="5"/>
      <c r="B740" s="5"/>
      <c r="D740" s="5"/>
    </row>
    <row r="741" ht="15.75" customHeight="1">
      <c r="A741" s="5"/>
      <c r="B741" s="5"/>
      <c r="D741" s="5"/>
    </row>
    <row r="742" ht="15.75" customHeight="1">
      <c r="A742" s="5"/>
      <c r="B742" s="5"/>
      <c r="D742" s="5"/>
    </row>
    <row r="743" ht="15.75" customHeight="1">
      <c r="A743" s="5"/>
      <c r="B743" s="5"/>
      <c r="D743" s="5"/>
    </row>
    <row r="744" ht="15.75" customHeight="1">
      <c r="A744" s="5"/>
      <c r="B744" s="5"/>
      <c r="D744" s="5"/>
    </row>
    <row r="745" ht="15.75" customHeight="1">
      <c r="A745" s="5"/>
      <c r="B745" s="5"/>
      <c r="D745" s="5"/>
    </row>
    <row r="746" ht="15.75" customHeight="1">
      <c r="A746" s="5"/>
      <c r="B746" s="5"/>
      <c r="D746" s="5"/>
    </row>
    <row r="747" ht="15.75" customHeight="1">
      <c r="A747" s="5"/>
      <c r="B747" s="5"/>
      <c r="D747" s="5"/>
    </row>
    <row r="748" ht="15.75" customHeight="1">
      <c r="A748" s="5"/>
      <c r="B748" s="5"/>
      <c r="D748" s="5"/>
    </row>
    <row r="749" ht="15.75" customHeight="1">
      <c r="A749" s="5"/>
      <c r="B749" s="5"/>
      <c r="D749" s="5"/>
    </row>
    <row r="750" ht="15.75" customHeight="1">
      <c r="A750" s="5"/>
      <c r="B750" s="5"/>
      <c r="D750" s="5"/>
    </row>
    <row r="751" ht="15.75" customHeight="1">
      <c r="A751" s="5"/>
      <c r="B751" s="5"/>
      <c r="D751" s="5"/>
    </row>
    <row r="752" ht="15.75" customHeight="1">
      <c r="A752" s="5"/>
      <c r="B752" s="5"/>
      <c r="D752" s="5"/>
    </row>
    <row r="753" ht="15.75" customHeight="1">
      <c r="A753" s="5"/>
      <c r="B753" s="5"/>
      <c r="D753" s="5"/>
    </row>
    <row r="754" ht="15.75" customHeight="1">
      <c r="A754" s="5"/>
      <c r="B754" s="5"/>
      <c r="D754" s="5"/>
    </row>
    <row r="755" ht="15.75" customHeight="1">
      <c r="A755" s="5"/>
      <c r="B755" s="5"/>
      <c r="D755" s="5"/>
    </row>
    <row r="756" ht="15.75" customHeight="1">
      <c r="A756" s="5"/>
      <c r="B756" s="5"/>
      <c r="D756" s="5"/>
    </row>
    <row r="757" ht="15.75" customHeight="1">
      <c r="A757" s="5"/>
      <c r="B757" s="5"/>
      <c r="D757" s="5"/>
    </row>
    <row r="758" ht="15.75" customHeight="1">
      <c r="A758" s="5"/>
      <c r="B758" s="5"/>
      <c r="D758" s="5"/>
    </row>
    <row r="759" ht="15.75" customHeight="1">
      <c r="A759" s="5"/>
      <c r="B759" s="5"/>
      <c r="D759" s="5"/>
    </row>
    <row r="760" ht="15.75" customHeight="1">
      <c r="A760" s="5"/>
      <c r="B760" s="5"/>
      <c r="D760" s="5"/>
    </row>
    <row r="761" ht="15.75" customHeight="1">
      <c r="A761" s="5"/>
      <c r="B761" s="5"/>
      <c r="D761" s="5"/>
    </row>
    <row r="762" ht="15.75" customHeight="1">
      <c r="A762" s="5"/>
      <c r="B762" s="5"/>
      <c r="D762" s="5"/>
    </row>
    <row r="763" ht="15.75" customHeight="1">
      <c r="A763" s="5"/>
      <c r="B763" s="5"/>
      <c r="D763" s="5"/>
    </row>
    <row r="764" ht="15.75" customHeight="1">
      <c r="A764" s="5"/>
      <c r="B764" s="5"/>
      <c r="D764" s="5"/>
    </row>
    <row r="765" ht="15.75" customHeight="1">
      <c r="A765" s="5"/>
      <c r="B765" s="5"/>
      <c r="D765" s="5"/>
    </row>
    <row r="766" ht="15.75" customHeight="1">
      <c r="A766" s="5"/>
      <c r="B766" s="5"/>
      <c r="D766" s="5"/>
    </row>
    <row r="767" ht="15.75" customHeight="1">
      <c r="A767" s="5"/>
      <c r="B767" s="5"/>
      <c r="D767" s="5"/>
    </row>
    <row r="768" ht="15.75" customHeight="1">
      <c r="A768" s="5"/>
      <c r="B768" s="5"/>
      <c r="D768" s="5"/>
    </row>
    <row r="769" ht="15.75" customHeight="1">
      <c r="A769" s="5"/>
      <c r="B769" s="5"/>
      <c r="D769" s="5"/>
    </row>
    <row r="770" ht="15.75" customHeight="1">
      <c r="A770" s="5"/>
      <c r="B770" s="5"/>
      <c r="D770" s="5"/>
    </row>
    <row r="771" ht="15.75" customHeight="1">
      <c r="A771" s="5"/>
      <c r="B771" s="5"/>
      <c r="D771" s="5"/>
    </row>
    <row r="772" ht="15.75" customHeight="1">
      <c r="A772" s="5"/>
      <c r="B772" s="5"/>
      <c r="D772" s="5"/>
    </row>
    <row r="773" ht="15.75" customHeight="1">
      <c r="A773" s="5"/>
      <c r="B773" s="5"/>
      <c r="D773" s="5"/>
    </row>
    <row r="774" ht="15.75" customHeight="1">
      <c r="A774" s="5"/>
      <c r="B774" s="5"/>
      <c r="D774" s="5"/>
    </row>
    <row r="775" ht="15.75" customHeight="1">
      <c r="A775" s="5"/>
      <c r="B775" s="5"/>
      <c r="D775" s="5"/>
    </row>
    <row r="776" ht="15.75" customHeight="1">
      <c r="A776" s="5"/>
      <c r="B776" s="5"/>
      <c r="D776" s="5"/>
    </row>
    <row r="777" ht="15.75" customHeight="1">
      <c r="A777" s="5"/>
      <c r="B777" s="5"/>
      <c r="D777" s="5"/>
    </row>
    <row r="778" ht="15.75" customHeight="1">
      <c r="A778" s="5"/>
      <c r="B778" s="5"/>
      <c r="D778" s="5"/>
    </row>
    <row r="779" ht="15.75" customHeight="1">
      <c r="A779" s="5"/>
      <c r="B779" s="5"/>
      <c r="D779" s="5"/>
    </row>
    <row r="780" ht="15.75" customHeight="1">
      <c r="A780" s="5"/>
      <c r="B780" s="5"/>
      <c r="D780" s="5"/>
    </row>
    <row r="781" ht="15.75" customHeight="1">
      <c r="A781" s="5"/>
      <c r="B781" s="5"/>
      <c r="D781" s="5"/>
    </row>
    <row r="782" ht="15.75" customHeight="1">
      <c r="A782" s="5"/>
      <c r="B782" s="5"/>
      <c r="D782" s="5"/>
    </row>
    <row r="783" ht="15.75" customHeight="1">
      <c r="A783" s="5"/>
      <c r="B783" s="5"/>
      <c r="D783" s="5"/>
    </row>
    <row r="784" ht="15.75" customHeight="1">
      <c r="A784" s="5"/>
      <c r="B784" s="5"/>
      <c r="D784" s="5"/>
    </row>
    <row r="785" ht="15.75" customHeight="1">
      <c r="A785" s="5"/>
      <c r="B785" s="5"/>
      <c r="D785" s="5"/>
    </row>
    <row r="786" ht="15.75" customHeight="1">
      <c r="A786" s="5"/>
      <c r="B786" s="5"/>
      <c r="D786" s="5"/>
    </row>
    <row r="787" ht="15.75" customHeight="1">
      <c r="A787" s="5"/>
      <c r="B787" s="5"/>
      <c r="D787" s="5"/>
    </row>
    <row r="788" ht="15.75" customHeight="1">
      <c r="A788" s="5"/>
      <c r="B788" s="5"/>
      <c r="D788" s="5"/>
    </row>
    <row r="789" ht="15.75" customHeight="1">
      <c r="A789" s="5"/>
      <c r="B789" s="5"/>
      <c r="D789" s="5"/>
    </row>
    <row r="790" ht="15.75" customHeight="1">
      <c r="A790" s="5"/>
      <c r="B790" s="5"/>
      <c r="D790" s="5"/>
    </row>
    <row r="791" ht="15.75" customHeight="1">
      <c r="A791" s="5"/>
      <c r="B791" s="5"/>
      <c r="D791" s="5"/>
    </row>
    <row r="792" ht="15.75" customHeight="1">
      <c r="A792" s="5"/>
      <c r="B792" s="5"/>
      <c r="D792" s="5"/>
    </row>
    <row r="793" ht="15.75" customHeight="1">
      <c r="A793" s="5"/>
      <c r="B793" s="5"/>
      <c r="D793" s="5"/>
    </row>
    <row r="794" ht="15.75" customHeight="1">
      <c r="A794" s="5"/>
      <c r="B794" s="5"/>
      <c r="D794" s="5"/>
    </row>
    <row r="795" ht="15.75" customHeight="1">
      <c r="A795" s="5"/>
      <c r="B795" s="5"/>
      <c r="D795" s="5"/>
    </row>
    <row r="796" ht="15.75" customHeight="1">
      <c r="A796" s="5"/>
      <c r="B796" s="5"/>
      <c r="D796" s="5"/>
    </row>
    <row r="797" ht="15.75" customHeight="1">
      <c r="A797" s="5"/>
      <c r="B797" s="5"/>
      <c r="D797" s="5"/>
    </row>
    <row r="798" ht="15.75" customHeight="1">
      <c r="A798" s="5"/>
      <c r="B798" s="5"/>
      <c r="D798" s="5"/>
    </row>
    <row r="799" ht="15.75" customHeight="1">
      <c r="A799" s="5"/>
      <c r="B799" s="5"/>
      <c r="D799" s="5"/>
    </row>
    <row r="800" ht="15.75" customHeight="1">
      <c r="A800" s="5"/>
      <c r="B800" s="5"/>
      <c r="D800" s="5"/>
    </row>
    <row r="801" ht="15.75" customHeight="1">
      <c r="A801" s="5"/>
      <c r="B801" s="5"/>
      <c r="D801" s="5"/>
    </row>
    <row r="802" ht="15.75" customHeight="1">
      <c r="A802" s="5"/>
      <c r="B802" s="5"/>
      <c r="D802" s="5"/>
    </row>
    <row r="803" ht="15.75" customHeight="1">
      <c r="A803" s="5"/>
      <c r="B803" s="5"/>
      <c r="D803" s="5"/>
    </row>
    <row r="804" ht="15.75" customHeight="1">
      <c r="A804" s="5"/>
      <c r="B804" s="5"/>
      <c r="D804" s="5"/>
    </row>
    <row r="805" ht="15.75" customHeight="1">
      <c r="A805" s="5"/>
      <c r="B805" s="5"/>
      <c r="D805" s="5"/>
    </row>
    <row r="806" ht="15.75" customHeight="1">
      <c r="A806" s="5"/>
      <c r="B806" s="5"/>
      <c r="D806" s="5"/>
    </row>
    <row r="807" ht="15.75" customHeight="1">
      <c r="A807" s="5"/>
      <c r="B807" s="5"/>
      <c r="D807" s="5"/>
    </row>
    <row r="808" ht="15.75" customHeight="1">
      <c r="A808" s="5"/>
      <c r="B808" s="5"/>
      <c r="D808" s="5"/>
    </row>
    <row r="809" ht="15.75" customHeight="1">
      <c r="A809" s="5"/>
      <c r="B809" s="5"/>
      <c r="D809" s="5"/>
    </row>
    <row r="810" ht="15.75" customHeight="1">
      <c r="A810" s="5"/>
      <c r="B810" s="5"/>
      <c r="D810" s="5"/>
    </row>
    <row r="811" ht="15.75" customHeight="1">
      <c r="A811" s="5"/>
      <c r="B811" s="5"/>
      <c r="D811" s="5"/>
    </row>
    <row r="812" ht="15.75" customHeight="1">
      <c r="A812" s="5"/>
      <c r="B812" s="5"/>
      <c r="D812" s="5"/>
    </row>
    <row r="813" ht="15.75" customHeight="1">
      <c r="A813" s="5"/>
      <c r="B813" s="5"/>
      <c r="D813" s="5"/>
    </row>
    <row r="814" ht="15.75" customHeight="1">
      <c r="A814" s="5"/>
      <c r="B814" s="5"/>
      <c r="D814" s="5"/>
    </row>
    <row r="815" ht="15.75" customHeight="1">
      <c r="A815" s="5"/>
      <c r="B815" s="5"/>
      <c r="D815" s="5"/>
    </row>
    <row r="816" ht="15.75" customHeight="1">
      <c r="A816" s="5"/>
      <c r="B816" s="5"/>
      <c r="D816" s="5"/>
    </row>
    <row r="817" ht="15.75" customHeight="1">
      <c r="A817" s="5"/>
      <c r="B817" s="5"/>
      <c r="D817" s="5"/>
    </row>
    <row r="818" ht="15.75" customHeight="1">
      <c r="A818" s="5"/>
      <c r="B818" s="5"/>
      <c r="D818" s="5"/>
    </row>
    <row r="819" ht="15.75" customHeight="1">
      <c r="A819" s="5"/>
      <c r="B819" s="5"/>
      <c r="D819" s="5"/>
    </row>
    <row r="820" ht="15.75" customHeight="1">
      <c r="A820" s="5"/>
      <c r="B820" s="5"/>
      <c r="D820" s="5"/>
    </row>
    <row r="821" ht="15.75" customHeight="1">
      <c r="A821" s="5"/>
      <c r="B821" s="5"/>
      <c r="D821" s="5"/>
    </row>
    <row r="822" ht="15.75" customHeight="1">
      <c r="A822" s="5"/>
      <c r="B822" s="5"/>
      <c r="D822" s="5"/>
    </row>
    <row r="823" ht="15.75" customHeight="1">
      <c r="A823" s="5"/>
      <c r="B823" s="5"/>
      <c r="D823" s="5"/>
    </row>
    <row r="824" ht="15.75" customHeight="1">
      <c r="A824" s="5"/>
      <c r="B824" s="5"/>
      <c r="D824" s="5"/>
    </row>
    <row r="825" ht="15.75" customHeight="1">
      <c r="A825" s="5"/>
      <c r="B825" s="5"/>
      <c r="D825" s="5"/>
    </row>
    <row r="826" ht="15.75" customHeight="1">
      <c r="A826" s="5"/>
      <c r="B826" s="5"/>
      <c r="D826" s="5"/>
    </row>
    <row r="827" ht="15.75" customHeight="1">
      <c r="A827" s="5"/>
      <c r="B827" s="5"/>
      <c r="D827" s="5"/>
    </row>
    <row r="828" ht="15.75" customHeight="1">
      <c r="A828" s="5"/>
      <c r="B828" s="5"/>
      <c r="D828" s="5"/>
    </row>
    <row r="829" ht="15.75" customHeight="1">
      <c r="A829" s="5"/>
      <c r="B829" s="5"/>
      <c r="D829" s="5"/>
    </row>
    <row r="830" ht="15.75" customHeight="1">
      <c r="A830" s="5"/>
      <c r="B830" s="5"/>
      <c r="D830" s="5"/>
    </row>
    <row r="831" ht="15.75" customHeight="1">
      <c r="A831" s="5"/>
      <c r="B831" s="5"/>
      <c r="D831" s="5"/>
    </row>
    <row r="832" ht="15.75" customHeight="1">
      <c r="A832" s="5"/>
      <c r="B832" s="5"/>
      <c r="D832" s="5"/>
    </row>
    <row r="833" ht="15.75" customHeight="1">
      <c r="A833" s="5"/>
      <c r="B833" s="5"/>
      <c r="D833" s="5"/>
    </row>
    <row r="834" ht="15.75" customHeight="1">
      <c r="A834" s="5"/>
      <c r="B834" s="5"/>
      <c r="D834" s="5"/>
    </row>
    <row r="835" ht="15.75" customHeight="1">
      <c r="A835" s="5"/>
      <c r="B835" s="5"/>
      <c r="D835" s="5"/>
    </row>
    <row r="836" ht="15.75" customHeight="1">
      <c r="A836" s="5"/>
      <c r="B836" s="5"/>
      <c r="D836" s="5"/>
    </row>
    <row r="837" ht="15.75" customHeight="1">
      <c r="A837" s="5"/>
      <c r="B837" s="5"/>
      <c r="D837" s="5"/>
    </row>
    <row r="838" ht="15.75" customHeight="1">
      <c r="A838" s="5"/>
      <c r="B838" s="5"/>
      <c r="D838" s="5"/>
    </row>
    <row r="839" ht="15.75" customHeight="1">
      <c r="A839" s="5"/>
      <c r="B839" s="5"/>
      <c r="D839" s="5"/>
    </row>
    <row r="840" ht="15.75" customHeight="1">
      <c r="A840" s="5"/>
      <c r="B840" s="5"/>
      <c r="D840" s="5"/>
    </row>
    <row r="841" ht="15.75" customHeight="1">
      <c r="A841" s="5"/>
      <c r="B841" s="5"/>
      <c r="D841" s="5"/>
    </row>
    <row r="842" ht="15.75" customHeight="1">
      <c r="A842" s="5"/>
      <c r="B842" s="5"/>
      <c r="D842" s="5"/>
    </row>
    <row r="843" ht="15.75" customHeight="1">
      <c r="A843" s="5"/>
      <c r="B843" s="5"/>
      <c r="D843" s="5"/>
    </row>
    <row r="844" ht="15.75" customHeight="1">
      <c r="A844" s="5"/>
      <c r="B844" s="5"/>
      <c r="D844" s="5"/>
    </row>
    <row r="845" ht="15.75" customHeight="1">
      <c r="A845" s="5"/>
      <c r="B845" s="5"/>
      <c r="D845" s="5"/>
    </row>
    <row r="846" ht="15.75" customHeight="1">
      <c r="A846" s="5"/>
      <c r="B846" s="5"/>
      <c r="D846" s="5"/>
    </row>
    <row r="847" ht="15.75" customHeight="1">
      <c r="A847" s="5"/>
      <c r="B847" s="5"/>
      <c r="D847" s="5"/>
    </row>
    <row r="848" ht="15.75" customHeight="1">
      <c r="A848" s="5"/>
      <c r="B848" s="5"/>
      <c r="D848" s="5"/>
    </row>
    <row r="849" ht="15.75" customHeight="1">
      <c r="A849" s="5"/>
      <c r="B849" s="5"/>
      <c r="D849" s="5"/>
    </row>
    <row r="850" ht="15.75" customHeight="1">
      <c r="A850" s="5"/>
      <c r="B850" s="5"/>
      <c r="D850" s="5"/>
    </row>
    <row r="851" ht="15.75" customHeight="1">
      <c r="A851" s="5"/>
      <c r="B851" s="5"/>
      <c r="D851" s="5"/>
    </row>
    <row r="852" ht="15.75" customHeight="1">
      <c r="A852" s="5"/>
      <c r="B852" s="5"/>
      <c r="D852" s="5"/>
    </row>
    <row r="853" ht="15.75" customHeight="1">
      <c r="A853" s="5"/>
      <c r="B853" s="5"/>
      <c r="D853" s="5"/>
    </row>
    <row r="854" ht="15.75" customHeight="1">
      <c r="A854" s="5"/>
      <c r="B854" s="5"/>
      <c r="D854" s="5"/>
    </row>
    <row r="855" ht="15.75" customHeight="1">
      <c r="A855" s="5"/>
      <c r="B855" s="5"/>
      <c r="D855" s="5"/>
    </row>
    <row r="856" ht="15.75" customHeight="1">
      <c r="A856" s="5"/>
      <c r="B856" s="5"/>
      <c r="D856" s="5"/>
    </row>
    <row r="857" ht="15.75" customHeight="1">
      <c r="A857" s="5"/>
      <c r="B857" s="5"/>
      <c r="D857" s="5"/>
    </row>
    <row r="858" ht="15.75" customHeight="1">
      <c r="A858" s="5"/>
      <c r="B858" s="5"/>
      <c r="D858" s="5"/>
    </row>
    <row r="859" ht="15.75" customHeight="1">
      <c r="A859" s="5"/>
      <c r="B859" s="5"/>
      <c r="D859" s="5"/>
    </row>
    <row r="860" ht="15.75" customHeight="1">
      <c r="A860" s="5"/>
      <c r="B860" s="5"/>
      <c r="D860" s="5"/>
    </row>
    <row r="861" ht="15.75" customHeight="1">
      <c r="A861" s="5"/>
      <c r="B861" s="5"/>
      <c r="D861" s="5"/>
    </row>
    <row r="862" ht="15.75" customHeight="1">
      <c r="A862" s="5"/>
      <c r="B862" s="5"/>
      <c r="D862" s="5"/>
    </row>
    <row r="863" ht="15.75" customHeight="1">
      <c r="A863" s="5"/>
      <c r="B863" s="5"/>
      <c r="D863" s="5"/>
    </row>
    <row r="864" ht="15.75" customHeight="1">
      <c r="A864" s="5"/>
      <c r="B864" s="5"/>
      <c r="D864" s="5"/>
    </row>
    <row r="865" ht="15.75" customHeight="1">
      <c r="A865" s="5"/>
      <c r="B865" s="5"/>
      <c r="D865" s="5"/>
    </row>
    <row r="866" ht="15.75" customHeight="1">
      <c r="A866" s="5"/>
      <c r="B866" s="5"/>
      <c r="D866" s="5"/>
    </row>
    <row r="867" ht="15.75" customHeight="1">
      <c r="A867" s="5"/>
      <c r="B867" s="5"/>
      <c r="D867" s="5"/>
    </row>
    <row r="868" ht="15.75" customHeight="1">
      <c r="A868" s="5"/>
      <c r="B868" s="5"/>
      <c r="D868" s="5"/>
    </row>
    <row r="869" ht="15.75" customHeight="1">
      <c r="A869" s="5"/>
      <c r="B869" s="5"/>
      <c r="D869" s="5"/>
    </row>
    <row r="870" ht="15.75" customHeight="1">
      <c r="A870" s="5"/>
      <c r="B870" s="5"/>
      <c r="D870" s="5"/>
    </row>
    <row r="871" ht="15.75" customHeight="1">
      <c r="A871" s="5"/>
      <c r="B871" s="5"/>
      <c r="D871" s="5"/>
    </row>
    <row r="872" ht="15.75" customHeight="1">
      <c r="A872" s="5"/>
      <c r="B872" s="5"/>
      <c r="D872" s="5"/>
    </row>
    <row r="873" ht="15.75" customHeight="1">
      <c r="A873" s="5"/>
      <c r="B873" s="5"/>
      <c r="D873" s="5"/>
    </row>
    <row r="874" ht="15.75" customHeight="1">
      <c r="A874" s="5"/>
      <c r="B874" s="5"/>
      <c r="D874" s="5"/>
    </row>
    <row r="875" ht="15.75" customHeight="1">
      <c r="A875" s="5"/>
      <c r="B875" s="5"/>
      <c r="D875" s="5"/>
    </row>
    <row r="876" ht="15.75" customHeight="1">
      <c r="A876" s="5"/>
      <c r="B876" s="5"/>
      <c r="D876" s="5"/>
    </row>
    <row r="877" ht="15.75" customHeight="1">
      <c r="A877" s="5"/>
      <c r="B877" s="5"/>
      <c r="D877" s="5"/>
    </row>
    <row r="878" ht="15.75" customHeight="1">
      <c r="A878" s="5"/>
      <c r="B878" s="5"/>
      <c r="D878" s="5"/>
    </row>
    <row r="879" ht="15.75" customHeight="1">
      <c r="A879" s="5"/>
      <c r="B879" s="5"/>
      <c r="D879" s="5"/>
    </row>
    <row r="880" ht="15.75" customHeight="1">
      <c r="A880" s="5"/>
      <c r="B880" s="5"/>
      <c r="D880" s="5"/>
    </row>
    <row r="881" ht="15.75" customHeight="1">
      <c r="A881" s="5"/>
      <c r="B881" s="5"/>
      <c r="D881" s="5"/>
    </row>
    <row r="882" ht="15.75" customHeight="1">
      <c r="A882" s="5"/>
      <c r="B882" s="5"/>
      <c r="D882" s="5"/>
    </row>
    <row r="883" ht="15.75" customHeight="1">
      <c r="A883" s="5"/>
      <c r="B883" s="5"/>
      <c r="D883" s="5"/>
    </row>
    <row r="884" ht="15.75" customHeight="1">
      <c r="A884" s="5"/>
      <c r="B884" s="5"/>
      <c r="D884" s="5"/>
    </row>
    <row r="885" ht="15.75" customHeight="1">
      <c r="A885" s="5"/>
      <c r="B885" s="5"/>
      <c r="D885" s="5"/>
    </row>
    <row r="886" ht="15.75" customHeight="1">
      <c r="A886" s="5"/>
      <c r="B886" s="5"/>
      <c r="D886" s="5"/>
    </row>
    <row r="887" ht="15.75" customHeight="1">
      <c r="A887" s="5"/>
      <c r="B887" s="5"/>
      <c r="D887" s="5"/>
    </row>
    <row r="888" ht="15.75" customHeight="1">
      <c r="A888" s="5"/>
      <c r="B888" s="5"/>
      <c r="D888" s="5"/>
    </row>
    <row r="889" ht="15.75" customHeight="1">
      <c r="A889" s="5"/>
      <c r="B889" s="5"/>
      <c r="D889" s="5"/>
    </row>
    <row r="890" ht="15.75" customHeight="1">
      <c r="A890" s="5"/>
      <c r="B890" s="5"/>
      <c r="D890" s="5"/>
    </row>
    <row r="891" ht="15.75" customHeight="1">
      <c r="A891" s="5"/>
      <c r="B891" s="5"/>
      <c r="D891" s="5"/>
    </row>
    <row r="892" ht="15.75" customHeight="1">
      <c r="A892" s="5"/>
      <c r="B892" s="5"/>
      <c r="D892" s="5"/>
    </row>
    <row r="893" ht="15.75" customHeight="1">
      <c r="A893" s="5"/>
      <c r="B893" s="5"/>
      <c r="D893" s="5"/>
    </row>
    <row r="894" ht="15.75" customHeight="1">
      <c r="A894" s="5"/>
      <c r="B894" s="5"/>
      <c r="D894" s="5"/>
    </row>
    <row r="895" ht="15.75" customHeight="1">
      <c r="A895" s="5"/>
      <c r="B895" s="5"/>
      <c r="D895" s="5"/>
    </row>
    <row r="896" ht="15.75" customHeight="1">
      <c r="A896" s="5"/>
      <c r="B896" s="5"/>
      <c r="D896" s="5"/>
    </row>
    <row r="897" ht="15.75" customHeight="1">
      <c r="A897" s="5"/>
      <c r="B897" s="5"/>
      <c r="D897" s="5"/>
    </row>
    <row r="898" ht="15.75" customHeight="1">
      <c r="A898" s="5"/>
      <c r="B898" s="5"/>
      <c r="D898" s="5"/>
    </row>
    <row r="899" ht="15.75" customHeight="1">
      <c r="A899" s="5"/>
      <c r="B899" s="5"/>
      <c r="D899" s="5"/>
    </row>
    <row r="900" ht="15.75" customHeight="1">
      <c r="A900" s="5"/>
      <c r="B900" s="5"/>
      <c r="D900" s="5"/>
    </row>
    <row r="901" ht="15.75" customHeight="1">
      <c r="A901" s="5"/>
      <c r="B901" s="5"/>
      <c r="D901" s="5"/>
    </row>
    <row r="902" ht="15.75" customHeight="1">
      <c r="A902" s="5"/>
      <c r="B902" s="5"/>
      <c r="D902" s="5"/>
    </row>
    <row r="903" ht="15.75" customHeight="1">
      <c r="A903" s="5"/>
      <c r="B903" s="5"/>
      <c r="D903" s="5"/>
    </row>
    <row r="904" ht="15.75" customHeight="1">
      <c r="A904" s="5"/>
      <c r="B904" s="5"/>
      <c r="D904" s="5"/>
    </row>
    <row r="905" ht="15.75" customHeight="1">
      <c r="A905" s="5"/>
      <c r="B905" s="5"/>
      <c r="D905" s="5"/>
    </row>
    <row r="906" ht="15.75" customHeight="1">
      <c r="A906" s="5"/>
      <c r="B906" s="5"/>
      <c r="D906" s="5"/>
    </row>
    <row r="907" ht="15.75" customHeight="1">
      <c r="A907" s="5"/>
      <c r="B907" s="5"/>
      <c r="D907" s="5"/>
    </row>
    <row r="908" ht="15.75" customHeight="1">
      <c r="A908" s="5"/>
      <c r="B908" s="5"/>
      <c r="D908" s="5"/>
    </row>
    <row r="909" ht="15.75" customHeight="1">
      <c r="A909" s="5"/>
      <c r="B909" s="5"/>
      <c r="D909" s="5"/>
    </row>
    <row r="910" ht="15.75" customHeight="1">
      <c r="A910" s="5"/>
      <c r="B910" s="5"/>
      <c r="D910" s="5"/>
    </row>
    <row r="911" ht="15.75" customHeight="1">
      <c r="A911" s="5"/>
      <c r="B911" s="5"/>
      <c r="D911" s="5"/>
    </row>
    <row r="912" ht="15.75" customHeight="1">
      <c r="A912" s="5"/>
      <c r="B912" s="5"/>
      <c r="D912" s="5"/>
    </row>
    <row r="913" ht="15.75" customHeight="1">
      <c r="A913" s="5"/>
      <c r="B913" s="5"/>
      <c r="D913" s="5"/>
    </row>
    <row r="914" ht="15.75" customHeight="1">
      <c r="A914" s="5"/>
      <c r="B914" s="5"/>
      <c r="D914" s="5"/>
    </row>
    <row r="915" ht="15.75" customHeight="1">
      <c r="A915" s="5"/>
      <c r="B915" s="5"/>
      <c r="D915" s="5"/>
    </row>
    <row r="916" ht="15.75" customHeight="1">
      <c r="A916" s="5"/>
      <c r="B916" s="5"/>
      <c r="D916" s="5"/>
    </row>
    <row r="917" ht="15.75" customHeight="1">
      <c r="A917" s="5"/>
      <c r="B917" s="5"/>
      <c r="D917" s="5"/>
    </row>
    <row r="918" ht="15.75" customHeight="1">
      <c r="A918" s="5"/>
      <c r="B918" s="5"/>
      <c r="D918" s="5"/>
    </row>
    <row r="919" ht="15.75" customHeight="1">
      <c r="A919" s="5"/>
      <c r="B919" s="5"/>
      <c r="D919" s="5"/>
    </row>
    <row r="920" ht="15.75" customHeight="1">
      <c r="A920" s="5"/>
      <c r="B920" s="5"/>
      <c r="D920" s="5"/>
    </row>
    <row r="921" ht="15.75" customHeight="1">
      <c r="A921" s="5"/>
      <c r="B921" s="5"/>
      <c r="D921" s="5"/>
    </row>
    <row r="922" ht="15.75" customHeight="1">
      <c r="A922" s="5"/>
      <c r="B922" s="5"/>
      <c r="D922" s="5"/>
    </row>
    <row r="923" ht="15.75" customHeight="1">
      <c r="A923" s="5"/>
      <c r="B923" s="5"/>
      <c r="D923" s="5"/>
    </row>
    <row r="924" ht="15.75" customHeight="1">
      <c r="A924" s="5"/>
      <c r="B924" s="5"/>
      <c r="D924" s="5"/>
    </row>
    <row r="925" ht="15.75" customHeight="1">
      <c r="A925" s="5"/>
      <c r="B925" s="5"/>
      <c r="D925" s="5"/>
    </row>
    <row r="926" ht="15.75" customHeight="1">
      <c r="A926" s="5"/>
      <c r="B926" s="5"/>
      <c r="D926" s="5"/>
    </row>
    <row r="927" ht="15.75" customHeight="1">
      <c r="A927" s="5"/>
      <c r="B927" s="5"/>
      <c r="D927" s="5"/>
    </row>
    <row r="928" ht="15.75" customHeight="1">
      <c r="A928" s="5"/>
      <c r="B928" s="5"/>
      <c r="D928" s="5"/>
    </row>
    <row r="929" ht="15.75" customHeight="1">
      <c r="A929" s="5"/>
      <c r="B929" s="5"/>
      <c r="D929" s="5"/>
    </row>
    <row r="930" ht="15.75" customHeight="1">
      <c r="A930" s="5"/>
      <c r="B930" s="5"/>
      <c r="D930" s="5"/>
    </row>
    <row r="931" ht="15.75" customHeight="1">
      <c r="A931" s="5"/>
      <c r="B931" s="5"/>
      <c r="D931" s="5"/>
    </row>
    <row r="932" ht="15.75" customHeight="1">
      <c r="A932" s="5"/>
      <c r="B932" s="5"/>
      <c r="D932" s="5"/>
    </row>
    <row r="933" ht="15.75" customHeight="1">
      <c r="A933" s="5"/>
      <c r="B933" s="5"/>
      <c r="D933" s="5"/>
    </row>
    <row r="934" ht="15.75" customHeight="1">
      <c r="A934" s="5"/>
      <c r="B934" s="5"/>
      <c r="D934" s="5"/>
    </row>
    <row r="935" ht="15.75" customHeight="1">
      <c r="A935" s="5"/>
      <c r="B935" s="5"/>
      <c r="D935" s="5"/>
    </row>
    <row r="936" ht="15.75" customHeight="1">
      <c r="A936" s="5"/>
      <c r="B936" s="5"/>
      <c r="D936" s="5"/>
    </row>
    <row r="937" ht="15.75" customHeight="1">
      <c r="A937" s="5"/>
      <c r="B937" s="5"/>
      <c r="D937" s="5"/>
    </row>
    <row r="938" ht="15.75" customHeight="1">
      <c r="A938" s="5"/>
      <c r="B938" s="5"/>
      <c r="D938" s="5"/>
    </row>
    <row r="939" ht="15.75" customHeight="1">
      <c r="A939" s="5"/>
      <c r="B939" s="5"/>
      <c r="D939" s="5"/>
    </row>
    <row r="940" ht="15.75" customHeight="1">
      <c r="A940" s="5"/>
      <c r="B940" s="5"/>
      <c r="D940" s="5"/>
    </row>
    <row r="941" ht="15.75" customHeight="1">
      <c r="A941" s="5"/>
      <c r="B941" s="5"/>
      <c r="D941" s="5"/>
    </row>
    <row r="942" ht="15.75" customHeight="1">
      <c r="A942" s="5"/>
      <c r="B942" s="5"/>
      <c r="D942" s="5"/>
    </row>
    <row r="943" ht="15.75" customHeight="1">
      <c r="A943" s="5"/>
      <c r="B943" s="5"/>
      <c r="D943" s="5"/>
    </row>
    <row r="944" ht="15.75" customHeight="1">
      <c r="A944" s="5"/>
      <c r="B944" s="5"/>
      <c r="D944" s="5"/>
    </row>
    <row r="945" ht="15.75" customHeight="1">
      <c r="A945" s="5"/>
      <c r="B945" s="5"/>
      <c r="D945" s="5"/>
    </row>
    <row r="946" ht="15.75" customHeight="1">
      <c r="A946" s="5"/>
      <c r="B946" s="5"/>
      <c r="D946" s="5"/>
    </row>
    <row r="947" ht="15.75" customHeight="1">
      <c r="A947" s="5"/>
      <c r="B947" s="5"/>
      <c r="D947" s="5"/>
    </row>
    <row r="948" ht="15.75" customHeight="1">
      <c r="A948" s="5"/>
      <c r="B948" s="5"/>
      <c r="D948" s="5"/>
    </row>
    <row r="949" ht="15.75" customHeight="1">
      <c r="A949" s="5"/>
      <c r="B949" s="5"/>
      <c r="D949" s="5"/>
    </row>
    <row r="950" ht="15.75" customHeight="1">
      <c r="A950" s="5"/>
      <c r="B950" s="5"/>
      <c r="D950" s="5"/>
    </row>
    <row r="951" ht="15.75" customHeight="1">
      <c r="A951" s="5"/>
      <c r="B951" s="5"/>
      <c r="D951" s="5"/>
    </row>
    <row r="952" ht="15.75" customHeight="1">
      <c r="A952" s="5"/>
      <c r="B952" s="5"/>
      <c r="D952" s="5"/>
    </row>
    <row r="953" ht="15.75" customHeight="1">
      <c r="A953" s="5"/>
      <c r="B953" s="5"/>
      <c r="D953" s="5"/>
    </row>
    <row r="954" ht="15.75" customHeight="1">
      <c r="A954" s="5"/>
      <c r="B954" s="5"/>
      <c r="D954" s="5"/>
    </row>
    <row r="955" ht="15.75" customHeight="1">
      <c r="A955" s="5"/>
      <c r="B955" s="5"/>
      <c r="D955" s="5"/>
    </row>
    <row r="956" ht="15.75" customHeight="1">
      <c r="A956" s="5"/>
      <c r="B956" s="5"/>
      <c r="D956" s="5"/>
    </row>
    <row r="957" ht="15.75" customHeight="1">
      <c r="A957" s="5"/>
      <c r="B957" s="5"/>
      <c r="D957" s="5"/>
    </row>
    <row r="958" ht="15.75" customHeight="1">
      <c r="A958" s="5"/>
      <c r="B958" s="5"/>
      <c r="D958" s="5"/>
    </row>
    <row r="959" ht="15.75" customHeight="1">
      <c r="A959" s="5"/>
      <c r="B959" s="5"/>
      <c r="D959" s="5"/>
    </row>
    <row r="960" ht="15.75" customHeight="1">
      <c r="A960" s="5"/>
      <c r="B960" s="5"/>
      <c r="D960" s="5"/>
    </row>
    <row r="961" ht="15.75" customHeight="1">
      <c r="A961" s="5"/>
      <c r="B961" s="5"/>
      <c r="D961" s="5"/>
    </row>
    <row r="962" ht="15.75" customHeight="1">
      <c r="A962" s="5"/>
      <c r="B962" s="5"/>
      <c r="D962" s="5"/>
    </row>
    <row r="963" ht="15.75" customHeight="1">
      <c r="A963" s="5"/>
      <c r="B963" s="5"/>
      <c r="D963" s="5"/>
    </row>
    <row r="964" ht="15.75" customHeight="1">
      <c r="A964" s="5"/>
      <c r="B964" s="5"/>
      <c r="D964" s="5"/>
    </row>
    <row r="965" ht="15.75" customHeight="1">
      <c r="A965" s="5"/>
      <c r="B965" s="5"/>
      <c r="D965" s="5"/>
    </row>
    <row r="966" ht="15.75" customHeight="1">
      <c r="A966" s="5"/>
      <c r="B966" s="5"/>
      <c r="D966" s="5"/>
    </row>
    <row r="967" ht="15.75" customHeight="1">
      <c r="A967" s="5"/>
      <c r="B967" s="5"/>
      <c r="D967" s="5"/>
    </row>
    <row r="968" ht="15.75" customHeight="1">
      <c r="A968" s="5"/>
      <c r="B968" s="5"/>
      <c r="D968" s="5"/>
    </row>
    <row r="969" ht="15.75" customHeight="1">
      <c r="A969" s="5"/>
      <c r="B969" s="5"/>
      <c r="D969" s="5"/>
    </row>
    <row r="970" ht="15.75" customHeight="1">
      <c r="A970" s="5"/>
      <c r="B970" s="5"/>
      <c r="D970" s="5"/>
    </row>
    <row r="971" ht="15.75" customHeight="1">
      <c r="A971" s="5"/>
      <c r="B971" s="5"/>
      <c r="D971" s="5"/>
    </row>
    <row r="972" ht="15.75" customHeight="1">
      <c r="A972" s="5"/>
      <c r="B972" s="5"/>
      <c r="D972" s="5"/>
    </row>
    <row r="973" ht="15.75" customHeight="1">
      <c r="A973" s="5"/>
      <c r="B973" s="5"/>
      <c r="D973" s="5"/>
    </row>
    <row r="974" ht="15.75" customHeight="1">
      <c r="A974" s="5"/>
      <c r="B974" s="5"/>
      <c r="D974" s="5"/>
    </row>
    <row r="975" ht="15.75" customHeight="1">
      <c r="A975" s="5"/>
      <c r="B975" s="5"/>
      <c r="D975" s="5"/>
    </row>
    <row r="976" ht="15.75" customHeight="1">
      <c r="A976" s="5"/>
      <c r="B976" s="5"/>
      <c r="D976" s="5"/>
    </row>
    <row r="977" ht="15.75" customHeight="1">
      <c r="A977" s="5"/>
      <c r="B977" s="5"/>
      <c r="D977" s="5"/>
    </row>
    <row r="978" ht="15.75" customHeight="1">
      <c r="A978" s="5"/>
      <c r="B978" s="5"/>
      <c r="D978" s="5"/>
    </row>
    <row r="979" ht="15.75" customHeight="1">
      <c r="A979" s="5"/>
      <c r="B979" s="5"/>
      <c r="D979" s="5"/>
    </row>
    <row r="980" ht="15.75" customHeight="1">
      <c r="A980" s="5"/>
      <c r="B980" s="5"/>
      <c r="D980" s="5"/>
    </row>
    <row r="981" ht="15.75" customHeight="1">
      <c r="A981" s="5"/>
      <c r="B981" s="5"/>
      <c r="D981" s="5"/>
    </row>
    <row r="982" ht="15.75" customHeight="1">
      <c r="A982" s="5"/>
      <c r="B982" s="5"/>
      <c r="D982" s="5"/>
    </row>
    <row r="983" ht="15.75" customHeight="1">
      <c r="A983" s="5"/>
      <c r="B983" s="5"/>
      <c r="D983" s="5"/>
    </row>
    <row r="984" ht="15.75" customHeight="1">
      <c r="A984" s="5"/>
      <c r="B984" s="5"/>
      <c r="D984" s="5"/>
    </row>
    <row r="985" ht="15.75" customHeight="1">
      <c r="A985" s="5"/>
      <c r="B985" s="5"/>
      <c r="D985" s="5"/>
    </row>
    <row r="986" ht="15.75" customHeight="1">
      <c r="A986" s="5"/>
      <c r="B986" s="5"/>
      <c r="D986" s="5"/>
    </row>
    <row r="987" ht="15.75" customHeight="1">
      <c r="A987" s="5"/>
      <c r="B987" s="5"/>
      <c r="D987" s="5"/>
    </row>
    <row r="988" ht="15.75" customHeight="1">
      <c r="A988" s="5"/>
      <c r="B988" s="5"/>
      <c r="D988" s="5"/>
    </row>
    <row r="989" ht="15.75" customHeight="1">
      <c r="A989" s="5"/>
      <c r="B989" s="5"/>
      <c r="D989" s="5"/>
    </row>
    <row r="990" ht="15.75" customHeight="1">
      <c r="A990" s="5"/>
      <c r="B990" s="5"/>
      <c r="D990" s="5"/>
    </row>
    <row r="991" ht="15.75" customHeight="1">
      <c r="A991" s="5"/>
      <c r="B991" s="5"/>
      <c r="D991" s="5"/>
    </row>
    <row r="992" ht="15.75" customHeight="1">
      <c r="A992" s="5"/>
      <c r="B992" s="5"/>
      <c r="D992" s="5"/>
    </row>
    <row r="993" ht="15.75" customHeight="1">
      <c r="A993" s="5"/>
      <c r="B993" s="5"/>
      <c r="D993" s="5"/>
    </row>
    <row r="994" ht="15.75" customHeight="1">
      <c r="A994" s="5"/>
      <c r="B994" s="5"/>
      <c r="D994" s="5"/>
    </row>
    <row r="995" ht="15.75" customHeight="1">
      <c r="A995" s="5"/>
      <c r="B995" s="5"/>
      <c r="D995" s="5"/>
    </row>
    <row r="996" ht="15.75" customHeight="1">
      <c r="A996" s="5"/>
      <c r="B996" s="5"/>
      <c r="D996" s="5"/>
    </row>
    <row r="997" ht="15.75" customHeight="1">
      <c r="A997" s="5"/>
      <c r="B997" s="5"/>
      <c r="D997" s="5"/>
    </row>
    <row r="998" ht="15.75" customHeight="1">
      <c r="A998" s="5"/>
      <c r="B998" s="5"/>
      <c r="D998" s="5"/>
    </row>
    <row r="999" ht="15.75" customHeight="1">
      <c r="A999" s="5"/>
      <c r="B999" s="5"/>
      <c r="D999" s="5"/>
    </row>
    <row r="1000" ht="15.75" customHeight="1">
      <c r="A1000" s="5"/>
      <c r="B1000" s="5"/>
      <c r="D1000" s="5"/>
    </row>
  </sheetData>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3" width="16.0"/>
    <col customWidth="1" min="4" max="4" width="22.0"/>
    <col customWidth="1" min="5" max="5" width="24.0"/>
    <col customWidth="1" min="6" max="6" width="28.0"/>
    <col customWidth="1" min="7" max="7" width="46.0"/>
    <col customWidth="1" min="8" max="8" width="70.0"/>
  </cols>
  <sheetData>
    <row r="1">
      <c r="A1" s="83" t="s">
        <v>633</v>
      </c>
      <c r="B1" s="84" t="s">
        <v>874</v>
      </c>
      <c r="C1" s="84" t="s">
        <v>875</v>
      </c>
      <c r="D1" s="84" t="s">
        <v>876</v>
      </c>
      <c r="E1" s="84" t="s">
        <v>877</v>
      </c>
      <c r="F1" s="84" t="s">
        <v>878</v>
      </c>
      <c r="G1" s="84" t="s">
        <v>879</v>
      </c>
      <c r="H1" s="84" t="s">
        <v>880</v>
      </c>
      <c r="I1" s="5"/>
      <c r="J1" s="5"/>
      <c r="K1" s="5"/>
      <c r="L1" s="5"/>
      <c r="M1" s="5"/>
      <c r="N1" s="5"/>
      <c r="O1" s="5"/>
      <c r="P1" s="5"/>
      <c r="Q1" s="5"/>
      <c r="R1" s="5"/>
      <c r="S1" s="5"/>
      <c r="T1" s="5"/>
      <c r="U1" s="5"/>
      <c r="V1" s="5"/>
      <c r="W1" s="5"/>
      <c r="X1" s="5"/>
      <c r="Y1" s="5"/>
      <c r="Z1" s="5"/>
    </row>
    <row r="2">
      <c r="A2" s="85" t="s">
        <v>121</v>
      </c>
      <c r="B2" s="86" t="s">
        <v>113</v>
      </c>
      <c r="C2" s="86" t="s">
        <v>113</v>
      </c>
      <c r="D2" s="86" t="s">
        <v>480</v>
      </c>
      <c r="E2" s="86"/>
      <c r="F2" s="86" t="s">
        <v>881</v>
      </c>
      <c r="G2" s="86" t="s">
        <v>882</v>
      </c>
      <c r="H2" s="86" t="s">
        <v>883</v>
      </c>
      <c r="I2" s="5"/>
      <c r="J2" s="5"/>
      <c r="K2" s="5"/>
      <c r="L2" s="5"/>
      <c r="M2" s="5"/>
      <c r="N2" s="5"/>
      <c r="O2" s="5"/>
      <c r="P2" s="5"/>
      <c r="Q2" s="5"/>
      <c r="R2" s="5"/>
      <c r="S2" s="5"/>
      <c r="T2" s="5"/>
      <c r="U2" s="5"/>
      <c r="V2" s="5"/>
      <c r="W2" s="5"/>
      <c r="X2" s="5"/>
      <c r="Y2" s="5"/>
      <c r="Z2" s="5"/>
    </row>
    <row r="3">
      <c r="A3" s="85" t="s">
        <v>123</v>
      </c>
      <c r="B3" s="86" t="s">
        <v>113</v>
      </c>
      <c r="C3" s="86" t="s">
        <v>125</v>
      </c>
      <c r="D3" s="86" t="s">
        <v>480</v>
      </c>
      <c r="E3" s="86"/>
      <c r="F3" s="86" t="s">
        <v>884</v>
      </c>
      <c r="G3" s="86" t="s">
        <v>885</v>
      </c>
      <c r="H3" s="86" t="s">
        <v>886</v>
      </c>
      <c r="I3" s="5"/>
      <c r="J3" s="5"/>
      <c r="K3" s="5"/>
      <c r="L3" s="5"/>
      <c r="M3" s="5"/>
      <c r="N3" s="5"/>
      <c r="O3" s="5"/>
      <c r="P3" s="5"/>
      <c r="Q3" s="5"/>
      <c r="R3" s="5"/>
      <c r="S3" s="5"/>
      <c r="T3" s="5"/>
      <c r="U3" s="5"/>
      <c r="V3" s="5"/>
      <c r="W3" s="5"/>
      <c r="X3" s="5"/>
      <c r="Y3" s="5"/>
      <c r="Z3" s="5"/>
    </row>
    <row r="4">
      <c r="A4" s="85" t="s">
        <v>132</v>
      </c>
      <c r="B4" s="86" t="s">
        <v>113</v>
      </c>
      <c r="C4" s="86" t="s">
        <v>113</v>
      </c>
      <c r="D4" s="86" t="s">
        <v>480</v>
      </c>
      <c r="E4" s="86"/>
      <c r="F4" s="86" t="s">
        <v>881</v>
      </c>
      <c r="G4" s="86" t="s">
        <v>887</v>
      </c>
      <c r="H4" s="86" t="s">
        <v>888</v>
      </c>
      <c r="I4" s="5"/>
      <c r="J4" s="5"/>
      <c r="K4" s="5"/>
      <c r="L4" s="5"/>
      <c r="M4" s="5"/>
      <c r="N4" s="5"/>
      <c r="O4" s="5"/>
      <c r="P4" s="5"/>
      <c r="Q4" s="5"/>
      <c r="R4" s="5"/>
      <c r="S4" s="5"/>
      <c r="T4" s="5"/>
      <c r="U4" s="5"/>
      <c r="V4" s="5"/>
      <c r="W4" s="5"/>
      <c r="X4" s="5"/>
      <c r="Y4" s="5"/>
      <c r="Z4" s="5"/>
    </row>
    <row r="5">
      <c r="A5" s="85" t="s">
        <v>160</v>
      </c>
      <c r="B5" s="86" t="s">
        <v>113</v>
      </c>
      <c r="C5" s="86" t="s">
        <v>101</v>
      </c>
      <c r="D5" s="86" t="s">
        <v>889</v>
      </c>
      <c r="E5" s="86" t="s">
        <v>162</v>
      </c>
      <c r="F5" s="86"/>
      <c r="G5" s="86" t="s">
        <v>890</v>
      </c>
      <c r="H5" s="86" t="s">
        <v>891</v>
      </c>
      <c r="I5" s="5"/>
      <c r="J5" s="5"/>
      <c r="K5" s="5"/>
      <c r="L5" s="5"/>
      <c r="M5" s="5"/>
      <c r="N5" s="5"/>
      <c r="O5" s="5"/>
      <c r="P5" s="5"/>
      <c r="Q5" s="5"/>
      <c r="R5" s="5"/>
      <c r="S5" s="5"/>
      <c r="T5" s="5"/>
      <c r="U5" s="5"/>
      <c r="V5" s="5"/>
      <c r="W5" s="5"/>
      <c r="X5" s="5"/>
      <c r="Y5" s="5"/>
      <c r="Z5" s="5"/>
    </row>
    <row r="6">
      <c r="A6" s="85" t="s">
        <v>175</v>
      </c>
      <c r="B6" s="86" t="s">
        <v>113</v>
      </c>
      <c r="C6" s="86" t="s">
        <v>125</v>
      </c>
      <c r="D6" s="86" t="s">
        <v>480</v>
      </c>
      <c r="E6" s="86"/>
      <c r="F6" s="86" t="s">
        <v>884</v>
      </c>
      <c r="G6" s="86" t="s">
        <v>892</v>
      </c>
      <c r="H6" s="86" t="s">
        <v>893</v>
      </c>
      <c r="I6" s="5"/>
      <c r="J6" s="5"/>
      <c r="K6" s="5"/>
      <c r="L6" s="5"/>
      <c r="M6" s="5"/>
      <c r="N6" s="5"/>
      <c r="O6" s="5"/>
      <c r="P6" s="5"/>
      <c r="Q6" s="5"/>
      <c r="R6" s="5"/>
      <c r="S6" s="5"/>
      <c r="T6" s="5"/>
      <c r="U6" s="5"/>
      <c r="V6" s="5"/>
      <c r="W6" s="5"/>
      <c r="X6" s="5"/>
      <c r="Y6" s="5"/>
      <c r="Z6" s="5"/>
    </row>
    <row r="7">
      <c r="A7" s="85" t="s">
        <v>191</v>
      </c>
      <c r="B7" s="86" t="s">
        <v>113</v>
      </c>
      <c r="C7" s="86" t="s">
        <v>101</v>
      </c>
      <c r="D7" s="86" t="s">
        <v>889</v>
      </c>
      <c r="E7" s="86" t="s">
        <v>193</v>
      </c>
      <c r="F7" s="86"/>
      <c r="G7" s="86" t="s">
        <v>894</v>
      </c>
      <c r="H7" s="86" t="s">
        <v>895</v>
      </c>
      <c r="I7" s="5"/>
      <c r="J7" s="5"/>
      <c r="K7" s="5"/>
      <c r="L7" s="5"/>
      <c r="M7" s="5"/>
      <c r="N7" s="5"/>
      <c r="O7" s="5"/>
      <c r="P7" s="5"/>
      <c r="Q7" s="5"/>
      <c r="R7" s="5"/>
      <c r="S7" s="5"/>
      <c r="T7" s="5"/>
      <c r="U7" s="5"/>
      <c r="V7" s="5"/>
      <c r="W7" s="5"/>
      <c r="X7" s="5"/>
      <c r="Y7" s="5"/>
      <c r="Z7" s="5"/>
    </row>
    <row r="8">
      <c r="A8" s="85" t="s">
        <v>197</v>
      </c>
      <c r="B8" s="86" t="s">
        <v>113</v>
      </c>
      <c r="C8" s="86" t="s">
        <v>125</v>
      </c>
      <c r="D8" s="86" t="s">
        <v>480</v>
      </c>
      <c r="E8" s="86"/>
      <c r="F8" s="86" t="s">
        <v>884</v>
      </c>
      <c r="G8" s="86" t="s">
        <v>896</v>
      </c>
      <c r="H8" s="86" t="s">
        <v>897</v>
      </c>
      <c r="I8" s="5"/>
      <c r="J8" s="5"/>
      <c r="K8" s="5"/>
      <c r="L8" s="5"/>
      <c r="M8" s="5"/>
      <c r="N8" s="5"/>
      <c r="O8" s="5"/>
      <c r="P8" s="5"/>
      <c r="Q8" s="5"/>
      <c r="R8" s="5"/>
      <c r="S8" s="5"/>
      <c r="T8" s="5"/>
      <c r="U8" s="5"/>
      <c r="V8" s="5"/>
      <c r="W8" s="5"/>
      <c r="X8" s="5"/>
      <c r="Y8" s="5"/>
      <c r="Z8" s="5"/>
    </row>
    <row r="9">
      <c r="A9" s="85" t="s">
        <v>235</v>
      </c>
      <c r="B9" s="86" t="s">
        <v>125</v>
      </c>
      <c r="C9" s="86" t="s">
        <v>125</v>
      </c>
      <c r="D9" s="86" t="s">
        <v>898</v>
      </c>
      <c r="E9" s="86"/>
      <c r="F9" s="86"/>
      <c r="G9" s="86" t="s">
        <v>899</v>
      </c>
      <c r="H9" s="86" t="s">
        <v>900</v>
      </c>
      <c r="I9" s="5"/>
      <c r="J9" s="5"/>
      <c r="K9" s="5"/>
      <c r="L9" s="5"/>
      <c r="M9" s="5"/>
      <c r="N9" s="5"/>
      <c r="O9" s="5"/>
      <c r="P9" s="5"/>
      <c r="Q9" s="5"/>
      <c r="R9" s="5"/>
      <c r="S9" s="5"/>
      <c r="T9" s="5"/>
      <c r="U9" s="5"/>
      <c r="V9" s="5"/>
      <c r="W9" s="5"/>
      <c r="X9" s="5"/>
      <c r="Y9" s="5"/>
      <c r="Z9" s="5"/>
    </row>
    <row r="10">
      <c r="A10" s="85" t="s">
        <v>254</v>
      </c>
      <c r="B10" s="86" t="s">
        <v>125</v>
      </c>
      <c r="C10" s="86" t="s">
        <v>125</v>
      </c>
      <c r="D10" s="86" t="s">
        <v>901</v>
      </c>
      <c r="E10" s="86"/>
      <c r="F10" s="86"/>
      <c r="G10" s="86" t="s">
        <v>902</v>
      </c>
      <c r="H10" s="86" t="s">
        <v>900</v>
      </c>
      <c r="I10" s="5"/>
      <c r="J10" s="5"/>
      <c r="K10" s="5"/>
      <c r="L10" s="5"/>
      <c r="M10" s="5"/>
      <c r="N10" s="5"/>
      <c r="O10" s="5"/>
      <c r="P10" s="5"/>
      <c r="Q10" s="5"/>
      <c r="R10" s="5"/>
      <c r="S10" s="5"/>
      <c r="T10" s="5"/>
      <c r="U10" s="5"/>
      <c r="V10" s="5"/>
      <c r="W10" s="5"/>
      <c r="X10" s="5"/>
      <c r="Y10" s="5"/>
      <c r="Z10" s="5"/>
    </row>
    <row r="11">
      <c r="A11" s="5" t="s">
        <v>903</v>
      </c>
      <c r="B11" s="5" t="s">
        <v>113</v>
      </c>
      <c r="C11" s="5" t="s">
        <v>904</v>
      </c>
      <c r="D11" s="5" t="s">
        <v>905</v>
      </c>
      <c r="E11" s="5"/>
      <c r="F11" s="5"/>
      <c r="G11" s="5" t="s">
        <v>906</v>
      </c>
      <c r="H11" s="5" t="s">
        <v>907</v>
      </c>
      <c r="I11" s="5"/>
      <c r="J11" s="5"/>
      <c r="K11" s="5"/>
      <c r="L11" s="5"/>
      <c r="M11" s="5"/>
      <c r="N11" s="5"/>
      <c r="O11" s="5"/>
      <c r="P11" s="5"/>
      <c r="Q11" s="5"/>
      <c r="R11" s="5"/>
      <c r="S11" s="5"/>
      <c r="T11" s="5"/>
      <c r="U11" s="5"/>
      <c r="V11" s="5"/>
      <c r="W11" s="5"/>
      <c r="X11" s="5"/>
      <c r="Y11" s="5"/>
      <c r="Z11" s="5"/>
    </row>
    <row r="12">
      <c r="A12" s="5" t="s">
        <v>908</v>
      </c>
      <c r="B12" s="5" t="s">
        <v>101</v>
      </c>
      <c r="C12" s="5" t="s">
        <v>904</v>
      </c>
      <c r="D12" s="5" t="s">
        <v>905</v>
      </c>
      <c r="E12" s="5" t="s">
        <v>909</v>
      </c>
      <c r="F12" s="5"/>
      <c r="G12" s="5" t="s">
        <v>910</v>
      </c>
      <c r="H12" s="5"/>
      <c r="I12" s="5"/>
      <c r="J12" s="5"/>
      <c r="K12" s="5"/>
      <c r="L12" s="5"/>
      <c r="M12" s="5"/>
      <c r="N12" s="5"/>
      <c r="O12" s="5"/>
      <c r="P12" s="5"/>
      <c r="Q12" s="5"/>
      <c r="R12" s="5"/>
      <c r="S12" s="5"/>
      <c r="T12" s="5"/>
      <c r="U12" s="5"/>
      <c r="V12" s="5"/>
      <c r="W12" s="5"/>
      <c r="X12" s="5"/>
      <c r="Y12" s="5"/>
      <c r="Z12" s="5"/>
    </row>
    <row r="13">
      <c r="A13" s="5" t="s">
        <v>911</v>
      </c>
      <c r="B13" s="5" t="s">
        <v>113</v>
      </c>
      <c r="C13" s="5" t="s">
        <v>904</v>
      </c>
      <c r="D13" s="5" t="s">
        <v>905</v>
      </c>
      <c r="E13" s="5" t="s">
        <v>912</v>
      </c>
      <c r="F13" s="5"/>
      <c r="G13" s="5" t="s">
        <v>910</v>
      </c>
      <c r="H13" s="5"/>
      <c r="I13" s="5"/>
      <c r="J13" s="5"/>
      <c r="K13" s="5"/>
      <c r="L13" s="5"/>
      <c r="M13" s="5"/>
      <c r="N13" s="5"/>
      <c r="O13" s="5"/>
      <c r="P13" s="5"/>
      <c r="Q13" s="5"/>
      <c r="R13" s="5"/>
      <c r="S13" s="5"/>
      <c r="T13" s="5"/>
      <c r="U13" s="5"/>
      <c r="V13" s="5"/>
      <c r="W13" s="5"/>
      <c r="X13" s="5"/>
      <c r="Y13" s="5"/>
      <c r="Z13" s="5"/>
    </row>
    <row r="14">
      <c r="A14" s="5" t="s">
        <v>241</v>
      </c>
      <c r="B14" s="5" t="s">
        <v>113</v>
      </c>
      <c r="C14" s="5" t="s">
        <v>113</v>
      </c>
      <c r="D14" s="5" t="s">
        <v>480</v>
      </c>
      <c r="E14" s="5"/>
      <c r="F14" s="5" t="s">
        <v>881</v>
      </c>
      <c r="G14" s="5" t="s">
        <v>913</v>
      </c>
      <c r="H14" s="5" t="s">
        <v>914</v>
      </c>
      <c r="I14" s="5"/>
      <c r="J14" s="5"/>
      <c r="K14" s="5"/>
      <c r="L14" s="5"/>
      <c r="M14" s="5"/>
      <c r="N14" s="5"/>
      <c r="O14" s="5"/>
      <c r="P14" s="5"/>
      <c r="Q14" s="5"/>
      <c r="R14" s="5"/>
      <c r="S14" s="5"/>
      <c r="T14" s="5"/>
      <c r="U14" s="5"/>
      <c r="V14" s="5"/>
      <c r="W14" s="5"/>
      <c r="X14" s="5"/>
      <c r="Y14" s="5"/>
      <c r="Z14" s="5"/>
    </row>
    <row r="15">
      <c r="A15" s="5" t="s">
        <v>265</v>
      </c>
      <c r="B15" s="5" t="s">
        <v>915</v>
      </c>
      <c r="C15" s="5" t="s">
        <v>113</v>
      </c>
      <c r="D15" s="5" t="s">
        <v>901</v>
      </c>
      <c r="E15" s="5"/>
      <c r="F15" s="5"/>
      <c r="G15" s="5" t="s">
        <v>916</v>
      </c>
      <c r="H15" s="5"/>
      <c r="I15" s="5"/>
      <c r="J15" s="5"/>
      <c r="K15" s="5"/>
      <c r="L15" s="5"/>
      <c r="M15" s="5"/>
      <c r="N15" s="5"/>
      <c r="O15" s="5"/>
      <c r="P15" s="5"/>
      <c r="Q15" s="5"/>
      <c r="R15" s="5"/>
      <c r="S15" s="5"/>
      <c r="T15" s="5"/>
      <c r="U15" s="5"/>
      <c r="V15" s="5"/>
      <c r="W15" s="5"/>
      <c r="X15" s="5"/>
      <c r="Y15" s="5"/>
      <c r="Z15" s="5"/>
    </row>
    <row r="16">
      <c r="A16" s="5"/>
      <c r="B16" s="5"/>
      <c r="C16" s="5"/>
      <c r="D16" s="5"/>
      <c r="E16" s="5"/>
      <c r="F16" s="5"/>
      <c r="G16" s="5"/>
      <c r="H16" s="5"/>
      <c r="I16" s="5"/>
      <c r="J16" s="5"/>
      <c r="K16" s="5"/>
      <c r="L16" s="5"/>
      <c r="M16" s="5"/>
      <c r="N16" s="5"/>
      <c r="O16" s="5"/>
      <c r="P16" s="5"/>
      <c r="Q16" s="5"/>
      <c r="R16" s="5"/>
      <c r="S16" s="5"/>
      <c r="T16" s="5"/>
      <c r="U16" s="5"/>
      <c r="V16" s="5"/>
      <c r="W16" s="5"/>
      <c r="X16" s="5"/>
      <c r="Y16" s="5"/>
      <c r="Z16" s="5"/>
    </row>
    <row r="17">
      <c r="A17" s="5"/>
      <c r="B17" s="5"/>
      <c r="C17" s="5"/>
      <c r="D17" s="5"/>
      <c r="E17" s="5"/>
      <c r="F17" s="5"/>
      <c r="G17" s="5"/>
      <c r="H17" s="5"/>
      <c r="I17" s="5"/>
      <c r="J17" s="5"/>
      <c r="K17" s="5"/>
      <c r="L17" s="5"/>
      <c r="M17" s="5"/>
      <c r="N17" s="5"/>
      <c r="O17" s="5"/>
      <c r="P17" s="5"/>
      <c r="Q17" s="5"/>
      <c r="R17" s="5"/>
      <c r="S17" s="5"/>
      <c r="T17" s="5"/>
      <c r="U17" s="5"/>
      <c r="V17" s="5"/>
      <c r="W17" s="5"/>
      <c r="X17" s="5"/>
      <c r="Y17" s="5"/>
      <c r="Z17" s="5"/>
    </row>
    <row r="18">
      <c r="A18" s="5"/>
      <c r="B18" s="5"/>
      <c r="C18" s="5"/>
      <c r="D18" s="5"/>
      <c r="E18" s="5"/>
      <c r="F18" s="5"/>
      <c r="G18" s="5"/>
      <c r="H18" s="5"/>
      <c r="I18" s="5"/>
      <c r="J18" s="5"/>
      <c r="K18" s="5"/>
      <c r="L18" s="5"/>
      <c r="M18" s="5"/>
      <c r="N18" s="5"/>
      <c r="O18" s="5"/>
      <c r="P18" s="5"/>
      <c r="Q18" s="5"/>
      <c r="R18" s="5"/>
      <c r="S18" s="5"/>
      <c r="T18" s="5"/>
      <c r="U18" s="5"/>
      <c r="V18" s="5"/>
      <c r="W18" s="5"/>
      <c r="X18" s="5"/>
      <c r="Y18" s="5"/>
      <c r="Z18" s="5"/>
    </row>
    <row r="19">
      <c r="A19" s="5"/>
      <c r="B19" s="5"/>
      <c r="C19" s="5"/>
      <c r="D19" s="5"/>
      <c r="E19" s="5"/>
      <c r="F19" s="5"/>
      <c r="G19" s="5"/>
      <c r="H19" s="5"/>
      <c r="I19" s="5"/>
      <c r="J19" s="5"/>
      <c r="K19" s="5"/>
      <c r="L19" s="5"/>
      <c r="M19" s="5"/>
      <c r="N19" s="5"/>
      <c r="O19" s="5"/>
      <c r="P19" s="5"/>
      <c r="Q19" s="5"/>
      <c r="R19" s="5"/>
      <c r="S19" s="5"/>
      <c r="T19" s="5"/>
      <c r="U19" s="5"/>
      <c r="V19" s="5"/>
      <c r="W19" s="5"/>
      <c r="X19" s="5"/>
      <c r="Y19" s="5"/>
      <c r="Z19" s="5"/>
    </row>
    <row r="20">
      <c r="A20" s="5"/>
      <c r="B20" s="5"/>
      <c r="C20" s="5"/>
      <c r="D20" s="5"/>
      <c r="E20" s="5"/>
      <c r="F20" s="5"/>
      <c r="G20" s="5"/>
      <c r="H20" s="5"/>
      <c r="I20" s="5"/>
      <c r="J20" s="5"/>
      <c r="K20" s="5"/>
      <c r="L20" s="5"/>
      <c r="M20" s="5"/>
      <c r="N20" s="5"/>
      <c r="O20" s="5"/>
      <c r="P20" s="5"/>
      <c r="Q20" s="5"/>
      <c r="R20" s="5"/>
      <c r="S20" s="5"/>
      <c r="T20" s="5"/>
      <c r="U20" s="5"/>
      <c r="V20" s="5"/>
      <c r="W20" s="5"/>
      <c r="X20" s="5"/>
      <c r="Y20" s="5"/>
      <c r="Z20" s="5"/>
    </row>
    <row r="21" ht="15.75" customHeight="1">
      <c r="A21" s="5"/>
      <c r="B21" s="5"/>
      <c r="C21" s="5"/>
      <c r="D21" s="5"/>
      <c r="E21" s="5"/>
      <c r="F21" s="5"/>
      <c r="G21" s="5"/>
      <c r="H21" s="5"/>
      <c r="I21" s="5"/>
      <c r="J21" s="5"/>
      <c r="K21" s="5"/>
      <c r="L21" s="5"/>
      <c r="M21" s="5"/>
      <c r="N21" s="5"/>
      <c r="O21" s="5"/>
      <c r="P21" s="5"/>
      <c r="Q21" s="5"/>
      <c r="R21" s="5"/>
      <c r="S21" s="5"/>
      <c r="T21" s="5"/>
      <c r="U21" s="5"/>
      <c r="V21" s="5"/>
      <c r="W21" s="5"/>
      <c r="X21" s="5"/>
      <c r="Y21" s="5"/>
      <c r="Z21" s="5"/>
    </row>
    <row r="22" ht="15.75" customHeight="1">
      <c r="A22" s="5"/>
      <c r="B22" s="5"/>
      <c r="C22" s="5"/>
      <c r="D22" s="5"/>
      <c r="E22" s="5"/>
      <c r="F22" s="5"/>
      <c r="G22" s="5"/>
      <c r="H22" s="5"/>
      <c r="I22" s="5"/>
      <c r="J22" s="5"/>
      <c r="K22" s="5"/>
      <c r="L22" s="5"/>
      <c r="M22" s="5"/>
      <c r="N22" s="5"/>
      <c r="O22" s="5"/>
      <c r="P22" s="5"/>
      <c r="Q22" s="5"/>
      <c r="R22" s="5"/>
      <c r="S22" s="5"/>
      <c r="T22" s="5"/>
      <c r="U22" s="5"/>
      <c r="V22" s="5"/>
      <c r="W22" s="5"/>
      <c r="X22" s="5"/>
      <c r="Y22" s="5"/>
      <c r="Z22" s="5"/>
    </row>
    <row r="23" ht="15.75" customHeight="1">
      <c r="A23" s="5"/>
      <c r="B23" s="5"/>
      <c r="C23" s="5"/>
      <c r="D23" s="5"/>
      <c r="E23" s="5"/>
      <c r="F23" s="5"/>
      <c r="G23" s="5"/>
      <c r="H23" s="5"/>
      <c r="I23" s="5"/>
      <c r="J23" s="5"/>
      <c r="K23" s="5"/>
      <c r="L23" s="5"/>
      <c r="M23" s="5"/>
      <c r="N23" s="5"/>
      <c r="O23" s="5"/>
      <c r="P23" s="5"/>
      <c r="Q23" s="5"/>
      <c r="R23" s="5"/>
      <c r="S23" s="5"/>
      <c r="T23" s="5"/>
      <c r="U23" s="5"/>
      <c r="V23" s="5"/>
      <c r="W23" s="5"/>
      <c r="X23" s="5"/>
      <c r="Y23" s="5"/>
      <c r="Z23" s="5"/>
    </row>
    <row r="24" ht="15.75" customHeight="1">
      <c r="A24" s="5"/>
      <c r="B24" s="5"/>
      <c r="C24" s="5"/>
      <c r="D24" s="5"/>
      <c r="E24" s="5"/>
      <c r="F24" s="5"/>
      <c r="G24" s="5"/>
      <c r="H24" s="5"/>
      <c r="I24" s="5"/>
      <c r="J24" s="5"/>
      <c r="K24" s="5"/>
      <c r="L24" s="5"/>
      <c r="M24" s="5"/>
      <c r="N24" s="5"/>
      <c r="O24" s="5"/>
      <c r="P24" s="5"/>
      <c r="Q24" s="5"/>
      <c r="R24" s="5"/>
      <c r="S24" s="5"/>
      <c r="T24" s="5"/>
      <c r="U24" s="5"/>
      <c r="V24" s="5"/>
      <c r="W24" s="5"/>
      <c r="X24" s="5"/>
      <c r="Y24" s="5"/>
      <c r="Z24" s="5"/>
    </row>
    <row r="25" ht="15.75" customHeight="1">
      <c r="A25" s="5"/>
      <c r="B25" s="5"/>
      <c r="C25" s="5"/>
      <c r="D25" s="5"/>
      <c r="E25" s="5"/>
      <c r="F25" s="5"/>
      <c r="G25" s="5"/>
      <c r="H25" s="5"/>
      <c r="I25" s="5"/>
      <c r="J25" s="5"/>
      <c r="K25" s="5"/>
      <c r="L25" s="5"/>
      <c r="M25" s="5"/>
      <c r="N25" s="5"/>
      <c r="O25" s="5"/>
      <c r="P25" s="5"/>
      <c r="Q25" s="5"/>
      <c r="R25" s="5"/>
      <c r="S25" s="5"/>
      <c r="T25" s="5"/>
      <c r="U25" s="5"/>
      <c r="V25" s="5"/>
      <c r="W25" s="5"/>
      <c r="X25" s="5"/>
      <c r="Y25" s="5"/>
      <c r="Z25" s="5"/>
    </row>
    <row r="26" ht="15.75" customHeight="1">
      <c r="A26" s="5"/>
      <c r="B26" s="5"/>
      <c r="C26" s="5"/>
      <c r="D26" s="5"/>
      <c r="E26" s="5"/>
      <c r="F26" s="5"/>
      <c r="G26" s="5"/>
      <c r="H26" s="5"/>
      <c r="I26" s="5"/>
      <c r="J26" s="5"/>
      <c r="K26" s="5"/>
      <c r="L26" s="5"/>
      <c r="M26" s="5"/>
      <c r="N26" s="5"/>
      <c r="O26" s="5"/>
      <c r="P26" s="5"/>
      <c r="Q26" s="5"/>
      <c r="R26" s="5"/>
      <c r="S26" s="5"/>
      <c r="T26" s="5"/>
      <c r="U26" s="5"/>
      <c r="V26" s="5"/>
      <c r="W26" s="5"/>
      <c r="X26" s="5"/>
      <c r="Y26" s="5"/>
      <c r="Z26" s="5"/>
    </row>
    <row r="27" ht="15.75" customHeight="1">
      <c r="A27" s="5"/>
      <c r="B27" s="5"/>
      <c r="C27" s="5"/>
      <c r="D27" s="5"/>
      <c r="E27" s="5"/>
      <c r="F27" s="5"/>
      <c r="G27" s="5"/>
      <c r="H27" s="5"/>
      <c r="I27" s="5"/>
      <c r="J27" s="5"/>
      <c r="K27" s="5"/>
      <c r="L27" s="5"/>
      <c r="M27" s="5"/>
      <c r="N27" s="5"/>
      <c r="O27" s="5"/>
      <c r="P27" s="5"/>
      <c r="Q27" s="5"/>
      <c r="R27" s="5"/>
      <c r="S27" s="5"/>
      <c r="T27" s="5"/>
      <c r="U27" s="5"/>
      <c r="V27" s="5"/>
      <c r="W27" s="5"/>
      <c r="X27" s="5"/>
      <c r="Y27" s="5"/>
      <c r="Z27" s="5"/>
    </row>
    <row r="28" ht="15.75" customHeight="1">
      <c r="A28" s="5"/>
      <c r="B28" s="5"/>
      <c r="C28" s="5"/>
      <c r="D28" s="5"/>
      <c r="E28" s="5"/>
      <c r="F28" s="5"/>
      <c r="G28" s="5"/>
      <c r="H28" s="5"/>
      <c r="I28" s="5"/>
      <c r="J28" s="5"/>
      <c r="K28" s="5"/>
      <c r="L28" s="5"/>
      <c r="M28" s="5"/>
      <c r="N28" s="5"/>
      <c r="O28" s="5"/>
      <c r="P28" s="5"/>
      <c r="Q28" s="5"/>
      <c r="R28" s="5"/>
      <c r="S28" s="5"/>
      <c r="T28" s="5"/>
      <c r="U28" s="5"/>
      <c r="V28" s="5"/>
      <c r="W28" s="5"/>
      <c r="X28" s="5"/>
      <c r="Y28" s="5"/>
      <c r="Z28" s="5"/>
    </row>
    <row r="29" ht="15.75" customHeight="1">
      <c r="A29" s="5"/>
      <c r="B29" s="5"/>
      <c r="C29" s="5"/>
      <c r="D29" s="5"/>
      <c r="E29" s="5"/>
      <c r="F29" s="5"/>
      <c r="G29" s="5"/>
      <c r="H29" s="5"/>
      <c r="I29" s="5"/>
      <c r="J29" s="5"/>
      <c r="K29" s="5"/>
      <c r="L29" s="5"/>
      <c r="M29" s="5"/>
      <c r="N29" s="5"/>
      <c r="O29" s="5"/>
      <c r="P29" s="5"/>
      <c r="Q29" s="5"/>
      <c r="R29" s="5"/>
      <c r="S29" s="5"/>
      <c r="T29" s="5"/>
      <c r="U29" s="5"/>
      <c r="V29" s="5"/>
      <c r="W29" s="5"/>
      <c r="X29" s="5"/>
      <c r="Y29" s="5"/>
      <c r="Z29" s="5"/>
    </row>
    <row r="30" ht="15.75" customHeight="1">
      <c r="A30" s="5"/>
      <c r="B30" s="5"/>
      <c r="C30" s="5"/>
      <c r="D30" s="5"/>
      <c r="E30" s="5"/>
      <c r="F30" s="5"/>
      <c r="G30" s="5"/>
      <c r="H30" s="5"/>
      <c r="I30" s="5"/>
      <c r="J30" s="5"/>
      <c r="K30" s="5"/>
      <c r="L30" s="5"/>
      <c r="M30" s="5"/>
      <c r="N30" s="5"/>
      <c r="O30" s="5"/>
      <c r="P30" s="5"/>
      <c r="Q30" s="5"/>
      <c r="R30" s="5"/>
      <c r="S30" s="5"/>
      <c r="T30" s="5"/>
      <c r="U30" s="5"/>
      <c r="V30" s="5"/>
      <c r="W30" s="5"/>
      <c r="X30" s="5"/>
      <c r="Y30" s="5"/>
      <c r="Z30" s="5"/>
    </row>
    <row r="31" ht="15.75" customHeight="1">
      <c r="A31" s="5"/>
      <c r="B31" s="5"/>
      <c r="C31" s="5"/>
      <c r="D31" s="5"/>
      <c r="E31" s="5"/>
      <c r="F31" s="5"/>
      <c r="G31" s="5"/>
      <c r="H31" s="5"/>
      <c r="I31" s="5"/>
      <c r="J31" s="5"/>
      <c r="K31" s="5"/>
      <c r="L31" s="5"/>
      <c r="M31" s="5"/>
      <c r="N31" s="5"/>
      <c r="O31" s="5"/>
      <c r="P31" s="5"/>
      <c r="Q31" s="5"/>
      <c r="R31" s="5"/>
      <c r="S31" s="5"/>
      <c r="T31" s="5"/>
      <c r="U31" s="5"/>
      <c r="V31" s="5"/>
      <c r="W31" s="5"/>
      <c r="X31" s="5"/>
      <c r="Y31" s="5"/>
      <c r="Z31" s="5"/>
    </row>
    <row r="32" ht="15.75" customHeight="1">
      <c r="A32" s="5"/>
      <c r="B32" s="5"/>
      <c r="C32" s="5"/>
      <c r="D32" s="5"/>
      <c r="E32" s="5"/>
      <c r="F32" s="5"/>
      <c r="G32" s="5"/>
      <c r="H32" s="5"/>
      <c r="I32" s="5"/>
      <c r="J32" s="5"/>
      <c r="K32" s="5"/>
      <c r="L32" s="5"/>
      <c r="M32" s="5"/>
      <c r="N32" s="5"/>
      <c r="O32" s="5"/>
      <c r="P32" s="5"/>
      <c r="Q32" s="5"/>
      <c r="R32" s="5"/>
      <c r="S32" s="5"/>
      <c r="T32" s="5"/>
      <c r="U32" s="5"/>
      <c r="V32" s="5"/>
      <c r="W32" s="5"/>
      <c r="X32" s="5"/>
      <c r="Y32" s="5"/>
      <c r="Z32" s="5"/>
    </row>
    <row r="33" ht="15.75" customHeight="1">
      <c r="A33" s="5"/>
      <c r="B33" s="5"/>
      <c r="C33" s="5"/>
      <c r="D33" s="5"/>
      <c r="E33" s="5"/>
      <c r="F33" s="5"/>
      <c r="G33" s="5"/>
      <c r="H33" s="5"/>
      <c r="I33" s="5"/>
      <c r="J33" s="5"/>
      <c r="K33" s="5"/>
      <c r="L33" s="5"/>
      <c r="M33" s="5"/>
      <c r="N33" s="5"/>
      <c r="O33" s="5"/>
      <c r="P33" s="5"/>
      <c r="Q33" s="5"/>
      <c r="R33" s="5"/>
      <c r="S33" s="5"/>
      <c r="T33" s="5"/>
      <c r="U33" s="5"/>
      <c r="V33" s="5"/>
      <c r="W33" s="5"/>
      <c r="X33" s="5"/>
      <c r="Y33" s="5"/>
      <c r="Z33" s="5"/>
    </row>
    <row r="34" ht="15.75" customHeight="1">
      <c r="A34" s="5"/>
      <c r="B34" s="5"/>
      <c r="C34" s="5"/>
      <c r="D34" s="5"/>
      <c r="E34" s="5"/>
      <c r="F34" s="5"/>
      <c r="G34" s="5"/>
      <c r="H34" s="5"/>
      <c r="I34" s="5"/>
      <c r="J34" s="5"/>
      <c r="K34" s="5"/>
      <c r="L34" s="5"/>
      <c r="M34" s="5"/>
      <c r="N34" s="5"/>
      <c r="O34" s="5"/>
      <c r="P34" s="5"/>
      <c r="Q34" s="5"/>
      <c r="R34" s="5"/>
      <c r="S34" s="5"/>
      <c r="T34" s="5"/>
      <c r="U34" s="5"/>
      <c r="V34" s="5"/>
      <c r="W34" s="5"/>
      <c r="X34" s="5"/>
      <c r="Y34" s="5"/>
      <c r="Z34" s="5"/>
    </row>
    <row r="35" ht="15.75" customHeight="1">
      <c r="A35" s="5"/>
      <c r="B35" s="5"/>
      <c r="C35" s="5"/>
      <c r="D35" s="5"/>
      <c r="E35" s="5"/>
      <c r="F35" s="5"/>
      <c r="G35" s="5"/>
      <c r="H35" s="5"/>
      <c r="I35" s="5"/>
      <c r="J35" s="5"/>
      <c r="K35" s="5"/>
      <c r="L35" s="5"/>
      <c r="M35" s="5"/>
      <c r="N35" s="5"/>
      <c r="O35" s="5"/>
      <c r="P35" s="5"/>
      <c r="Q35" s="5"/>
      <c r="R35" s="5"/>
      <c r="S35" s="5"/>
      <c r="T35" s="5"/>
      <c r="U35" s="5"/>
      <c r="V35" s="5"/>
      <c r="W35" s="5"/>
      <c r="X35" s="5"/>
      <c r="Y35" s="5"/>
      <c r="Z35" s="5"/>
    </row>
    <row r="36" ht="15.75" customHeight="1">
      <c r="A36" s="5"/>
      <c r="B36" s="5"/>
      <c r="C36" s="5"/>
      <c r="D36" s="5"/>
      <c r="E36" s="5"/>
      <c r="F36" s="5"/>
      <c r="G36" s="5"/>
      <c r="H36" s="5"/>
      <c r="I36" s="5"/>
      <c r="J36" s="5"/>
      <c r="K36" s="5"/>
      <c r="L36" s="5"/>
      <c r="M36" s="5"/>
      <c r="N36" s="5"/>
      <c r="O36" s="5"/>
      <c r="P36" s="5"/>
      <c r="Q36" s="5"/>
      <c r="R36" s="5"/>
      <c r="S36" s="5"/>
      <c r="T36" s="5"/>
      <c r="U36" s="5"/>
      <c r="V36" s="5"/>
      <c r="W36" s="5"/>
      <c r="X36" s="5"/>
      <c r="Y36" s="5"/>
      <c r="Z36" s="5"/>
    </row>
    <row r="37" ht="15.75" customHeight="1">
      <c r="A37" s="5"/>
      <c r="B37" s="5"/>
      <c r="C37" s="5"/>
      <c r="D37" s="5"/>
      <c r="E37" s="5"/>
      <c r="F37" s="5"/>
      <c r="G37" s="5"/>
      <c r="H37" s="5"/>
      <c r="I37" s="5"/>
      <c r="J37" s="5"/>
      <c r="K37" s="5"/>
      <c r="L37" s="5"/>
      <c r="M37" s="5"/>
      <c r="N37" s="5"/>
      <c r="O37" s="5"/>
      <c r="P37" s="5"/>
      <c r="Q37" s="5"/>
      <c r="R37" s="5"/>
      <c r="S37" s="5"/>
      <c r="T37" s="5"/>
      <c r="U37" s="5"/>
      <c r="V37" s="5"/>
      <c r="W37" s="5"/>
      <c r="X37" s="5"/>
      <c r="Y37" s="5"/>
      <c r="Z37" s="5"/>
    </row>
    <row r="38" ht="15.75" customHeight="1">
      <c r="A38" s="5"/>
      <c r="B38" s="5"/>
      <c r="C38" s="5"/>
      <c r="D38" s="5"/>
      <c r="E38" s="5"/>
      <c r="F38" s="5"/>
      <c r="G38" s="5"/>
      <c r="H38" s="5"/>
      <c r="I38" s="5"/>
      <c r="J38" s="5"/>
      <c r="K38" s="5"/>
      <c r="L38" s="5"/>
      <c r="M38" s="5"/>
      <c r="N38" s="5"/>
      <c r="O38" s="5"/>
      <c r="P38" s="5"/>
      <c r="Q38" s="5"/>
      <c r="R38" s="5"/>
      <c r="S38" s="5"/>
      <c r="T38" s="5"/>
      <c r="U38" s="5"/>
      <c r="V38" s="5"/>
      <c r="W38" s="5"/>
      <c r="X38" s="5"/>
      <c r="Y38" s="5"/>
      <c r="Z38" s="5"/>
    </row>
    <row r="39" ht="15.75" customHeight="1">
      <c r="A39" s="5"/>
      <c r="B39" s="5"/>
      <c r="C39" s="5"/>
      <c r="D39" s="5"/>
      <c r="E39" s="5"/>
      <c r="F39" s="5"/>
      <c r="G39" s="5"/>
      <c r="H39" s="5"/>
      <c r="I39" s="5"/>
      <c r="J39" s="5"/>
      <c r="K39" s="5"/>
      <c r="L39" s="5"/>
      <c r="M39" s="5"/>
      <c r="N39" s="5"/>
      <c r="O39" s="5"/>
      <c r="P39" s="5"/>
      <c r="Q39" s="5"/>
      <c r="R39" s="5"/>
      <c r="S39" s="5"/>
      <c r="T39" s="5"/>
      <c r="U39" s="5"/>
      <c r="V39" s="5"/>
      <c r="W39" s="5"/>
      <c r="X39" s="5"/>
      <c r="Y39" s="5"/>
      <c r="Z39" s="5"/>
    </row>
    <row r="40" ht="15.75" customHeight="1">
      <c r="A40" s="5"/>
      <c r="B40" s="5"/>
      <c r="C40" s="5"/>
      <c r="D40" s="5"/>
      <c r="E40" s="5"/>
      <c r="F40" s="5"/>
      <c r="G40" s="5"/>
      <c r="H40" s="5"/>
      <c r="I40" s="5"/>
      <c r="J40" s="5"/>
      <c r="K40" s="5"/>
      <c r="L40" s="5"/>
      <c r="M40" s="5"/>
      <c r="N40" s="5"/>
      <c r="O40" s="5"/>
      <c r="P40" s="5"/>
      <c r="Q40" s="5"/>
      <c r="R40" s="5"/>
      <c r="S40" s="5"/>
      <c r="T40" s="5"/>
      <c r="U40" s="5"/>
      <c r="V40" s="5"/>
      <c r="W40" s="5"/>
      <c r="X40" s="5"/>
      <c r="Y40" s="5"/>
      <c r="Z40" s="5"/>
    </row>
    <row r="41" ht="15.75" customHeight="1">
      <c r="A41" s="5"/>
      <c r="B41" s="5"/>
      <c r="C41" s="5"/>
      <c r="D41" s="5"/>
      <c r="E41" s="5"/>
      <c r="F41" s="5"/>
      <c r="G41" s="5"/>
      <c r="H41" s="5"/>
      <c r="I41" s="5"/>
      <c r="J41" s="5"/>
      <c r="K41" s="5"/>
      <c r="L41" s="5"/>
      <c r="M41" s="5"/>
      <c r="N41" s="5"/>
      <c r="O41" s="5"/>
      <c r="P41" s="5"/>
      <c r="Q41" s="5"/>
      <c r="R41" s="5"/>
      <c r="S41" s="5"/>
      <c r="T41" s="5"/>
      <c r="U41" s="5"/>
      <c r="V41" s="5"/>
      <c r="W41" s="5"/>
      <c r="X41" s="5"/>
      <c r="Y41" s="5"/>
      <c r="Z41" s="5"/>
    </row>
    <row r="42" ht="15.75" customHeight="1">
      <c r="A42" s="5"/>
      <c r="B42" s="5"/>
      <c r="C42" s="5"/>
      <c r="D42" s="5"/>
      <c r="E42" s="5"/>
      <c r="F42" s="5"/>
      <c r="G42" s="5"/>
      <c r="H42" s="5"/>
      <c r="I42" s="5"/>
      <c r="J42" s="5"/>
      <c r="K42" s="5"/>
      <c r="L42" s="5"/>
      <c r="M42" s="5"/>
      <c r="N42" s="5"/>
      <c r="O42" s="5"/>
      <c r="P42" s="5"/>
      <c r="Q42" s="5"/>
      <c r="R42" s="5"/>
      <c r="S42" s="5"/>
      <c r="T42" s="5"/>
      <c r="U42" s="5"/>
      <c r="V42" s="5"/>
      <c r="W42" s="5"/>
      <c r="X42" s="5"/>
      <c r="Y42" s="5"/>
      <c r="Z42" s="5"/>
    </row>
    <row r="43" ht="15.75" customHeight="1">
      <c r="A43" s="5"/>
      <c r="B43" s="5"/>
      <c r="C43" s="5"/>
      <c r="D43" s="5"/>
      <c r="E43" s="5"/>
      <c r="F43" s="5"/>
      <c r="G43" s="5"/>
      <c r="H43" s="5"/>
      <c r="I43" s="5"/>
      <c r="J43" s="5"/>
      <c r="K43" s="5"/>
      <c r="L43" s="5"/>
      <c r="M43" s="5"/>
      <c r="N43" s="5"/>
      <c r="O43" s="5"/>
      <c r="P43" s="5"/>
      <c r="Q43" s="5"/>
      <c r="R43" s="5"/>
      <c r="S43" s="5"/>
      <c r="T43" s="5"/>
      <c r="U43" s="5"/>
      <c r="V43" s="5"/>
      <c r="W43" s="5"/>
      <c r="X43" s="5"/>
      <c r="Y43" s="5"/>
      <c r="Z43" s="5"/>
    </row>
    <row r="44" ht="15.75" customHeight="1">
      <c r="A44" s="5"/>
      <c r="B44" s="5"/>
      <c r="C44" s="5"/>
      <c r="D44" s="5"/>
      <c r="E44" s="5"/>
      <c r="F44" s="5"/>
      <c r="G44" s="5"/>
      <c r="H44" s="5"/>
      <c r="I44" s="5"/>
      <c r="J44" s="5"/>
      <c r="K44" s="5"/>
      <c r="L44" s="5"/>
      <c r="M44" s="5"/>
      <c r="N44" s="5"/>
      <c r="O44" s="5"/>
      <c r="P44" s="5"/>
      <c r="Q44" s="5"/>
      <c r="R44" s="5"/>
      <c r="S44" s="5"/>
      <c r="T44" s="5"/>
      <c r="U44" s="5"/>
      <c r="V44" s="5"/>
      <c r="W44" s="5"/>
      <c r="X44" s="5"/>
      <c r="Y44" s="5"/>
      <c r="Z44" s="5"/>
    </row>
    <row r="45" ht="15.75" customHeight="1">
      <c r="A45" s="5"/>
      <c r="B45" s="5"/>
      <c r="C45" s="5"/>
      <c r="D45" s="5"/>
      <c r="E45" s="5"/>
      <c r="F45" s="5"/>
      <c r="G45" s="5"/>
      <c r="H45" s="5"/>
      <c r="I45" s="5"/>
      <c r="J45" s="5"/>
      <c r="K45" s="5"/>
      <c r="L45" s="5"/>
      <c r="M45" s="5"/>
      <c r="N45" s="5"/>
      <c r="O45" s="5"/>
      <c r="P45" s="5"/>
      <c r="Q45" s="5"/>
      <c r="R45" s="5"/>
      <c r="S45" s="5"/>
      <c r="T45" s="5"/>
      <c r="U45" s="5"/>
      <c r="V45" s="5"/>
      <c r="W45" s="5"/>
      <c r="X45" s="5"/>
      <c r="Y45" s="5"/>
      <c r="Z45" s="5"/>
    </row>
    <row r="46" ht="15.75" customHeight="1">
      <c r="A46" s="5"/>
      <c r="B46" s="5"/>
      <c r="C46" s="5"/>
      <c r="D46" s="5"/>
      <c r="E46" s="5"/>
      <c r="F46" s="5"/>
      <c r="G46" s="5"/>
      <c r="H46" s="5"/>
      <c r="I46" s="5"/>
      <c r="J46" s="5"/>
      <c r="K46" s="5"/>
      <c r="L46" s="5"/>
      <c r="M46" s="5"/>
      <c r="N46" s="5"/>
      <c r="O46" s="5"/>
      <c r="P46" s="5"/>
      <c r="Q46" s="5"/>
      <c r="R46" s="5"/>
      <c r="S46" s="5"/>
      <c r="T46" s="5"/>
      <c r="U46" s="5"/>
      <c r="V46" s="5"/>
      <c r="W46" s="5"/>
      <c r="X46" s="5"/>
      <c r="Y46" s="5"/>
      <c r="Z46" s="5"/>
    </row>
    <row r="47" ht="15.75" customHeight="1">
      <c r="A47" s="5"/>
      <c r="B47" s="5"/>
      <c r="C47" s="5"/>
      <c r="D47" s="5"/>
      <c r="E47" s="5"/>
      <c r="F47" s="5"/>
      <c r="G47" s="5"/>
      <c r="H47" s="5"/>
      <c r="I47" s="5"/>
      <c r="J47" s="5"/>
      <c r="K47" s="5"/>
      <c r="L47" s="5"/>
      <c r="M47" s="5"/>
      <c r="N47" s="5"/>
      <c r="O47" s="5"/>
      <c r="P47" s="5"/>
      <c r="Q47" s="5"/>
      <c r="R47" s="5"/>
      <c r="S47" s="5"/>
      <c r="T47" s="5"/>
      <c r="U47" s="5"/>
      <c r="V47" s="5"/>
      <c r="W47" s="5"/>
      <c r="X47" s="5"/>
      <c r="Y47" s="5"/>
      <c r="Z47" s="5"/>
    </row>
    <row r="48" ht="15.75" customHeight="1">
      <c r="A48" s="5"/>
      <c r="B48" s="5"/>
      <c r="C48" s="5"/>
      <c r="D48" s="5"/>
      <c r="E48" s="5"/>
      <c r="F48" s="5"/>
      <c r="G48" s="5"/>
      <c r="H48" s="5"/>
      <c r="I48" s="5"/>
      <c r="J48" s="5"/>
      <c r="K48" s="5"/>
      <c r="L48" s="5"/>
      <c r="M48" s="5"/>
      <c r="N48" s="5"/>
      <c r="O48" s="5"/>
      <c r="P48" s="5"/>
      <c r="Q48" s="5"/>
      <c r="R48" s="5"/>
      <c r="S48" s="5"/>
      <c r="T48" s="5"/>
      <c r="U48" s="5"/>
      <c r="V48" s="5"/>
      <c r="W48" s="5"/>
      <c r="X48" s="5"/>
      <c r="Y48" s="5"/>
      <c r="Z48" s="5"/>
    </row>
    <row r="49" ht="15.75" customHeight="1">
      <c r="A49" s="5"/>
      <c r="B49" s="5"/>
      <c r="C49" s="5"/>
      <c r="D49" s="5"/>
      <c r="E49" s="5"/>
      <c r="F49" s="5"/>
      <c r="G49" s="5"/>
      <c r="H49" s="5"/>
      <c r="I49" s="5"/>
      <c r="J49" s="5"/>
      <c r="K49" s="5"/>
      <c r="L49" s="5"/>
      <c r="M49" s="5"/>
      <c r="N49" s="5"/>
      <c r="O49" s="5"/>
      <c r="P49" s="5"/>
      <c r="Q49" s="5"/>
      <c r="R49" s="5"/>
      <c r="S49" s="5"/>
      <c r="T49" s="5"/>
      <c r="U49" s="5"/>
      <c r="V49" s="5"/>
      <c r="W49" s="5"/>
      <c r="X49" s="5"/>
      <c r="Y49" s="5"/>
      <c r="Z49" s="5"/>
    </row>
    <row r="50" ht="15.75" customHeight="1">
      <c r="A50" s="5"/>
      <c r="B50" s="5"/>
      <c r="C50" s="5"/>
      <c r="D50" s="5"/>
      <c r="E50" s="5"/>
      <c r="F50" s="5"/>
      <c r="G50" s="5"/>
      <c r="H50" s="5"/>
      <c r="I50" s="5"/>
      <c r="J50" s="5"/>
      <c r="K50" s="5"/>
      <c r="L50" s="5"/>
      <c r="M50" s="5"/>
      <c r="N50" s="5"/>
      <c r="O50" s="5"/>
      <c r="P50" s="5"/>
      <c r="Q50" s="5"/>
      <c r="R50" s="5"/>
      <c r="S50" s="5"/>
      <c r="T50" s="5"/>
      <c r="U50" s="5"/>
      <c r="V50" s="5"/>
      <c r="W50" s="5"/>
      <c r="X50" s="5"/>
      <c r="Y50" s="5"/>
      <c r="Z50" s="5"/>
    </row>
    <row r="51" ht="15.75" customHeight="1">
      <c r="A51" s="5"/>
      <c r="B51" s="5"/>
      <c r="C51" s="5"/>
      <c r="D51" s="5"/>
      <c r="E51" s="5"/>
      <c r="F51" s="5"/>
      <c r="G51" s="5"/>
      <c r="H51" s="5"/>
      <c r="I51" s="5"/>
      <c r="J51" s="5"/>
      <c r="K51" s="5"/>
      <c r="L51" s="5"/>
      <c r="M51" s="5"/>
      <c r="N51" s="5"/>
      <c r="O51" s="5"/>
      <c r="P51" s="5"/>
      <c r="Q51" s="5"/>
      <c r="R51" s="5"/>
      <c r="S51" s="5"/>
      <c r="T51" s="5"/>
      <c r="U51" s="5"/>
      <c r="V51" s="5"/>
      <c r="W51" s="5"/>
      <c r="X51" s="5"/>
      <c r="Y51" s="5"/>
      <c r="Z51" s="5"/>
    </row>
    <row r="52" ht="15.75" customHeight="1">
      <c r="A52" s="5"/>
      <c r="B52" s="5"/>
      <c r="C52" s="5"/>
      <c r="D52" s="5"/>
      <c r="E52" s="5"/>
      <c r="F52" s="5"/>
      <c r="G52" s="5"/>
      <c r="H52" s="5"/>
      <c r="I52" s="5"/>
      <c r="J52" s="5"/>
      <c r="K52" s="5"/>
      <c r="L52" s="5"/>
      <c r="M52" s="5"/>
      <c r="N52" s="5"/>
      <c r="O52" s="5"/>
      <c r="P52" s="5"/>
      <c r="Q52" s="5"/>
      <c r="R52" s="5"/>
      <c r="S52" s="5"/>
      <c r="T52" s="5"/>
      <c r="U52" s="5"/>
      <c r="V52" s="5"/>
      <c r="W52" s="5"/>
      <c r="X52" s="5"/>
      <c r="Y52" s="5"/>
      <c r="Z52" s="5"/>
    </row>
    <row r="53" ht="15.75" customHeight="1">
      <c r="A53" s="5"/>
      <c r="B53" s="5"/>
      <c r="C53" s="5"/>
      <c r="D53" s="5"/>
      <c r="E53" s="5"/>
      <c r="F53" s="5"/>
      <c r="G53" s="5"/>
      <c r="H53" s="5"/>
      <c r="I53" s="5"/>
      <c r="J53" s="5"/>
      <c r="K53" s="5"/>
      <c r="L53" s="5"/>
      <c r="M53" s="5"/>
      <c r="N53" s="5"/>
      <c r="O53" s="5"/>
      <c r="P53" s="5"/>
      <c r="Q53" s="5"/>
      <c r="R53" s="5"/>
      <c r="S53" s="5"/>
      <c r="T53" s="5"/>
      <c r="U53" s="5"/>
      <c r="V53" s="5"/>
      <c r="W53" s="5"/>
      <c r="X53" s="5"/>
      <c r="Y53" s="5"/>
      <c r="Z53" s="5"/>
    </row>
    <row r="54" ht="15.75" customHeight="1">
      <c r="A54" s="5"/>
      <c r="B54" s="5"/>
      <c r="C54" s="5"/>
      <c r="D54" s="5"/>
      <c r="E54" s="5"/>
      <c r="F54" s="5"/>
      <c r="G54" s="5"/>
      <c r="H54" s="5"/>
      <c r="I54" s="5"/>
      <c r="J54" s="5"/>
      <c r="K54" s="5"/>
      <c r="L54" s="5"/>
      <c r="M54" s="5"/>
      <c r="N54" s="5"/>
      <c r="O54" s="5"/>
      <c r="P54" s="5"/>
      <c r="Q54" s="5"/>
      <c r="R54" s="5"/>
      <c r="S54" s="5"/>
      <c r="T54" s="5"/>
      <c r="U54" s="5"/>
      <c r="V54" s="5"/>
      <c r="W54" s="5"/>
      <c r="X54" s="5"/>
      <c r="Y54" s="5"/>
      <c r="Z54" s="5"/>
    </row>
    <row r="55" ht="15.75" customHeight="1">
      <c r="A55" s="5"/>
      <c r="B55" s="5"/>
      <c r="C55" s="5"/>
      <c r="D55" s="5"/>
      <c r="E55" s="5"/>
      <c r="F55" s="5"/>
      <c r="G55" s="5"/>
      <c r="H55" s="5"/>
      <c r="I55" s="5"/>
      <c r="J55" s="5"/>
      <c r="K55" s="5"/>
      <c r="L55" s="5"/>
      <c r="M55" s="5"/>
      <c r="N55" s="5"/>
      <c r="O55" s="5"/>
      <c r="P55" s="5"/>
      <c r="Q55" s="5"/>
      <c r="R55" s="5"/>
      <c r="S55" s="5"/>
      <c r="T55" s="5"/>
      <c r="U55" s="5"/>
      <c r="V55" s="5"/>
      <c r="W55" s="5"/>
      <c r="X55" s="5"/>
      <c r="Y55" s="5"/>
      <c r="Z55" s="5"/>
    </row>
    <row r="56" ht="15.75" customHeight="1">
      <c r="A56" s="5"/>
      <c r="B56" s="5"/>
      <c r="C56" s="5"/>
      <c r="D56" s="5"/>
      <c r="E56" s="5"/>
      <c r="F56" s="5"/>
      <c r="G56" s="5"/>
      <c r="H56" s="5"/>
      <c r="I56" s="5"/>
      <c r="J56" s="5"/>
      <c r="K56" s="5"/>
      <c r="L56" s="5"/>
      <c r="M56" s="5"/>
      <c r="N56" s="5"/>
      <c r="O56" s="5"/>
      <c r="P56" s="5"/>
      <c r="Q56" s="5"/>
      <c r="R56" s="5"/>
      <c r="S56" s="5"/>
      <c r="T56" s="5"/>
      <c r="U56" s="5"/>
      <c r="V56" s="5"/>
      <c r="W56" s="5"/>
      <c r="X56" s="5"/>
      <c r="Y56" s="5"/>
      <c r="Z56" s="5"/>
    </row>
    <row r="57" ht="15.75" customHeight="1">
      <c r="A57" s="5"/>
      <c r="B57" s="5"/>
      <c r="C57" s="5"/>
      <c r="D57" s="5"/>
      <c r="E57" s="5"/>
      <c r="F57" s="5"/>
      <c r="G57" s="5"/>
      <c r="H57" s="5"/>
      <c r="I57" s="5"/>
      <c r="J57" s="5"/>
      <c r="K57" s="5"/>
      <c r="L57" s="5"/>
      <c r="M57" s="5"/>
      <c r="N57" s="5"/>
      <c r="O57" s="5"/>
      <c r="P57" s="5"/>
      <c r="Q57" s="5"/>
      <c r="R57" s="5"/>
      <c r="S57" s="5"/>
      <c r="T57" s="5"/>
      <c r="U57" s="5"/>
      <c r="V57" s="5"/>
      <c r="W57" s="5"/>
      <c r="X57" s="5"/>
      <c r="Y57" s="5"/>
      <c r="Z57" s="5"/>
    </row>
    <row r="58" ht="15.75" customHeight="1">
      <c r="A58" s="5"/>
      <c r="B58" s="5"/>
      <c r="C58" s="5"/>
      <c r="D58" s="5"/>
      <c r="E58" s="5"/>
      <c r="F58" s="5"/>
      <c r="G58" s="5"/>
      <c r="H58" s="5"/>
      <c r="I58" s="5"/>
      <c r="J58" s="5"/>
      <c r="K58" s="5"/>
      <c r="L58" s="5"/>
      <c r="M58" s="5"/>
      <c r="N58" s="5"/>
      <c r="O58" s="5"/>
      <c r="P58" s="5"/>
      <c r="Q58" s="5"/>
      <c r="R58" s="5"/>
      <c r="S58" s="5"/>
      <c r="T58" s="5"/>
      <c r="U58" s="5"/>
      <c r="V58" s="5"/>
      <c r="W58" s="5"/>
      <c r="X58" s="5"/>
      <c r="Y58" s="5"/>
      <c r="Z58" s="5"/>
    </row>
    <row r="59" ht="15.75" customHeight="1">
      <c r="A59" s="5"/>
      <c r="B59" s="5"/>
      <c r="C59" s="5"/>
      <c r="D59" s="5"/>
      <c r="E59" s="5"/>
      <c r="F59" s="5"/>
      <c r="G59" s="5"/>
      <c r="H59" s="5"/>
      <c r="I59" s="5"/>
      <c r="J59" s="5"/>
      <c r="K59" s="5"/>
      <c r="L59" s="5"/>
      <c r="M59" s="5"/>
      <c r="N59" s="5"/>
      <c r="O59" s="5"/>
      <c r="P59" s="5"/>
      <c r="Q59" s="5"/>
      <c r="R59" s="5"/>
      <c r="S59" s="5"/>
      <c r="T59" s="5"/>
      <c r="U59" s="5"/>
      <c r="V59" s="5"/>
      <c r="W59" s="5"/>
      <c r="X59" s="5"/>
      <c r="Y59" s="5"/>
      <c r="Z59" s="5"/>
    </row>
    <row r="60" ht="15.75" customHeight="1">
      <c r="A60" s="5"/>
      <c r="B60" s="5"/>
      <c r="C60" s="5"/>
      <c r="D60" s="5"/>
      <c r="E60" s="5"/>
      <c r="F60" s="5"/>
      <c r="G60" s="5"/>
      <c r="H60" s="5"/>
      <c r="I60" s="5"/>
      <c r="J60" s="5"/>
      <c r="K60" s="5"/>
      <c r="L60" s="5"/>
      <c r="M60" s="5"/>
      <c r="N60" s="5"/>
      <c r="O60" s="5"/>
      <c r="P60" s="5"/>
      <c r="Q60" s="5"/>
      <c r="R60" s="5"/>
      <c r="S60" s="5"/>
      <c r="T60" s="5"/>
      <c r="U60" s="5"/>
      <c r="V60" s="5"/>
      <c r="W60" s="5"/>
      <c r="X60" s="5"/>
      <c r="Y60" s="5"/>
      <c r="Z60" s="5"/>
    </row>
    <row r="61" ht="15.75" customHeight="1">
      <c r="A61" s="5"/>
      <c r="B61" s="5"/>
      <c r="C61" s="5"/>
      <c r="D61" s="5"/>
      <c r="E61" s="5"/>
      <c r="F61" s="5"/>
      <c r="G61" s="5"/>
      <c r="H61" s="5"/>
      <c r="I61" s="5"/>
      <c r="J61" s="5"/>
      <c r="K61" s="5"/>
      <c r="L61" s="5"/>
      <c r="M61" s="5"/>
      <c r="N61" s="5"/>
      <c r="O61" s="5"/>
      <c r="P61" s="5"/>
      <c r="Q61" s="5"/>
      <c r="R61" s="5"/>
      <c r="S61" s="5"/>
      <c r="T61" s="5"/>
      <c r="U61" s="5"/>
      <c r="V61" s="5"/>
      <c r="W61" s="5"/>
      <c r="X61" s="5"/>
      <c r="Y61" s="5"/>
      <c r="Z61" s="5"/>
    </row>
    <row r="62" ht="15.75" customHeight="1">
      <c r="A62" s="5"/>
      <c r="B62" s="5"/>
      <c r="C62" s="5"/>
      <c r="D62" s="5"/>
      <c r="E62" s="5"/>
      <c r="F62" s="5"/>
      <c r="G62" s="5"/>
      <c r="H62" s="5"/>
      <c r="I62" s="5"/>
      <c r="J62" s="5"/>
      <c r="K62" s="5"/>
      <c r="L62" s="5"/>
      <c r="M62" s="5"/>
      <c r="N62" s="5"/>
      <c r="O62" s="5"/>
      <c r="P62" s="5"/>
      <c r="Q62" s="5"/>
      <c r="R62" s="5"/>
      <c r="S62" s="5"/>
      <c r="T62" s="5"/>
      <c r="U62" s="5"/>
      <c r="V62" s="5"/>
      <c r="W62" s="5"/>
      <c r="X62" s="5"/>
      <c r="Y62" s="5"/>
      <c r="Z62" s="5"/>
    </row>
    <row r="63" ht="15.75" customHeight="1">
      <c r="A63" s="5"/>
      <c r="B63" s="5"/>
      <c r="C63" s="5"/>
      <c r="D63" s="5"/>
      <c r="E63" s="5"/>
      <c r="F63" s="5"/>
      <c r="G63" s="5"/>
      <c r="H63" s="5"/>
      <c r="I63" s="5"/>
      <c r="J63" s="5"/>
      <c r="K63" s="5"/>
      <c r="L63" s="5"/>
      <c r="M63" s="5"/>
      <c r="N63" s="5"/>
      <c r="O63" s="5"/>
      <c r="P63" s="5"/>
      <c r="Q63" s="5"/>
      <c r="R63" s="5"/>
      <c r="S63" s="5"/>
      <c r="T63" s="5"/>
      <c r="U63" s="5"/>
      <c r="V63" s="5"/>
      <c r="W63" s="5"/>
      <c r="X63" s="5"/>
      <c r="Y63" s="5"/>
      <c r="Z63" s="5"/>
    </row>
    <row r="64" ht="15.75" customHeight="1">
      <c r="A64" s="5"/>
      <c r="B64" s="5"/>
      <c r="C64" s="5"/>
      <c r="D64" s="5"/>
      <c r="E64" s="5"/>
      <c r="F64" s="5"/>
      <c r="G64" s="5"/>
      <c r="H64" s="5"/>
      <c r="I64" s="5"/>
      <c r="J64" s="5"/>
      <c r="K64" s="5"/>
      <c r="L64" s="5"/>
      <c r="M64" s="5"/>
      <c r="N64" s="5"/>
      <c r="O64" s="5"/>
      <c r="P64" s="5"/>
      <c r="Q64" s="5"/>
      <c r="R64" s="5"/>
      <c r="S64" s="5"/>
      <c r="T64" s="5"/>
      <c r="U64" s="5"/>
      <c r="V64" s="5"/>
      <c r="W64" s="5"/>
      <c r="X64" s="5"/>
      <c r="Y64" s="5"/>
      <c r="Z64" s="5"/>
    </row>
    <row r="65" ht="15.75" customHeight="1">
      <c r="A65" s="5"/>
      <c r="B65" s="5"/>
      <c r="C65" s="5"/>
      <c r="D65" s="5"/>
      <c r="E65" s="5"/>
      <c r="F65" s="5"/>
      <c r="G65" s="5"/>
      <c r="H65" s="5"/>
      <c r="I65" s="5"/>
      <c r="J65" s="5"/>
      <c r="K65" s="5"/>
      <c r="L65" s="5"/>
      <c r="M65" s="5"/>
      <c r="N65" s="5"/>
      <c r="O65" s="5"/>
      <c r="P65" s="5"/>
      <c r="Q65" s="5"/>
      <c r="R65" s="5"/>
      <c r="S65" s="5"/>
      <c r="T65" s="5"/>
      <c r="U65" s="5"/>
      <c r="V65" s="5"/>
      <c r="W65" s="5"/>
      <c r="X65" s="5"/>
      <c r="Y65" s="5"/>
      <c r="Z65" s="5"/>
    </row>
    <row r="66" ht="15.75" customHeight="1">
      <c r="A66" s="5"/>
      <c r="B66" s="5"/>
      <c r="C66" s="5"/>
      <c r="D66" s="5"/>
      <c r="E66" s="5"/>
      <c r="F66" s="5"/>
      <c r="G66" s="5"/>
      <c r="H66" s="5"/>
      <c r="I66" s="5"/>
      <c r="J66" s="5"/>
      <c r="K66" s="5"/>
      <c r="L66" s="5"/>
      <c r="M66" s="5"/>
      <c r="N66" s="5"/>
      <c r="O66" s="5"/>
      <c r="P66" s="5"/>
      <c r="Q66" s="5"/>
      <c r="R66" s="5"/>
      <c r="S66" s="5"/>
      <c r="T66" s="5"/>
      <c r="U66" s="5"/>
      <c r="V66" s="5"/>
      <c r="W66" s="5"/>
      <c r="X66" s="5"/>
      <c r="Y66" s="5"/>
      <c r="Z66" s="5"/>
    </row>
    <row r="67" ht="15.75" customHeight="1">
      <c r="A67" s="5"/>
      <c r="B67" s="5"/>
      <c r="C67" s="5"/>
      <c r="D67" s="5"/>
      <c r="E67" s="5"/>
      <c r="F67" s="5"/>
      <c r="G67" s="5"/>
      <c r="H67" s="5"/>
      <c r="I67" s="5"/>
      <c r="J67" s="5"/>
      <c r="K67" s="5"/>
      <c r="L67" s="5"/>
      <c r="M67" s="5"/>
      <c r="N67" s="5"/>
      <c r="O67" s="5"/>
      <c r="P67" s="5"/>
      <c r="Q67" s="5"/>
      <c r="R67" s="5"/>
      <c r="S67" s="5"/>
      <c r="T67" s="5"/>
      <c r="U67" s="5"/>
      <c r="V67" s="5"/>
      <c r="W67" s="5"/>
      <c r="X67" s="5"/>
      <c r="Y67" s="5"/>
      <c r="Z67" s="5"/>
    </row>
    <row r="68" ht="15.75" customHeight="1">
      <c r="A68" s="5"/>
      <c r="B68" s="5"/>
      <c r="C68" s="5"/>
      <c r="D68" s="5"/>
      <c r="E68" s="5"/>
      <c r="F68" s="5"/>
      <c r="G68" s="5"/>
      <c r="H68" s="5"/>
      <c r="I68" s="5"/>
      <c r="J68" s="5"/>
      <c r="K68" s="5"/>
      <c r="L68" s="5"/>
      <c r="M68" s="5"/>
      <c r="N68" s="5"/>
      <c r="O68" s="5"/>
      <c r="P68" s="5"/>
      <c r="Q68" s="5"/>
      <c r="R68" s="5"/>
      <c r="S68" s="5"/>
      <c r="T68" s="5"/>
      <c r="U68" s="5"/>
      <c r="V68" s="5"/>
      <c r="W68" s="5"/>
      <c r="X68" s="5"/>
      <c r="Y68" s="5"/>
      <c r="Z68" s="5"/>
    </row>
    <row r="69" ht="15.75" customHeight="1">
      <c r="A69" s="5"/>
      <c r="B69" s="5"/>
      <c r="C69" s="5"/>
      <c r="D69" s="5"/>
      <c r="E69" s="5"/>
      <c r="F69" s="5"/>
      <c r="G69" s="5"/>
      <c r="H69" s="5"/>
      <c r="I69" s="5"/>
      <c r="J69" s="5"/>
      <c r="K69" s="5"/>
      <c r="L69" s="5"/>
      <c r="M69" s="5"/>
      <c r="N69" s="5"/>
      <c r="O69" s="5"/>
      <c r="P69" s="5"/>
      <c r="Q69" s="5"/>
      <c r="R69" s="5"/>
      <c r="S69" s="5"/>
      <c r="T69" s="5"/>
      <c r="U69" s="5"/>
      <c r="V69" s="5"/>
      <c r="W69" s="5"/>
      <c r="X69" s="5"/>
      <c r="Y69" s="5"/>
      <c r="Z69" s="5"/>
    </row>
    <row r="70" ht="15.75" customHeight="1">
      <c r="A70" s="5"/>
      <c r="B70" s="5"/>
      <c r="C70" s="5"/>
      <c r="D70" s="5"/>
      <c r="E70" s="5"/>
      <c r="F70" s="5"/>
      <c r="G70" s="5"/>
      <c r="H70" s="5"/>
      <c r="I70" s="5"/>
      <c r="J70" s="5"/>
      <c r="K70" s="5"/>
      <c r="L70" s="5"/>
      <c r="M70" s="5"/>
      <c r="N70" s="5"/>
      <c r="O70" s="5"/>
      <c r="P70" s="5"/>
      <c r="Q70" s="5"/>
      <c r="R70" s="5"/>
      <c r="S70" s="5"/>
      <c r="T70" s="5"/>
      <c r="U70" s="5"/>
      <c r="V70" s="5"/>
      <c r="W70" s="5"/>
      <c r="X70" s="5"/>
      <c r="Y70" s="5"/>
      <c r="Z70" s="5"/>
    </row>
    <row r="71" ht="15.75" customHeight="1">
      <c r="A71" s="5"/>
      <c r="B71" s="5"/>
      <c r="C71" s="5"/>
      <c r="D71" s="5"/>
      <c r="E71" s="5"/>
      <c r="F71" s="5"/>
      <c r="G71" s="5"/>
      <c r="H71" s="5"/>
      <c r="I71" s="5"/>
      <c r="J71" s="5"/>
      <c r="K71" s="5"/>
      <c r="L71" s="5"/>
      <c r="M71" s="5"/>
      <c r="N71" s="5"/>
      <c r="O71" s="5"/>
      <c r="P71" s="5"/>
      <c r="Q71" s="5"/>
      <c r="R71" s="5"/>
      <c r="S71" s="5"/>
      <c r="T71" s="5"/>
      <c r="U71" s="5"/>
      <c r="V71" s="5"/>
      <c r="W71" s="5"/>
      <c r="X71" s="5"/>
      <c r="Y71" s="5"/>
      <c r="Z71" s="5"/>
    </row>
    <row r="72" ht="15.75" customHeight="1">
      <c r="A72" s="5"/>
      <c r="B72" s="5"/>
      <c r="C72" s="5"/>
      <c r="D72" s="5"/>
      <c r="E72" s="5"/>
      <c r="F72" s="5"/>
      <c r="G72" s="5"/>
      <c r="H72" s="5"/>
      <c r="I72" s="5"/>
      <c r="J72" s="5"/>
      <c r="K72" s="5"/>
      <c r="L72" s="5"/>
      <c r="M72" s="5"/>
      <c r="N72" s="5"/>
      <c r="O72" s="5"/>
      <c r="P72" s="5"/>
      <c r="Q72" s="5"/>
      <c r="R72" s="5"/>
      <c r="S72" s="5"/>
      <c r="T72" s="5"/>
      <c r="U72" s="5"/>
      <c r="V72" s="5"/>
      <c r="W72" s="5"/>
      <c r="X72" s="5"/>
      <c r="Y72" s="5"/>
      <c r="Z72" s="5"/>
    </row>
    <row r="73" ht="15.75" customHeight="1">
      <c r="A73" s="5"/>
      <c r="B73" s="5"/>
      <c r="C73" s="5"/>
      <c r="D73" s="5"/>
      <c r="E73" s="5"/>
      <c r="F73" s="5"/>
      <c r="G73" s="5"/>
      <c r="H73" s="5"/>
      <c r="I73" s="5"/>
      <c r="J73" s="5"/>
      <c r="K73" s="5"/>
      <c r="L73" s="5"/>
      <c r="M73" s="5"/>
      <c r="N73" s="5"/>
      <c r="O73" s="5"/>
      <c r="P73" s="5"/>
      <c r="Q73" s="5"/>
      <c r="R73" s="5"/>
      <c r="S73" s="5"/>
      <c r="T73" s="5"/>
      <c r="U73" s="5"/>
      <c r="V73" s="5"/>
      <c r="W73" s="5"/>
      <c r="X73" s="5"/>
      <c r="Y73" s="5"/>
      <c r="Z73" s="5"/>
    </row>
    <row r="74" ht="15.75" customHeight="1">
      <c r="A74" s="5"/>
      <c r="B74" s="5"/>
      <c r="C74" s="5"/>
      <c r="D74" s="5"/>
      <c r="E74" s="5"/>
      <c r="F74" s="5"/>
      <c r="G74" s="5"/>
      <c r="H74" s="5"/>
      <c r="I74" s="5"/>
      <c r="J74" s="5"/>
      <c r="K74" s="5"/>
      <c r="L74" s="5"/>
      <c r="M74" s="5"/>
      <c r="N74" s="5"/>
      <c r="O74" s="5"/>
      <c r="P74" s="5"/>
      <c r="Q74" s="5"/>
      <c r="R74" s="5"/>
      <c r="S74" s="5"/>
      <c r="T74" s="5"/>
      <c r="U74" s="5"/>
      <c r="V74" s="5"/>
      <c r="W74" s="5"/>
      <c r="X74" s="5"/>
      <c r="Y74" s="5"/>
      <c r="Z74" s="5"/>
    </row>
    <row r="75" ht="15.75" customHeight="1">
      <c r="A75" s="5"/>
      <c r="B75" s="5"/>
      <c r="C75" s="5"/>
      <c r="D75" s="5"/>
      <c r="E75" s="5"/>
      <c r="F75" s="5"/>
      <c r="G75" s="5"/>
      <c r="H75" s="5"/>
      <c r="I75" s="5"/>
      <c r="J75" s="5"/>
      <c r="K75" s="5"/>
      <c r="L75" s="5"/>
      <c r="M75" s="5"/>
      <c r="N75" s="5"/>
      <c r="O75" s="5"/>
      <c r="P75" s="5"/>
      <c r="Q75" s="5"/>
      <c r="R75" s="5"/>
      <c r="S75" s="5"/>
      <c r="T75" s="5"/>
      <c r="U75" s="5"/>
      <c r="V75" s="5"/>
      <c r="W75" s="5"/>
      <c r="X75" s="5"/>
      <c r="Y75" s="5"/>
      <c r="Z75" s="5"/>
    </row>
    <row r="76" ht="15.75" customHeight="1">
      <c r="A76" s="5"/>
      <c r="B76" s="5"/>
      <c r="C76" s="5"/>
      <c r="D76" s="5"/>
      <c r="E76" s="5"/>
      <c r="F76" s="5"/>
      <c r="G76" s="5"/>
      <c r="H76" s="5"/>
      <c r="I76" s="5"/>
      <c r="J76" s="5"/>
      <c r="K76" s="5"/>
      <c r="L76" s="5"/>
      <c r="M76" s="5"/>
      <c r="N76" s="5"/>
      <c r="O76" s="5"/>
      <c r="P76" s="5"/>
      <c r="Q76" s="5"/>
      <c r="R76" s="5"/>
      <c r="S76" s="5"/>
      <c r="T76" s="5"/>
      <c r="U76" s="5"/>
      <c r="V76" s="5"/>
      <c r="W76" s="5"/>
      <c r="X76" s="5"/>
      <c r="Y76" s="5"/>
      <c r="Z76" s="5"/>
    </row>
    <row r="77" ht="15.75" customHeight="1">
      <c r="A77" s="5"/>
      <c r="B77" s="5"/>
      <c r="C77" s="5"/>
      <c r="D77" s="5"/>
      <c r="E77" s="5"/>
      <c r="F77" s="5"/>
      <c r="G77" s="5"/>
      <c r="H77" s="5"/>
      <c r="I77" s="5"/>
      <c r="J77" s="5"/>
      <c r="K77" s="5"/>
      <c r="L77" s="5"/>
      <c r="M77" s="5"/>
      <c r="N77" s="5"/>
      <c r="O77" s="5"/>
      <c r="P77" s="5"/>
      <c r="Q77" s="5"/>
      <c r="R77" s="5"/>
      <c r="S77" s="5"/>
      <c r="T77" s="5"/>
      <c r="U77" s="5"/>
      <c r="V77" s="5"/>
      <c r="W77" s="5"/>
      <c r="X77" s="5"/>
      <c r="Y77" s="5"/>
      <c r="Z77" s="5"/>
    </row>
    <row r="78" ht="15.75" customHeight="1">
      <c r="A78" s="5"/>
      <c r="B78" s="5"/>
      <c r="C78" s="5"/>
      <c r="D78" s="5"/>
      <c r="E78" s="5"/>
      <c r="F78" s="5"/>
      <c r="G78" s="5"/>
      <c r="H78" s="5"/>
      <c r="I78" s="5"/>
      <c r="J78" s="5"/>
      <c r="K78" s="5"/>
      <c r="L78" s="5"/>
      <c r="M78" s="5"/>
      <c r="N78" s="5"/>
      <c r="O78" s="5"/>
      <c r="P78" s="5"/>
      <c r="Q78" s="5"/>
      <c r="R78" s="5"/>
      <c r="S78" s="5"/>
      <c r="T78" s="5"/>
      <c r="U78" s="5"/>
      <c r="V78" s="5"/>
      <c r="W78" s="5"/>
      <c r="X78" s="5"/>
      <c r="Y78" s="5"/>
      <c r="Z78" s="5"/>
    </row>
    <row r="79" ht="15.75" customHeight="1">
      <c r="A79" s="5"/>
      <c r="B79" s="5"/>
      <c r="C79" s="5"/>
      <c r="D79" s="5"/>
      <c r="E79" s="5"/>
      <c r="F79" s="5"/>
      <c r="G79" s="5"/>
      <c r="H79" s="5"/>
      <c r="I79" s="5"/>
      <c r="J79" s="5"/>
      <c r="K79" s="5"/>
      <c r="L79" s="5"/>
      <c r="M79" s="5"/>
      <c r="N79" s="5"/>
      <c r="O79" s="5"/>
      <c r="P79" s="5"/>
      <c r="Q79" s="5"/>
      <c r="R79" s="5"/>
      <c r="S79" s="5"/>
      <c r="T79" s="5"/>
      <c r="U79" s="5"/>
      <c r="V79" s="5"/>
      <c r="W79" s="5"/>
      <c r="X79" s="5"/>
      <c r="Y79" s="5"/>
      <c r="Z79" s="5"/>
    </row>
    <row r="80" ht="15.75" customHeight="1">
      <c r="A80" s="5"/>
      <c r="B80" s="5"/>
      <c r="C80" s="5"/>
      <c r="D80" s="5"/>
      <c r="E80" s="5"/>
      <c r="F80" s="5"/>
      <c r="G80" s="5"/>
      <c r="H80" s="5"/>
      <c r="I80" s="5"/>
      <c r="J80" s="5"/>
      <c r="K80" s="5"/>
      <c r="L80" s="5"/>
      <c r="M80" s="5"/>
      <c r="N80" s="5"/>
      <c r="O80" s="5"/>
      <c r="P80" s="5"/>
      <c r="Q80" s="5"/>
      <c r="R80" s="5"/>
      <c r="S80" s="5"/>
      <c r="T80" s="5"/>
      <c r="U80" s="5"/>
      <c r="V80" s="5"/>
      <c r="W80" s="5"/>
      <c r="X80" s="5"/>
      <c r="Y80" s="5"/>
      <c r="Z80" s="5"/>
    </row>
    <row r="81" ht="15.75" customHeight="1">
      <c r="A81" s="5"/>
      <c r="B81" s="5"/>
      <c r="C81" s="5"/>
      <c r="D81" s="5"/>
      <c r="E81" s="5"/>
      <c r="F81" s="5"/>
      <c r="G81" s="5"/>
      <c r="H81" s="5"/>
      <c r="I81" s="5"/>
      <c r="J81" s="5"/>
      <c r="K81" s="5"/>
      <c r="L81" s="5"/>
      <c r="M81" s="5"/>
      <c r="N81" s="5"/>
      <c r="O81" s="5"/>
      <c r="P81" s="5"/>
      <c r="Q81" s="5"/>
      <c r="R81" s="5"/>
      <c r="S81" s="5"/>
      <c r="T81" s="5"/>
      <c r="U81" s="5"/>
      <c r="V81" s="5"/>
      <c r="W81" s="5"/>
      <c r="X81" s="5"/>
      <c r="Y81" s="5"/>
      <c r="Z81" s="5"/>
    </row>
    <row r="82" ht="15.75" customHeight="1">
      <c r="A82" s="5"/>
      <c r="B82" s="5"/>
      <c r="C82" s="5"/>
      <c r="D82" s="5"/>
      <c r="E82" s="5"/>
      <c r="F82" s="5"/>
      <c r="G82" s="5"/>
      <c r="H82" s="5"/>
      <c r="I82" s="5"/>
      <c r="J82" s="5"/>
      <c r="K82" s="5"/>
      <c r="L82" s="5"/>
      <c r="M82" s="5"/>
      <c r="N82" s="5"/>
      <c r="O82" s="5"/>
      <c r="P82" s="5"/>
      <c r="Q82" s="5"/>
      <c r="R82" s="5"/>
      <c r="S82" s="5"/>
      <c r="T82" s="5"/>
      <c r="U82" s="5"/>
      <c r="V82" s="5"/>
      <c r="W82" s="5"/>
      <c r="X82" s="5"/>
      <c r="Y82" s="5"/>
      <c r="Z82" s="5"/>
    </row>
    <row r="83" ht="15.75" customHeight="1">
      <c r="A83" s="5"/>
      <c r="B83" s="5"/>
      <c r="C83" s="5"/>
      <c r="D83" s="5"/>
      <c r="E83" s="5"/>
      <c r="F83" s="5"/>
      <c r="G83" s="5"/>
      <c r="H83" s="5"/>
      <c r="I83" s="5"/>
      <c r="J83" s="5"/>
      <c r="K83" s="5"/>
      <c r="L83" s="5"/>
      <c r="M83" s="5"/>
      <c r="N83" s="5"/>
      <c r="O83" s="5"/>
      <c r="P83" s="5"/>
      <c r="Q83" s="5"/>
      <c r="R83" s="5"/>
      <c r="S83" s="5"/>
      <c r="T83" s="5"/>
      <c r="U83" s="5"/>
      <c r="V83" s="5"/>
      <c r="W83" s="5"/>
      <c r="X83" s="5"/>
      <c r="Y83" s="5"/>
      <c r="Z83" s="5"/>
    </row>
    <row r="84" ht="15.75" customHeight="1">
      <c r="A84" s="5"/>
      <c r="B84" s="5"/>
      <c r="C84" s="5"/>
      <c r="D84" s="5"/>
      <c r="E84" s="5"/>
      <c r="F84" s="5"/>
      <c r="G84" s="5"/>
      <c r="H84" s="5"/>
      <c r="I84" s="5"/>
      <c r="J84" s="5"/>
      <c r="K84" s="5"/>
      <c r="L84" s="5"/>
      <c r="M84" s="5"/>
      <c r="N84" s="5"/>
      <c r="O84" s="5"/>
      <c r="P84" s="5"/>
      <c r="Q84" s="5"/>
      <c r="R84" s="5"/>
      <c r="S84" s="5"/>
      <c r="T84" s="5"/>
      <c r="U84" s="5"/>
      <c r="V84" s="5"/>
      <c r="W84" s="5"/>
      <c r="X84" s="5"/>
      <c r="Y84" s="5"/>
      <c r="Z84" s="5"/>
    </row>
    <row r="85" ht="15.75" customHeight="1">
      <c r="A85" s="5"/>
      <c r="B85" s="5"/>
      <c r="C85" s="5"/>
      <c r="D85" s="5"/>
      <c r="E85" s="5"/>
      <c r="F85" s="5"/>
      <c r="G85" s="5"/>
      <c r="H85" s="5"/>
      <c r="I85" s="5"/>
      <c r="J85" s="5"/>
      <c r="K85" s="5"/>
      <c r="L85" s="5"/>
      <c r="M85" s="5"/>
      <c r="N85" s="5"/>
      <c r="O85" s="5"/>
      <c r="P85" s="5"/>
      <c r="Q85" s="5"/>
      <c r="R85" s="5"/>
      <c r="S85" s="5"/>
      <c r="T85" s="5"/>
      <c r="U85" s="5"/>
      <c r="V85" s="5"/>
      <c r="W85" s="5"/>
      <c r="X85" s="5"/>
      <c r="Y85" s="5"/>
      <c r="Z85" s="5"/>
    </row>
    <row r="86" ht="15.75" customHeight="1">
      <c r="A86" s="5"/>
      <c r="B86" s="5"/>
      <c r="C86" s="5"/>
      <c r="D86" s="5"/>
      <c r="E86" s="5"/>
      <c r="F86" s="5"/>
      <c r="G86" s="5"/>
      <c r="H86" s="5"/>
      <c r="I86" s="5"/>
      <c r="J86" s="5"/>
      <c r="K86" s="5"/>
      <c r="L86" s="5"/>
      <c r="M86" s="5"/>
      <c r="N86" s="5"/>
      <c r="O86" s="5"/>
      <c r="P86" s="5"/>
      <c r="Q86" s="5"/>
      <c r="R86" s="5"/>
      <c r="S86" s="5"/>
      <c r="T86" s="5"/>
      <c r="U86" s="5"/>
      <c r="V86" s="5"/>
      <c r="W86" s="5"/>
      <c r="X86" s="5"/>
      <c r="Y86" s="5"/>
      <c r="Z86" s="5"/>
    </row>
    <row r="87" ht="15.75" customHeight="1">
      <c r="A87" s="5"/>
      <c r="B87" s="5"/>
      <c r="C87" s="5"/>
      <c r="D87" s="5"/>
      <c r="E87" s="5"/>
      <c r="F87" s="5"/>
      <c r="G87" s="5"/>
      <c r="H87" s="5"/>
      <c r="I87" s="5"/>
      <c r="J87" s="5"/>
      <c r="K87" s="5"/>
      <c r="L87" s="5"/>
      <c r="M87" s="5"/>
      <c r="N87" s="5"/>
      <c r="O87" s="5"/>
      <c r="P87" s="5"/>
      <c r="Q87" s="5"/>
      <c r="R87" s="5"/>
      <c r="S87" s="5"/>
      <c r="T87" s="5"/>
      <c r="U87" s="5"/>
      <c r="V87" s="5"/>
      <c r="W87" s="5"/>
      <c r="X87" s="5"/>
      <c r="Y87" s="5"/>
      <c r="Z87" s="5"/>
    </row>
    <row r="88" ht="15.75" customHeight="1">
      <c r="A88" s="5"/>
      <c r="B88" s="5"/>
      <c r="C88" s="5"/>
      <c r="D88" s="5"/>
      <c r="E88" s="5"/>
      <c r="F88" s="5"/>
      <c r="G88" s="5"/>
      <c r="H88" s="5"/>
      <c r="I88" s="5"/>
      <c r="J88" s="5"/>
      <c r="K88" s="5"/>
      <c r="L88" s="5"/>
      <c r="M88" s="5"/>
      <c r="N88" s="5"/>
      <c r="O88" s="5"/>
      <c r="P88" s="5"/>
      <c r="Q88" s="5"/>
      <c r="R88" s="5"/>
      <c r="S88" s="5"/>
      <c r="T88" s="5"/>
      <c r="U88" s="5"/>
      <c r="V88" s="5"/>
      <c r="W88" s="5"/>
      <c r="X88" s="5"/>
      <c r="Y88" s="5"/>
      <c r="Z88" s="5"/>
    </row>
    <row r="89" ht="15.75" customHeight="1">
      <c r="A89" s="5"/>
      <c r="B89" s="5"/>
      <c r="C89" s="5"/>
      <c r="D89" s="5"/>
      <c r="E89" s="5"/>
      <c r="F89" s="5"/>
      <c r="G89" s="5"/>
      <c r="H89" s="5"/>
      <c r="I89" s="5"/>
      <c r="J89" s="5"/>
      <c r="K89" s="5"/>
      <c r="L89" s="5"/>
      <c r="M89" s="5"/>
      <c r="N89" s="5"/>
      <c r="O89" s="5"/>
      <c r="P89" s="5"/>
      <c r="Q89" s="5"/>
      <c r="R89" s="5"/>
      <c r="S89" s="5"/>
      <c r="T89" s="5"/>
      <c r="U89" s="5"/>
      <c r="V89" s="5"/>
      <c r="W89" s="5"/>
      <c r="X89" s="5"/>
      <c r="Y89" s="5"/>
      <c r="Z89" s="5"/>
    </row>
    <row r="90" ht="15.75" customHeight="1">
      <c r="A90" s="5"/>
      <c r="B90" s="5"/>
      <c r="C90" s="5"/>
      <c r="D90" s="5"/>
      <c r="E90" s="5"/>
      <c r="F90" s="5"/>
      <c r="G90" s="5"/>
      <c r="H90" s="5"/>
      <c r="I90" s="5"/>
      <c r="J90" s="5"/>
      <c r="K90" s="5"/>
      <c r="L90" s="5"/>
      <c r="M90" s="5"/>
      <c r="N90" s="5"/>
      <c r="O90" s="5"/>
      <c r="P90" s="5"/>
      <c r="Q90" s="5"/>
      <c r="R90" s="5"/>
      <c r="S90" s="5"/>
      <c r="T90" s="5"/>
      <c r="U90" s="5"/>
      <c r="V90" s="5"/>
      <c r="W90" s="5"/>
      <c r="X90" s="5"/>
      <c r="Y90" s="5"/>
      <c r="Z90" s="5"/>
    </row>
    <row r="91" ht="15.75" customHeight="1">
      <c r="A91" s="5"/>
      <c r="B91" s="5"/>
      <c r="C91" s="5"/>
      <c r="D91" s="5"/>
      <c r="E91" s="5"/>
      <c r="F91" s="5"/>
      <c r="G91" s="5"/>
      <c r="H91" s="5"/>
      <c r="I91" s="5"/>
      <c r="J91" s="5"/>
      <c r="K91" s="5"/>
      <c r="L91" s="5"/>
      <c r="M91" s="5"/>
      <c r="N91" s="5"/>
      <c r="O91" s="5"/>
      <c r="P91" s="5"/>
      <c r="Q91" s="5"/>
      <c r="R91" s="5"/>
      <c r="S91" s="5"/>
      <c r="T91" s="5"/>
      <c r="U91" s="5"/>
      <c r="V91" s="5"/>
      <c r="W91" s="5"/>
      <c r="X91" s="5"/>
      <c r="Y91" s="5"/>
      <c r="Z91" s="5"/>
    </row>
    <row r="92" ht="15.75" customHeight="1">
      <c r="A92" s="5"/>
      <c r="B92" s="5"/>
      <c r="C92" s="5"/>
      <c r="D92" s="5"/>
      <c r="E92" s="5"/>
      <c r="F92" s="5"/>
      <c r="G92" s="5"/>
      <c r="H92" s="5"/>
      <c r="I92" s="5"/>
      <c r="J92" s="5"/>
      <c r="K92" s="5"/>
      <c r="L92" s="5"/>
      <c r="M92" s="5"/>
      <c r="N92" s="5"/>
      <c r="O92" s="5"/>
      <c r="P92" s="5"/>
      <c r="Q92" s="5"/>
      <c r="R92" s="5"/>
      <c r="S92" s="5"/>
      <c r="T92" s="5"/>
      <c r="U92" s="5"/>
      <c r="V92" s="5"/>
      <c r="W92" s="5"/>
      <c r="X92" s="5"/>
      <c r="Y92" s="5"/>
      <c r="Z92" s="5"/>
    </row>
    <row r="93" ht="15.75" customHeight="1">
      <c r="A93" s="5"/>
      <c r="B93" s="5"/>
      <c r="C93" s="5"/>
      <c r="D93" s="5"/>
      <c r="E93" s="5"/>
      <c r="F93" s="5"/>
      <c r="G93" s="5"/>
      <c r="H93" s="5"/>
      <c r="I93" s="5"/>
      <c r="J93" s="5"/>
      <c r="K93" s="5"/>
      <c r="L93" s="5"/>
      <c r="M93" s="5"/>
      <c r="N93" s="5"/>
      <c r="O93" s="5"/>
      <c r="P93" s="5"/>
      <c r="Q93" s="5"/>
      <c r="R93" s="5"/>
      <c r="S93" s="5"/>
      <c r="T93" s="5"/>
      <c r="U93" s="5"/>
      <c r="V93" s="5"/>
      <c r="W93" s="5"/>
      <c r="X93" s="5"/>
      <c r="Y93" s="5"/>
      <c r="Z93" s="5"/>
    </row>
    <row r="94" ht="15.75" customHeight="1">
      <c r="A94" s="5"/>
      <c r="B94" s="5"/>
      <c r="C94" s="5"/>
      <c r="D94" s="5"/>
      <c r="E94" s="5"/>
      <c r="F94" s="5"/>
      <c r="G94" s="5"/>
      <c r="H94" s="5"/>
      <c r="I94" s="5"/>
      <c r="J94" s="5"/>
      <c r="K94" s="5"/>
      <c r="L94" s="5"/>
      <c r="M94" s="5"/>
      <c r="N94" s="5"/>
      <c r="O94" s="5"/>
      <c r="P94" s="5"/>
      <c r="Q94" s="5"/>
      <c r="R94" s="5"/>
      <c r="S94" s="5"/>
      <c r="T94" s="5"/>
      <c r="U94" s="5"/>
      <c r="V94" s="5"/>
      <c r="W94" s="5"/>
      <c r="X94" s="5"/>
      <c r="Y94" s="5"/>
      <c r="Z94" s="5"/>
    </row>
    <row r="95" ht="15.75" customHeight="1">
      <c r="A95" s="5"/>
      <c r="B95" s="5"/>
      <c r="C95" s="5"/>
      <c r="D95" s="5"/>
      <c r="E95" s="5"/>
      <c r="F95" s="5"/>
      <c r="G95" s="5"/>
      <c r="H95" s="5"/>
      <c r="I95" s="5"/>
      <c r="J95" s="5"/>
      <c r="K95" s="5"/>
      <c r="L95" s="5"/>
      <c r="M95" s="5"/>
      <c r="N95" s="5"/>
      <c r="O95" s="5"/>
      <c r="P95" s="5"/>
      <c r="Q95" s="5"/>
      <c r="R95" s="5"/>
      <c r="S95" s="5"/>
      <c r="T95" s="5"/>
      <c r="U95" s="5"/>
      <c r="V95" s="5"/>
      <c r="W95" s="5"/>
      <c r="X95" s="5"/>
      <c r="Y95" s="5"/>
      <c r="Z95" s="5"/>
    </row>
    <row r="96" ht="15.75" customHeight="1">
      <c r="A96" s="5"/>
      <c r="B96" s="5"/>
      <c r="C96" s="5"/>
      <c r="D96" s="5"/>
      <c r="E96" s="5"/>
      <c r="F96" s="5"/>
      <c r="G96" s="5"/>
      <c r="H96" s="5"/>
      <c r="I96" s="5"/>
      <c r="J96" s="5"/>
      <c r="K96" s="5"/>
      <c r="L96" s="5"/>
      <c r="M96" s="5"/>
      <c r="N96" s="5"/>
      <c r="O96" s="5"/>
      <c r="P96" s="5"/>
      <c r="Q96" s="5"/>
      <c r="R96" s="5"/>
      <c r="S96" s="5"/>
      <c r="T96" s="5"/>
      <c r="U96" s="5"/>
      <c r="V96" s="5"/>
      <c r="W96" s="5"/>
      <c r="X96" s="5"/>
      <c r="Y96" s="5"/>
      <c r="Z96" s="5"/>
    </row>
    <row r="97" ht="15.75" customHeight="1">
      <c r="A97" s="5"/>
      <c r="B97" s="5"/>
      <c r="C97" s="5"/>
      <c r="D97" s="5"/>
      <c r="E97" s="5"/>
      <c r="F97" s="5"/>
      <c r="G97" s="5"/>
      <c r="H97" s="5"/>
      <c r="I97" s="5"/>
      <c r="J97" s="5"/>
      <c r="K97" s="5"/>
      <c r="L97" s="5"/>
      <c r="M97" s="5"/>
      <c r="N97" s="5"/>
      <c r="O97" s="5"/>
      <c r="P97" s="5"/>
      <c r="Q97" s="5"/>
      <c r="R97" s="5"/>
      <c r="S97" s="5"/>
      <c r="T97" s="5"/>
      <c r="U97" s="5"/>
      <c r="V97" s="5"/>
      <c r="W97" s="5"/>
      <c r="X97" s="5"/>
      <c r="Y97" s="5"/>
      <c r="Z97" s="5"/>
    </row>
    <row r="98" ht="15.75" customHeight="1">
      <c r="A98" s="5"/>
      <c r="B98" s="5"/>
      <c r="C98" s="5"/>
      <c r="D98" s="5"/>
      <c r="E98" s="5"/>
      <c r="F98" s="5"/>
      <c r="G98" s="5"/>
      <c r="H98" s="5"/>
      <c r="I98" s="5"/>
      <c r="J98" s="5"/>
      <c r="K98" s="5"/>
      <c r="L98" s="5"/>
      <c r="M98" s="5"/>
      <c r="N98" s="5"/>
      <c r="O98" s="5"/>
      <c r="P98" s="5"/>
      <c r="Q98" s="5"/>
      <c r="R98" s="5"/>
      <c r="S98" s="5"/>
      <c r="T98" s="5"/>
      <c r="U98" s="5"/>
      <c r="V98" s="5"/>
      <c r="W98" s="5"/>
      <c r="X98" s="5"/>
      <c r="Y98" s="5"/>
      <c r="Z98" s="5"/>
    </row>
    <row r="99" ht="15.75" customHeight="1">
      <c r="A99" s="5"/>
      <c r="B99" s="5"/>
      <c r="C99" s="5"/>
      <c r="D99" s="5"/>
      <c r="E99" s="5"/>
      <c r="F99" s="5"/>
      <c r="G99" s="5"/>
      <c r="H99" s="5"/>
      <c r="I99" s="5"/>
      <c r="J99" s="5"/>
      <c r="K99" s="5"/>
      <c r="L99" s="5"/>
      <c r="M99" s="5"/>
      <c r="N99" s="5"/>
      <c r="O99" s="5"/>
      <c r="P99" s="5"/>
      <c r="Q99" s="5"/>
      <c r="R99" s="5"/>
      <c r="S99" s="5"/>
      <c r="T99" s="5"/>
      <c r="U99" s="5"/>
      <c r="V99" s="5"/>
      <c r="W99" s="5"/>
      <c r="X99" s="5"/>
      <c r="Y99" s="5"/>
      <c r="Z99" s="5"/>
    </row>
    <row r="100" ht="15.75" customHeight="1">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row>
    <row r="101" ht="15.75" customHeight="1">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row>
    <row r="102" ht="15.75" customHeight="1">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row>
    <row r="103" ht="15.75" customHeight="1">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row>
    <row r="104" ht="15.75" customHeight="1">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row>
    <row r="105" ht="15.75" customHeight="1">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row>
    <row r="106" ht="15.75" customHeight="1">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row>
    <row r="107" ht="15.75" customHeight="1">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row>
    <row r="108" ht="15.75" customHeight="1">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row>
    <row r="109" ht="15.75" customHeight="1">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row>
    <row r="110" ht="15.75" customHeight="1">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row>
    <row r="111" ht="15.75" customHeight="1">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row>
    <row r="112" ht="15.75" customHeight="1">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row>
    <row r="113" ht="15.75" customHeight="1">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row>
    <row r="114" ht="15.7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row>
    <row r="115" ht="15.75" customHeight="1">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row>
    <row r="116" ht="15.75" customHeight="1">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row>
    <row r="117" ht="15.75" customHeight="1">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row>
    <row r="118" ht="15.75" customHeight="1">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row>
    <row r="119" ht="15.75" customHeight="1">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row>
    <row r="120" ht="15.75" customHeight="1">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row>
    <row r="121" ht="15.75" customHeight="1">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row>
    <row r="122" ht="15.75" customHeight="1">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row>
    <row r="123" ht="15.75" customHeight="1">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row>
    <row r="124" ht="15.75" customHeight="1">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row>
    <row r="125" ht="15.75" customHeight="1">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row>
    <row r="126" ht="15.75" customHeight="1">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row>
    <row r="127" ht="15.75" customHeight="1">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row>
    <row r="128" ht="15.75" customHeight="1">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row>
    <row r="129" ht="15.75" customHeight="1">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row>
    <row r="130" ht="15.75" customHeight="1">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row>
    <row r="131" ht="15.75" customHeight="1">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row>
    <row r="132" ht="15.75" customHeight="1">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row>
    <row r="133" ht="15.75" customHeight="1">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row>
    <row r="134" ht="15.75" customHeight="1">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row>
    <row r="135" ht="15.75" customHeight="1">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row>
    <row r="136" ht="15.75" customHeight="1">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row>
    <row r="137" ht="15.75" customHeight="1">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row>
    <row r="138" ht="15.75" customHeight="1">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row>
    <row r="139" ht="15.75" customHeight="1">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row>
    <row r="140" ht="15.75" customHeight="1">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row>
    <row r="141" ht="15.75" customHeight="1">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row>
    <row r="142" ht="15.75" customHeight="1">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row>
    <row r="143" ht="15.75" customHeight="1">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row>
    <row r="144" ht="15.75" customHeight="1">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row>
    <row r="145" ht="15.75" customHeight="1">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row>
    <row r="146" ht="15.75" customHeight="1">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row>
    <row r="147" ht="15.75" customHeight="1">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row>
    <row r="148" ht="15.75" customHeight="1">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row>
    <row r="149" ht="15.75" customHeight="1">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row>
    <row r="150" ht="15.75" customHeight="1">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row>
    <row r="151" ht="15.75" customHeight="1">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row>
    <row r="152" ht="15.75" customHeight="1">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row>
    <row r="153" ht="15.75" customHeight="1">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row>
    <row r="154" ht="15.75" customHeight="1">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row>
    <row r="155" ht="15.75" customHeight="1">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row>
    <row r="156" ht="15.75" customHeight="1">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row>
    <row r="157" ht="15.75" customHeight="1">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row>
    <row r="158" ht="15.75" customHeight="1">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row>
    <row r="159" ht="15.75" customHeight="1">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row>
    <row r="160" ht="15.75" customHeight="1">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row>
    <row r="161" ht="15.75" customHeight="1">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row>
    <row r="162" ht="15.75" customHeight="1">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row>
    <row r="163" ht="15.75" customHeight="1">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row>
    <row r="164" ht="15.75" customHeight="1">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row>
    <row r="165" ht="15.75" customHeight="1">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row>
    <row r="166" ht="15.75" customHeight="1">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row>
    <row r="167" ht="15.75" customHeight="1">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row>
    <row r="168" ht="15.75" customHeight="1">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row>
    <row r="169" ht="15.75" customHeight="1">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row>
    <row r="170" ht="15.75" customHeight="1">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row>
    <row r="171" ht="15.75" customHeight="1">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row>
    <row r="172" ht="15.75" customHeight="1">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row>
    <row r="173" ht="15.75" customHeight="1">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row>
    <row r="174" ht="15.75" customHeight="1">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row>
    <row r="175" ht="15.75" customHeight="1">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row>
    <row r="176" ht="15.75" customHeight="1">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row>
    <row r="177" ht="15.75" customHeight="1">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row>
    <row r="178" ht="15.75" customHeight="1">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row>
    <row r="179" ht="15.75" customHeight="1">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row>
    <row r="180" ht="15.75" customHeight="1">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row>
    <row r="181" ht="15.75" customHeight="1">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row>
    <row r="182" ht="15.75" customHeight="1">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row>
    <row r="183" ht="15.75" customHeight="1">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row>
    <row r="184" ht="15.75" customHeight="1">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row>
    <row r="185" ht="15.75" customHeight="1">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row>
    <row r="186" ht="15.75" customHeight="1">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row>
    <row r="187" ht="15.75" customHeight="1">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row>
    <row r="188" ht="15.75" customHeight="1">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row>
    <row r="189" ht="15.75" customHeight="1">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row>
    <row r="190" ht="15.75" customHeight="1">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row>
    <row r="191" ht="15.75" customHeight="1">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row>
    <row r="192" ht="15.75" customHeight="1">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row>
    <row r="193" ht="15.75" customHeight="1">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row>
    <row r="194" ht="15.75" customHeight="1">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row>
    <row r="195" ht="15.75" customHeight="1">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row>
    <row r="196" ht="15.75" customHeight="1">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row>
    <row r="197" ht="15.75" customHeight="1">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row>
    <row r="198" ht="15.75" customHeight="1">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row>
    <row r="199" ht="15.75" customHeight="1">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row>
    <row r="200" ht="15.75" customHeight="1">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row>
    <row r="201" ht="15.75" customHeight="1">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row>
    <row r="202" ht="15.75" customHeight="1">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row>
    <row r="203" ht="15.75" customHeight="1">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row>
    <row r="204" ht="15.75" customHeight="1">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row>
    <row r="205" ht="15.75" customHeight="1">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row>
    <row r="206" ht="15.75" customHeight="1">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row>
    <row r="207" ht="15.75" customHeight="1">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row>
    <row r="208" ht="15.75" customHeight="1">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row>
    <row r="209" ht="15.75" customHeight="1">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row>
    <row r="210" ht="15.75" customHeight="1">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row>
    <row r="211" ht="15.75" customHeight="1">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row>
    <row r="212" ht="15.75" customHeight="1">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row>
    <row r="213" ht="15.75" customHeight="1">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row>
    <row r="214" ht="15.75" customHeight="1">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row>
    <row r="215" ht="15.75" customHeight="1">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row>
    <row r="216" ht="15.75" customHeight="1">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row>
    <row r="217" ht="15.75" customHeight="1">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row>
    <row r="218" ht="15.75" customHeight="1">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row>
    <row r="219" ht="15.75" customHeight="1">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row>
    <row r="220" ht="15.75" customHeight="1">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row>
    <row r="221" ht="15.75" customHeight="1">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row>
    <row r="222" ht="15.75" customHeight="1">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row>
    <row r="223" ht="15.75" customHeight="1">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row>
    <row r="224" ht="15.75" customHeight="1">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row>
    <row r="225" ht="15.75" customHeight="1">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row>
    <row r="226" ht="15.75" customHeight="1">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row>
    <row r="227" ht="15.75" customHeight="1">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row>
    <row r="228" ht="15.75" customHeight="1">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row>
    <row r="229" ht="15.75" customHeight="1">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row>
    <row r="230" ht="15.75" customHeight="1">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row>
    <row r="231" ht="15.75" customHeight="1">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row>
    <row r="232" ht="15.75" customHeight="1">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row>
    <row r="233" ht="15.75" customHeight="1">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row>
    <row r="234" ht="15.75" customHeight="1">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row>
    <row r="235" ht="15.75" customHeight="1">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row>
    <row r="236" ht="15.75" customHeight="1">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row>
    <row r="237" ht="15.75" customHeight="1">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row>
    <row r="238" ht="15.75" customHeight="1">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row>
    <row r="239" ht="15.75" customHeight="1">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row>
    <row r="240" ht="15.75" customHeight="1">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row>
    <row r="241" ht="15.75" customHeight="1">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row>
    <row r="242" ht="15.75" customHeight="1">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row>
    <row r="243" ht="15.75" customHeight="1">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row>
    <row r="244" ht="15.75" customHeight="1">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row>
    <row r="245" ht="15.75" customHeight="1">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row>
    <row r="246" ht="15.75" customHeight="1">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row>
    <row r="247" ht="15.75" customHeight="1">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row>
    <row r="248" ht="15.75" customHeight="1">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row>
    <row r="249" ht="15.75" customHeight="1">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row>
    <row r="250" ht="15.75" customHeight="1">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row>
    <row r="251" ht="15.75" customHeight="1">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row>
    <row r="252" ht="15.75" customHeight="1">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row>
    <row r="253" ht="15.75" customHeight="1">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row>
    <row r="254" ht="15.75" customHeight="1">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row>
    <row r="255" ht="15.75" customHeight="1">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row>
    <row r="256" ht="15.75" customHeight="1">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row>
    <row r="257" ht="15.75" customHeight="1">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row>
    <row r="258" ht="15.75" customHeight="1">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row>
    <row r="259" ht="15.75" customHeight="1">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row>
    <row r="260" ht="15.75" customHeight="1">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row>
    <row r="261" ht="15.75" customHeight="1">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row>
    <row r="262" ht="15.75" customHeight="1">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row>
    <row r="263" ht="15.75" customHeight="1">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row>
    <row r="264" ht="15.75" customHeight="1">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row>
    <row r="265" ht="15.75" customHeight="1">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row>
    <row r="266" ht="15.75" customHeight="1">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row>
    <row r="267" ht="15.75" customHeight="1">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row>
    <row r="268" ht="15.75" customHeight="1">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row>
    <row r="269" ht="15.75" customHeight="1">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row>
    <row r="270" ht="15.75" customHeight="1">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row>
    <row r="271" ht="15.75" customHeight="1">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row>
    <row r="272" ht="15.75" customHeight="1">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row>
    <row r="273" ht="15.75" customHeight="1">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row>
    <row r="274" ht="15.75" customHeight="1">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row>
    <row r="275" ht="15.75" customHeight="1">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row>
    <row r="276" ht="15.75" customHeight="1">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row>
    <row r="277" ht="15.75" customHeight="1">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row>
    <row r="278" ht="15.75" customHeight="1">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row>
    <row r="279" ht="15.75" customHeight="1">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row>
    <row r="280" ht="15.75" customHeight="1">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row>
    <row r="281" ht="15.75" customHeight="1">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row>
    <row r="282" ht="15.75" customHeight="1">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row>
    <row r="283" ht="15.75" customHeight="1">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row>
    <row r="284" ht="15.75" customHeight="1">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row>
    <row r="285" ht="15.75" customHeight="1">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row>
    <row r="286" ht="15.75" customHeight="1">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row>
    <row r="287" ht="15.75" customHeight="1">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row>
    <row r="288" ht="15.75" customHeight="1">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row>
    <row r="289" ht="15.75" customHeight="1">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row>
    <row r="290" ht="15.75" customHeight="1">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row>
    <row r="291" ht="15.75" customHeight="1">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row>
    <row r="292" ht="15.75" customHeight="1">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row>
    <row r="293" ht="15.75" customHeight="1">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row>
    <row r="294" ht="15.75" customHeight="1">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row>
    <row r="295" ht="15.75" customHeight="1">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row>
    <row r="296" ht="15.75" customHeight="1">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row>
    <row r="297" ht="15.75" customHeight="1">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row>
    <row r="298" ht="15.75" customHeight="1">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row>
    <row r="299" ht="15.75" customHeight="1">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row>
    <row r="300" ht="15.75" customHeight="1">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row>
    <row r="301" ht="15.75" customHeight="1">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row>
    <row r="302" ht="15.75" customHeight="1">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row>
    <row r="303" ht="15.75" customHeight="1">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row>
    <row r="304" ht="15.75" customHeight="1">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row>
    <row r="305" ht="15.75" customHeight="1">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row>
    <row r="306" ht="15.75" customHeight="1">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row>
    <row r="307" ht="15.75" customHeight="1">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row>
    <row r="308" ht="15.75" customHeight="1">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row>
    <row r="309" ht="15.75" customHeight="1">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row>
    <row r="310" ht="15.75" customHeight="1">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row>
    <row r="311" ht="15.75" customHeight="1">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row>
    <row r="312" ht="15.75" customHeight="1">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row>
    <row r="313" ht="15.75" customHeight="1">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row>
    <row r="314" ht="15.75" customHeight="1">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row>
    <row r="315" ht="15.75" customHeight="1">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row>
    <row r="316" ht="15.75" customHeight="1">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row>
    <row r="317" ht="15.75" customHeight="1">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row>
    <row r="318" ht="15.75" customHeight="1">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row>
    <row r="319" ht="15.75" customHeight="1">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row>
    <row r="320" ht="15.75" customHeight="1">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row>
    <row r="321" ht="15.75" customHeight="1">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row>
    <row r="322" ht="15.75" customHeight="1">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row>
    <row r="323" ht="15.75" customHeight="1">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row>
    <row r="324" ht="15.75" customHeight="1">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row>
    <row r="325" ht="15.75" customHeight="1">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row>
    <row r="326" ht="15.75" customHeight="1">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row>
    <row r="327" ht="15.75" customHeight="1">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row>
    <row r="328" ht="15.75" customHeight="1">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row>
    <row r="329" ht="15.75" customHeight="1">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row>
    <row r="330" ht="15.75" customHeight="1">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row>
    <row r="331" ht="15.75" customHeight="1">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row>
    <row r="332" ht="15.75" customHeight="1">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row>
    <row r="333" ht="15.75" customHeight="1">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row>
    <row r="334" ht="15.75" customHeight="1">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row>
    <row r="335" ht="15.75" customHeight="1">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row>
    <row r="336" ht="15.75" customHeight="1">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row>
    <row r="337" ht="15.75" customHeight="1">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row>
    <row r="338" ht="15.75" customHeight="1">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row>
    <row r="339" ht="15.75" customHeight="1">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row>
    <row r="340" ht="15.75" customHeight="1">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row>
    <row r="341" ht="15.75" customHeight="1">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row>
    <row r="342" ht="15.75" customHeight="1">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row>
    <row r="343" ht="15.75" customHeight="1">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row>
    <row r="344" ht="15.75" customHeight="1">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row>
    <row r="345" ht="15.75" customHeight="1">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row>
    <row r="346" ht="15.75" customHeight="1">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row>
    <row r="347" ht="15.75" customHeight="1">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row>
    <row r="348" ht="15.75" customHeight="1">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row>
    <row r="349" ht="15.75" customHeight="1">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row>
    <row r="350" ht="15.75" customHeight="1">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row>
    <row r="351" ht="15.75" customHeight="1">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row>
    <row r="352" ht="15.75" customHeight="1">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row>
    <row r="353" ht="15.75" customHeight="1">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row>
    <row r="354" ht="15.75" customHeight="1">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row>
    <row r="355" ht="15.75" customHeight="1">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row>
    <row r="356" ht="15.75" customHeight="1">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row>
    <row r="357" ht="15.75" customHeight="1">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row>
    <row r="358" ht="15.75" customHeight="1">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row>
    <row r="359" ht="15.75" customHeight="1">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row>
    <row r="360" ht="15.75" customHeight="1">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row>
    <row r="361" ht="15.75" customHeight="1">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row>
    <row r="362" ht="15.75" customHeight="1">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row>
    <row r="363" ht="15.75" customHeight="1">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row>
    <row r="364" ht="15.75" customHeight="1">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row>
    <row r="365" ht="15.75" customHeight="1">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row>
    <row r="366" ht="15.75" customHeight="1">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row>
    <row r="367" ht="15.75" customHeight="1">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row>
    <row r="368" ht="15.75" customHeight="1">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row>
    <row r="369" ht="15.75" customHeight="1">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row>
    <row r="370" ht="15.75" customHeight="1">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row>
    <row r="371" ht="15.75" customHeight="1">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row>
    <row r="372" ht="15.75" customHeight="1">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row>
    <row r="373" ht="15.75" customHeight="1">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row>
    <row r="374" ht="15.75" customHeight="1">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row>
    <row r="375" ht="15.75" customHeight="1">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row>
    <row r="376" ht="15.75" customHeight="1">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row>
    <row r="377" ht="15.75" customHeight="1">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row>
    <row r="378" ht="15.75" customHeight="1">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row>
    <row r="379" ht="15.75" customHeight="1">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row>
    <row r="380" ht="15.75" customHeight="1">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row>
    <row r="381" ht="15.75" customHeight="1">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row>
    <row r="382" ht="15.75" customHeight="1">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row>
    <row r="383" ht="15.75" customHeight="1">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row>
    <row r="384" ht="15.75" customHeight="1">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row>
    <row r="385" ht="15.75" customHeight="1">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row>
    <row r="386" ht="15.75" customHeight="1">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row>
    <row r="387" ht="15.75" customHeight="1">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row>
    <row r="388" ht="15.75" customHeight="1">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row>
    <row r="389" ht="15.75" customHeight="1">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row>
    <row r="390" ht="15.75" customHeight="1">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row>
    <row r="391" ht="15.75" customHeight="1">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row>
    <row r="392" ht="15.75" customHeight="1">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row>
    <row r="393" ht="15.75" customHeight="1">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row>
    <row r="394" ht="15.75" customHeight="1">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row>
    <row r="395" ht="15.75" customHeight="1">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row>
    <row r="396" ht="15.75" customHeight="1">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row>
    <row r="397" ht="15.75" customHeight="1">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row>
    <row r="398" ht="15.75" customHeight="1">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row>
    <row r="399" ht="15.75" customHeight="1">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row>
    <row r="400" ht="15.75" customHeight="1">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row>
    <row r="401" ht="15.75" customHeight="1">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row>
    <row r="402" ht="15.75" customHeight="1">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row>
    <row r="403" ht="15.75" customHeight="1">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row>
    <row r="404" ht="15.75" customHeight="1">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row>
    <row r="405" ht="15.75" customHeight="1">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row>
    <row r="406" ht="15.75" customHeight="1">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row>
    <row r="407" ht="15.75" customHeight="1">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row>
    <row r="408" ht="15.75" customHeight="1">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row>
    <row r="409" ht="15.75" customHeight="1">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row>
    <row r="410" ht="15.75" customHeight="1">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row>
    <row r="411" ht="15.75" customHeight="1">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row>
    <row r="412" ht="15.75" customHeight="1">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row>
    <row r="413" ht="15.75" customHeight="1">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row>
    <row r="414" ht="15.75" customHeight="1">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row>
    <row r="415" ht="15.75" customHeight="1">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row>
    <row r="416" ht="15.75" customHeight="1">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row>
    <row r="417" ht="15.75" customHeight="1">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row>
    <row r="418" ht="15.75" customHeight="1">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row>
    <row r="419" ht="15.75" customHeight="1">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row>
    <row r="420" ht="15.75" customHeight="1">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row>
    <row r="421" ht="15.75" customHeight="1">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row>
    <row r="422" ht="15.75" customHeight="1">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row>
    <row r="423" ht="15.75" customHeight="1">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row>
    <row r="424" ht="15.75" customHeight="1">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row>
    <row r="425" ht="15.75" customHeight="1">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row>
    <row r="426" ht="15.75" customHeight="1">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row>
    <row r="427" ht="15.75" customHeight="1">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row>
    <row r="428" ht="15.75" customHeight="1">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row>
    <row r="429" ht="15.75" customHeight="1">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row>
    <row r="430" ht="15.75" customHeight="1">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row>
    <row r="431" ht="15.75" customHeight="1">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row>
    <row r="432" ht="15.75" customHeight="1">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row>
    <row r="433" ht="15.75" customHeight="1">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row>
    <row r="434" ht="15.75" customHeight="1">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row>
    <row r="435" ht="15.75" customHeight="1">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row>
    <row r="436" ht="15.75" customHeight="1">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row>
    <row r="437" ht="15.75" customHeight="1">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row>
    <row r="438" ht="15.75" customHeight="1">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row>
    <row r="439" ht="15.75" customHeight="1">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row>
    <row r="440" ht="15.75" customHeight="1">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row>
    <row r="441" ht="15.75" customHeight="1">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row>
    <row r="442" ht="15.75" customHeight="1">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row>
    <row r="443" ht="15.75" customHeight="1">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row>
    <row r="444" ht="15.75" customHeight="1">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row>
    <row r="445" ht="15.75" customHeight="1">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row>
    <row r="446" ht="15.75" customHeight="1">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row>
    <row r="447" ht="15.75" customHeight="1">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row>
    <row r="448" ht="15.75" customHeight="1">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row>
    <row r="449" ht="15.75" customHeight="1">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row>
    <row r="450" ht="15.75" customHeight="1">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row>
    <row r="451" ht="15.75" customHeight="1">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row>
    <row r="452" ht="15.75" customHeight="1">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row>
    <row r="453" ht="15.75" customHeight="1">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row>
    <row r="454" ht="15.75" customHeight="1">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row>
    <row r="455" ht="15.75" customHeight="1">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row>
    <row r="456" ht="15.75" customHeight="1">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row>
    <row r="457" ht="15.75" customHeight="1">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row>
    <row r="458" ht="15.75" customHeight="1">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row>
    <row r="459" ht="15.75" customHeight="1">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row>
    <row r="460" ht="15.75" customHeight="1">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row>
    <row r="461" ht="15.75" customHeight="1">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row>
    <row r="462" ht="15.75" customHeight="1">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row>
    <row r="463" ht="15.75" customHeight="1">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row>
    <row r="464" ht="15.75" customHeight="1">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row>
    <row r="465" ht="15.75" customHeight="1">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row>
    <row r="466" ht="15.75" customHeight="1">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row>
    <row r="467" ht="15.75" customHeight="1">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row>
    <row r="468" ht="15.75" customHeight="1">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row>
    <row r="469" ht="15.75" customHeight="1">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row>
    <row r="470" ht="15.75" customHeight="1">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row>
    <row r="471" ht="15.75" customHeight="1">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row>
    <row r="472" ht="15.75" customHeight="1">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row>
    <row r="473" ht="15.75" customHeight="1">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row>
    <row r="474" ht="15.75" customHeight="1">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row>
    <row r="475" ht="15.75" customHeight="1">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row>
    <row r="476" ht="15.75" customHeight="1">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row>
    <row r="477" ht="15.75" customHeight="1">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row>
    <row r="478" ht="15.75" customHeight="1">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row>
    <row r="479" ht="15.75" customHeight="1">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row>
    <row r="480" ht="15.75" customHeight="1">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row>
    <row r="481" ht="15.75" customHeight="1">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row>
    <row r="482" ht="15.75" customHeight="1">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row>
    <row r="483" ht="15.75" customHeight="1">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row>
    <row r="484" ht="15.75" customHeight="1">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row>
    <row r="485" ht="15.75" customHeight="1">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row>
    <row r="486" ht="15.75" customHeight="1">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row>
    <row r="487" ht="15.75" customHeight="1">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row>
    <row r="488" ht="15.75" customHeight="1">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row>
    <row r="489" ht="15.75" customHeight="1">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row>
    <row r="490" ht="15.75" customHeight="1">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row>
    <row r="491" ht="15.75" customHeight="1">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row>
    <row r="492" ht="15.75" customHeight="1">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row>
    <row r="493" ht="15.75" customHeight="1">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row>
    <row r="494" ht="15.75" customHeight="1">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row>
    <row r="495" ht="15.75" customHeight="1">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row>
    <row r="496" ht="15.75" customHeight="1">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row>
    <row r="497" ht="15.75" customHeight="1">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row>
    <row r="498" ht="15.75" customHeight="1">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row>
    <row r="499" ht="15.75" customHeight="1">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row>
    <row r="500" ht="15.75" customHeight="1">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row>
    <row r="501" ht="15.75" customHeight="1">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row>
    <row r="502" ht="15.75" customHeight="1">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row>
    <row r="503" ht="15.75" customHeight="1">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row>
    <row r="504" ht="15.75" customHeight="1">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row>
    <row r="505" ht="15.75" customHeight="1">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row>
    <row r="506" ht="15.75" customHeight="1">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row>
    <row r="507" ht="15.75" customHeight="1">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row>
    <row r="508" ht="15.75" customHeight="1">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row>
    <row r="509" ht="15.75" customHeight="1">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row>
    <row r="510" ht="15.75" customHeight="1">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row>
    <row r="511" ht="15.75" customHeight="1">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row>
    <row r="512" ht="15.75" customHeight="1">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row>
    <row r="513" ht="15.75" customHeight="1">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row>
    <row r="514" ht="15.75" customHeight="1">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row>
    <row r="515" ht="15.75" customHeight="1">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row>
    <row r="516" ht="15.75" customHeight="1">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row>
    <row r="517" ht="15.75" customHeight="1">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row>
    <row r="518" ht="15.75" customHeight="1">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row>
    <row r="519" ht="15.75" customHeight="1">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row>
    <row r="520" ht="15.75" customHeight="1">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row>
    <row r="521" ht="15.75" customHeight="1">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row>
    <row r="522" ht="15.75" customHeight="1">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row>
    <row r="523" ht="15.75" customHeight="1">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row>
    <row r="524" ht="15.75" customHeight="1">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row>
    <row r="525" ht="15.75" customHeight="1">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row>
    <row r="526" ht="15.75" customHeight="1">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row>
    <row r="527" ht="15.75" customHeight="1">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row>
    <row r="528" ht="15.75" customHeight="1">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row>
    <row r="529" ht="15.75" customHeight="1">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row>
    <row r="530" ht="15.75" customHeight="1">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row>
    <row r="531" ht="15.75" customHeight="1">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row>
    <row r="532" ht="15.75" customHeight="1">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row>
    <row r="533" ht="15.75" customHeight="1">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row>
    <row r="534" ht="15.75" customHeight="1">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row>
    <row r="535" ht="15.75" customHeight="1">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row>
    <row r="536" ht="15.75" customHeight="1">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row>
    <row r="537" ht="15.75" customHeight="1">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row>
    <row r="538" ht="15.75" customHeight="1">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row>
    <row r="539" ht="15.75" customHeight="1">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row>
    <row r="540" ht="15.75" customHeight="1">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row>
    <row r="541" ht="15.75" customHeight="1">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row>
    <row r="542" ht="15.75" customHeight="1">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row>
    <row r="543" ht="15.75" customHeight="1">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row>
    <row r="544" ht="15.75" customHeight="1">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row>
    <row r="545" ht="15.75" customHeight="1">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row>
    <row r="546" ht="15.75" customHeight="1">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row>
    <row r="547" ht="15.75" customHeight="1">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row>
    <row r="548" ht="15.75" customHeight="1">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row>
    <row r="549" ht="15.75" customHeight="1">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row>
    <row r="550" ht="15.75" customHeight="1">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row>
    <row r="551" ht="15.75" customHeight="1">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row>
    <row r="552" ht="15.75" customHeight="1">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row>
    <row r="553" ht="15.75" customHeight="1">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row>
    <row r="554" ht="15.75" customHeight="1">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row>
    <row r="555" ht="15.75" customHeight="1">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row>
    <row r="556" ht="15.75" customHeight="1">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row>
    <row r="557" ht="15.75" customHeight="1">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row>
    <row r="558" ht="15.75" customHeight="1">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row>
    <row r="559" ht="15.75" customHeight="1">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row>
    <row r="560" ht="15.75" customHeight="1">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row>
    <row r="561" ht="15.75" customHeight="1">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row>
    <row r="562" ht="15.75" customHeight="1">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row>
    <row r="563" ht="15.75" customHeight="1">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row>
    <row r="564" ht="15.75" customHeight="1">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row>
    <row r="565" ht="15.75" customHeight="1">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row>
    <row r="566" ht="15.75" customHeight="1">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row>
    <row r="567" ht="15.75" customHeight="1">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row>
    <row r="568" ht="15.75" customHeight="1">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row>
    <row r="569" ht="15.75" customHeight="1">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row>
    <row r="570" ht="15.75" customHeight="1">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row>
    <row r="571" ht="15.75" customHeight="1">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row>
    <row r="572" ht="15.75" customHeight="1">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row>
    <row r="573" ht="15.75" customHeight="1">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row>
    <row r="574" ht="15.75" customHeight="1">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row>
    <row r="575" ht="15.75" customHeight="1">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row>
    <row r="576" ht="15.75" customHeight="1">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row>
    <row r="577" ht="15.75" customHeight="1">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row>
    <row r="578" ht="15.75" customHeight="1">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row>
    <row r="579" ht="15.75" customHeight="1">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row>
    <row r="580" ht="15.75" customHeight="1">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row>
    <row r="581" ht="15.75" customHeight="1">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row>
    <row r="582" ht="15.75" customHeight="1">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row>
    <row r="583" ht="15.75" customHeight="1">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row>
    <row r="584" ht="15.75" customHeight="1">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row>
    <row r="585" ht="15.75" customHeight="1">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row>
    <row r="586" ht="15.75" customHeight="1">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row>
    <row r="587" ht="15.75" customHeight="1">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row>
    <row r="588" ht="15.75" customHeight="1">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row>
    <row r="589" ht="15.75" customHeight="1">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row>
    <row r="590" ht="15.75" customHeight="1">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row>
    <row r="591" ht="15.75" customHeight="1">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row>
    <row r="592" ht="15.75" customHeight="1">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row>
    <row r="593" ht="15.75" customHeight="1">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row>
    <row r="594" ht="15.75" customHeight="1">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row>
    <row r="595" ht="15.75" customHeight="1">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row>
    <row r="596" ht="15.75" customHeight="1">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row>
    <row r="597" ht="15.75" customHeight="1">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row>
    <row r="598" ht="15.75" customHeight="1">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row>
    <row r="599" ht="15.75" customHeight="1">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row>
    <row r="600" ht="15.75" customHeight="1">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row>
    <row r="601" ht="15.75" customHeight="1">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row>
    <row r="602" ht="15.75" customHeight="1">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row>
    <row r="603" ht="15.75" customHeight="1">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row>
    <row r="604" ht="15.75" customHeight="1">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row>
    <row r="605" ht="15.75" customHeight="1">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row>
    <row r="606" ht="15.75" customHeight="1">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row>
    <row r="607" ht="15.75" customHeight="1">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row>
    <row r="608" ht="15.75" customHeight="1">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row>
    <row r="609" ht="15.75" customHeight="1">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row>
    <row r="610" ht="15.75" customHeight="1">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row>
    <row r="611" ht="15.75" customHeight="1">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row>
    <row r="612" ht="15.75" customHeight="1">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row>
    <row r="613" ht="15.75" customHeight="1">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row>
    <row r="614" ht="15.75" customHeight="1">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row>
    <row r="615" ht="15.75" customHeight="1">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row>
    <row r="616" ht="15.75" customHeight="1">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row>
    <row r="617" ht="15.75" customHeight="1">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row>
    <row r="618" ht="15.75" customHeight="1">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row>
    <row r="619" ht="15.75" customHeight="1">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row>
    <row r="620" ht="15.75" customHeight="1">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row>
    <row r="621" ht="15.75" customHeight="1">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row>
    <row r="622" ht="15.75" customHeight="1">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row>
    <row r="623" ht="15.75" customHeight="1">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row>
    <row r="624" ht="15.75" customHeight="1">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row>
    <row r="625" ht="15.75" customHeight="1">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row>
    <row r="626" ht="15.75" customHeight="1">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row>
    <row r="627" ht="15.75" customHeight="1">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row>
    <row r="628" ht="15.75" customHeight="1">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row>
    <row r="629" ht="15.75" customHeight="1">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row>
    <row r="630" ht="15.75" customHeight="1">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row>
    <row r="631" ht="15.75" customHeight="1">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row>
    <row r="632" ht="15.75" customHeight="1">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row>
    <row r="633" ht="15.75" customHeight="1">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row>
    <row r="634" ht="15.75" customHeight="1">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row>
    <row r="635" ht="15.75" customHeight="1">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ht="15.75" customHeight="1">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row>
    <row r="637" ht="15.75" customHeight="1">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ht="15.75" customHeight="1">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row>
    <row r="639" ht="15.75" customHeight="1">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row>
    <row r="640" ht="15.75" customHeight="1">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ht="15.75" customHeight="1">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row>
    <row r="642" ht="15.75" customHeight="1">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ht="15.75" customHeight="1">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row>
    <row r="644" ht="15.75" customHeight="1">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ht="15.75" customHeight="1">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row>
    <row r="646" ht="15.75" customHeight="1">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row>
    <row r="647" ht="15.75" customHeight="1">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row>
    <row r="648" ht="15.75" customHeight="1">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row>
    <row r="649" ht="15.75" customHeight="1">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row>
    <row r="650" ht="15.75" customHeight="1">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row>
    <row r="651" ht="15.75" customHeight="1">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row>
    <row r="652" ht="15.75" customHeight="1">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row>
    <row r="653" ht="15.75" customHeight="1">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row>
    <row r="654" ht="15.75" customHeight="1">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row>
    <row r="655" ht="15.75" customHeight="1">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row>
    <row r="656" ht="15.75" customHeight="1">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row>
    <row r="657" ht="15.75" customHeight="1">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row>
    <row r="658" ht="15.75" customHeight="1">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ht="15.75" customHeight="1">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row>
    <row r="660" ht="15.75" customHeight="1">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ht="15.75" customHeight="1">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row>
    <row r="662" ht="15.75" customHeight="1">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row>
    <row r="663" ht="15.75" customHeight="1">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ht="15.75" customHeight="1">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row>
    <row r="665" ht="15.75" customHeight="1">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ht="15.75" customHeight="1">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row>
    <row r="667" ht="15.75" customHeight="1">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row>
    <row r="668" ht="15.75" customHeight="1">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row>
    <row r="669" ht="15.75" customHeight="1">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row>
    <row r="670" ht="15.75" customHeight="1">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row>
    <row r="671" ht="15.75" customHeight="1">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row>
    <row r="672" ht="15.75" customHeight="1">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row>
    <row r="673" ht="15.75" customHeight="1">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row>
    <row r="674" ht="15.75" customHeight="1">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row>
    <row r="675" ht="15.75" customHeight="1">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row>
    <row r="676" ht="15.75" customHeight="1">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row>
    <row r="677" ht="15.75" customHeight="1">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row>
    <row r="678" ht="15.75" customHeight="1">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row>
    <row r="679" ht="15.75" customHeight="1">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row>
    <row r="680" ht="15.75" customHeight="1">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row>
    <row r="681" ht="15.75" customHeight="1">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row>
    <row r="682" ht="15.75" customHeight="1">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row>
    <row r="683" ht="15.75" customHeight="1">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row>
    <row r="684" ht="15.75" customHeight="1">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row>
    <row r="685" ht="15.75" customHeight="1">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row>
    <row r="686" ht="15.75" customHeight="1">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row>
    <row r="687" ht="15.75" customHeight="1">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row>
    <row r="688" ht="15.75" customHeight="1">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row>
    <row r="689" ht="15.75" customHeight="1">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row>
    <row r="690" ht="15.75" customHeight="1">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row>
    <row r="691" ht="15.75" customHeight="1">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row>
    <row r="692" ht="15.75" customHeight="1">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row>
    <row r="693" ht="15.75" customHeight="1">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row>
    <row r="694" ht="15.75" customHeight="1">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row>
    <row r="695" ht="15.75" customHeight="1">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row>
    <row r="696" ht="15.75" customHeight="1">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row>
    <row r="697" ht="15.75" customHeight="1">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row>
    <row r="698" ht="15.75" customHeight="1">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row>
    <row r="699" ht="15.75" customHeight="1">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row>
    <row r="700" ht="15.75" customHeight="1">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row>
    <row r="701" ht="15.75" customHeight="1">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row>
    <row r="702" ht="15.75" customHeight="1">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row>
    <row r="703" ht="15.75" customHeight="1">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row>
    <row r="704" ht="15.75" customHeight="1">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row>
    <row r="705" ht="15.75" customHeight="1">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row>
    <row r="706" ht="15.75" customHeight="1">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row>
    <row r="707" ht="15.75" customHeight="1">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row>
    <row r="708" ht="15.75" customHeight="1">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row>
    <row r="709" ht="15.75" customHeight="1">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row>
    <row r="710" ht="15.75" customHeight="1">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row>
    <row r="711" ht="15.75" customHeight="1">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row>
    <row r="712" ht="15.75" customHeight="1">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row>
    <row r="713" ht="15.75" customHeight="1">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row>
    <row r="714" ht="15.75" customHeight="1">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row>
    <row r="715" ht="15.75" customHeight="1">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row>
    <row r="716" ht="15.75" customHeight="1">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row>
    <row r="717" ht="15.75" customHeight="1">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row>
    <row r="718" ht="15.75" customHeight="1">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row>
    <row r="719" ht="15.75" customHeight="1">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row>
    <row r="720" ht="15.75" customHeight="1">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row>
    <row r="721" ht="15.75" customHeight="1">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row>
    <row r="722" ht="15.75" customHeight="1">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row>
    <row r="723" ht="15.75" customHeight="1">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row>
    <row r="724" ht="15.75" customHeight="1">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row>
    <row r="725" ht="15.75" customHeight="1">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row>
    <row r="726" ht="15.75" customHeight="1">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row>
    <row r="727" ht="15.75" customHeight="1">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row>
    <row r="728" ht="15.75" customHeight="1">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row>
    <row r="729" ht="15.75" customHeight="1">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row>
    <row r="730" ht="15.75" customHeight="1">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row>
    <row r="731" ht="15.75" customHeight="1">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row>
    <row r="732" ht="15.75" customHeight="1">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row>
    <row r="733" ht="15.75" customHeight="1">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row>
    <row r="734" ht="15.75" customHeight="1">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row>
    <row r="735" ht="15.75" customHeight="1">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row>
    <row r="736" ht="15.75" customHeight="1">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row>
    <row r="737" ht="15.75" customHeight="1">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row>
    <row r="738" ht="15.75" customHeight="1">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row>
    <row r="739" ht="15.75" customHeight="1">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row>
    <row r="740" ht="15.75" customHeight="1">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row>
    <row r="741" ht="15.75" customHeight="1">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row>
    <row r="742" ht="15.75" customHeight="1">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row>
    <row r="743" ht="15.75" customHeight="1">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row>
    <row r="744" ht="15.75" customHeight="1">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row>
    <row r="745" ht="15.75" customHeight="1">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row>
    <row r="746" ht="15.75" customHeight="1">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row>
    <row r="747" ht="15.75" customHeight="1">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row>
    <row r="748" ht="15.75" customHeight="1">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row>
    <row r="749" ht="15.75" customHeight="1">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row>
    <row r="750" ht="15.75" customHeight="1">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row>
    <row r="751" ht="15.75" customHeight="1">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row>
    <row r="752" ht="15.75" customHeight="1">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row>
    <row r="753" ht="15.75" customHeight="1">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row>
    <row r="754" ht="15.75" customHeight="1">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row>
    <row r="755" ht="15.75" customHeight="1">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row>
    <row r="756" ht="15.75" customHeight="1">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row>
    <row r="757" ht="15.75" customHeight="1">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row>
    <row r="758" ht="15.75" customHeight="1">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row>
    <row r="759" ht="15.75" customHeight="1">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row>
    <row r="760" ht="15.75" customHeight="1">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row>
    <row r="761" ht="15.75" customHeight="1">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row>
    <row r="762" ht="15.75" customHeight="1">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row>
    <row r="763" ht="15.75" customHeight="1">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row>
    <row r="764" ht="15.75" customHeight="1">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row>
    <row r="765" ht="15.75" customHeight="1">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row>
    <row r="766" ht="15.75" customHeight="1">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row>
    <row r="767" ht="15.75" customHeight="1">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row>
    <row r="768" ht="15.75" customHeight="1">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row>
    <row r="769" ht="15.75" customHeight="1">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row>
    <row r="770" ht="15.75" customHeight="1">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row>
    <row r="771" ht="15.75" customHeight="1">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row>
    <row r="772" ht="15.75" customHeight="1">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row>
    <row r="773" ht="15.75" customHeight="1">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row>
    <row r="774" ht="15.75" customHeight="1">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row>
    <row r="775" ht="15.75" customHeight="1">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row>
    <row r="776" ht="15.75" customHeight="1">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row>
    <row r="777" ht="15.75" customHeight="1">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row>
    <row r="778" ht="15.75" customHeight="1">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row>
    <row r="779" ht="15.75" customHeight="1">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row>
    <row r="780" ht="15.75" customHeight="1">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row>
    <row r="781" ht="15.75" customHeight="1">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row>
    <row r="782" ht="15.75" customHeight="1">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row>
    <row r="783" ht="15.75" customHeight="1">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row>
    <row r="784" ht="15.75" customHeight="1">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row>
    <row r="785" ht="15.75" customHeight="1">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row>
    <row r="786" ht="15.75" customHeight="1">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row>
    <row r="787" ht="15.75" customHeight="1">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row>
    <row r="788" ht="15.75" customHeight="1">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row>
    <row r="789" ht="15.75" customHeight="1">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row>
    <row r="790" ht="15.75" customHeight="1">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row>
    <row r="791" ht="15.75" customHeight="1">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row>
    <row r="792" ht="15.75" customHeight="1">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row>
    <row r="793" ht="15.75" customHeight="1">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row>
    <row r="794" ht="15.75" customHeight="1">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row>
    <row r="795" ht="15.75" customHeight="1">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row>
    <row r="796" ht="15.75" customHeight="1">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row>
    <row r="797" ht="15.75" customHeight="1">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row>
    <row r="798" ht="15.75" customHeight="1">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row>
    <row r="799" ht="15.75" customHeight="1">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row>
    <row r="800" ht="15.75" customHeight="1">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row>
    <row r="801" ht="15.75" customHeight="1">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row>
    <row r="802" ht="15.75" customHeight="1">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row>
    <row r="803" ht="15.75" customHeight="1">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row>
    <row r="804" ht="15.75" customHeight="1">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row>
    <row r="805" ht="15.75" customHeight="1">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row>
    <row r="806" ht="15.75" customHeight="1">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row>
    <row r="807" ht="15.75" customHeight="1">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row>
    <row r="808" ht="15.75" customHeight="1">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row>
    <row r="809" ht="15.75" customHeight="1">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row>
    <row r="810" ht="15.75" customHeight="1">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row>
    <row r="811" ht="15.75" customHeight="1">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row>
    <row r="812" ht="15.75" customHeight="1">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row>
    <row r="813" ht="15.75" customHeight="1">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row>
    <row r="814" ht="15.75" customHeight="1">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row>
    <row r="815" ht="15.75" customHeight="1">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row>
    <row r="816" ht="15.75" customHeight="1">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row>
    <row r="817" ht="15.75" customHeight="1">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row>
    <row r="818" ht="15.75" customHeight="1">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row>
    <row r="819" ht="15.75" customHeight="1">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row>
    <row r="820" ht="15.75" customHeight="1">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row>
    <row r="821" ht="15.75" customHeight="1">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row>
    <row r="822" ht="15.75" customHeight="1">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row>
    <row r="823" ht="15.75" customHeight="1">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row>
    <row r="824" ht="15.75" customHeight="1">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row>
    <row r="825" ht="15.75" customHeight="1">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row>
    <row r="826" ht="15.75" customHeight="1">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row>
    <row r="827" ht="15.75" customHeight="1">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row>
    <row r="828" ht="15.75" customHeight="1">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row>
    <row r="829" ht="15.75" customHeight="1">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row>
    <row r="830" ht="15.75" customHeight="1">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row>
    <row r="831" ht="15.75" customHeight="1">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row>
    <row r="832" ht="15.75" customHeight="1">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row>
    <row r="833" ht="15.75" customHeight="1">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row>
    <row r="834" ht="15.75" customHeight="1">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row>
    <row r="835" ht="15.75" customHeight="1">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row>
    <row r="836" ht="15.75" customHeight="1">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row>
    <row r="837" ht="15.75" customHeight="1">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row>
    <row r="838" ht="15.75" customHeight="1">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row>
    <row r="839" ht="15.75" customHeight="1">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row>
    <row r="840" ht="15.75" customHeight="1">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row>
    <row r="841" ht="15.75" customHeight="1">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row>
    <row r="842" ht="15.75" customHeight="1">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row>
    <row r="843" ht="15.75" customHeight="1">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row>
    <row r="844" ht="15.75" customHeight="1">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row>
    <row r="845" ht="15.75" customHeight="1">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row>
    <row r="846" ht="15.75" customHeight="1">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row>
    <row r="847" ht="15.75" customHeight="1">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row>
    <row r="848" ht="15.75" customHeight="1">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row>
    <row r="849" ht="15.75" customHeight="1">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row>
    <row r="850" ht="15.75" customHeight="1">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row>
    <row r="851" ht="15.75" customHeight="1">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row>
    <row r="852" ht="15.75" customHeight="1">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row>
    <row r="853" ht="15.75" customHeight="1">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row>
    <row r="854" ht="15.75" customHeight="1">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row>
    <row r="855" ht="15.75" customHeight="1">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row>
    <row r="856" ht="15.75" customHeight="1">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row>
    <row r="857" ht="15.75" customHeight="1">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row>
    <row r="858" ht="15.75" customHeight="1">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row>
    <row r="859" ht="15.75" customHeight="1">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row>
    <row r="860" ht="15.75" customHeight="1">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row>
    <row r="861" ht="15.75" customHeight="1">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row>
    <row r="862" ht="15.75" customHeight="1">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row>
    <row r="863" ht="15.75" customHeight="1">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row>
    <row r="864" ht="15.75" customHeight="1">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row>
    <row r="865" ht="15.75" customHeight="1">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row>
    <row r="866" ht="15.75" customHeight="1">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row>
    <row r="867" ht="15.75" customHeight="1">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row>
    <row r="868" ht="15.75" customHeight="1">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row>
    <row r="869" ht="15.75" customHeight="1">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row>
    <row r="870" ht="15.75" customHeight="1">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row>
    <row r="871" ht="15.75" customHeight="1">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row>
    <row r="872" ht="15.75" customHeight="1">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row>
    <row r="873" ht="15.75" customHeight="1">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row>
    <row r="874" ht="15.75" customHeight="1">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row>
    <row r="875" ht="15.75" customHeight="1">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row>
    <row r="876" ht="15.75" customHeight="1">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row>
    <row r="877" ht="15.75" customHeight="1">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row>
    <row r="878" ht="15.75" customHeight="1">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row>
    <row r="879" ht="15.75" customHeight="1">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row>
    <row r="880" ht="15.75" customHeight="1">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row>
    <row r="881" ht="15.75" customHeight="1">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row>
    <row r="882" ht="15.75" customHeight="1">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row>
    <row r="883" ht="15.75" customHeight="1">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row>
    <row r="884" ht="15.75" customHeight="1">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ht="15.75" customHeight="1">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row>
    <row r="886" ht="15.75" customHeight="1">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row>
    <row r="887" ht="15.75" customHeight="1">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row>
    <row r="888" ht="15.75" customHeight="1">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row>
    <row r="889" ht="15.75" customHeight="1">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row>
    <row r="890" ht="15.75" customHeight="1">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row>
    <row r="891" ht="15.75" customHeight="1">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row>
    <row r="892" ht="15.75" customHeight="1">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row>
    <row r="893" ht="15.75" customHeight="1">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row>
    <row r="894" ht="15.75" customHeight="1">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row>
    <row r="895" ht="15.75" customHeight="1">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row>
    <row r="896" ht="15.75" customHeight="1">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row>
    <row r="897" ht="15.75" customHeight="1">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row>
    <row r="898" ht="15.75" customHeight="1">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row>
    <row r="899" ht="15.75" customHeight="1">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row>
    <row r="900" ht="15.75" customHeight="1">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row>
    <row r="901" ht="15.75" customHeight="1">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row>
    <row r="902" ht="15.75" customHeight="1">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row>
    <row r="903" ht="15.75" customHeight="1">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row>
    <row r="904" ht="15.75" customHeight="1">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row>
    <row r="905" ht="15.75" customHeight="1">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row>
    <row r="906" ht="15.75" customHeight="1">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row>
    <row r="907" ht="15.75" customHeight="1">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row>
    <row r="908" ht="15.75" customHeight="1">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row>
    <row r="909" ht="15.75" customHeight="1">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row>
    <row r="910" ht="15.75" customHeight="1">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row>
    <row r="911" ht="15.75" customHeight="1">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row>
    <row r="912" ht="15.75" customHeight="1">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row>
    <row r="913" ht="15.75" customHeight="1">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row>
    <row r="914" ht="15.75" customHeight="1">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row>
    <row r="915" ht="15.75" customHeight="1">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row>
    <row r="916" ht="15.75" customHeight="1">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row>
    <row r="917" ht="15.75" customHeight="1">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row>
    <row r="918" ht="15.75" customHeight="1">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row>
    <row r="919" ht="15.75" customHeight="1">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row>
    <row r="920" ht="15.75" customHeight="1">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row>
    <row r="921" ht="15.75" customHeight="1">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row>
    <row r="922" ht="15.75" customHeight="1">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row>
    <row r="923" ht="15.75" customHeight="1">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row>
    <row r="924" ht="15.75" customHeight="1">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row>
    <row r="925" ht="15.75" customHeight="1">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row>
    <row r="926" ht="15.75" customHeight="1">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row>
    <row r="927" ht="15.75" customHeight="1">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row>
    <row r="928" ht="15.75" customHeight="1">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row>
    <row r="929" ht="15.75" customHeight="1">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row>
    <row r="930" ht="15.75" customHeight="1">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row>
    <row r="931" ht="15.75" customHeight="1">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row>
    <row r="932" ht="15.75" customHeight="1">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row>
    <row r="933" ht="15.75" customHeight="1">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row>
    <row r="934" ht="15.75" customHeight="1">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row>
    <row r="935" ht="15.75" customHeight="1">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row>
    <row r="936" ht="15.75" customHeight="1">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row>
    <row r="937" ht="15.75" customHeight="1">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row>
    <row r="938" ht="15.75" customHeight="1">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row>
    <row r="939" ht="15.75" customHeight="1">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row>
    <row r="940" ht="15.75" customHeight="1">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row>
    <row r="941" ht="15.75" customHeight="1">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row>
    <row r="942" ht="15.75" customHeight="1">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row>
    <row r="943" ht="15.75" customHeight="1">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row>
    <row r="944" ht="15.75" customHeight="1">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row>
    <row r="945" ht="15.75" customHeight="1">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row>
    <row r="946" ht="15.75" customHeight="1">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row>
    <row r="947" ht="15.75" customHeight="1">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row>
    <row r="948" ht="15.75" customHeight="1">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row>
    <row r="949" ht="15.75" customHeight="1">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row>
    <row r="950" ht="15.75" customHeight="1">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row>
    <row r="951" ht="15.75" customHeight="1">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row>
    <row r="952" ht="15.75" customHeight="1">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row>
    <row r="953" ht="15.75" customHeight="1">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row>
    <row r="954" ht="15.75" customHeight="1">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row>
    <row r="955" ht="15.75" customHeight="1">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row>
    <row r="956" ht="15.75" customHeight="1">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row>
    <row r="957" ht="15.75" customHeight="1">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row>
    <row r="958" ht="15.75" customHeight="1">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row>
    <row r="959" ht="15.75" customHeight="1">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row>
    <row r="960" ht="15.75" customHeight="1">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row>
    <row r="961" ht="15.75" customHeight="1">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row>
    <row r="962" ht="15.75" customHeight="1">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row>
    <row r="963" ht="15.75" customHeight="1">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row>
    <row r="964" ht="15.75" customHeight="1">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row>
    <row r="965" ht="15.75" customHeight="1">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row>
    <row r="966" ht="15.75" customHeight="1">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row>
    <row r="967" ht="15.75" customHeight="1">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row>
    <row r="968" ht="15.75" customHeight="1">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row>
    <row r="969" ht="15.75" customHeight="1">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row>
    <row r="970" ht="15.75" customHeight="1">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row>
    <row r="971" ht="15.75" customHeight="1">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row>
    <row r="972" ht="15.75" customHeight="1">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row>
    <row r="973" ht="15.75" customHeight="1">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row>
    <row r="974" ht="15.75" customHeight="1">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row>
    <row r="975" ht="15.75" customHeight="1">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row>
    <row r="976" ht="15.75" customHeight="1">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row>
    <row r="977" ht="15.75" customHeight="1">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row>
    <row r="978" ht="15.75" customHeight="1">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row>
    <row r="979" ht="15.75" customHeight="1">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row>
    <row r="980" ht="15.75" customHeight="1">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row>
    <row r="981" ht="15.75" customHeight="1">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row>
    <row r="982" ht="15.75" customHeight="1">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row>
    <row r="983" ht="15.75" customHeight="1">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row>
    <row r="984" ht="15.75" customHeight="1">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row>
    <row r="985" ht="15.75" customHeight="1">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row>
    <row r="986" ht="15.75" customHeight="1">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row>
    <row r="987" ht="15.75" customHeight="1">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row>
    <row r="988" ht="15.75" customHeight="1">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row>
    <row r="989" ht="15.75" customHeight="1">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row>
    <row r="990" ht="15.75" customHeight="1">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row>
    <row r="991" ht="15.75" customHeight="1">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row>
    <row r="992" ht="15.75" customHeight="1">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row>
    <row r="993" ht="15.75" customHeight="1">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row>
    <row r="994" ht="15.75" customHeight="1">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row>
    <row r="995" ht="15.75" customHeight="1">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row>
    <row r="996" ht="15.75" customHeight="1">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row>
    <row r="997" ht="15.75" customHeight="1">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row>
    <row r="998" ht="15.75" customHeight="1">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row>
    <row r="999" ht="15.75" customHeight="1">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row>
    <row r="1000" ht="15.7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2026-05-12T18:18:08Z</dcterms:created>
  <dc:creator>openpyxl</dc:creator>
</cp:coreProperties>
</file>

<file path=docProps/custom.xml><?xml version="1.0" encoding="utf-8"?>
<Properties xmlns="http://schemas.openxmlformats.org/officeDocument/2006/custom-properties" xmlns:vt="http://schemas.openxmlformats.org/officeDocument/2006/docPropsVTypes"/>
</file>